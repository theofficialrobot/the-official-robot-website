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6.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00_Cover" sheetId="1" state="visible" r:id="rId1"/>
    <sheet xmlns:r="http://schemas.openxmlformats.org/officeDocument/2006/relationships" name="01_All_Platforms" sheetId="2" state="visible" r:id="rId2"/>
    <sheet xmlns:r="http://schemas.openxmlformats.org/officeDocument/2006/relationships" name="02_Humanoid" sheetId="3" state="visible" r:id="rId3"/>
    <sheet xmlns:r="http://schemas.openxmlformats.org/officeDocument/2006/relationships" name="03_Quadruped_Campanionoid" sheetId="4" state="visible" r:id="rId4"/>
    <sheet xmlns:r="http://schemas.openxmlformats.org/officeDocument/2006/relationships" name="04_Aerial_Drones" sheetId="5" state="visible" r:id="rId5"/>
    <sheet xmlns:r="http://schemas.openxmlformats.org/officeDocument/2006/relationships" name="05_Sea_Marine" sheetId="6" state="visible" r:id="rId6"/>
    <sheet xmlns:r="http://schemas.openxmlformats.org/officeDocument/2006/relationships" name="06_Column_Dictionary" sheetId="7" state="visible" r:id="rId7"/>
    <sheet xmlns:r="http://schemas.openxmlformats.org/officeDocument/2006/relationships" name="07_Humanoid_Index" sheetId="8" state="visible" r:id="rId8"/>
    <sheet xmlns:r="http://schemas.openxmlformats.org/officeDocument/2006/relationships" name="08_Hands" sheetId="9" state="visible" r:id="rId9"/>
  </sheets>
  <definedNames>
    <definedName name="_xlnm._FilterDatabase" localSheetId="1" hidden="1">'01_All_Platforms'!$A$4:$CK$328</definedName>
    <definedName name="_xlnm.Print_Titles" localSheetId="1">'01_All_Platforms'!$1:$4</definedName>
    <definedName name="_xlnm._FilterDatabase" localSheetId="2" hidden="1">'02_Humanoid'!$A$4:$CK$252</definedName>
    <definedName name="_xlnm.Print_Titles" localSheetId="2">'02_Humanoid'!$1:$4</definedName>
    <definedName name="_xlnm._FilterDatabase" localSheetId="3" hidden="1">'03_Quadruped_Campanionoid'!$A$4:$CK$23</definedName>
    <definedName name="_xlnm.Print_Titles" localSheetId="3">'03_Quadruped_Campanionoid'!$1:$4</definedName>
    <definedName name="_xlnm._FilterDatabase" localSheetId="4" hidden="1">'04_Aerial_Drones'!$A$4:$CK$36</definedName>
    <definedName name="_xlnm.Print_Titles" localSheetId="4">'04_Aerial_Drones'!$1:$4</definedName>
    <definedName name="_xlnm._FilterDatabase" localSheetId="5" hidden="1">'05_Sea_Marine'!$A$4:$CK$29</definedName>
    <definedName name="_xlnm.Print_Titles" localSheetId="5">'05_Sea_Marine'!$1:$4</definedName>
    <definedName name="_xlnm._FilterDatabase" localSheetId="6" hidden="1">'06_Column_Dictionary'!$A$4:$D$93</definedName>
    <definedName name="_xlnm._FilterDatabase" localSheetId="7" hidden="1">'07_Humanoid_Index'!$A$4:$Q$266</definedName>
    <definedName name="_xlnm._FilterDatabase" localSheetId="8" hidden="1">'08_Hands'!$A$4:$AN$85</definedName>
    <definedName name="_xlnm.Print_Titles" localSheetId="8">'08_Hands'!$1:$4</definedName>
  </definedNames>
  <calcPr calcId="124519" fullCalcOnLoad="1" refMode="A1" iterate="0" iterateCount="100" iterateDelta="0.0001"/>
</workbook>
</file>

<file path=xl/styles.xml><?xml version="1.0" encoding="utf-8"?>
<styleSheet xmlns="http://schemas.openxmlformats.org/spreadsheetml/2006/main">
  <numFmts count="2">
    <numFmt numFmtId="164" formatCode="\$#,##0"/>
    <numFmt numFmtId="165" formatCode="&quot;$&quot;#,##0"/>
  </numFmts>
  <fonts count="40">
    <font>
      <name val="Calibri"/>
      <charset val="1"/>
      <family val="2"/>
      <color theme="1"/>
      <sz val="11"/>
    </font>
    <font>
      <name val="Arial"/>
      <family val="0"/>
      <sz val="10"/>
    </font>
    <font>
      <name val="Arial"/>
      <family val="0"/>
      <sz val="10"/>
    </font>
    <font>
      <name val="Arial"/>
      <family val="0"/>
      <sz val="10"/>
    </font>
    <font>
      <name val="Calibri"/>
      <charset val="1"/>
      <family val="0"/>
      <b val="1"/>
      <color rgb="FFFFFFFF"/>
      <sz val="26"/>
    </font>
    <font>
      <name val="Calibri"/>
      <charset val="1"/>
      <family val="0"/>
      <color rgb="FFFFFFFF"/>
      <sz val="12"/>
    </font>
    <font>
      <name val="Calibri"/>
      <charset val="1"/>
      <family val="0"/>
      <i val="1"/>
      <color rgb="FF475569"/>
      <sz val="10"/>
    </font>
    <font>
      <name val="Calibri"/>
      <charset val="1"/>
      <family val="0"/>
      <b val="1"/>
      <color rgb="FFFFFFFF"/>
      <sz val="9"/>
    </font>
    <font>
      <name val="Calibri"/>
      <charset val="1"/>
      <family val="0"/>
      <b val="1"/>
      <color rgb="FF0F172A"/>
      <sz val="22"/>
    </font>
    <font>
      <name val="Calibri"/>
      <charset val="1"/>
      <family val="0"/>
      <b val="1"/>
      <color rgb="FF0F172A"/>
      <sz val="18"/>
    </font>
    <font>
      <name val="Calibri"/>
      <charset val="1"/>
      <family val="0"/>
      <i val="1"/>
      <color rgb="FF475569"/>
      <sz val="9"/>
    </font>
    <font>
      <name val="Calibri"/>
      <charset val="1"/>
      <family val="0"/>
      <b val="1"/>
      <color rgb="FF0F172A"/>
      <sz val="11"/>
    </font>
    <font>
      <name val="Calibri"/>
      <charset val="1"/>
      <family val="0"/>
      <color rgb="FF475569"/>
      <sz val="10"/>
    </font>
    <font>
      <name val="Calibri"/>
      <charset val="1"/>
      <family val="0"/>
      <b val="1"/>
      <color rgb="FF0F172A"/>
      <sz val="12"/>
    </font>
    <font>
      <name val="Calibri"/>
      <charset val="1"/>
      <family val="0"/>
      <color rgb="FF0369A1"/>
      <sz val="10"/>
      <u val="single"/>
    </font>
    <font>
      <name val="Calibri"/>
      <charset val="1"/>
      <family val="0"/>
      <b val="1"/>
      <color rgb="FFFFFFFF"/>
      <sz val="11"/>
    </font>
    <font>
      <name val="Calibri"/>
      <charset val="1"/>
      <family val="0"/>
      <b val="1"/>
      <color rgb="FF0891B2"/>
      <sz val="10"/>
    </font>
    <font>
      <name val="Calibri"/>
      <charset val="1"/>
      <family val="0"/>
      <color rgb="FF0F172A"/>
      <sz val="10"/>
    </font>
    <font>
      <name val="Calibri"/>
      <charset val="1"/>
      <family val="0"/>
      <color rgb="FF475569"/>
      <sz val="9"/>
    </font>
    <font>
      <name val="Calibri"/>
      <charset val="1"/>
      <family val="0"/>
      <i val="1"/>
      <color rgb="FF0891B2"/>
      <sz val="9"/>
    </font>
    <font>
      <name val="Calibri"/>
      <charset val="1"/>
      <family val="0"/>
      <b val="1"/>
      <color rgb="FFFFFFFF"/>
      <sz val="18"/>
    </font>
    <font>
      <name val="Calibri"/>
      <charset val="1"/>
      <family val="0"/>
      <color rgb="FF0E7490"/>
      <sz val="8"/>
    </font>
    <font>
      <name val="Calibri"/>
      <charset val="1"/>
      <family val="0"/>
      <b val="1"/>
      <color rgb="FF0F172A"/>
      <sz val="8"/>
    </font>
    <font>
      <name val="Calibri"/>
      <charset val="1"/>
      <family val="0"/>
      <color rgb="FF0F172A"/>
      <sz val="9"/>
    </font>
    <font>
      <name val="Calibri"/>
      <charset val="1"/>
      <family val="0"/>
      <b val="1"/>
      <color rgb="FF0F172A"/>
      <sz val="9"/>
    </font>
    <font>
      <name val="Calibri"/>
      <charset val="1"/>
      <family val="0"/>
      <color rgb="FF0369A1"/>
      <sz val="8"/>
      <u val="single"/>
    </font>
    <font>
      <name val="Noto Sans CJK SC"/>
      <family val="2"/>
      <color rgb="FF0F172A"/>
      <sz val="9"/>
    </font>
    <font>
      <name val="Arial"/>
      <family val="2"/>
      <sz val="10"/>
    </font>
    <font>
      <name val="Calibri"/>
      <charset val="1"/>
      <family val="0"/>
      <b val="1"/>
      <color rgb="FFFFFFFF"/>
      <sz val="10"/>
    </font>
    <font>
      <name val="Calibri"/>
      <charset val="1"/>
      <family val="0"/>
      <b val="1"/>
      <color rgb="FF0F172A"/>
      <sz val="10"/>
    </font>
    <font>
      <name val="Calibri"/>
      <charset val="1"/>
      <family val="0"/>
      <b val="1"/>
      <color rgb="FFFFFFFF"/>
      <sz val="14"/>
    </font>
    <font>
      <name val="Calibri"/>
      <b val="1"/>
      <color rgb="00FFFFFF"/>
      <sz val="9"/>
    </font>
    <font>
      <name val="Calibri"/>
      <color rgb="000F172A"/>
      <sz val="8"/>
    </font>
    <font/>
    <font>
      <name val="Calibri"/>
      <b val="1"/>
      <color rgb="00FFFFFF"/>
      <sz val="16"/>
    </font>
    <font>
      <name val="Calibri"/>
      <color rgb="00475569"/>
      <sz val="10"/>
    </font>
    <font>
      <name val="Calibri"/>
      <b val="1"/>
      <color rgb="00FFFFFF"/>
      <sz val="10"/>
    </font>
    <font>
      <name val="Calibri"/>
      <sz val="10"/>
    </font>
    <font>
      <name val="Calibri"/>
      <b val="1"/>
      <sz val="10"/>
    </font>
    <font>
      <name val="Calibri"/>
      <i val="1"/>
      <color rgb="0094A3B8"/>
      <sz val="10"/>
    </font>
  </fonts>
  <fills count="34">
    <fill>
      <patternFill/>
    </fill>
    <fill>
      <patternFill patternType="gray125"/>
    </fill>
    <fill>
      <patternFill patternType="solid">
        <fgColor rgb="FF0F172A"/>
        <bgColor rgb="FF000000"/>
      </patternFill>
    </fill>
    <fill>
      <patternFill patternType="solid">
        <fgColor rgb="FF0891B2"/>
        <bgColor rgb="FF059669"/>
      </patternFill>
    </fill>
    <fill>
      <patternFill patternType="solid">
        <fgColor rgb="FF0E7490"/>
        <bgColor rgb="FF0F766E"/>
      </patternFill>
    </fill>
    <fill>
      <patternFill patternType="solid">
        <fgColor rgb="FF7C3AED"/>
        <bgColor rgb="FF6D28D9"/>
      </patternFill>
    </fill>
    <fill>
      <patternFill patternType="solid">
        <fgColor rgb="FF059669"/>
        <bgColor rgb="FF0891B2"/>
      </patternFill>
    </fill>
    <fill>
      <patternFill patternType="solid">
        <fgColor rgb="FF0369A1"/>
        <bgColor rgb="FF0E7490"/>
      </patternFill>
    </fill>
    <fill>
      <patternFill patternType="solid">
        <fgColor rgb="FFF8FAFC"/>
        <bgColor rgb="FFFFFFFF"/>
      </patternFill>
    </fill>
    <fill>
      <patternFill patternType="solid">
        <fgColor rgb="FFEDE9FE"/>
        <bgColor rgb="FFE2E8F0"/>
      </patternFill>
    </fill>
    <fill>
      <patternFill patternType="solid">
        <fgColor rgb="FFFFEDD5"/>
        <bgColor rgb="FFFFF7ED"/>
      </patternFill>
    </fill>
    <fill>
      <patternFill patternType="solid">
        <fgColor rgb="FFCFFAFE"/>
        <bgColor rgb="FFD1FAE5"/>
      </patternFill>
    </fill>
    <fill>
      <patternFill patternType="solid">
        <fgColor rgb="FF6D28D9"/>
        <bgColor rgb="FF7C3AED"/>
      </patternFill>
    </fill>
    <fill>
      <patternFill patternType="solid">
        <fgColor rgb="FF1D4ED8"/>
        <bgColor rgb="FF0369A1"/>
      </patternFill>
    </fill>
    <fill>
      <patternFill patternType="solid">
        <fgColor rgb="FF0F766E"/>
        <bgColor rgb="FF0E7490"/>
      </patternFill>
    </fill>
    <fill>
      <patternFill patternType="solid">
        <fgColor rgb="FFD97706"/>
        <bgColor rgb="FFFF9900"/>
      </patternFill>
    </fill>
    <fill>
      <patternFill patternType="solid">
        <fgColor rgb="FFBE185D"/>
        <bgColor rgb="FF800080"/>
      </patternFill>
    </fill>
    <fill>
      <patternFill patternType="solid">
        <fgColor rgb="FF334155"/>
        <bgColor rgb="FF475569"/>
      </patternFill>
    </fill>
    <fill>
      <patternFill patternType="solid">
        <fgColor rgb="FFFFFFFF"/>
        <bgColor rgb="FFF8FAFC"/>
      </patternFill>
    </fill>
    <fill>
      <patternFill patternType="solid">
        <fgColor rgb="FFF5F3FF"/>
        <bgColor rgb="FFF8FAFC"/>
      </patternFill>
    </fill>
    <fill>
      <patternFill patternType="solid">
        <fgColor rgb="FFFDE68A"/>
        <bgColor rgb="FFFED7AA"/>
      </patternFill>
    </fill>
    <fill>
      <patternFill patternType="solid">
        <fgColor rgb="FFFFF7ED"/>
        <bgColor rgb="FFF8FAFC"/>
      </patternFill>
    </fill>
    <fill>
      <patternFill patternType="solid">
        <fgColor rgb="FFFED7AA"/>
        <bgColor rgb="FFFECACA"/>
      </patternFill>
    </fill>
    <fill>
      <patternFill patternType="solid">
        <fgColor rgb="FFECFEFF"/>
        <bgColor rgb="FFF8FAFC"/>
      </patternFill>
    </fill>
    <fill>
      <patternFill patternType="solid">
        <fgColor rgb="FFA7F3D0"/>
        <bgColor rgb="FFD1FAE5"/>
      </patternFill>
    </fill>
    <fill>
      <patternFill patternType="solid">
        <fgColor rgb="FFFECACA"/>
        <bgColor rgb="FFFED7AA"/>
      </patternFill>
    </fill>
    <fill>
      <patternFill patternType="solid">
        <fgColor rgb="FFD1FAE5"/>
        <bgColor rgb="FFCFFAFE"/>
      </patternFill>
    </fill>
    <fill>
      <patternFill patternType="solid">
        <fgColor rgb="FFDBEAFE"/>
        <bgColor rgb="FFE2E8F0"/>
      </patternFill>
    </fill>
    <fill>
      <patternFill patternType="solid">
        <fgColor rgb="007C3AED"/>
      </patternFill>
    </fill>
    <fill>
      <patternFill patternType="solid">
        <fgColor rgb="000891B2"/>
      </patternFill>
    </fill>
    <fill>
      <patternFill patternType="solid">
        <fgColor rgb="00ECFEFF"/>
      </patternFill>
    </fill>
    <fill>
      <patternFill patternType="solid">
        <fgColor rgb="000F172A"/>
      </patternFill>
    </fill>
    <fill>
      <patternFill patternType="solid">
        <fgColor rgb="00FFFFFF"/>
      </patternFill>
    </fill>
    <fill>
      <patternFill patternType="solid">
        <fgColor rgb="00F8FAFC"/>
      </patternFill>
    </fill>
  </fills>
  <borders count="4">
    <border>
      <left/>
      <right/>
      <top/>
      <bottom/>
      <diagonal/>
    </border>
    <border>
      <left style="thin">
        <color rgb="FFE2E8F0"/>
      </left>
      <right style="thin">
        <color rgb="FFE2E8F0"/>
      </right>
      <top style="thin">
        <color rgb="FFE2E8F0"/>
      </top>
      <bottom style="thin">
        <color rgb="FFE2E8F0"/>
      </bottom>
      <diagonal/>
    </border>
    <border>
      <left style="thin">
        <color rgb="00E2E8F0"/>
      </left>
      <right style="thin">
        <color rgb="00E2E8F0"/>
      </right>
      <top style="thin">
        <color rgb="00E2E8F0"/>
      </top>
      <bottom style="thin">
        <color rgb="00E2E8F0"/>
      </bottom>
    </border>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24">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general" vertical="center" indent="1"/>
    </xf>
    <xf numFmtId="0" fontId="5" fillId="3" borderId="0" applyAlignment="1" pivotButton="0" quotePrefix="0" xfId="0">
      <alignment horizontal="general" vertical="center" indent="1"/>
    </xf>
    <xf numFmtId="0" fontId="6" fillId="0" borderId="0" applyAlignment="1" pivotButton="0" quotePrefix="0" xfId="0">
      <alignment horizontal="general" vertical="center" wrapText="1" indent="1"/>
    </xf>
    <xf numFmtId="0" fontId="7" fillId="3" borderId="0" applyAlignment="1" pivotButton="0" quotePrefix="0" xfId="0">
      <alignment horizontal="center" vertical="bottom"/>
    </xf>
    <xf numFmtId="0" fontId="7" fillId="4" borderId="0" applyAlignment="1" pivotButton="0" quotePrefix="0" xfId="0">
      <alignment horizontal="center" vertical="bottom"/>
    </xf>
    <xf numFmtId="0" fontId="7" fillId="5" borderId="0" applyAlignment="1" pivotButton="0" quotePrefix="0" xfId="0">
      <alignment horizontal="center" vertical="bottom"/>
    </xf>
    <xf numFmtId="0" fontId="7" fillId="6" borderId="0" applyAlignment="1" pivotButton="0" quotePrefix="0" xfId="0">
      <alignment horizontal="center" vertical="bottom"/>
    </xf>
    <xf numFmtId="0" fontId="7" fillId="7" borderId="0" applyAlignment="1" pivotButton="0" quotePrefix="0" xfId="0">
      <alignment horizontal="center" vertical="bottom"/>
    </xf>
    <xf numFmtId="0" fontId="8" fillId="8" borderId="0" applyAlignment="1" pivotButton="0" quotePrefix="0" xfId="0">
      <alignment horizontal="center" vertical="center"/>
    </xf>
    <xf numFmtId="0" fontId="8" fillId="8" borderId="0" applyAlignment="1" pivotButton="0" quotePrefix="0" xfId="0">
      <alignment horizontal="center" vertical="center"/>
    </xf>
    <xf numFmtId="0" fontId="7" fillId="5" borderId="0" applyAlignment="1" pivotButton="0" quotePrefix="0" xfId="0">
      <alignment horizontal="center" vertical="center"/>
    </xf>
    <xf numFmtId="0" fontId="9" fillId="9" borderId="0" applyAlignment="1" pivotButton="0" quotePrefix="0" xfId="0">
      <alignment horizontal="center" vertical="center"/>
    </xf>
    <xf numFmtId="0" fontId="10" fillId="8" borderId="0" applyAlignment="1" pivotButton="0" quotePrefix="0" xfId="0">
      <alignment horizontal="general" vertical="center" wrapText="1" indent="1"/>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13" fillId="9" borderId="0" applyAlignment="1" pivotButton="0" quotePrefix="0" xfId="0">
      <alignment horizontal="center" vertical="bottom"/>
    </xf>
    <xf numFmtId="0" fontId="14" fillId="0" borderId="0" applyAlignment="1" pivotButton="0" quotePrefix="0" xfId="0">
      <alignment horizontal="general" vertical="bottom"/>
    </xf>
    <xf numFmtId="0" fontId="13" fillId="10" borderId="0" applyAlignment="1" pivotButton="0" quotePrefix="0" xfId="0">
      <alignment horizontal="center" vertical="bottom"/>
    </xf>
    <xf numFmtId="0" fontId="13" fillId="11" borderId="0" applyAlignment="1" pivotButton="0" quotePrefix="0" xfId="0">
      <alignment horizontal="center" vertical="bottom"/>
    </xf>
    <xf numFmtId="0" fontId="0" fillId="0" borderId="0" applyAlignment="1" pivotButton="0" quotePrefix="0" xfId="0">
      <alignment horizontal="general" vertical="bottom"/>
    </xf>
    <xf numFmtId="0" fontId="15" fillId="2" borderId="0" applyAlignment="1" pivotButton="0" quotePrefix="0" xfId="0">
      <alignment horizontal="general" vertical="bottom"/>
    </xf>
    <xf numFmtId="0" fontId="16" fillId="0" borderId="0" applyAlignment="1" pivotButton="0" quotePrefix="0" xfId="0">
      <alignment horizontal="general" vertical="bottom"/>
    </xf>
    <xf numFmtId="0" fontId="17" fillId="0" borderId="0" applyAlignment="1" pivotButton="0" quotePrefix="0" xfId="0">
      <alignment horizontal="general" vertical="bottom"/>
    </xf>
    <xf numFmtId="0" fontId="17" fillId="0" borderId="0" applyAlignment="1" pivotButton="0" quotePrefix="0" xfId="0">
      <alignment horizontal="general" vertical="center" wrapText="1"/>
    </xf>
    <xf numFmtId="0" fontId="15" fillId="3" borderId="0" applyAlignment="1" pivotButton="0" quotePrefix="0" xfId="0">
      <alignment horizontal="general" vertical="bottom"/>
    </xf>
    <xf numFmtId="0" fontId="18" fillId="0" borderId="0" applyAlignment="1" pivotButton="0" quotePrefix="0" xfId="0">
      <alignment horizontal="general" vertical="center" wrapText="1"/>
    </xf>
    <xf numFmtId="0" fontId="19" fillId="0" borderId="0" applyAlignment="1" pivotButton="0" quotePrefix="0" xfId="0">
      <alignment horizontal="general" vertical="bottom"/>
    </xf>
    <xf numFmtId="0" fontId="20" fillId="2" borderId="0" applyAlignment="1" pivotButton="0" quotePrefix="0" xfId="0">
      <alignment horizontal="general" vertical="center" indent="1"/>
    </xf>
    <xf numFmtId="0" fontId="0" fillId="2" borderId="0" applyAlignment="1" pivotButton="0" quotePrefix="0" xfId="0">
      <alignment horizontal="general" vertical="bottom"/>
    </xf>
    <xf numFmtId="0" fontId="6" fillId="8" borderId="0" applyAlignment="1" pivotButton="0" quotePrefix="0" xfId="0">
      <alignment horizontal="general" vertical="center" indent="1"/>
    </xf>
    <xf numFmtId="0" fontId="0" fillId="8" borderId="0" applyAlignment="1" pivotButton="0" quotePrefix="0" xfId="0">
      <alignment horizontal="general" vertical="bottom"/>
    </xf>
    <xf numFmtId="0" fontId="7" fillId="3" borderId="0" applyAlignment="1" pivotButton="0" quotePrefix="0" xfId="0">
      <alignment horizontal="center" vertical="center"/>
    </xf>
    <xf numFmtId="0" fontId="7" fillId="4" borderId="0" applyAlignment="1" pivotButton="0" quotePrefix="0" xfId="0">
      <alignment horizontal="center" vertical="center"/>
    </xf>
    <xf numFmtId="0" fontId="7" fillId="12" borderId="0" applyAlignment="1" pivotButton="0" quotePrefix="0" xfId="0">
      <alignment horizontal="center" vertical="center"/>
    </xf>
    <xf numFmtId="0" fontId="7" fillId="7" borderId="0" applyAlignment="1" pivotButton="0" quotePrefix="0" xfId="0">
      <alignment horizontal="center" vertical="center"/>
    </xf>
    <xf numFmtId="0" fontId="7" fillId="13" borderId="0" applyAlignment="1" pivotButton="0" quotePrefix="0" xfId="0">
      <alignment horizontal="center" vertical="center"/>
    </xf>
    <xf numFmtId="0" fontId="7" fillId="14" borderId="0" applyAlignment="1" pivotButton="0" quotePrefix="0" xfId="0">
      <alignment horizontal="center" vertical="center"/>
    </xf>
    <xf numFmtId="0" fontId="7" fillId="6" borderId="0" applyAlignment="1" pivotButton="0" quotePrefix="0" xfId="0">
      <alignment horizontal="center" vertical="center"/>
    </xf>
    <xf numFmtId="0" fontId="7" fillId="15" borderId="0" applyAlignment="1" pivotButton="0" quotePrefix="0" xfId="0">
      <alignment horizontal="center" vertical="center"/>
    </xf>
    <xf numFmtId="0" fontId="7" fillId="16" borderId="0" applyAlignment="1" pivotButton="0" quotePrefix="0" xfId="0">
      <alignment horizontal="center" vertical="center"/>
    </xf>
    <xf numFmtId="0" fontId="7" fillId="17" borderId="0" applyAlignment="1" pivotButton="0" quotePrefix="0" xfId="0">
      <alignment horizontal="center" vertical="center"/>
    </xf>
    <xf numFmtId="0" fontId="7" fillId="3" borderId="1" applyAlignment="1" pivotButton="0" quotePrefix="0" xfId="0">
      <alignment horizontal="center" vertical="center" wrapText="1"/>
    </xf>
    <xf numFmtId="0" fontId="21" fillId="18" borderId="1" applyAlignment="1" pivotButton="0" quotePrefix="0" xfId="0">
      <alignment horizontal="left" vertical="center"/>
    </xf>
    <xf numFmtId="0" fontId="22" fillId="19" borderId="1" applyAlignment="1" pivotButton="0" quotePrefix="0" xfId="0">
      <alignment horizontal="center" vertical="center"/>
    </xf>
    <xf numFmtId="0" fontId="23" fillId="18" borderId="1" applyAlignment="1" pivotButton="0" quotePrefix="0" xfId="0">
      <alignment horizontal="left" vertical="center"/>
    </xf>
    <xf numFmtId="0" fontId="22" fillId="11" borderId="1" applyAlignment="1" pivotButton="0" quotePrefix="0" xfId="0">
      <alignment horizontal="center" vertical="center"/>
    </xf>
    <xf numFmtId="1" fontId="23" fillId="18" borderId="1" applyAlignment="1" pivotButton="0" quotePrefix="0" xfId="0">
      <alignment horizontal="center" vertical="center"/>
    </xf>
    <xf numFmtId="164" fontId="24" fillId="18" borderId="1" applyAlignment="1" pivotButton="0" quotePrefix="0" xfId="0">
      <alignment horizontal="right" vertical="center"/>
    </xf>
    <xf numFmtId="0" fontId="23" fillId="18" borderId="1" applyAlignment="1" pivotButton="0" quotePrefix="0" xfId="0">
      <alignment horizontal="left" vertical="center" wrapText="1"/>
    </xf>
    <xf numFmtId="0" fontId="25" fillId="18" borderId="1" applyAlignment="1" pivotButton="0" quotePrefix="0" xfId="0">
      <alignment horizontal="left" vertical="center"/>
    </xf>
    <xf numFmtId="0" fontId="23" fillId="20" borderId="1" applyAlignment="1" pivotButton="0" quotePrefix="0" xfId="0">
      <alignment horizontal="center" vertical="center"/>
    </xf>
    <xf numFmtId="0" fontId="23" fillId="8" borderId="1" applyAlignment="1" pivotButton="0" quotePrefix="0" xfId="0">
      <alignment horizontal="left" vertical="center"/>
    </xf>
    <xf numFmtId="0" fontId="22" fillId="21" borderId="1" applyAlignment="1" pivotButton="0" quotePrefix="0" xfId="0">
      <alignment horizontal="center" vertical="center"/>
    </xf>
    <xf numFmtId="1" fontId="23" fillId="8" borderId="1" applyAlignment="1" pivotButton="0" quotePrefix="0" xfId="0">
      <alignment horizontal="center" vertical="center"/>
    </xf>
    <xf numFmtId="164" fontId="24" fillId="8" borderId="1" applyAlignment="1" pivotButton="0" quotePrefix="0" xfId="0">
      <alignment horizontal="right" vertical="center"/>
    </xf>
    <xf numFmtId="0" fontId="23" fillId="8" borderId="1" applyAlignment="1" pivotButton="0" quotePrefix="0" xfId="0">
      <alignment horizontal="left" vertical="center" wrapText="1"/>
    </xf>
    <xf numFmtId="0" fontId="25" fillId="8" borderId="1" applyAlignment="1" pivotButton="0" quotePrefix="0" xfId="0">
      <alignment horizontal="left" vertical="center"/>
    </xf>
    <xf numFmtId="0" fontId="23" fillId="22" borderId="1" applyAlignment="1" pivotButton="0" quotePrefix="0" xfId="0">
      <alignment horizontal="center" vertical="center"/>
    </xf>
    <xf numFmtId="0" fontId="21" fillId="8" borderId="1" applyAlignment="1" pivotButton="0" quotePrefix="0" xfId="0">
      <alignment horizontal="left" vertical="center"/>
    </xf>
    <xf numFmtId="0" fontId="22" fillId="23" borderId="1" applyAlignment="1" pivotButton="0" quotePrefix="0" xfId="0">
      <alignment horizontal="center" vertical="center"/>
    </xf>
    <xf numFmtId="0" fontId="23" fillId="24" borderId="1" applyAlignment="1" pivotButton="0" quotePrefix="0" xfId="0">
      <alignment horizontal="center" vertical="center"/>
    </xf>
    <xf numFmtId="0" fontId="23" fillId="25" borderId="1" applyAlignment="1" pivotButton="0" quotePrefix="0" xfId="0">
      <alignment horizontal="center" vertical="center"/>
    </xf>
    <xf numFmtId="0" fontId="22" fillId="9" borderId="1" applyAlignment="1" pivotButton="0" quotePrefix="0" xfId="0">
      <alignment horizontal="center" vertical="center"/>
    </xf>
    <xf numFmtId="0" fontId="22" fillId="26" borderId="1" applyAlignment="1" pivotButton="0" quotePrefix="0" xfId="0">
      <alignment horizontal="center" vertical="center"/>
    </xf>
    <xf numFmtId="0" fontId="22" fillId="27" borderId="1" applyAlignment="1" pivotButton="0" quotePrefix="0" xfId="0">
      <alignment horizontal="center" vertical="center"/>
    </xf>
    <xf numFmtId="0" fontId="20" fillId="2" borderId="0" applyAlignment="1" pivotButton="0" quotePrefix="0" xfId="0">
      <alignment horizontal="general" vertical="bottom"/>
    </xf>
    <xf numFmtId="0" fontId="6" fillId="0" borderId="0" applyAlignment="1" pivotButton="0" quotePrefix="0" xfId="0">
      <alignment horizontal="general" vertical="bottom"/>
    </xf>
    <xf numFmtId="0" fontId="28" fillId="3" borderId="0" applyAlignment="1" pivotButton="0" quotePrefix="0" xfId="0">
      <alignment horizontal="center" vertical="bottom"/>
    </xf>
    <xf numFmtId="0" fontId="7" fillId="3" borderId="0" applyAlignment="1" pivotButton="0" quotePrefix="0" xfId="0">
      <alignment horizontal="general" vertical="bottom"/>
    </xf>
    <xf numFmtId="0" fontId="29" fillId="0" borderId="0" applyAlignment="1" pivotButton="0" quotePrefix="0" xfId="0">
      <alignment horizontal="general" vertical="bottom"/>
    </xf>
    <xf numFmtId="0" fontId="18" fillId="0" borderId="0" applyAlignment="1" pivotButton="0" quotePrefix="0" xfId="0">
      <alignment horizontal="general" vertical="center" wrapText="1"/>
    </xf>
    <xf numFmtId="0" fontId="18" fillId="0" borderId="0" applyAlignment="1" pivotButton="0" quotePrefix="0" xfId="0">
      <alignment horizontal="center" vertical="bottom"/>
    </xf>
    <xf numFmtId="0" fontId="29" fillId="8" borderId="0" applyAlignment="1" pivotButton="0" quotePrefix="0" xfId="0">
      <alignment horizontal="general" vertical="bottom"/>
    </xf>
    <xf numFmtId="0" fontId="18" fillId="8" borderId="0" applyAlignment="1" pivotButton="0" quotePrefix="0" xfId="0">
      <alignment horizontal="general" vertical="center" wrapText="1"/>
    </xf>
    <xf numFmtId="0" fontId="18" fillId="8" borderId="0" applyAlignment="1" pivotButton="0" quotePrefix="0" xfId="0">
      <alignment horizontal="center" vertical="bottom"/>
    </xf>
    <xf numFmtId="0" fontId="7" fillId="4" borderId="0" applyAlignment="1" pivotButton="0" quotePrefix="0" xfId="0">
      <alignment horizontal="general" vertical="bottom"/>
    </xf>
    <xf numFmtId="0" fontId="7" fillId="5" borderId="0" applyAlignment="1" pivotButton="0" quotePrefix="0" xfId="0">
      <alignment horizontal="general" vertical="bottom"/>
    </xf>
    <xf numFmtId="0" fontId="7" fillId="12" borderId="0" applyAlignment="1" pivotButton="0" quotePrefix="0" xfId="0">
      <alignment horizontal="general" vertical="bottom"/>
    </xf>
    <xf numFmtId="0" fontId="7" fillId="7" borderId="0" applyAlignment="1" pivotButton="0" quotePrefix="0" xfId="0">
      <alignment horizontal="general" vertical="bottom"/>
    </xf>
    <xf numFmtId="0" fontId="7" fillId="13" borderId="0" applyAlignment="1" pivotButton="0" quotePrefix="0" xfId="0">
      <alignment horizontal="general" vertical="bottom"/>
    </xf>
    <xf numFmtId="0" fontId="7" fillId="14" borderId="0" applyAlignment="1" pivotButton="0" quotePrefix="0" xfId="0">
      <alignment horizontal="general" vertical="bottom"/>
    </xf>
    <xf numFmtId="0" fontId="7" fillId="6" borderId="0" applyAlignment="1" pivotButton="0" quotePrefix="0" xfId="0">
      <alignment horizontal="general" vertical="bottom"/>
    </xf>
    <xf numFmtId="0" fontId="7" fillId="15" borderId="0" applyAlignment="1" pivotButton="0" quotePrefix="0" xfId="0">
      <alignment horizontal="general" vertical="bottom"/>
    </xf>
    <xf numFmtId="0" fontId="7" fillId="16" borderId="0" applyAlignment="1" pivotButton="0" quotePrefix="0" xfId="0">
      <alignment horizontal="general" vertical="bottom"/>
    </xf>
    <xf numFmtId="0" fontId="7" fillId="17" borderId="0" applyAlignment="1" pivotButton="0" quotePrefix="0" xfId="0">
      <alignment horizontal="general" vertical="bottom"/>
    </xf>
    <xf numFmtId="0" fontId="30" fillId="5" borderId="0" applyAlignment="1" pivotButton="0" quotePrefix="0" xfId="0">
      <alignment horizontal="general" vertical="bottom"/>
    </xf>
    <xf numFmtId="0" fontId="7" fillId="3" borderId="0" applyAlignment="1" pivotButton="0" quotePrefix="0" xfId="0">
      <alignment horizontal="center" vertical="center" wrapText="1"/>
    </xf>
    <xf numFmtId="0" fontId="23" fillId="18" borderId="1" applyAlignment="1" pivotButton="0" quotePrefix="0" xfId="0">
      <alignment horizontal="general" vertical="center"/>
    </xf>
    <xf numFmtId="164" fontId="24" fillId="18" borderId="1" applyAlignment="1" pivotButton="0" quotePrefix="0" xfId="0">
      <alignment horizontal="general" vertical="center"/>
    </xf>
    <xf numFmtId="0" fontId="25" fillId="18" borderId="1" applyAlignment="1" pivotButton="0" quotePrefix="0" xfId="0">
      <alignment horizontal="general" vertical="center"/>
    </xf>
    <xf numFmtId="0" fontId="23" fillId="8" borderId="1" applyAlignment="1" pivotButton="0" quotePrefix="0" xfId="0">
      <alignment horizontal="general" vertical="center"/>
    </xf>
    <xf numFmtId="164" fontId="24" fillId="8" borderId="1" applyAlignment="1" pivotButton="0" quotePrefix="0" xfId="0">
      <alignment horizontal="general" vertical="center"/>
    </xf>
    <xf numFmtId="0" fontId="25" fillId="8" borderId="1" applyAlignment="1" pivotButton="0" quotePrefix="0" xfId="0">
      <alignment horizontal="general" vertical="center"/>
    </xf>
    <xf numFmtId="2" fontId="23" fillId="18" borderId="1" applyAlignment="1" pivotButton="0" quotePrefix="0" xfId="0">
      <alignment horizontal="left" vertical="center"/>
    </xf>
    <xf numFmtId="0" fontId="23" fillId="26" borderId="1" applyAlignment="1" pivotButton="0" quotePrefix="0" xfId="0">
      <alignment horizontal="left" vertical="center"/>
    </xf>
    <xf numFmtId="2" fontId="23" fillId="8" borderId="1" applyAlignment="1" pivotButton="0" quotePrefix="0" xfId="0">
      <alignment horizontal="left" vertical="center"/>
    </xf>
    <xf numFmtId="0" fontId="23" fillId="20" borderId="1" applyAlignment="1" pivotButton="0" quotePrefix="0" xfId="0">
      <alignment horizontal="left" vertical="center"/>
    </xf>
    <xf numFmtId="0" fontId="23" fillId="18" borderId="1" applyAlignment="1" pivotButton="0" quotePrefix="0" xfId="0">
      <alignment horizontal="center" vertical="center"/>
    </xf>
    <xf numFmtId="0" fontId="23" fillId="8" borderId="1" applyAlignment="1" pivotButton="0" quotePrefix="0" xfId="0">
      <alignment horizontal="center" vertical="center"/>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center" indent="1"/>
    </xf>
    <xf numFmtId="0" fontId="5" fillId="3" borderId="0" applyAlignment="1" pivotButton="0" quotePrefix="0" xfId="0">
      <alignment horizontal="general" vertical="center" indent="1"/>
    </xf>
    <xf numFmtId="0" fontId="6" fillId="0" borderId="0" applyAlignment="1" pivotButton="0" quotePrefix="0" xfId="0">
      <alignment horizontal="general" vertical="center" wrapText="1" indent="1"/>
    </xf>
    <xf numFmtId="0" fontId="7" fillId="3" borderId="0" applyAlignment="1" pivotButton="0" quotePrefix="0" xfId="0">
      <alignment horizontal="center" vertical="bottom"/>
    </xf>
    <xf numFmtId="0" fontId="7" fillId="4" borderId="0" applyAlignment="1" pivotButton="0" quotePrefix="0" xfId="0">
      <alignment horizontal="center" vertical="bottom"/>
    </xf>
    <xf numFmtId="0" fontId="7" fillId="5" borderId="0" applyAlignment="1" pivotButton="0" quotePrefix="0" xfId="0">
      <alignment horizontal="center" vertical="bottom"/>
    </xf>
    <xf numFmtId="0" fontId="7" fillId="6" borderId="0" applyAlignment="1" pivotButton="0" quotePrefix="0" xfId="0">
      <alignment horizontal="center" vertical="bottom"/>
    </xf>
    <xf numFmtId="0" fontId="7" fillId="7" borderId="0" applyAlignment="1" pivotButton="0" quotePrefix="0" xfId="0">
      <alignment horizontal="center" vertical="bottom"/>
    </xf>
    <xf numFmtId="0" fontId="8" fillId="8" borderId="0" applyAlignment="1" pivotButton="0" quotePrefix="0" xfId="0">
      <alignment horizontal="center" vertical="center"/>
    </xf>
    <xf numFmtId="0" fontId="7" fillId="5" borderId="0" applyAlignment="1" pivotButton="0" quotePrefix="0" xfId="0">
      <alignment horizontal="center" vertical="center"/>
    </xf>
    <xf numFmtId="0" fontId="9" fillId="9" borderId="0" applyAlignment="1" pivotButton="0" quotePrefix="0" xfId="0">
      <alignment horizontal="center" vertical="center"/>
    </xf>
    <xf numFmtId="0" fontId="10" fillId="8" borderId="0" applyAlignment="1" pivotButton="0" quotePrefix="0" xfId="0">
      <alignment horizontal="general" vertical="center" wrapText="1" indent="1"/>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13" fillId="9" borderId="0" applyAlignment="1" pivotButton="0" quotePrefix="0" xfId="0">
      <alignment horizontal="center" vertical="bottom"/>
    </xf>
    <xf numFmtId="0" fontId="14" fillId="0" borderId="0" applyAlignment="1" pivotButton="0" quotePrefix="0" xfId="0">
      <alignment horizontal="general" vertical="bottom"/>
    </xf>
    <xf numFmtId="0" fontId="13" fillId="10" borderId="0" applyAlignment="1" pivotButton="0" quotePrefix="0" xfId="0">
      <alignment horizontal="center" vertical="bottom"/>
    </xf>
    <xf numFmtId="0" fontId="13" fillId="11" borderId="0" applyAlignment="1" pivotButton="0" quotePrefix="0" xfId="0">
      <alignment horizontal="center" vertical="bottom"/>
    </xf>
    <xf numFmtId="0" fontId="15" fillId="2" borderId="0" applyAlignment="1" pivotButton="0" quotePrefix="0" xfId="0">
      <alignment horizontal="general" vertical="bottom"/>
    </xf>
    <xf numFmtId="0" fontId="16" fillId="0" borderId="0" applyAlignment="1" pivotButton="0" quotePrefix="0" xfId="0">
      <alignment horizontal="general" vertical="bottom"/>
    </xf>
    <xf numFmtId="0" fontId="17" fillId="0" borderId="0" applyAlignment="1" pivotButton="0" quotePrefix="0" xfId="0">
      <alignment horizontal="general" vertical="bottom"/>
    </xf>
    <xf numFmtId="0" fontId="17" fillId="0" borderId="0" applyAlignment="1" pivotButton="0" quotePrefix="0" xfId="0">
      <alignment horizontal="general" vertical="center" wrapText="1"/>
    </xf>
    <xf numFmtId="0" fontId="15" fillId="3" borderId="0" applyAlignment="1" pivotButton="0" quotePrefix="0" xfId="0">
      <alignment horizontal="general" vertical="bottom"/>
    </xf>
    <xf numFmtId="0" fontId="18" fillId="0" borderId="0" applyAlignment="1" pivotButton="0" quotePrefix="0" xfId="0">
      <alignment horizontal="general" vertical="center" wrapText="1"/>
    </xf>
    <xf numFmtId="0" fontId="19" fillId="0" borderId="0" applyAlignment="1" pivotButton="0" quotePrefix="0" xfId="0">
      <alignment horizontal="general" vertical="bottom"/>
    </xf>
    <xf numFmtId="0" fontId="20" fillId="2" borderId="0" applyAlignment="1" pivotButton="0" quotePrefix="0" xfId="0">
      <alignment horizontal="general" vertical="center" indent="1"/>
    </xf>
    <xf numFmtId="0" fontId="0" fillId="2" borderId="0" applyAlignment="1" pivotButton="0" quotePrefix="0" xfId="0">
      <alignment horizontal="general" vertical="bottom"/>
    </xf>
    <xf numFmtId="0" fontId="6" fillId="8" borderId="0" applyAlignment="1" pivotButton="0" quotePrefix="0" xfId="0">
      <alignment horizontal="general" vertical="center" indent="1"/>
    </xf>
    <xf numFmtId="0" fontId="0" fillId="8" borderId="0" applyAlignment="1" pivotButton="0" quotePrefix="0" xfId="0">
      <alignment horizontal="general" vertical="bottom"/>
    </xf>
    <xf numFmtId="0" fontId="7" fillId="3" borderId="0" applyAlignment="1" pivotButton="0" quotePrefix="0" xfId="0">
      <alignment horizontal="center" vertical="center"/>
    </xf>
    <xf numFmtId="0" fontId="7" fillId="4" borderId="0" applyAlignment="1" pivotButton="0" quotePrefix="0" xfId="0">
      <alignment horizontal="center" vertical="center"/>
    </xf>
    <xf numFmtId="0" fontId="7" fillId="12" borderId="0" applyAlignment="1" pivotButton="0" quotePrefix="0" xfId="0">
      <alignment horizontal="center" vertical="center"/>
    </xf>
    <xf numFmtId="0" fontId="7" fillId="7" borderId="0" applyAlignment="1" pivotButton="0" quotePrefix="0" xfId="0">
      <alignment horizontal="center" vertical="center"/>
    </xf>
    <xf numFmtId="0" fontId="7" fillId="13" borderId="0" applyAlignment="1" pivotButton="0" quotePrefix="0" xfId="0">
      <alignment horizontal="center" vertical="center"/>
    </xf>
    <xf numFmtId="0" fontId="7" fillId="14" borderId="0" applyAlignment="1" pivotButton="0" quotePrefix="0" xfId="0">
      <alignment horizontal="center" vertical="center"/>
    </xf>
    <xf numFmtId="0" fontId="7" fillId="6" borderId="0" applyAlignment="1" pivotButton="0" quotePrefix="0" xfId="0">
      <alignment horizontal="center" vertical="center"/>
    </xf>
    <xf numFmtId="0" fontId="7" fillId="15" borderId="0" applyAlignment="1" pivotButton="0" quotePrefix="0" xfId="0">
      <alignment horizontal="center" vertical="center"/>
    </xf>
    <xf numFmtId="0" fontId="7" fillId="16" borderId="0" applyAlignment="1" pivotButton="0" quotePrefix="0" xfId="0">
      <alignment horizontal="center" vertical="center"/>
    </xf>
    <xf numFmtId="0" fontId="7" fillId="17" borderId="0" applyAlignment="1" pivotButton="0" quotePrefix="0" xfId="0">
      <alignment horizontal="center" vertical="center"/>
    </xf>
    <xf numFmtId="0" fontId="7" fillId="3" borderId="1" applyAlignment="1" pivotButton="0" quotePrefix="0" xfId="0">
      <alignment horizontal="center" vertical="center" wrapText="1"/>
    </xf>
    <xf numFmtId="0" fontId="21" fillId="18" borderId="1" applyAlignment="1" pivotButton="0" quotePrefix="0" xfId="0">
      <alignment horizontal="left" vertical="center"/>
    </xf>
    <xf numFmtId="0" fontId="22" fillId="19" borderId="1" applyAlignment="1" pivotButton="0" quotePrefix="0" xfId="0">
      <alignment horizontal="center" vertical="center"/>
    </xf>
    <xf numFmtId="0" fontId="23" fillId="18" borderId="1" applyAlignment="1" pivotButton="0" quotePrefix="0" xfId="0">
      <alignment horizontal="left" vertical="center"/>
    </xf>
    <xf numFmtId="0" fontId="22" fillId="11" borderId="1" applyAlignment="1" pivotButton="0" quotePrefix="0" xfId="0">
      <alignment horizontal="center" vertical="center"/>
    </xf>
    <xf numFmtId="1" fontId="23" fillId="18" borderId="1" applyAlignment="1" pivotButton="0" quotePrefix="0" xfId="0">
      <alignment horizontal="center" vertical="center"/>
    </xf>
    <xf numFmtId="164" fontId="24" fillId="18" borderId="1" applyAlignment="1" pivotButton="0" quotePrefix="0" xfId="0">
      <alignment horizontal="right" vertical="center"/>
    </xf>
    <xf numFmtId="0" fontId="23" fillId="18" borderId="1" applyAlignment="1" pivotButton="0" quotePrefix="0" xfId="0">
      <alignment horizontal="left" vertical="center" wrapText="1"/>
    </xf>
    <xf numFmtId="0" fontId="25" fillId="18" borderId="1" applyAlignment="1" pivotButton="0" quotePrefix="0" xfId="0">
      <alignment horizontal="left" vertical="center"/>
    </xf>
    <xf numFmtId="0" fontId="23" fillId="20" borderId="1" applyAlignment="1" pivotButton="0" quotePrefix="0" xfId="0">
      <alignment horizontal="center" vertical="center"/>
    </xf>
    <xf numFmtId="0" fontId="23" fillId="8" borderId="1" applyAlignment="1" pivotButton="0" quotePrefix="0" xfId="0">
      <alignment horizontal="left" vertical="center"/>
    </xf>
    <xf numFmtId="0" fontId="22" fillId="21" borderId="1" applyAlignment="1" pivotButton="0" quotePrefix="0" xfId="0">
      <alignment horizontal="center" vertical="center"/>
    </xf>
    <xf numFmtId="1" fontId="23" fillId="8" borderId="1" applyAlignment="1" pivotButton="0" quotePrefix="0" xfId="0">
      <alignment horizontal="center" vertical="center"/>
    </xf>
    <xf numFmtId="164" fontId="24" fillId="8" borderId="1" applyAlignment="1" pivotButton="0" quotePrefix="0" xfId="0">
      <alignment horizontal="right" vertical="center"/>
    </xf>
    <xf numFmtId="0" fontId="23" fillId="8" borderId="1" applyAlignment="1" pivotButton="0" quotePrefix="0" xfId="0">
      <alignment horizontal="left" vertical="center" wrapText="1"/>
    </xf>
    <xf numFmtId="0" fontId="25" fillId="8" borderId="1" applyAlignment="1" pivotButton="0" quotePrefix="0" xfId="0">
      <alignment horizontal="left" vertical="center"/>
    </xf>
    <xf numFmtId="0" fontId="23" fillId="22" borderId="1" applyAlignment="1" pivotButton="0" quotePrefix="0" xfId="0">
      <alignment horizontal="center" vertical="center"/>
    </xf>
    <xf numFmtId="0" fontId="21" fillId="8" borderId="1" applyAlignment="1" pivotButton="0" quotePrefix="0" xfId="0">
      <alignment horizontal="left" vertical="center"/>
    </xf>
    <xf numFmtId="0" fontId="22" fillId="23" borderId="1" applyAlignment="1" pivotButton="0" quotePrefix="0" xfId="0">
      <alignment horizontal="center" vertical="center"/>
    </xf>
    <xf numFmtId="0" fontId="23" fillId="24" borderId="1" applyAlignment="1" pivotButton="0" quotePrefix="0" xfId="0">
      <alignment horizontal="center" vertical="center"/>
    </xf>
    <xf numFmtId="0" fontId="23" fillId="25" borderId="1" applyAlignment="1" pivotButton="0" quotePrefix="0" xfId="0">
      <alignment horizontal="center" vertical="center"/>
    </xf>
    <xf numFmtId="0" fontId="22" fillId="9" borderId="1" applyAlignment="1" pivotButton="0" quotePrefix="0" xfId="0">
      <alignment horizontal="center" vertical="center"/>
    </xf>
    <xf numFmtId="0" fontId="22" fillId="26" borderId="1" applyAlignment="1" pivotButton="0" quotePrefix="0" xfId="0">
      <alignment horizontal="center" vertical="center"/>
    </xf>
    <xf numFmtId="0" fontId="22" fillId="27" borderId="1" applyAlignment="1" pivotButton="0" quotePrefix="0" xfId="0">
      <alignment horizontal="center" vertical="center"/>
    </xf>
    <xf numFmtId="0" fontId="20" fillId="2" borderId="0" applyAlignment="1" pivotButton="0" quotePrefix="0" xfId="0">
      <alignment horizontal="general" vertical="bottom"/>
    </xf>
    <xf numFmtId="0" fontId="6" fillId="0" borderId="0" applyAlignment="1" pivotButton="0" quotePrefix="0" xfId="0">
      <alignment horizontal="general" vertical="bottom"/>
    </xf>
    <xf numFmtId="0" fontId="28" fillId="3" borderId="0" applyAlignment="1" pivotButton="0" quotePrefix="0" xfId="0">
      <alignment horizontal="center" vertical="bottom"/>
    </xf>
    <xf numFmtId="0" fontId="7" fillId="3" borderId="0" applyAlignment="1" pivotButton="0" quotePrefix="0" xfId="0">
      <alignment horizontal="general" vertical="bottom"/>
    </xf>
    <xf numFmtId="0" fontId="29" fillId="0" borderId="0" applyAlignment="1" pivotButton="0" quotePrefix="0" xfId="0">
      <alignment horizontal="general" vertical="bottom"/>
    </xf>
    <xf numFmtId="0" fontId="18" fillId="0" borderId="0" applyAlignment="1" pivotButton="0" quotePrefix="0" xfId="0">
      <alignment horizontal="center" vertical="bottom"/>
    </xf>
    <xf numFmtId="0" fontId="29" fillId="8" borderId="0" applyAlignment="1" pivotButton="0" quotePrefix="0" xfId="0">
      <alignment horizontal="general" vertical="bottom"/>
    </xf>
    <xf numFmtId="0" fontId="18" fillId="8" borderId="0" applyAlignment="1" pivotButton="0" quotePrefix="0" xfId="0">
      <alignment horizontal="general" vertical="center" wrapText="1"/>
    </xf>
    <xf numFmtId="0" fontId="18" fillId="8" borderId="0" applyAlignment="1" pivotButton="0" quotePrefix="0" xfId="0">
      <alignment horizontal="center" vertical="bottom"/>
    </xf>
    <xf numFmtId="0" fontId="7" fillId="4" borderId="0" applyAlignment="1" pivotButton="0" quotePrefix="0" xfId="0">
      <alignment horizontal="general" vertical="bottom"/>
    </xf>
    <xf numFmtId="0" fontId="7" fillId="5" borderId="0" applyAlignment="1" pivotButton="0" quotePrefix="0" xfId="0">
      <alignment horizontal="general" vertical="bottom"/>
    </xf>
    <xf numFmtId="0" fontId="7" fillId="12" borderId="0" applyAlignment="1" pivotButton="0" quotePrefix="0" xfId="0">
      <alignment horizontal="general" vertical="bottom"/>
    </xf>
    <xf numFmtId="0" fontId="7" fillId="7" borderId="0" applyAlignment="1" pivotButton="0" quotePrefix="0" xfId="0">
      <alignment horizontal="general" vertical="bottom"/>
    </xf>
    <xf numFmtId="0" fontId="7" fillId="13" borderId="0" applyAlignment="1" pivotButton="0" quotePrefix="0" xfId="0">
      <alignment horizontal="general" vertical="bottom"/>
    </xf>
    <xf numFmtId="0" fontId="7" fillId="14" borderId="0" applyAlignment="1" pivotButton="0" quotePrefix="0" xfId="0">
      <alignment horizontal="general" vertical="bottom"/>
    </xf>
    <xf numFmtId="0" fontId="7" fillId="6" borderId="0" applyAlignment="1" pivotButton="0" quotePrefix="0" xfId="0">
      <alignment horizontal="general" vertical="bottom"/>
    </xf>
    <xf numFmtId="0" fontId="7" fillId="15" borderId="0" applyAlignment="1" pivotButton="0" quotePrefix="0" xfId="0">
      <alignment horizontal="general" vertical="bottom"/>
    </xf>
    <xf numFmtId="0" fontId="7" fillId="16" borderId="0" applyAlignment="1" pivotButton="0" quotePrefix="0" xfId="0">
      <alignment horizontal="general" vertical="bottom"/>
    </xf>
    <xf numFmtId="0" fontId="7" fillId="17" borderId="0" applyAlignment="1" pivotButton="0" quotePrefix="0" xfId="0">
      <alignment horizontal="general" vertical="bottom"/>
    </xf>
    <xf numFmtId="0" fontId="30" fillId="5" borderId="0" applyAlignment="1" pivotButton="0" quotePrefix="0" xfId="0">
      <alignment horizontal="general" vertical="bottom"/>
    </xf>
    <xf numFmtId="0" fontId="7" fillId="3" borderId="0" applyAlignment="1" pivotButton="0" quotePrefix="0" xfId="0">
      <alignment horizontal="center" vertical="center" wrapText="1"/>
    </xf>
    <xf numFmtId="0" fontId="23" fillId="18" borderId="1" applyAlignment="1" pivotButton="0" quotePrefix="0" xfId="0">
      <alignment horizontal="general" vertical="center"/>
    </xf>
    <xf numFmtId="164" fontId="24" fillId="18" borderId="1" applyAlignment="1" pivotButton="0" quotePrefix="0" xfId="0">
      <alignment horizontal="general" vertical="center"/>
    </xf>
    <xf numFmtId="0" fontId="25" fillId="18" borderId="1" applyAlignment="1" pivotButton="0" quotePrefix="0" xfId="0">
      <alignment horizontal="general" vertical="center"/>
    </xf>
    <xf numFmtId="0" fontId="23" fillId="8" borderId="1" applyAlignment="1" pivotButton="0" quotePrefix="0" xfId="0">
      <alignment horizontal="general" vertical="center"/>
    </xf>
    <xf numFmtId="164" fontId="24" fillId="8" borderId="1" applyAlignment="1" pivotButton="0" quotePrefix="0" xfId="0">
      <alignment horizontal="general" vertical="center"/>
    </xf>
    <xf numFmtId="0" fontId="25" fillId="8" borderId="1" applyAlignment="1" pivotButton="0" quotePrefix="0" xfId="0">
      <alignment horizontal="general" vertical="center"/>
    </xf>
    <xf numFmtId="0" fontId="7" fillId="3" borderId="1" applyAlignment="1" pivotButton="0" quotePrefix="0" xfId="0">
      <alignment horizontal="center" vertical="center" wrapText="1"/>
    </xf>
    <xf numFmtId="2" fontId="23" fillId="18" borderId="1" applyAlignment="1" pivotButton="0" quotePrefix="0" xfId="0">
      <alignment horizontal="left" vertical="center"/>
    </xf>
    <xf numFmtId="0" fontId="23" fillId="26" borderId="1" applyAlignment="1" pivotButton="0" quotePrefix="0" xfId="0">
      <alignment horizontal="left" vertical="center"/>
    </xf>
    <xf numFmtId="2" fontId="23" fillId="8" borderId="1" applyAlignment="1" pivotButton="0" quotePrefix="0" xfId="0">
      <alignment horizontal="left" vertical="center"/>
    </xf>
    <xf numFmtId="0" fontId="23" fillId="20" borderId="1" applyAlignment="1" pivotButton="0" quotePrefix="0" xfId="0">
      <alignment horizontal="left" vertical="center"/>
    </xf>
    <xf numFmtId="0" fontId="23" fillId="18" borderId="1" applyAlignment="1" pivotButton="0" quotePrefix="0" xfId="0">
      <alignment horizontal="center" vertical="center"/>
    </xf>
    <xf numFmtId="0" fontId="23" fillId="8" borderId="1" applyAlignment="1" pivotButton="0" quotePrefix="0" xfId="0">
      <alignment horizontal="center" vertical="center"/>
    </xf>
    <xf numFmtId="0" fontId="0" fillId="0" borderId="0" applyAlignment="1" pivotButton="0" quotePrefix="0" xfId="0">
      <alignment vertical="top" wrapText="1"/>
    </xf>
    <xf numFmtId="0" fontId="31" fillId="28" borderId="0" applyAlignment="1" pivotButton="0" quotePrefix="0" xfId="0">
      <alignment horizontal="left" vertical="center"/>
    </xf>
    <xf numFmtId="0" fontId="31" fillId="29" borderId="2" applyAlignment="1" pivotButton="0" quotePrefix="0" xfId="0">
      <alignment horizontal="center" vertical="center" wrapText="1"/>
    </xf>
    <xf numFmtId="0" fontId="32" fillId="0" borderId="2" applyAlignment="1" pivotButton="0" quotePrefix="0" xfId="0">
      <alignment vertical="center" wrapText="1"/>
    </xf>
    <xf numFmtId="0" fontId="32" fillId="30" borderId="2" applyAlignment="1" pivotButton="0" quotePrefix="0" xfId="0">
      <alignment vertical="center" wrapText="1"/>
    </xf>
    <xf numFmtId="1" fontId="32" fillId="30" borderId="2" applyAlignment="1" pivotButton="0" quotePrefix="0" xfId="0">
      <alignment vertical="center" wrapText="1"/>
    </xf>
    <xf numFmtId="164" fontId="32" fillId="30" borderId="2" applyAlignment="1" pivotButton="0" quotePrefix="0" xfId="0">
      <alignment vertical="center" wrapText="1"/>
    </xf>
    <xf numFmtId="0" fontId="31" fillId="29" borderId="0" pivotButton="0" quotePrefix="0" xfId="0"/>
    <xf numFmtId="0" fontId="34" fillId="31" borderId="3" applyAlignment="1" pivotButton="0" quotePrefix="0" xfId="0">
      <alignment vertical="center"/>
    </xf>
    <xf numFmtId="0" fontId="35" fillId="0" borderId="3" applyAlignment="1" pivotButton="0" quotePrefix="0" xfId="0">
      <alignment vertical="center" wrapText="1"/>
    </xf>
    <xf numFmtId="0" fontId="33" fillId="0" borderId="3" pivotButton="0" quotePrefix="0" xfId="0"/>
    <xf numFmtId="0" fontId="36" fillId="29" borderId="2" applyAlignment="1" pivotButton="0" quotePrefix="0" xfId="0">
      <alignment horizontal="center" vertical="center" wrapText="1"/>
    </xf>
    <xf numFmtId="0" fontId="37" fillId="32" borderId="2" applyAlignment="1" pivotButton="0" quotePrefix="0" xfId="0">
      <alignment vertical="center" wrapText="1"/>
    </xf>
    <xf numFmtId="165" fontId="38" fillId="32" borderId="2" applyAlignment="1" pivotButton="0" quotePrefix="0" xfId="0">
      <alignment vertical="center" wrapText="1"/>
    </xf>
    <xf numFmtId="0" fontId="37" fillId="33" borderId="2" applyAlignment="1" pivotButton="0" quotePrefix="0" xfId="0">
      <alignment vertical="center" wrapText="1"/>
    </xf>
    <xf numFmtId="165" fontId="38" fillId="33" borderId="2" applyAlignment="1" pivotButton="0" quotePrefix="0" xfId="0">
      <alignment vertical="center" wrapText="1"/>
    </xf>
    <xf numFmtId="0" fontId="39" fillId="32" borderId="2" applyAlignment="1" pivotButton="0" quotePrefix="0" xfId="0">
      <alignment vertical="center" wrapText="1"/>
    </xf>
    <xf numFmtId="0" fontId="39" fillId="33" borderId="2" applyAlignment="1" pivotButton="0" quotePrefix="0" xfId="0">
      <alignment vertical="center" wrapText="1"/>
    </xf>
    <xf numFmtId="0" fontId="21" fillId="0" borderId="1" applyAlignment="1" pivotButton="0" quotePrefix="0" xfId="0">
      <alignment horizontal="left" vertical="center"/>
    </xf>
    <xf numFmtId="0" fontId="22" fillId="0" borderId="1" applyAlignment="1" pivotButton="0" quotePrefix="0" xfId="0">
      <alignment horizontal="center" vertical="center"/>
    </xf>
    <xf numFmtId="0" fontId="23" fillId="0" borderId="1" applyAlignment="1" pivotButton="0" quotePrefix="0" xfId="0">
      <alignment horizontal="left" vertical="center"/>
    </xf>
    <xf numFmtId="0" fontId="23" fillId="0" borderId="1" applyAlignment="1" pivotButton="0" quotePrefix="0" xfId="0">
      <alignment horizontal="center" vertical="center"/>
    </xf>
    <xf numFmtId="0" fontId="23" fillId="0" borderId="1" applyAlignment="1" pivotButton="0" quotePrefix="0" xfId="0">
      <alignment horizontal="left" vertical="center" wrapText="1"/>
    </xf>
    <xf numFmtId="0" fontId="24" fillId="0" borderId="1" applyAlignment="1" pivotButton="0" quotePrefix="0" xfId="0">
      <alignment horizontal="right" vertic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27">
    <dxf>
      <fill>
        <patternFill patternType="solid">
          <fgColor rgb="FF0891B2"/>
          <bgColor rgb="FF000000"/>
        </patternFill>
      </fill>
    </dxf>
    <dxf>
      <fill>
        <patternFill patternType="solid">
          <fgColor rgb="FFF8FAFC"/>
          <bgColor rgb="FF000000"/>
        </patternFill>
      </fill>
    </dxf>
    <dxf>
      <fill>
        <patternFill patternType="solid">
          <fgColor rgb="FFFFFFFF"/>
          <bgColor rgb="FF000000"/>
        </patternFill>
      </fill>
    </dxf>
    <dxf>
      <fill>
        <patternFill patternType="solid">
          <fgColor rgb="FF0E7490"/>
          <bgColor rgb="FF000000"/>
        </patternFill>
      </fill>
    </dxf>
    <dxf>
      <fill>
        <patternFill patternType="solid">
          <fgColor rgb="FF0F172A"/>
          <bgColor rgb="FF000000"/>
        </patternFill>
      </fill>
    </dxf>
    <dxf>
      <fill>
        <patternFill patternType="solid">
          <fgColor rgb="FFECFEFF"/>
          <bgColor rgb="FF000000"/>
        </patternFill>
      </fill>
    </dxf>
    <dxf>
      <fill>
        <patternFill patternType="solid">
          <fgColor rgb="FFF5F3FF"/>
          <bgColor rgb="FF000000"/>
        </patternFill>
      </fill>
    </dxf>
    <dxf>
      <fill>
        <patternFill patternType="solid">
          <fgColor rgb="FFFFF7ED"/>
          <bgColor rgb="FF000000"/>
        </patternFill>
      </fill>
    </dxf>
    <dxf>
      <fill>
        <patternFill patternType="solid">
          <fgColor rgb="FFCFFAFE"/>
          <bgColor rgb="FF000000"/>
        </patternFill>
      </fill>
    </dxf>
    <dxf>
      <fill>
        <patternFill patternType="solid">
          <fgColor rgb="FFD1FAE5"/>
          <bgColor rgb="FF000000"/>
        </patternFill>
      </fill>
    </dxf>
    <dxf>
      <fill>
        <patternFill patternType="solid">
          <fgColor rgb="FFDBEAFE"/>
          <bgColor rgb="FF000000"/>
        </patternFill>
      </fill>
    </dxf>
    <dxf>
      <fill>
        <patternFill patternType="solid">
          <fgColor rgb="FFEDE9FE"/>
          <bgColor rgb="FF000000"/>
        </patternFill>
      </fill>
    </dxf>
    <dxf>
      <fill>
        <patternFill patternType="solid">
          <fgColor rgb="FF0369A1"/>
          <bgColor rgb="FF000000"/>
        </patternFill>
      </fill>
    </dxf>
    <dxf>
      <fill>
        <patternFill patternType="solid">
          <fgColor rgb="FFA7F3D0"/>
          <bgColor rgb="FF000000"/>
        </patternFill>
      </fill>
    </dxf>
    <dxf>
      <fill>
        <patternFill patternType="solid">
          <fgColor rgb="FFFDE68A"/>
          <bgColor rgb="FF000000"/>
        </patternFill>
      </fill>
    </dxf>
    <dxf>
      <fill>
        <patternFill patternType="solid">
          <fgColor rgb="FFFED7AA"/>
          <bgColor rgb="FF000000"/>
        </patternFill>
      </fill>
    </dxf>
    <dxf>
      <fill>
        <patternFill patternType="solid">
          <fgColor rgb="FFFECACA"/>
          <bgColor rgb="FF000000"/>
        </patternFill>
      </fill>
    </dxf>
    <dxf>
      <fill>
        <patternFill patternType="solid">
          <fgColor rgb="FF334155"/>
          <bgColor rgb="FF000000"/>
        </patternFill>
      </fill>
    </dxf>
    <dxf>
      <fill>
        <patternFill patternType="solid">
          <fgColor rgb="FFBE185D"/>
          <bgColor rgb="FF000000"/>
        </patternFill>
      </fill>
    </dxf>
    <dxf>
      <fill>
        <patternFill patternType="solid">
          <fgColor rgb="FF059669"/>
          <bgColor rgb="FF000000"/>
        </patternFill>
      </fill>
    </dxf>
    <dxf>
      <fill>
        <patternFill patternType="solid">
          <fgColor rgb="FF0F766E"/>
          <bgColor rgb="FF000000"/>
        </patternFill>
      </fill>
    </dxf>
    <dxf>
      <fill>
        <patternFill patternType="solid">
          <fgColor rgb="FF1D4ED8"/>
          <bgColor rgb="FF000000"/>
        </patternFill>
      </fill>
    </dxf>
    <dxf>
      <fill>
        <patternFill patternType="solid">
          <fgColor rgb="FF6D28D9"/>
          <bgColor rgb="FF000000"/>
        </patternFill>
      </fill>
    </dxf>
    <dxf>
      <fill>
        <patternFill patternType="solid">
          <fgColor rgb="FF7C3AED"/>
          <bgColor rgb="FF000000"/>
        </patternFill>
      </fill>
    </dxf>
    <dxf>
      <fill>
        <patternFill patternType="solid">
          <fgColor rgb="FFD97706"/>
          <bgColor rgb="FF000000"/>
        </patternFill>
      </fill>
    </dxf>
    <dxf>
      <fill>
        <patternFill patternType="solid">
          <bgColor rgb="FF000000"/>
        </patternFill>
      </fill>
    </dxf>
    <dxf>
      <fill>
        <patternFill patternType="solid">
          <fgColor rgb="FF475569"/>
          <bgColor rgb="FF000000"/>
        </patternFill>
      </fill>
    </dxf>
  </dxfs>
  <colors>
    <indexedColors>
      <rgbColor rgb="FF000000"/>
      <rgbColor rgb="FFFFFFFF"/>
      <rgbColor rgb="FFFF0000"/>
      <rgbColor rgb="FF00FF00"/>
      <rgbColor rgb="FF0000FF"/>
      <rgbColor rgb="FFFFEDD5"/>
      <rgbColor rgb="FFFF00FF"/>
      <rgbColor rgb="FF00FFFF"/>
      <rgbColor rgb="FF800000"/>
      <rgbColor rgb="FF008000"/>
      <rgbColor rgb="FF000080"/>
      <rgbColor rgb="FF808000"/>
      <rgbColor rgb="FF800080"/>
      <rgbColor rgb="FF0F766E"/>
      <rgbColor rgb="FFFECACA"/>
      <rgbColor rgb="FF808080"/>
      <rgbColor rgb="FFF5F3FF"/>
      <rgbColor rgb="FFBE185D"/>
      <rgbColor rgb="FFFFF7ED"/>
      <rgbColor rgb="FFCFFAFE"/>
      <rgbColor rgb="FF660066"/>
      <rgbColor rgb="FFFF8080"/>
      <rgbColor rgb="FF0369A1"/>
      <rgbColor rgb="FFDBEAFE"/>
      <rgbColor rgb="FF000080"/>
      <rgbColor rgb="FFFF00FF"/>
      <rgbColor rgb="FFF8FAFC"/>
      <rgbColor rgb="FF00FFFF"/>
      <rgbColor rgb="FF800080"/>
      <rgbColor rgb="FF800000"/>
      <rgbColor rgb="FF0E7490"/>
      <rgbColor rgb="FF0000FF"/>
      <rgbColor rgb="FF00CCFF"/>
      <rgbColor rgb="FFECFEFF"/>
      <rgbColor rgb="FFD1FAE5"/>
      <rgbColor rgb="FFFDE68A"/>
      <rgbColor rgb="FFA7F3D0"/>
      <rgbColor rgb="FFEDE9FE"/>
      <rgbColor rgb="FFE2E8F0"/>
      <rgbColor rgb="FFFED7AA"/>
      <rgbColor rgb="FF1D4ED8"/>
      <rgbColor rgb="FF0891B2"/>
      <rgbColor rgb="FF99CC00"/>
      <rgbColor rgb="FFFFCC00"/>
      <rgbColor rgb="FFFF9900"/>
      <rgbColor rgb="FFD97706"/>
      <rgbColor rgb="FF475569"/>
      <rgbColor rgb="FF969696"/>
      <rgbColor rgb="FF003366"/>
      <rgbColor rgb="FF059669"/>
      <rgbColor rgb="FF0F172A"/>
      <rgbColor rgb="FF333300"/>
      <rgbColor rgb="FF993300"/>
      <rgbColor rgb="FF7C3AED"/>
      <rgbColor rgb="FF6D28D9"/>
      <rgbColor rgb="FF334155"/>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Unknown Author</author>
  </authors>
  <commentList>
    <comment ref="A4" authorId="0" shapeId="0">
      <text>
        <t>JS key in store.html ROBOTS. Blank if not yet on theofficialrobot.com.</t>
      </text>
    </comment>
    <comment ref="B4" authorId="0" shapeId="0">
      <text>
        <t>Website = store catalog only; Humanoid.guide = newly ingested; Both = merged.</t>
      </text>
    </comment>
    <comment ref="C4" authorId="0" shapeId="0">
      <text>
        <t>Brand / company.</t>
      </text>
    </comment>
    <comment ref="D4" authorId="0" shapeId="0">
      <text>
        <t>Clean public model name (Humanoid.guide name when available).</t>
      </text>
    </comment>
    <comment ref="E4" authorId="0" shapeId="0">
      <text>
        <t>Store display string [Manufacturer] Model (Year).</t>
      </text>
    </comment>
    <comment ref="F4" authorId="0" shapeId="0">
      <text>
        <t>humanoid | campanionoid | aerial | water</t>
      </text>
    </comment>
    <comment ref="G4" authorId="0" shapeId="0">
      <text>
        <t>Normalized nationality / maker origin.</t>
      </text>
    </comment>
    <comment ref="H4" authorId="0" shapeId="0">
      <text>
        <t>First public listing / reveal year when known.</t>
      </text>
    </comment>
    <comment ref="I4" authorId="0" shapeId="0">
      <text>
        <t>Starting public list or store base price in USD.</t>
      </text>
    </comment>
    <comment ref="J4" authorId="0" shapeId="0">
      <text>
        <t>Website store basePrice, Humanoid.guide list, or blended.</t>
      </text>
    </comment>
    <comment ref="K4" authorId="0" shapeId="0">
      <text>
        <t>Factual one-line description.</t>
      </text>
    </comment>
    <comment ref="N4" authorId="0" shapeId="0">
      <text>
        <t>Source product page on humanoid.guide.</t>
      </text>
    </comment>
    <comment ref="O4" authorId="0" shapeId="0">
      <text>
        <t>Manufacturer site from Humanoid.guide attribute.</t>
      </text>
    </comment>
    <comment ref="P4" authorId="0" shapeId="0">
      <text>
        <t>Fully upright height, US customary.</t>
      </text>
    </comment>
    <comment ref="Q4" authorId="0" shapeId="0">
      <text>
        <t>Source height in centimeters (Humanoid.guide).</t>
      </text>
    </comment>
    <comment ref="R4" authorId="0" shapeId="0">
      <text>
        <t>Operating weight in pounds.</t>
      </text>
    </comment>
    <comment ref="S4" authorId="0" shapeId="0">
      <text>
        <t>Operating weight in kilograms (Humanoid.guide).</t>
      </text>
    </comment>
    <comment ref="T4" authorId="0" shapeId="0">
      <text>
        <t>L × W × H envelope in inches when known.</t>
      </text>
    </comment>
    <comment ref="U4" authorId="0" shapeId="0">
      <text>
        <t>Packed / shipping size from Humanoid.guide.</t>
      </text>
    </comment>
    <comment ref="V4" authorId="0" shapeId="0">
      <text>
        <t>Independent joint count, overall.</t>
      </text>
    </comment>
    <comment ref="W4" authorId="0" shapeId="0">
      <text>
        <t>Hand / finger DOF package.</t>
      </text>
    </comment>
    <comment ref="X4" authorId="0" shapeId="0">
      <text>
        <t>Rated payload in pounds (converted from Strength kg when needed).</t>
      </text>
    </comment>
    <comment ref="Y4" authorId="0" shapeId="0">
      <text>
        <t>Humanoid.guide Strength [kg] (lift / payload class).</t>
      </text>
    </comment>
    <comment ref="Z4" authorId="0" shapeId="0">
      <text>
        <t>Peak speed in miles per hour.</t>
      </text>
    </comment>
    <comment ref="AA4" authorId="0" shapeId="0">
      <text>
        <t>Peak speed in km/h (Humanoid.guide).</t>
      </text>
    </comment>
    <comment ref="AB4" authorId="0" shapeId="0">
      <text>
        <t>Typical walking speed.</t>
      </text>
    </comment>
    <comment ref="AC4" authorId="0" shapeId="0">
      <text>
        <t>Energy capacity and/or runtime narrative.</t>
      </text>
    </comment>
    <comment ref="AD4" authorId="0" shapeId="0">
      <text>
        <t>Humanoid.guide runtime-per-charge text.</t>
      </text>
    </comment>
    <comment ref="AE4" authorId="0" shapeId="0">
      <text>
        <t>Aerial endurance in minutes.</t>
      </text>
    </comment>
    <comment ref="AF4" authorId="0" shapeId="0">
      <text>
        <t>Charge / dock notes.</t>
      </text>
    </comment>
    <comment ref="AG4" authorId="0" shapeId="0">
      <text>
        <t>Dexterous hands or grippers.</t>
      </text>
    </comment>
    <comment ref="AH4" authorId="0" shapeId="0">
      <text>
        <t>Fingers per hand or total as published.</t>
      </text>
    </comment>
    <comment ref="AI4" authorId="0" shapeId="0">
      <text>
        <t>Humanoid.guide manipulation skill score (higher is better).</t>
      </text>
    </comment>
    <comment ref="AJ4" authorId="0" shapeId="0">
      <text>
        <t>Imaging / perception narrative from store catalog.</t>
      </text>
    </comment>
    <comment ref="AK4" authorId="0" shapeId="0">
      <text>
        <t>Humanoid.guide camera resolution attribute.</t>
      </text>
    </comment>
    <comment ref="AL4" authorId="0" shapeId="0">
      <text>
        <t>Recording / livestream capability.</t>
      </text>
    </comment>
    <comment ref="AM4" authorId="0" shapeId="0">
      <text>
        <t>Stabilized camera mount (aerial).</t>
      </text>
    </comment>
    <comment ref="AN4" authorId="0" shapeId="0">
      <text>
        <t>LiDAR notes.</t>
      </text>
    </comment>
    <comment ref="AO4" authorId="0" shapeId="0">
      <text>
        <t>Microphone / voice hardware.</t>
      </text>
    </comment>
    <comment ref="AP4" authorId="0" shapeId="0">
      <text>
        <t>General sensor suite.</t>
      </text>
    </comment>
    <comment ref="AQ4" authorId="0" shapeId="0">
      <text>
        <t>Humanoid.guide tactile/force attribute.</t>
      </text>
    </comment>
    <comment ref="AR4" authorId="0" shapeId="0">
      <text>
        <t>Obstacle avoidance systems.</t>
      </text>
    </comment>
    <comment ref="AS4" authorId="0" shapeId="0">
      <text>
        <t>Onboard compute class from store catalog.</t>
      </text>
    </comment>
    <comment ref="AT4" authorId="0" shapeId="0">
      <text>
        <t>Humanoid.guide CPU/GPU attribute.</t>
      </text>
    </comment>
    <comment ref="AU4" authorId="0" shapeId="0">
      <text>
        <t>Radios, ports, enterprise integration.</t>
      </text>
    </comment>
    <comment ref="AV4" authorId="0" shapeId="0">
      <text>
        <t>Apps / RC / SDK / GCS.</t>
      </text>
    </comment>
    <comment ref="AW4" authorId="0" shapeId="0">
      <text>
        <t>Locomotion or flight stack notes.</t>
      </text>
    </comment>
    <comment ref="AX4" authorId="0" shapeId="0">
      <text>
        <t>Humanoid.guide navigation skill score (higher is better).</t>
      </text>
    </comment>
    <comment ref="AY4" authorId="0" shapeId="0">
      <text>
        <t>Onboard / fleet OS.</t>
      </text>
    </comment>
    <comment ref="AZ4" authorId="0" shapeId="0">
      <text>
        <t>Language / VLA / embodied-AI stack.</t>
      </text>
    </comment>
    <comment ref="BA4" authorId="0" shapeId="0">
      <text>
        <t>Perception-to-actuation latency notes.</t>
      </text>
    </comment>
    <comment ref="BB4" authorId="0" shapeId="0">
      <text>
        <t>Actuator / motor architecture.</t>
      </text>
    </comment>
    <comment ref="BC4" authorId="0" shapeId="0">
      <text>
        <t>Transmission / gearing.</t>
      </text>
    </comment>
    <comment ref="BD4" authorId="0" shapeId="0">
      <text>
        <t>Primary structure materials.</t>
      </text>
    </comment>
    <comment ref="BE4" authorId="0" shapeId="0">
      <text>
        <t>Normalized ingress protection code.</t>
      </text>
    </comment>
    <comment ref="BF4" authorId="0" shapeId="0">
      <text>
        <t>Raw Humanoid.guide ingress attribute.</t>
      </text>
    </comment>
    <comment ref="BG4" authorId="0" shapeId="0">
      <text>
        <t>Marine operating depth in feet.</t>
      </text>
    </comment>
    <comment ref="BH4" authorId="0" shapeId="0">
      <text>
        <t>Transmission range in miles.</t>
      </text>
    </comment>
    <comment ref="BI4" authorId="0" shapeId="0">
      <text>
        <t>Illumination modules.</t>
      </text>
    </comment>
    <comment ref="BJ4" authorId="0" shapeId="0">
      <text>
        <t>Marine propulsion.</t>
      </text>
    </comment>
    <comment ref="BK4" authorId="0" shapeId="0">
      <text>
        <t>ROV tether notes.</t>
      </text>
    </comment>
    <comment ref="BL4" authorId="0" shapeId="0">
      <text>
        <t>Environmental protection narrative.</t>
      </text>
    </comment>
    <comment ref="BM4" authorId="0" shapeId="0">
      <text>
        <t>Collaborative / human-safe rating as published.</t>
      </text>
    </comment>
    <comment ref="BN4" authorId="0" shapeId="0">
      <text>
        <t>Get-up-after-fall capability when published.</t>
      </text>
    </comment>
    <comment ref="BO4" authorId="0" shapeId="0">
      <text>
        <t>Combined capability narrative (market + scores + LLM + mobility).</t>
      </text>
    </comment>
    <comment ref="BP4" authorId="0" shapeId="0">
      <text>
        <t>Indoor / outdoor / industrial class.</t>
      </text>
    </comment>
    <comment ref="BQ4" authorId="0" shapeId="0">
      <text>
        <t>Use categories and Humanoid.guide main market.</t>
      </text>
    </comment>
    <comment ref="BR4" authorId="0" shapeId="0">
      <text>
        <t>Normalized availability status.</t>
      </text>
    </comment>
    <comment ref="BS4" authorId="0" shapeId="0">
      <text>
        <t>Raw Humanoid.guide availability term.</t>
      </text>
    </comment>
    <comment ref="BT4" authorId="0" shapeId="0">
      <text>
        <t>Published colorways.</t>
      </text>
    </comment>
    <comment ref="BU4" authorId="0" shapeId="0">
      <text>
        <t>Humanoid.guide manufacturer-verification flag.</t>
      </text>
    </comment>
    <comment ref="BV4" authorId="0" shapeId="0">
      <text>
        <t>Additional technical notes.</t>
      </text>
    </comment>
    <comment ref="BW4" authorId="0" shapeId="0">
      <text>
        <t>Website card bullets (pipe-separated).</t>
      </text>
    </comment>
    <comment ref="BX4" authorId="0" shapeId="0">
      <text>
        <t>Configurator Step 3 tiers from store.html.</t>
      </text>
    </comment>
    <comment ref="BY4" authorId="0" shapeId="0">
      <text>
        <t>Configurator Step 4 colorways from store.html.</t>
      </text>
    </comment>
    <comment ref="BZ4" authorId="0" shapeId="0">
      <text>
        <t>Addon IDs resolved against store.html ADDONS.</t>
      </text>
    </comment>
    <comment ref="CA4" authorId="0" shapeId="0">
      <text>
        <t>Human-readable configurator summary.</t>
      </text>
    </comment>
    <comment ref="CB4" authorId="0" shapeId="0">
      <text>
        <t>Standard OEM warranty label.</t>
      </text>
    </comment>
    <comment ref="CC4" authorId="0" shapeId="0">
      <text>
        <t>Standard OEM warranty duration in months.</t>
      </text>
    </comment>
    <comment ref="CD4" authorId="0" shapeId="0">
      <text>
        <t>Default TOR extended plan in the configurator.</t>
      </text>
    </comment>
    <comment ref="CE4" authorId="0" shapeId="0">
      <text>
        <t>Basis used for the warranty determination.</t>
      </text>
    </comment>
    <comment ref="CF4" authorId="0" shapeId="0">
      <text>
        <t>Documented | High | Estimated.</t>
      </text>
    </comment>
    <comment ref="CG4" authorId="0" shapeId="0">
      <text>
        <t>Exclusions, contract dependency, accessories.</t>
      </text>
    </comment>
    <comment ref="CH4" authorId="0" shapeId="0">
      <text>
        <t>10% of selected configuration price.</t>
      </text>
    </comment>
    <comment ref="CI4" authorId="0" shapeId="0">
      <text>
        <t>17% of configuration.</t>
      </text>
    </comment>
    <comment ref="CJ4" authorId="0" shapeId="0">
      <text>
        <t>24% of configuration (default).</t>
      </text>
    </comment>
    <comment ref="CK4" authorId="0" shapeId="0">
      <text>
        <t>Optional +1 / +2 / +3 year packages.</t>
      </text>
    </comment>
    <comment ref="CL4" authorId="0" shapeId="0">
      <text>
        <t>Aug 2026 profitable schedule methodology.</t>
      </text>
    </comment>
    <comment ref="CM4" authorId="0" shapeId="0">
      <text>
        <t>Legacy combined warranty narrative.</t>
      </text>
    </comment>
  </commentList>
</comments>
</file>

<file path=xl/comments/comment2.xml><?xml version="1.0" encoding="utf-8"?>
<comments xmlns="http://schemas.openxmlformats.org/spreadsheetml/2006/main">
  <authors>
    <author>Unknown Author</author>
  </authors>
  <commentList>
    <comment ref="A4" authorId="0" shapeId="0">
      <text>
        <t>JS key in store.html ROBOTS. Blank if not yet on theofficialrobot.com.</t>
      </text>
    </comment>
    <comment ref="B4" authorId="0" shapeId="0">
      <text>
        <t>Website = store catalog only; Humanoid.guide = newly ingested; Both = merged.</t>
      </text>
    </comment>
    <comment ref="C4" authorId="0" shapeId="0">
      <text>
        <t>Brand / company.</t>
      </text>
    </comment>
    <comment ref="D4" authorId="0" shapeId="0">
      <text>
        <t>Clean public model name (Humanoid.guide name when available).</t>
      </text>
    </comment>
    <comment ref="E4" authorId="0" shapeId="0">
      <text>
        <t>Store display string [Manufacturer] Model (Year).</t>
      </text>
    </comment>
    <comment ref="F4" authorId="0" shapeId="0">
      <text>
        <t>humanoid | campanionoid | aerial | water</t>
      </text>
    </comment>
    <comment ref="G4" authorId="0" shapeId="0">
      <text>
        <t>Normalized nationality / maker origin.</t>
      </text>
    </comment>
    <comment ref="H4" authorId="0" shapeId="0">
      <text>
        <t>First public listing / reveal year when known.</t>
      </text>
    </comment>
    <comment ref="I4" authorId="0" shapeId="0">
      <text>
        <t>Starting public list or store base price in USD.</t>
      </text>
    </comment>
    <comment ref="J4" authorId="0" shapeId="0">
      <text>
        <t>Website store basePrice, Humanoid.guide list, or blended.</t>
      </text>
    </comment>
    <comment ref="K4" authorId="0" shapeId="0">
      <text>
        <t>Factual one-line description.</t>
      </text>
    </comment>
    <comment ref="N4" authorId="0" shapeId="0">
      <text>
        <t>Source product page on humanoid.guide.</t>
      </text>
    </comment>
    <comment ref="O4" authorId="0" shapeId="0">
      <text>
        <t>Manufacturer site from Humanoid.guide attribute.</t>
      </text>
    </comment>
    <comment ref="P4" authorId="0" shapeId="0">
      <text>
        <t>Fully upright height, US customary.</t>
      </text>
    </comment>
    <comment ref="Q4" authorId="0" shapeId="0">
      <text>
        <t>Source height in centimeters (Humanoid.guide).</t>
      </text>
    </comment>
    <comment ref="R4" authorId="0" shapeId="0">
      <text>
        <t>Operating weight in pounds.</t>
      </text>
    </comment>
    <comment ref="S4" authorId="0" shapeId="0">
      <text>
        <t>Operating weight in kilograms (Humanoid.guide).</t>
      </text>
    </comment>
    <comment ref="T4" authorId="0" shapeId="0">
      <text>
        <t>L × W × H envelope in inches when known.</t>
      </text>
    </comment>
    <comment ref="U4" authorId="0" shapeId="0">
      <text>
        <t>Packed / shipping size from Humanoid.guide.</t>
      </text>
    </comment>
    <comment ref="V4" authorId="0" shapeId="0">
      <text>
        <t>Independent joint count, overall.</t>
      </text>
    </comment>
    <comment ref="W4" authorId="0" shapeId="0">
      <text>
        <t>Hand / finger DOF package.</t>
      </text>
    </comment>
    <comment ref="X4" authorId="0" shapeId="0">
      <text>
        <t>Rated payload in pounds (converted from Strength kg when needed).</t>
      </text>
    </comment>
    <comment ref="Y4" authorId="0" shapeId="0">
      <text>
        <t>Humanoid.guide Strength [kg] (lift / payload class).</t>
      </text>
    </comment>
    <comment ref="Z4" authorId="0" shapeId="0">
      <text>
        <t>Peak speed in miles per hour.</t>
      </text>
    </comment>
    <comment ref="AA4" authorId="0" shapeId="0">
      <text>
        <t>Peak speed in km/h (Humanoid.guide).</t>
      </text>
    </comment>
    <comment ref="AB4" authorId="0" shapeId="0">
      <text>
        <t>Typical walking speed.</t>
      </text>
    </comment>
    <comment ref="AC4" authorId="0" shapeId="0">
      <text>
        <t>Energy capacity and/or runtime narrative.</t>
      </text>
    </comment>
    <comment ref="AD4" authorId="0" shapeId="0">
      <text>
        <t>Humanoid.guide runtime-per-charge text.</t>
      </text>
    </comment>
    <comment ref="AE4" authorId="0" shapeId="0">
      <text>
        <t>Aerial endurance in minutes.</t>
      </text>
    </comment>
    <comment ref="AF4" authorId="0" shapeId="0">
      <text>
        <t>Charge / dock notes.</t>
      </text>
    </comment>
    <comment ref="AG4" authorId="0" shapeId="0">
      <text>
        <t>Dexterous hands or grippers.</t>
      </text>
    </comment>
    <comment ref="AH4" authorId="0" shapeId="0">
      <text>
        <t>Fingers per hand or total as published.</t>
      </text>
    </comment>
    <comment ref="AI4" authorId="0" shapeId="0">
      <text>
        <t>Humanoid.guide manipulation skill score (higher is better).</t>
      </text>
    </comment>
    <comment ref="AJ4" authorId="0" shapeId="0">
      <text>
        <t>Imaging / perception narrative from store catalog.</t>
      </text>
    </comment>
    <comment ref="AK4" authorId="0" shapeId="0">
      <text>
        <t>Humanoid.guide camera resolution attribute.</t>
      </text>
    </comment>
    <comment ref="AL4" authorId="0" shapeId="0">
      <text>
        <t>Recording / livestream capability.</t>
      </text>
    </comment>
    <comment ref="AM4" authorId="0" shapeId="0">
      <text>
        <t>Stabilized camera mount (aerial).</t>
      </text>
    </comment>
    <comment ref="AN4" authorId="0" shapeId="0">
      <text>
        <t>LiDAR notes.</t>
      </text>
    </comment>
    <comment ref="AO4" authorId="0" shapeId="0">
      <text>
        <t>Microphone / voice hardware.</t>
      </text>
    </comment>
    <comment ref="AP4" authorId="0" shapeId="0">
      <text>
        <t>General sensor suite.</t>
      </text>
    </comment>
    <comment ref="AQ4" authorId="0" shapeId="0">
      <text>
        <t>Humanoid.guide tactile/force attribute.</t>
      </text>
    </comment>
    <comment ref="AR4" authorId="0" shapeId="0">
      <text>
        <t>Obstacle avoidance systems.</t>
      </text>
    </comment>
    <comment ref="AS4" authorId="0" shapeId="0">
      <text>
        <t>Onboard compute class from store catalog.</t>
      </text>
    </comment>
    <comment ref="AT4" authorId="0" shapeId="0">
      <text>
        <t>Humanoid.guide CPU/GPU attribute.</t>
      </text>
    </comment>
    <comment ref="AU4" authorId="0" shapeId="0">
      <text>
        <t>Radios, ports, enterprise integration.</t>
      </text>
    </comment>
    <comment ref="AV4" authorId="0" shapeId="0">
      <text>
        <t>Apps / RC / SDK / GCS.</t>
      </text>
    </comment>
    <comment ref="AW4" authorId="0" shapeId="0">
      <text>
        <t>Locomotion or flight stack notes.</t>
      </text>
    </comment>
    <comment ref="AX4" authorId="0" shapeId="0">
      <text>
        <t>Humanoid.guide navigation skill score (higher is better).</t>
      </text>
    </comment>
    <comment ref="AY4" authorId="0" shapeId="0">
      <text>
        <t>Onboard / fleet OS.</t>
      </text>
    </comment>
    <comment ref="AZ4" authorId="0" shapeId="0">
      <text>
        <t>Language / VLA / embodied-AI stack.</t>
      </text>
    </comment>
    <comment ref="BA4" authorId="0" shapeId="0">
      <text>
        <t>Perception-to-actuation latency notes.</t>
      </text>
    </comment>
    <comment ref="BB4" authorId="0" shapeId="0">
      <text>
        <t>Actuator / motor architecture.</t>
      </text>
    </comment>
    <comment ref="BC4" authorId="0" shapeId="0">
      <text>
        <t>Transmission / gearing.</t>
      </text>
    </comment>
    <comment ref="BD4" authorId="0" shapeId="0">
      <text>
        <t>Primary structure materials.</t>
      </text>
    </comment>
    <comment ref="BE4" authorId="0" shapeId="0">
      <text>
        <t>Normalized ingress protection code.</t>
      </text>
    </comment>
    <comment ref="BF4" authorId="0" shapeId="0">
      <text>
        <t>Raw Humanoid.guide ingress attribute.</t>
      </text>
    </comment>
    <comment ref="BG4" authorId="0" shapeId="0">
      <text>
        <t>Marine operating depth in feet.</t>
      </text>
    </comment>
    <comment ref="BH4" authorId="0" shapeId="0">
      <text>
        <t>Transmission range in miles.</t>
      </text>
    </comment>
    <comment ref="BI4" authorId="0" shapeId="0">
      <text>
        <t>Illumination modules.</t>
      </text>
    </comment>
    <comment ref="BJ4" authorId="0" shapeId="0">
      <text>
        <t>Marine propulsion.</t>
      </text>
    </comment>
    <comment ref="BK4" authorId="0" shapeId="0">
      <text>
        <t>ROV tether notes.</t>
      </text>
    </comment>
    <comment ref="BL4" authorId="0" shapeId="0">
      <text>
        <t>Environmental protection narrative.</t>
      </text>
    </comment>
    <comment ref="BM4" authorId="0" shapeId="0">
      <text>
        <t>Collaborative / human-safe rating as published.</t>
      </text>
    </comment>
    <comment ref="BN4" authorId="0" shapeId="0">
      <text>
        <t>Get-up-after-fall capability when published.</t>
      </text>
    </comment>
    <comment ref="BO4" authorId="0" shapeId="0">
      <text>
        <t>Combined capability narrative (market + scores + LLM + mobility).</t>
      </text>
    </comment>
    <comment ref="BP4" authorId="0" shapeId="0">
      <text>
        <t>Indoor / outdoor / industrial class.</t>
      </text>
    </comment>
    <comment ref="BQ4" authorId="0" shapeId="0">
      <text>
        <t>Use categories and Humanoid.guide main market.</t>
      </text>
    </comment>
    <comment ref="BR4" authorId="0" shapeId="0">
      <text>
        <t>Normalized availability status.</t>
      </text>
    </comment>
    <comment ref="BS4" authorId="0" shapeId="0">
      <text>
        <t>Raw Humanoid.guide availability term.</t>
      </text>
    </comment>
    <comment ref="BT4" authorId="0" shapeId="0">
      <text>
        <t>Published colorways.</t>
      </text>
    </comment>
    <comment ref="BU4" authorId="0" shapeId="0">
      <text>
        <t>Humanoid.guide manufacturer-verification flag.</t>
      </text>
    </comment>
    <comment ref="BV4" authorId="0" shapeId="0">
      <text>
        <t>Additional technical notes.</t>
      </text>
    </comment>
    <comment ref="BW4" authorId="0" shapeId="0">
      <text>
        <t>Website card bullets (pipe-separated).</t>
      </text>
    </comment>
    <comment ref="BX4" authorId="0" shapeId="0">
      <text>
        <t>Configurator Step 3 tiers from store.html.</t>
      </text>
    </comment>
    <comment ref="BY4" authorId="0" shapeId="0">
      <text>
        <t>Configurator Step 4 colorways from store.html.</t>
      </text>
    </comment>
    <comment ref="BZ4" authorId="0" shapeId="0">
      <text>
        <t>Addon IDs resolved against store.html ADDONS.</t>
      </text>
    </comment>
    <comment ref="CA4" authorId="0" shapeId="0">
      <text>
        <t>Human-readable configurator summary.</t>
      </text>
    </comment>
    <comment ref="CB4" authorId="0" shapeId="0">
      <text>
        <t>Standard OEM warranty label.</t>
      </text>
    </comment>
    <comment ref="CC4" authorId="0" shapeId="0">
      <text>
        <t>Standard OEM warranty duration in months.</t>
      </text>
    </comment>
    <comment ref="CD4" authorId="0" shapeId="0">
      <text>
        <t>Default TOR extended plan in the configurator.</t>
      </text>
    </comment>
    <comment ref="CE4" authorId="0" shapeId="0">
      <text>
        <t>Basis used for the warranty determination.</t>
      </text>
    </comment>
    <comment ref="CF4" authorId="0" shapeId="0">
      <text>
        <t>Documented | High | Estimated.</t>
      </text>
    </comment>
    <comment ref="CG4" authorId="0" shapeId="0">
      <text>
        <t>Exclusions, contract dependency, accessories.</t>
      </text>
    </comment>
    <comment ref="CH4" authorId="0" shapeId="0">
      <text>
        <t>10% of selected configuration price.</t>
      </text>
    </comment>
    <comment ref="CI4" authorId="0" shapeId="0">
      <text>
        <t>17% of configuration.</t>
      </text>
    </comment>
    <comment ref="CJ4" authorId="0" shapeId="0">
      <text>
        <t>24% of configuration (default).</t>
      </text>
    </comment>
    <comment ref="CK4" authorId="0" shapeId="0">
      <text>
        <t>Optional +1 / +2 / +3 year packages.</t>
      </text>
    </comment>
    <comment ref="CL4" authorId="0" shapeId="0">
      <text>
        <t>Aug 2026 profitable schedule methodology.</t>
      </text>
    </comment>
    <comment ref="CM4" authorId="0" shapeId="0">
      <text>
        <t>Legacy combined warranty narrative.</t>
      </text>
    </comment>
  </commentList>
</comments>
</file>

<file path=xl/comments/comment3.xml><?xml version="1.0" encoding="utf-8"?>
<comments xmlns="http://schemas.openxmlformats.org/spreadsheetml/2006/main">
  <authors>
    <author>Unknown Author</author>
  </authors>
  <commentList>
    <comment ref="A4" authorId="0" shapeId="0">
      <text>
        <t>JS key in store.html ROBOTS. Blank if not yet on theofficialrobot.com.</t>
      </text>
    </comment>
    <comment ref="B4" authorId="0" shapeId="0">
      <text>
        <t>Website = store catalog only; Humanoid.guide = newly ingested; Both = merged.</t>
      </text>
    </comment>
    <comment ref="C4" authorId="0" shapeId="0">
      <text>
        <t>Brand / company.</t>
      </text>
    </comment>
    <comment ref="D4" authorId="0" shapeId="0">
      <text>
        <t>Clean public model name (Humanoid.guide name when available).</t>
      </text>
    </comment>
    <comment ref="E4" authorId="0" shapeId="0">
      <text>
        <t>Store display string [Manufacturer] Model (Year).</t>
      </text>
    </comment>
    <comment ref="F4" authorId="0" shapeId="0">
      <text>
        <t>humanoid | campanionoid | aerial | water</t>
      </text>
    </comment>
    <comment ref="G4" authorId="0" shapeId="0">
      <text>
        <t>Normalized nationality / maker origin.</t>
      </text>
    </comment>
    <comment ref="H4" authorId="0" shapeId="0">
      <text>
        <t>First public listing / reveal year when known.</t>
      </text>
    </comment>
    <comment ref="I4" authorId="0" shapeId="0">
      <text>
        <t>Starting public list or store base price in USD.</t>
      </text>
    </comment>
    <comment ref="J4" authorId="0" shapeId="0">
      <text>
        <t>Website store basePrice, Humanoid.guide list, or blended.</t>
      </text>
    </comment>
    <comment ref="K4" authorId="0" shapeId="0">
      <text>
        <t>Factual one-line description.</t>
      </text>
    </comment>
    <comment ref="N4" authorId="0" shapeId="0">
      <text>
        <t>Source product page on humanoid.guide.</t>
      </text>
    </comment>
    <comment ref="O4" authorId="0" shapeId="0">
      <text>
        <t>Manufacturer site from Humanoid.guide attribute.</t>
      </text>
    </comment>
    <comment ref="P4" authorId="0" shapeId="0">
      <text>
        <t>Fully upright height, US customary.</t>
      </text>
    </comment>
    <comment ref="Q4" authorId="0" shapeId="0">
      <text>
        <t>Source height in centimeters (Humanoid.guide).</t>
      </text>
    </comment>
    <comment ref="R4" authorId="0" shapeId="0">
      <text>
        <t>Operating weight in pounds.</t>
      </text>
    </comment>
    <comment ref="S4" authorId="0" shapeId="0">
      <text>
        <t>Operating weight in kilograms (Humanoid.guide).</t>
      </text>
    </comment>
    <comment ref="T4" authorId="0" shapeId="0">
      <text>
        <t>L × W × H envelope in inches when known.</t>
      </text>
    </comment>
    <comment ref="U4" authorId="0" shapeId="0">
      <text>
        <t>Packed / shipping size from Humanoid.guide.</t>
      </text>
    </comment>
    <comment ref="V4" authorId="0" shapeId="0">
      <text>
        <t>Independent joint count, overall.</t>
      </text>
    </comment>
    <comment ref="W4" authorId="0" shapeId="0">
      <text>
        <t>Hand / finger DOF package.</t>
      </text>
    </comment>
    <comment ref="X4" authorId="0" shapeId="0">
      <text>
        <t>Rated payload in pounds (converted from Strength kg when needed).</t>
      </text>
    </comment>
    <comment ref="Y4" authorId="0" shapeId="0">
      <text>
        <t>Humanoid.guide Strength [kg] (lift / payload class).</t>
      </text>
    </comment>
    <comment ref="Z4" authorId="0" shapeId="0">
      <text>
        <t>Peak speed in miles per hour.</t>
      </text>
    </comment>
    <comment ref="AA4" authorId="0" shapeId="0">
      <text>
        <t>Peak speed in km/h (Humanoid.guide).</t>
      </text>
    </comment>
    <comment ref="AB4" authorId="0" shapeId="0">
      <text>
        <t>Typical walking speed.</t>
      </text>
    </comment>
    <comment ref="AC4" authorId="0" shapeId="0">
      <text>
        <t>Energy capacity and/or runtime narrative.</t>
      </text>
    </comment>
    <comment ref="AD4" authorId="0" shapeId="0">
      <text>
        <t>Humanoid.guide runtime-per-charge text.</t>
      </text>
    </comment>
    <comment ref="AE4" authorId="0" shapeId="0">
      <text>
        <t>Aerial endurance in minutes.</t>
      </text>
    </comment>
    <comment ref="AF4" authorId="0" shapeId="0">
      <text>
        <t>Charge / dock notes.</t>
      </text>
    </comment>
    <comment ref="AG4" authorId="0" shapeId="0">
      <text>
        <t>Dexterous hands or grippers.</t>
      </text>
    </comment>
    <comment ref="AH4" authorId="0" shapeId="0">
      <text>
        <t>Fingers per hand or total as published.</t>
      </text>
    </comment>
    <comment ref="AI4" authorId="0" shapeId="0">
      <text>
        <t>Humanoid.guide manipulation skill score (higher is better).</t>
      </text>
    </comment>
    <comment ref="AJ4" authorId="0" shapeId="0">
      <text>
        <t>Imaging / perception narrative from store catalog.</t>
      </text>
    </comment>
    <comment ref="AK4" authorId="0" shapeId="0">
      <text>
        <t>Humanoid.guide camera resolution attribute.</t>
      </text>
    </comment>
    <comment ref="AL4" authorId="0" shapeId="0">
      <text>
        <t>Recording / livestream capability.</t>
      </text>
    </comment>
    <comment ref="AM4" authorId="0" shapeId="0">
      <text>
        <t>Stabilized camera mount (aerial).</t>
      </text>
    </comment>
    <comment ref="AN4" authorId="0" shapeId="0">
      <text>
        <t>LiDAR notes.</t>
      </text>
    </comment>
    <comment ref="AO4" authorId="0" shapeId="0">
      <text>
        <t>Microphone / voice hardware.</t>
      </text>
    </comment>
    <comment ref="AP4" authorId="0" shapeId="0">
      <text>
        <t>General sensor suite.</t>
      </text>
    </comment>
    <comment ref="AQ4" authorId="0" shapeId="0">
      <text>
        <t>Humanoid.guide tactile/force attribute.</t>
      </text>
    </comment>
    <comment ref="AR4" authorId="0" shapeId="0">
      <text>
        <t>Obstacle avoidance systems.</t>
      </text>
    </comment>
    <comment ref="AS4" authorId="0" shapeId="0">
      <text>
        <t>Onboard compute class from store catalog.</t>
      </text>
    </comment>
    <comment ref="AT4" authorId="0" shapeId="0">
      <text>
        <t>Humanoid.guide CPU/GPU attribute.</t>
      </text>
    </comment>
    <comment ref="AU4" authorId="0" shapeId="0">
      <text>
        <t>Radios, ports, enterprise integration.</t>
      </text>
    </comment>
    <comment ref="AV4" authorId="0" shapeId="0">
      <text>
        <t>Apps / RC / SDK / GCS.</t>
      </text>
    </comment>
    <comment ref="AW4" authorId="0" shapeId="0">
      <text>
        <t>Locomotion or flight stack notes.</t>
      </text>
    </comment>
    <comment ref="AX4" authorId="0" shapeId="0">
      <text>
        <t>Humanoid.guide navigation skill score (higher is better).</t>
      </text>
    </comment>
    <comment ref="AY4" authorId="0" shapeId="0">
      <text>
        <t>Onboard / fleet OS.</t>
      </text>
    </comment>
    <comment ref="AZ4" authorId="0" shapeId="0">
      <text>
        <t>Language / VLA / embodied-AI stack.</t>
      </text>
    </comment>
    <comment ref="BA4" authorId="0" shapeId="0">
      <text>
        <t>Perception-to-actuation latency notes.</t>
      </text>
    </comment>
    <comment ref="BB4" authorId="0" shapeId="0">
      <text>
        <t>Actuator / motor architecture.</t>
      </text>
    </comment>
    <comment ref="BC4" authorId="0" shapeId="0">
      <text>
        <t>Transmission / gearing.</t>
      </text>
    </comment>
    <comment ref="BD4" authorId="0" shapeId="0">
      <text>
        <t>Primary structure materials.</t>
      </text>
    </comment>
    <comment ref="BE4" authorId="0" shapeId="0">
      <text>
        <t>Normalized ingress protection code.</t>
      </text>
    </comment>
    <comment ref="BF4" authorId="0" shapeId="0">
      <text>
        <t>Raw Humanoid.guide ingress attribute.</t>
      </text>
    </comment>
    <comment ref="BG4" authorId="0" shapeId="0">
      <text>
        <t>Marine operating depth in feet.</t>
      </text>
    </comment>
    <comment ref="BH4" authorId="0" shapeId="0">
      <text>
        <t>Transmission range in miles.</t>
      </text>
    </comment>
    <comment ref="BI4" authorId="0" shapeId="0">
      <text>
        <t>Illumination modules.</t>
      </text>
    </comment>
    <comment ref="BJ4" authorId="0" shapeId="0">
      <text>
        <t>Marine propulsion.</t>
      </text>
    </comment>
    <comment ref="BK4" authorId="0" shapeId="0">
      <text>
        <t>ROV tether notes.</t>
      </text>
    </comment>
    <comment ref="BL4" authorId="0" shapeId="0">
      <text>
        <t>Environmental protection narrative.</t>
      </text>
    </comment>
    <comment ref="BM4" authorId="0" shapeId="0">
      <text>
        <t>Collaborative / human-safe rating as published.</t>
      </text>
    </comment>
    <comment ref="BN4" authorId="0" shapeId="0">
      <text>
        <t>Get-up-after-fall capability when published.</t>
      </text>
    </comment>
    <comment ref="BO4" authorId="0" shapeId="0">
      <text>
        <t>Combined capability narrative (market + scores + LLM + mobility).</t>
      </text>
    </comment>
    <comment ref="BP4" authorId="0" shapeId="0">
      <text>
        <t>Indoor / outdoor / industrial class.</t>
      </text>
    </comment>
    <comment ref="BQ4" authorId="0" shapeId="0">
      <text>
        <t>Use categories and Humanoid.guide main market.</t>
      </text>
    </comment>
    <comment ref="BR4" authorId="0" shapeId="0">
      <text>
        <t>Normalized availability status.</t>
      </text>
    </comment>
    <comment ref="BS4" authorId="0" shapeId="0">
      <text>
        <t>Raw Humanoid.guide availability term.</t>
      </text>
    </comment>
    <comment ref="BT4" authorId="0" shapeId="0">
      <text>
        <t>Published colorways.</t>
      </text>
    </comment>
    <comment ref="BU4" authorId="0" shapeId="0">
      <text>
        <t>Humanoid.guide manufacturer-verification flag.</t>
      </text>
    </comment>
    <comment ref="BV4" authorId="0" shapeId="0">
      <text>
        <t>Additional technical notes.</t>
      </text>
    </comment>
    <comment ref="BW4" authorId="0" shapeId="0">
      <text>
        <t>Website card bullets (pipe-separated).</t>
      </text>
    </comment>
    <comment ref="BX4" authorId="0" shapeId="0">
      <text>
        <t>Configurator Step 3 tiers from store.html.</t>
      </text>
    </comment>
    <comment ref="BY4" authorId="0" shapeId="0">
      <text>
        <t>Configurator Step 4 colorways from store.html.</t>
      </text>
    </comment>
    <comment ref="BZ4" authorId="0" shapeId="0">
      <text>
        <t>Addon IDs resolved against store.html ADDONS.</t>
      </text>
    </comment>
    <comment ref="CA4" authorId="0" shapeId="0">
      <text>
        <t>Human-readable configurator summary.</t>
      </text>
    </comment>
    <comment ref="CB4" authorId="0" shapeId="0">
      <text>
        <t>Standard OEM warranty label.</t>
      </text>
    </comment>
    <comment ref="CC4" authorId="0" shapeId="0">
      <text>
        <t>Standard OEM warranty duration in months.</t>
      </text>
    </comment>
    <comment ref="CD4" authorId="0" shapeId="0">
      <text>
        <t>Default TOR extended plan in the configurator.</t>
      </text>
    </comment>
    <comment ref="CE4" authorId="0" shapeId="0">
      <text>
        <t>Basis used for the warranty determination.</t>
      </text>
    </comment>
    <comment ref="CF4" authorId="0" shapeId="0">
      <text>
        <t>Documented | High | Estimated.</t>
      </text>
    </comment>
    <comment ref="CG4" authorId="0" shapeId="0">
      <text>
        <t>Exclusions, contract dependency, accessories.</t>
      </text>
    </comment>
    <comment ref="CH4" authorId="0" shapeId="0">
      <text>
        <t>10% of selected configuration price.</t>
      </text>
    </comment>
    <comment ref="CI4" authorId="0" shapeId="0">
      <text>
        <t>17% of configuration.</t>
      </text>
    </comment>
    <comment ref="CJ4" authorId="0" shapeId="0">
      <text>
        <t>24% of configuration (default).</t>
      </text>
    </comment>
    <comment ref="CK4" authorId="0" shapeId="0">
      <text>
        <t>Optional +1 / +2 / +3 year packages.</t>
      </text>
    </comment>
    <comment ref="CL4" authorId="0" shapeId="0">
      <text>
        <t>Aug 2026 profitable schedule methodology.</t>
      </text>
    </comment>
    <comment ref="CM4" authorId="0" shapeId="0">
      <text>
        <t>Legacy combined warranty narrative.</t>
      </text>
    </comment>
  </commentList>
</comments>
</file>

<file path=xl/comments/comment4.xml><?xml version="1.0" encoding="utf-8"?>
<comments xmlns="http://schemas.openxmlformats.org/spreadsheetml/2006/main">
  <authors>
    <author>Unknown Author</author>
  </authors>
  <commentList>
    <comment ref="A4" authorId="0" shapeId="0">
      <text>
        <t>JS key in store.html ROBOTS. Blank if not yet on theofficialrobot.com.</t>
      </text>
    </comment>
    <comment ref="B4" authorId="0" shapeId="0">
      <text>
        <t>Website = store catalog only; Humanoid.guide = newly ingested; Both = merged.</t>
      </text>
    </comment>
    <comment ref="C4" authorId="0" shapeId="0">
      <text>
        <t>Brand / company.</t>
      </text>
    </comment>
    <comment ref="D4" authorId="0" shapeId="0">
      <text>
        <t>Clean public model name (Humanoid.guide name when available).</t>
      </text>
    </comment>
    <comment ref="E4" authorId="0" shapeId="0">
      <text>
        <t>Store display string [Manufacturer] Model (Year).</t>
      </text>
    </comment>
    <comment ref="F4" authorId="0" shapeId="0">
      <text>
        <t>humanoid | campanionoid | aerial | water</t>
      </text>
    </comment>
    <comment ref="G4" authorId="0" shapeId="0">
      <text>
        <t>Normalized nationality / maker origin.</t>
      </text>
    </comment>
    <comment ref="H4" authorId="0" shapeId="0">
      <text>
        <t>First public listing / reveal year when known.</t>
      </text>
    </comment>
    <comment ref="I4" authorId="0" shapeId="0">
      <text>
        <t>Starting public list or store base price in USD.</t>
      </text>
    </comment>
    <comment ref="J4" authorId="0" shapeId="0">
      <text>
        <t>Website store basePrice, Humanoid.guide list, or blended.</t>
      </text>
    </comment>
    <comment ref="K4" authorId="0" shapeId="0">
      <text>
        <t>Factual one-line description.</t>
      </text>
    </comment>
    <comment ref="N4" authorId="0" shapeId="0">
      <text>
        <t>Source product page on humanoid.guide.</t>
      </text>
    </comment>
    <comment ref="O4" authorId="0" shapeId="0">
      <text>
        <t>Manufacturer site from Humanoid.guide attribute.</t>
      </text>
    </comment>
    <comment ref="P4" authorId="0" shapeId="0">
      <text>
        <t>Fully upright height, US customary.</t>
      </text>
    </comment>
    <comment ref="Q4" authorId="0" shapeId="0">
      <text>
        <t>Source height in centimeters (Humanoid.guide).</t>
      </text>
    </comment>
    <comment ref="R4" authorId="0" shapeId="0">
      <text>
        <t>Operating weight in pounds.</t>
      </text>
    </comment>
    <comment ref="S4" authorId="0" shapeId="0">
      <text>
        <t>Operating weight in kilograms (Humanoid.guide).</t>
      </text>
    </comment>
    <comment ref="T4" authorId="0" shapeId="0">
      <text>
        <t>L × W × H envelope in inches when known.</t>
      </text>
    </comment>
    <comment ref="U4" authorId="0" shapeId="0">
      <text>
        <t>Packed / shipping size from Humanoid.guide.</t>
      </text>
    </comment>
    <comment ref="V4" authorId="0" shapeId="0">
      <text>
        <t>Independent joint count, overall.</t>
      </text>
    </comment>
    <comment ref="W4" authorId="0" shapeId="0">
      <text>
        <t>Hand / finger DOF package.</t>
      </text>
    </comment>
    <comment ref="X4" authorId="0" shapeId="0">
      <text>
        <t>Rated payload in pounds (converted from Strength kg when needed).</t>
      </text>
    </comment>
    <comment ref="Y4" authorId="0" shapeId="0">
      <text>
        <t>Humanoid.guide Strength [kg] (lift / payload class).</t>
      </text>
    </comment>
    <comment ref="Z4" authorId="0" shapeId="0">
      <text>
        <t>Peak speed in miles per hour.</t>
      </text>
    </comment>
    <comment ref="AA4" authorId="0" shapeId="0">
      <text>
        <t>Peak speed in km/h (Humanoid.guide).</t>
      </text>
    </comment>
    <comment ref="AB4" authorId="0" shapeId="0">
      <text>
        <t>Typical walking speed.</t>
      </text>
    </comment>
    <comment ref="AC4" authorId="0" shapeId="0">
      <text>
        <t>Energy capacity and/or runtime narrative.</t>
      </text>
    </comment>
    <comment ref="AD4" authorId="0" shapeId="0">
      <text>
        <t>Humanoid.guide runtime-per-charge text.</t>
      </text>
    </comment>
    <comment ref="AE4" authorId="0" shapeId="0">
      <text>
        <t>Aerial endurance in minutes.</t>
      </text>
    </comment>
    <comment ref="AF4" authorId="0" shapeId="0">
      <text>
        <t>Charge / dock notes.</t>
      </text>
    </comment>
    <comment ref="AG4" authorId="0" shapeId="0">
      <text>
        <t>Dexterous hands or grippers.</t>
      </text>
    </comment>
    <comment ref="AH4" authorId="0" shapeId="0">
      <text>
        <t>Fingers per hand or total as published.</t>
      </text>
    </comment>
    <comment ref="AI4" authorId="0" shapeId="0">
      <text>
        <t>Humanoid.guide manipulation skill score (higher is better).</t>
      </text>
    </comment>
    <comment ref="AJ4" authorId="0" shapeId="0">
      <text>
        <t>Imaging / perception narrative from store catalog.</t>
      </text>
    </comment>
    <comment ref="AK4" authorId="0" shapeId="0">
      <text>
        <t>Humanoid.guide camera resolution attribute.</t>
      </text>
    </comment>
    <comment ref="AL4" authorId="0" shapeId="0">
      <text>
        <t>Recording / livestream capability.</t>
      </text>
    </comment>
    <comment ref="AM4" authorId="0" shapeId="0">
      <text>
        <t>Stabilized camera mount (aerial).</t>
      </text>
    </comment>
    <comment ref="AN4" authorId="0" shapeId="0">
      <text>
        <t>LiDAR notes.</t>
      </text>
    </comment>
    <comment ref="AO4" authorId="0" shapeId="0">
      <text>
        <t>Microphone / voice hardware.</t>
      </text>
    </comment>
    <comment ref="AP4" authorId="0" shapeId="0">
      <text>
        <t>General sensor suite.</t>
      </text>
    </comment>
    <comment ref="AQ4" authorId="0" shapeId="0">
      <text>
        <t>Humanoid.guide tactile/force attribute.</t>
      </text>
    </comment>
    <comment ref="AR4" authorId="0" shapeId="0">
      <text>
        <t>Obstacle avoidance systems.</t>
      </text>
    </comment>
    <comment ref="AS4" authorId="0" shapeId="0">
      <text>
        <t>Onboard compute class from store catalog.</t>
      </text>
    </comment>
    <comment ref="AT4" authorId="0" shapeId="0">
      <text>
        <t>Humanoid.guide CPU/GPU attribute.</t>
      </text>
    </comment>
    <comment ref="AU4" authorId="0" shapeId="0">
      <text>
        <t>Radios, ports, enterprise integration.</t>
      </text>
    </comment>
    <comment ref="AV4" authorId="0" shapeId="0">
      <text>
        <t>Apps / RC / SDK / GCS.</t>
      </text>
    </comment>
    <comment ref="AW4" authorId="0" shapeId="0">
      <text>
        <t>Locomotion or flight stack notes.</t>
      </text>
    </comment>
    <comment ref="AX4" authorId="0" shapeId="0">
      <text>
        <t>Humanoid.guide navigation skill score (higher is better).</t>
      </text>
    </comment>
    <comment ref="AY4" authorId="0" shapeId="0">
      <text>
        <t>Onboard / fleet OS.</t>
      </text>
    </comment>
    <comment ref="AZ4" authorId="0" shapeId="0">
      <text>
        <t>Language / VLA / embodied-AI stack.</t>
      </text>
    </comment>
    <comment ref="BA4" authorId="0" shapeId="0">
      <text>
        <t>Perception-to-actuation latency notes.</t>
      </text>
    </comment>
    <comment ref="BB4" authorId="0" shapeId="0">
      <text>
        <t>Actuator / motor architecture.</t>
      </text>
    </comment>
    <comment ref="BC4" authorId="0" shapeId="0">
      <text>
        <t>Transmission / gearing.</t>
      </text>
    </comment>
    <comment ref="BD4" authorId="0" shapeId="0">
      <text>
        <t>Primary structure materials.</t>
      </text>
    </comment>
    <comment ref="BE4" authorId="0" shapeId="0">
      <text>
        <t>Normalized ingress protection code.</t>
      </text>
    </comment>
    <comment ref="BF4" authorId="0" shapeId="0">
      <text>
        <t>Raw Humanoid.guide ingress attribute.</t>
      </text>
    </comment>
    <comment ref="BG4" authorId="0" shapeId="0">
      <text>
        <t>Marine operating depth in feet.</t>
      </text>
    </comment>
    <comment ref="BH4" authorId="0" shapeId="0">
      <text>
        <t>Transmission range in miles.</t>
      </text>
    </comment>
    <comment ref="BI4" authorId="0" shapeId="0">
      <text>
        <t>Illumination modules.</t>
      </text>
    </comment>
    <comment ref="BJ4" authorId="0" shapeId="0">
      <text>
        <t>Marine propulsion.</t>
      </text>
    </comment>
    <comment ref="BK4" authorId="0" shapeId="0">
      <text>
        <t>ROV tether notes.</t>
      </text>
    </comment>
    <comment ref="BL4" authorId="0" shapeId="0">
      <text>
        <t>Environmental protection narrative.</t>
      </text>
    </comment>
    <comment ref="BM4" authorId="0" shapeId="0">
      <text>
        <t>Collaborative / human-safe rating as published.</t>
      </text>
    </comment>
    <comment ref="BN4" authorId="0" shapeId="0">
      <text>
        <t>Get-up-after-fall capability when published.</t>
      </text>
    </comment>
    <comment ref="BO4" authorId="0" shapeId="0">
      <text>
        <t>Combined capability narrative (market + scores + LLM + mobility).</t>
      </text>
    </comment>
    <comment ref="BP4" authorId="0" shapeId="0">
      <text>
        <t>Indoor / outdoor / industrial class.</t>
      </text>
    </comment>
    <comment ref="BQ4" authorId="0" shapeId="0">
      <text>
        <t>Use categories and Humanoid.guide main market.</t>
      </text>
    </comment>
    <comment ref="BR4" authorId="0" shapeId="0">
      <text>
        <t>Normalized availability status.</t>
      </text>
    </comment>
    <comment ref="BS4" authorId="0" shapeId="0">
      <text>
        <t>Raw Humanoid.guide availability term.</t>
      </text>
    </comment>
    <comment ref="BT4" authorId="0" shapeId="0">
      <text>
        <t>Published colorways.</t>
      </text>
    </comment>
    <comment ref="BU4" authorId="0" shapeId="0">
      <text>
        <t>Humanoid.guide manufacturer-verification flag.</t>
      </text>
    </comment>
    <comment ref="BV4" authorId="0" shapeId="0">
      <text>
        <t>Additional technical notes.</t>
      </text>
    </comment>
    <comment ref="BW4" authorId="0" shapeId="0">
      <text>
        <t>Website card bullets (pipe-separated).</t>
      </text>
    </comment>
    <comment ref="BX4" authorId="0" shapeId="0">
      <text>
        <t>Configurator Step 3 tiers from store.html.</t>
      </text>
    </comment>
    <comment ref="BY4" authorId="0" shapeId="0">
      <text>
        <t>Configurator Step 4 colorways from store.html.</t>
      </text>
    </comment>
    <comment ref="BZ4" authorId="0" shapeId="0">
      <text>
        <t>Addon IDs resolved against store.html ADDONS.</t>
      </text>
    </comment>
    <comment ref="CA4" authorId="0" shapeId="0">
      <text>
        <t>Human-readable configurator summary.</t>
      </text>
    </comment>
    <comment ref="CB4" authorId="0" shapeId="0">
      <text>
        <t>Standard OEM warranty label.</t>
      </text>
    </comment>
    <comment ref="CC4" authorId="0" shapeId="0">
      <text>
        <t>Standard OEM warranty duration in months.</t>
      </text>
    </comment>
    <comment ref="CD4" authorId="0" shapeId="0">
      <text>
        <t>Default TOR extended plan in the configurator.</t>
      </text>
    </comment>
    <comment ref="CE4" authorId="0" shapeId="0">
      <text>
        <t>Basis used for the warranty determination.</t>
      </text>
    </comment>
    <comment ref="CF4" authorId="0" shapeId="0">
      <text>
        <t>Documented | High | Estimated.</t>
      </text>
    </comment>
    <comment ref="CG4" authorId="0" shapeId="0">
      <text>
        <t>Exclusions, contract dependency, accessories.</t>
      </text>
    </comment>
    <comment ref="CH4" authorId="0" shapeId="0">
      <text>
        <t>10% of selected configuration price.</t>
      </text>
    </comment>
    <comment ref="CI4" authorId="0" shapeId="0">
      <text>
        <t>17% of configuration.</t>
      </text>
    </comment>
    <comment ref="CJ4" authorId="0" shapeId="0">
      <text>
        <t>24% of configuration (default).</t>
      </text>
    </comment>
    <comment ref="CK4" authorId="0" shapeId="0">
      <text>
        <t>Optional +1 / +2 / +3 year packages.</t>
      </text>
    </comment>
    <comment ref="CL4" authorId="0" shapeId="0">
      <text>
        <t>Aug 2026 profitable schedule methodology.</t>
      </text>
    </comment>
    <comment ref="CM4" authorId="0" shapeId="0">
      <text>
        <t>Legacy combined warranty narrative.</t>
      </text>
    </comment>
  </commentList>
</comments>
</file>

<file path=xl/comments/comment5.xml><?xml version="1.0" encoding="utf-8"?>
<comments xmlns="http://schemas.openxmlformats.org/spreadsheetml/2006/main">
  <authors>
    <author>Unknown Author</author>
  </authors>
  <commentList>
    <comment ref="A4" authorId="0" shapeId="0">
      <text>
        <t>JS key in store.html ROBOTS. Blank if not yet on theofficialrobot.com.</t>
      </text>
    </comment>
    <comment ref="B4" authorId="0" shapeId="0">
      <text>
        <t>Website = store catalog only; Humanoid.guide = newly ingested; Both = merged.</t>
      </text>
    </comment>
    <comment ref="C4" authorId="0" shapeId="0">
      <text>
        <t>Brand / company.</t>
      </text>
    </comment>
    <comment ref="D4" authorId="0" shapeId="0">
      <text>
        <t>Clean public model name (Humanoid.guide name when available).</t>
      </text>
    </comment>
    <comment ref="E4" authorId="0" shapeId="0">
      <text>
        <t>Store display string [Manufacturer] Model (Year).</t>
      </text>
    </comment>
    <comment ref="F4" authorId="0" shapeId="0">
      <text>
        <t>humanoid | campanionoid | aerial | water</t>
      </text>
    </comment>
    <comment ref="G4" authorId="0" shapeId="0">
      <text>
        <t>Normalized nationality / maker origin.</t>
      </text>
    </comment>
    <comment ref="H4" authorId="0" shapeId="0">
      <text>
        <t>First public listing / reveal year when known.</t>
      </text>
    </comment>
    <comment ref="I4" authorId="0" shapeId="0">
      <text>
        <t>Starting public list or store base price in USD.</t>
      </text>
    </comment>
    <comment ref="J4" authorId="0" shapeId="0">
      <text>
        <t>Website store basePrice, Humanoid.guide list, or blended.</t>
      </text>
    </comment>
    <comment ref="K4" authorId="0" shapeId="0">
      <text>
        <t>Factual one-line description.</t>
      </text>
    </comment>
    <comment ref="N4" authorId="0" shapeId="0">
      <text>
        <t>Source product page on humanoid.guide.</t>
      </text>
    </comment>
    <comment ref="O4" authorId="0" shapeId="0">
      <text>
        <t>Manufacturer site from Humanoid.guide attribute.</t>
      </text>
    </comment>
    <comment ref="P4" authorId="0" shapeId="0">
      <text>
        <t>Fully upright height, US customary.</t>
      </text>
    </comment>
    <comment ref="Q4" authorId="0" shapeId="0">
      <text>
        <t>Source height in centimeters (Humanoid.guide).</t>
      </text>
    </comment>
    <comment ref="R4" authorId="0" shapeId="0">
      <text>
        <t>Operating weight in pounds.</t>
      </text>
    </comment>
    <comment ref="S4" authorId="0" shapeId="0">
      <text>
        <t>Operating weight in kilograms (Humanoid.guide).</t>
      </text>
    </comment>
    <comment ref="T4" authorId="0" shapeId="0">
      <text>
        <t>L × W × H envelope in inches when known.</t>
      </text>
    </comment>
    <comment ref="U4" authorId="0" shapeId="0">
      <text>
        <t>Packed / shipping size from Humanoid.guide.</t>
      </text>
    </comment>
    <comment ref="V4" authorId="0" shapeId="0">
      <text>
        <t>Independent joint count, overall.</t>
      </text>
    </comment>
    <comment ref="W4" authorId="0" shapeId="0">
      <text>
        <t>Hand / finger DOF package.</t>
      </text>
    </comment>
    <comment ref="X4" authorId="0" shapeId="0">
      <text>
        <t>Rated payload in pounds (converted from Strength kg when needed).</t>
      </text>
    </comment>
    <comment ref="Y4" authorId="0" shapeId="0">
      <text>
        <t>Humanoid.guide Strength [kg] (lift / payload class).</t>
      </text>
    </comment>
    <comment ref="Z4" authorId="0" shapeId="0">
      <text>
        <t>Peak speed in miles per hour.</t>
      </text>
    </comment>
    <comment ref="AA4" authorId="0" shapeId="0">
      <text>
        <t>Peak speed in km/h (Humanoid.guide).</t>
      </text>
    </comment>
    <comment ref="AB4" authorId="0" shapeId="0">
      <text>
        <t>Typical walking speed.</t>
      </text>
    </comment>
    <comment ref="AC4" authorId="0" shapeId="0">
      <text>
        <t>Energy capacity and/or runtime narrative.</t>
      </text>
    </comment>
    <comment ref="AD4" authorId="0" shapeId="0">
      <text>
        <t>Humanoid.guide runtime-per-charge text.</t>
      </text>
    </comment>
    <comment ref="AE4" authorId="0" shapeId="0">
      <text>
        <t>Aerial endurance in minutes.</t>
      </text>
    </comment>
    <comment ref="AF4" authorId="0" shapeId="0">
      <text>
        <t>Charge / dock notes.</t>
      </text>
    </comment>
    <comment ref="AG4" authorId="0" shapeId="0">
      <text>
        <t>Dexterous hands or grippers.</t>
      </text>
    </comment>
    <comment ref="AH4" authorId="0" shapeId="0">
      <text>
        <t>Fingers per hand or total as published.</t>
      </text>
    </comment>
    <comment ref="AI4" authorId="0" shapeId="0">
      <text>
        <t>Humanoid.guide manipulation skill score (higher is better).</t>
      </text>
    </comment>
    <comment ref="AJ4" authorId="0" shapeId="0">
      <text>
        <t>Imaging / perception narrative from store catalog.</t>
      </text>
    </comment>
    <comment ref="AK4" authorId="0" shapeId="0">
      <text>
        <t>Humanoid.guide camera resolution attribute.</t>
      </text>
    </comment>
    <comment ref="AL4" authorId="0" shapeId="0">
      <text>
        <t>Recording / livestream capability.</t>
      </text>
    </comment>
    <comment ref="AM4" authorId="0" shapeId="0">
      <text>
        <t>Stabilized camera mount (aerial).</t>
      </text>
    </comment>
    <comment ref="AN4" authorId="0" shapeId="0">
      <text>
        <t>LiDAR notes.</t>
      </text>
    </comment>
    <comment ref="AO4" authorId="0" shapeId="0">
      <text>
        <t>Microphone / voice hardware.</t>
      </text>
    </comment>
    <comment ref="AP4" authorId="0" shapeId="0">
      <text>
        <t>General sensor suite.</t>
      </text>
    </comment>
    <comment ref="AQ4" authorId="0" shapeId="0">
      <text>
        <t>Humanoid.guide tactile/force attribute.</t>
      </text>
    </comment>
    <comment ref="AR4" authorId="0" shapeId="0">
      <text>
        <t>Obstacle avoidance systems.</t>
      </text>
    </comment>
    <comment ref="AS4" authorId="0" shapeId="0">
      <text>
        <t>Onboard compute class from store catalog.</t>
      </text>
    </comment>
    <comment ref="AT4" authorId="0" shapeId="0">
      <text>
        <t>Humanoid.guide CPU/GPU attribute.</t>
      </text>
    </comment>
    <comment ref="AU4" authorId="0" shapeId="0">
      <text>
        <t>Radios, ports, enterprise integration.</t>
      </text>
    </comment>
    <comment ref="AV4" authorId="0" shapeId="0">
      <text>
        <t>Apps / RC / SDK / GCS.</t>
      </text>
    </comment>
    <comment ref="AW4" authorId="0" shapeId="0">
      <text>
        <t>Locomotion or flight stack notes.</t>
      </text>
    </comment>
    <comment ref="AX4" authorId="0" shapeId="0">
      <text>
        <t>Humanoid.guide navigation skill score (higher is better).</t>
      </text>
    </comment>
    <comment ref="AY4" authorId="0" shapeId="0">
      <text>
        <t>Onboard / fleet OS.</t>
      </text>
    </comment>
    <comment ref="AZ4" authorId="0" shapeId="0">
      <text>
        <t>Language / VLA / embodied-AI stack.</t>
      </text>
    </comment>
    <comment ref="BA4" authorId="0" shapeId="0">
      <text>
        <t>Perception-to-actuation latency notes.</t>
      </text>
    </comment>
    <comment ref="BB4" authorId="0" shapeId="0">
      <text>
        <t>Actuator / motor architecture.</t>
      </text>
    </comment>
    <comment ref="BC4" authorId="0" shapeId="0">
      <text>
        <t>Transmission / gearing.</t>
      </text>
    </comment>
    <comment ref="BD4" authorId="0" shapeId="0">
      <text>
        <t>Primary structure materials.</t>
      </text>
    </comment>
    <comment ref="BE4" authorId="0" shapeId="0">
      <text>
        <t>Normalized ingress protection code.</t>
      </text>
    </comment>
    <comment ref="BF4" authorId="0" shapeId="0">
      <text>
        <t>Raw Humanoid.guide ingress attribute.</t>
      </text>
    </comment>
    <comment ref="BG4" authorId="0" shapeId="0">
      <text>
        <t>Marine operating depth in feet.</t>
      </text>
    </comment>
    <comment ref="BH4" authorId="0" shapeId="0">
      <text>
        <t>Transmission range in miles.</t>
      </text>
    </comment>
    <comment ref="BI4" authorId="0" shapeId="0">
      <text>
        <t>Illumination modules.</t>
      </text>
    </comment>
    <comment ref="BJ4" authorId="0" shapeId="0">
      <text>
        <t>Marine propulsion.</t>
      </text>
    </comment>
    <comment ref="BK4" authorId="0" shapeId="0">
      <text>
        <t>ROV tether notes.</t>
      </text>
    </comment>
    <comment ref="BL4" authorId="0" shapeId="0">
      <text>
        <t>Environmental protection narrative.</t>
      </text>
    </comment>
    <comment ref="BM4" authorId="0" shapeId="0">
      <text>
        <t>Collaborative / human-safe rating as published.</t>
      </text>
    </comment>
    <comment ref="BN4" authorId="0" shapeId="0">
      <text>
        <t>Get-up-after-fall capability when published.</t>
      </text>
    </comment>
    <comment ref="BO4" authorId="0" shapeId="0">
      <text>
        <t>Combined capability narrative (market + scores + LLM + mobility).</t>
      </text>
    </comment>
    <comment ref="BP4" authorId="0" shapeId="0">
      <text>
        <t>Indoor / outdoor / industrial class.</t>
      </text>
    </comment>
    <comment ref="BQ4" authorId="0" shapeId="0">
      <text>
        <t>Use categories and Humanoid.guide main market.</t>
      </text>
    </comment>
    <comment ref="BR4" authorId="0" shapeId="0">
      <text>
        <t>Normalized availability status.</t>
      </text>
    </comment>
    <comment ref="BS4" authorId="0" shapeId="0">
      <text>
        <t>Raw Humanoid.guide availability term.</t>
      </text>
    </comment>
    <comment ref="BT4" authorId="0" shapeId="0">
      <text>
        <t>Published colorways.</t>
      </text>
    </comment>
    <comment ref="BU4" authorId="0" shapeId="0">
      <text>
        <t>Humanoid.guide manufacturer-verification flag.</t>
      </text>
    </comment>
    <comment ref="BV4" authorId="0" shapeId="0">
      <text>
        <t>Additional technical notes.</t>
      </text>
    </comment>
    <comment ref="BW4" authorId="0" shapeId="0">
      <text>
        <t>Website card bullets (pipe-separated).</t>
      </text>
    </comment>
    <comment ref="BX4" authorId="0" shapeId="0">
      <text>
        <t>Configurator Step 3 tiers from store.html.</t>
      </text>
    </comment>
    <comment ref="BY4" authorId="0" shapeId="0">
      <text>
        <t>Configurator Step 4 colorways from store.html.</t>
      </text>
    </comment>
    <comment ref="BZ4" authorId="0" shapeId="0">
      <text>
        <t>Addon IDs resolved against store.html ADDONS.</t>
      </text>
    </comment>
    <comment ref="CA4" authorId="0" shapeId="0">
      <text>
        <t>Human-readable configurator summary.</t>
      </text>
    </comment>
    <comment ref="CB4" authorId="0" shapeId="0">
      <text>
        <t>Standard OEM warranty label.</t>
      </text>
    </comment>
    <comment ref="CC4" authorId="0" shapeId="0">
      <text>
        <t>Standard OEM warranty duration in months.</t>
      </text>
    </comment>
    <comment ref="CD4" authorId="0" shapeId="0">
      <text>
        <t>Default TOR extended plan in the configurator.</t>
      </text>
    </comment>
    <comment ref="CE4" authorId="0" shapeId="0">
      <text>
        <t>Basis used for the warranty determination.</t>
      </text>
    </comment>
    <comment ref="CF4" authorId="0" shapeId="0">
      <text>
        <t>Documented | High | Estimated.</t>
      </text>
    </comment>
    <comment ref="CG4" authorId="0" shapeId="0">
      <text>
        <t>Exclusions, contract dependency, accessories.</t>
      </text>
    </comment>
    <comment ref="CH4" authorId="0" shapeId="0">
      <text>
        <t>10% of selected configuration price.</t>
      </text>
    </comment>
    <comment ref="CI4" authorId="0" shapeId="0">
      <text>
        <t>17% of configuration.</t>
      </text>
    </comment>
    <comment ref="CJ4" authorId="0" shapeId="0">
      <text>
        <t>24% of configuration (default).</t>
      </text>
    </comment>
    <comment ref="CK4" authorId="0" shapeId="0">
      <text>
        <t>Optional +1 / +2 / +3 year packages.</t>
      </text>
    </comment>
    <comment ref="CL4" authorId="0" shapeId="0">
      <text>
        <t>Aug 2026 profitable schedule methodology.</t>
      </text>
    </comment>
    <comment ref="CM4" authorId="0" shapeId="0">
      <text>
        <t>Legacy combined warranty narrative.</t>
      </text>
    </comment>
  </commentList>
</comments>
</file>

<file path=xl/comments/comment6.xml><?xml version="1.0" encoding="utf-8"?>
<comments xmlns="http://schemas.openxmlformats.org/spreadsheetml/2006/main">
  <authors>
    <author>Unknown Author</author>
  </authors>
  <commentList>
    <comment ref="A4" authorId="0" shapeId="0">
      <text>
        <t>Future store.html key. Format hand_{humanoid.guide slug}.</t>
      </text>
    </comment>
    <comment ref="B4" authorId="0" shapeId="0">
      <text>
        <t>Humanoid.guide Hands category extract (https://humanoid.guide/hands/).</t>
      </text>
    </comment>
    <comment ref="C4" authorId="0" shapeId="0">
      <text>
        <t>OEM / lab that publishes the hand.</t>
      </text>
    </comment>
    <comment ref="D4" authorId="0" shapeId="0">
      <text>
        <t>Public model name on humanoid.guide.</t>
      </text>
    </comment>
    <comment ref="E4" authorId="0" shapeId="0">
      <text>
        <t>Always hand (end-effector / dexterous manipulator).</t>
      </text>
    </comment>
    <comment ref="F4" authorId="0" shapeId="0">
      <text>
        <t>Normalized nationality.</t>
      </text>
    </comment>
    <comment ref="G4" authorId="0" shapeId="0">
      <text>
        <t>Reveal / listing year when parseable from copy.</t>
      </text>
    </comment>
    <comment ref="H4" authorId="0" shapeId="0">
      <text>
        <t>Humanoid.guide list price in USD.</t>
      </text>
    </comment>
    <comment ref="I4" authorId="0" shapeId="0">
      <text>
        <t>Humanoid.guide list.</t>
      </text>
    </comment>
    <comment ref="J4" authorId="0" shapeId="0">
      <text>
        <t>Factual one-line description from the product page.</t>
      </text>
    </comment>
    <comment ref="N4" authorId="0" shapeId="0">
      <text>
        <t>Source product page.</t>
      </text>
    </comment>
    <comment ref="O4" authorId="0" shapeId="0">
      <text>
        <t>Manufacturer site from the Hands attribute table.</t>
      </text>
    </comment>
    <comment ref="P4" authorId="0" shapeId="0">
      <text>
        <t>Operating weight in pounds (converted from kg / g).</t>
      </text>
    </comment>
    <comment ref="Q4" authorId="0" shapeId="0">
      <text>
        <t>Operating weight in kilograms (source).</t>
      </text>
    </comment>
    <comment ref="R4" authorId="0" shapeId="0">
      <text>
        <t>Raw envelope string as published (usually mm).</t>
      </text>
    </comment>
    <comment ref="S4" authorId="0" shapeId="0">
      <text>
        <t>Converted L × W × D in inches when three-axis mm/cm given.</t>
      </text>
    </comment>
    <comment ref="T4" authorId="0" shapeId="0">
      <text>
        <t>Active / published hand DOF.</t>
      </text>
    </comment>
    <comment ref="U4" authorId="0" shapeId="0">
      <text>
        <t>Digit count as published.</t>
      </text>
    </comment>
    <comment ref="V4" authorId="0" shapeId="0">
      <text>
        <t>Rated grip / lift converted from Strength [kg].</t>
      </text>
    </comment>
    <comment ref="W4" authorId="0" shapeId="0">
      <text>
        <t>Humanoid.guide Strength [kg] (grip or payload class).</t>
      </text>
    </comment>
    <comment ref="X4" authorId="0" shapeId="0">
      <text>
        <t>Yes / No / detail collapsed to Yes-No.</t>
      </text>
    </comment>
    <comment ref="Y4" authorId="0" shapeId="0">
      <text>
        <t>Raw tactile/force attribute text.</t>
      </text>
    </comment>
    <comment ref="Z4" authorId="0" shapeId="0">
      <text>
        <t>Actuator architecture.</t>
      </text>
    </comment>
    <comment ref="AA4" authorId="0" shapeId="0">
      <text>
        <t>Primary structure / skin materials.</t>
      </text>
    </comment>
    <comment ref="AB4" authorId="0" shapeId="0">
      <text>
        <t>Concatenated dexterity, tactile, actuation, and mass notes.</t>
      </text>
    </comment>
    <comment ref="AC4" authorId="0" shapeId="0">
      <text>
        <t>Inferred use class from description (research, prosthetic, industrial, humanoid OEM).</t>
      </text>
    </comment>
    <comment ref="AD4" authorId="0" shapeId="0">
      <text>
        <t>Raw Humanoid.guide availability.</t>
      </text>
    </comment>
    <comment ref="AE4" authorId="0" shapeId="0">
      <text>
        <t>Normalized availability.</t>
      </text>
    </comment>
    <comment ref="AF4" authorId="0" shapeId="0">
      <text>
        <t>Parser notes (weight ranges, dual listings).</t>
      </text>
    </comment>
    <comment ref="AG4" authorId="0" shapeId="0">
      <text>
        <t>Default 12-month component norm until OEM quote.</t>
      </text>
    </comment>
    <comment ref="AH4" authorId="0" shapeId="0">
      <text>
        <t>12 unless an OEM sheet is later confirmed.</t>
      </text>
    </comment>
    <comment ref="AI4" authorId="0" shapeId="0">
      <text>
        <t>+3 Year Extended ≈24% of configuration (configurator default).</t>
      </text>
    </comment>
    <comment ref="AJ4" authorId="0" shapeId="0">
      <text>
        <t>Category norm for dexterous end-effectors, Aug 2026.</t>
      </text>
    </comment>
    <comment ref="AK4" authorId="0" shapeId="0">
      <text>
        <t>Estimated until an OEM certificate is on file.</t>
      </text>
    </comment>
    <comment ref="AL4" authorId="0" shapeId="0">
      <text>
        <t>Confirm wear items (skins, tendons, tactile skins) on formal quote.</t>
      </text>
    </comment>
    <comment ref="AM4" authorId="0" shapeId="0">
      <text>
        <t>10% of selected configuration price.</t>
      </text>
    </comment>
    <comment ref="AN4" authorId="0" shapeId="0">
      <text>
        <t>17% of configuration.</t>
      </text>
    </comment>
    <comment ref="AO4" authorId="0" shapeId="0">
      <text>
        <t>24% of configuration (default).</t>
      </text>
    </comment>
    <comment ref="AP4" authorId="0" shapeId="0">
      <text>
        <t>+1 / +2 / +3 year packages at 10 / 17 / 24%.</t>
      </text>
    </comment>
    <comment ref="AQ4" authorId="0" shapeId="0">
      <text>
        <t>Same profitable schedule used across the TOR catalog.</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hyperlink" Target="https://humanoid.guide/" TargetMode="External" Id="rId1"/><Relationship Type="http://schemas.openxmlformats.org/officeDocument/2006/relationships/hyperlink" Target="https://humanoid.guide/humanoid-robots-database/" TargetMode="External" Id="rId2"/></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hyperlink" Target="https://humanoid.guide/product/neo/" TargetMode="External" Id="rId1"/><Relationship Type="http://schemas.openxmlformats.org/officeDocument/2006/relationships/hyperlink" Target="https://www.1x.tech/" TargetMode="External" Id="rId2"/><Relationship Type="http://schemas.openxmlformats.org/officeDocument/2006/relationships/hyperlink" Target="https://humanoid.guide/product/neo-beta/" TargetMode="External" Id="rId3"/><Relationship Type="http://schemas.openxmlformats.org/officeDocument/2006/relationships/hyperlink" Target="https://www.1x.tech/androids/neo" TargetMode="External" Id="rId4"/><Relationship Type="http://schemas.openxmlformats.org/officeDocument/2006/relationships/hyperlink" Target="https://humanoid.guide/product/neo-gamma/" TargetMode="External" Id="rId5"/><Relationship Type="http://schemas.openxmlformats.org/officeDocument/2006/relationships/hyperlink" Target="https://www.1x.tech/" TargetMode="External" Id="rId6"/><Relationship Type="http://schemas.openxmlformats.org/officeDocument/2006/relationships/hyperlink" Target="https://humanoid.guide/product/alice/" TargetMode="External" Id="rId7"/><Relationship Type="http://schemas.openxmlformats.org/officeDocument/2006/relationships/hyperlink" Target="https://arobot4all.com/" TargetMode="External" Id="rId8"/><Relationship Type="http://schemas.openxmlformats.org/officeDocument/2006/relationships/hyperlink" Target="https://humanoid.guide/product/alice-m1/" TargetMode="External" Id="rId9"/><Relationship Type="http://schemas.openxmlformats.org/officeDocument/2006/relationships/hyperlink" Target="https://arobot4all.com/" TargetMode="External" Id="rId10"/><Relationship Type="http://schemas.openxmlformats.org/officeDocument/2006/relationships/hyperlink" Target="https://humanoid.guide/product/a2/" TargetMode="External" Id="rId11"/><Relationship Type="http://schemas.openxmlformats.org/officeDocument/2006/relationships/hyperlink" Target="https://www.agibot.com/" TargetMode="External" Id="rId12"/><Relationship Type="http://schemas.openxmlformats.org/officeDocument/2006/relationships/hyperlink" Target="https://humanoid.guide/product/a2-max/" TargetMode="External" Id="rId13"/><Relationship Type="http://schemas.openxmlformats.org/officeDocument/2006/relationships/hyperlink" Target="https://www.agibot.com/" TargetMode="External" Id="rId14"/><Relationship Type="http://schemas.openxmlformats.org/officeDocument/2006/relationships/hyperlink" Target="https://humanoid.guide/product/agibot-a2-w/" TargetMode="External" Id="rId15"/><Relationship Type="http://schemas.openxmlformats.org/officeDocument/2006/relationships/hyperlink" Target="https://www.agibot.com/" TargetMode="External" Id="rId16"/><Relationship Type="http://schemas.openxmlformats.org/officeDocument/2006/relationships/hyperlink" Target="https://humanoid.guide/product/agibot-a3/" TargetMode="External" Id="rId17"/><Relationship Type="http://schemas.openxmlformats.org/officeDocument/2006/relationships/hyperlink" Target="https://www.agibot.com/" TargetMode="External" Id="rId18"/><Relationship Type="http://schemas.openxmlformats.org/officeDocument/2006/relationships/hyperlink" Target="https://humanoid.guide/product/agibot-g1/" TargetMode="External" Id="rId19"/><Relationship Type="http://schemas.openxmlformats.org/officeDocument/2006/relationships/hyperlink" Target="https://www.agibot.com/" TargetMode="External" Id="rId20"/><Relationship Type="http://schemas.openxmlformats.org/officeDocument/2006/relationships/hyperlink" Target="https://humanoid.guide/product/agibot-x1/" TargetMode="External" Id="rId21"/><Relationship Type="http://schemas.openxmlformats.org/officeDocument/2006/relationships/hyperlink" Target="https://www.agibot.com/" TargetMode="External" Id="rId22"/><Relationship Type="http://schemas.openxmlformats.org/officeDocument/2006/relationships/hyperlink" Target="https://humanoid.guide/product/g2-genie/" TargetMode="External" Id="rId23"/><Relationship Type="http://schemas.openxmlformats.org/officeDocument/2006/relationships/hyperlink" Target="https://www.agibot.com/" TargetMode="External" Id="rId24"/><Relationship Type="http://schemas.openxmlformats.org/officeDocument/2006/relationships/hyperlink" Target="https://humanoid.guide/product/g2-max/" TargetMode="External" Id="rId25"/><Relationship Type="http://schemas.openxmlformats.org/officeDocument/2006/relationships/hyperlink" Target="https://www.agibot.com/" TargetMode="External" Id="rId26"/><Relationship Type="http://schemas.openxmlformats.org/officeDocument/2006/relationships/hyperlink" Target="https://humanoid.guide/product/quester1-q1/" TargetMode="External" Id="rId27"/><Relationship Type="http://schemas.openxmlformats.org/officeDocument/2006/relationships/hyperlink" Target="https://www.agibot.com/" TargetMode="External" Id="rId28"/><Relationship Type="http://schemas.openxmlformats.org/officeDocument/2006/relationships/hyperlink" Target="https://humanoid.guide/product/raise-a1/" TargetMode="External" Id="rId29"/><Relationship Type="http://schemas.openxmlformats.org/officeDocument/2006/relationships/hyperlink" Target="https://www.agibot.com/" TargetMode="External" Id="rId30"/><Relationship Type="http://schemas.openxmlformats.org/officeDocument/2006/relationships/hyperlink" Target="https://humanoid.guide/product/agibot-x2/" TargetMode="External" Id="rId31"/><Relationship Type="http://schemas.openxmlformats.org/officeDocument/2006/relationships/hyperlink" Target="https://www.agibot.com/products/X2" TargetMode="External" Id="rId32"/><Relationship Type="http://schemas.openxmlformats.org/officeDocument/2006/relationships/hyperlink" Target="https://humanoid.guide/product/agile-one/" TargetMode="External" Id="rId33"/><Relationship Type="http://schemas.openxmlformats.org/officeDocument/2006/relationships/hyperlink" Target="https://www.agile-robots.com/" TargetMode="External" Id="rId34"/><Relationship Type="http://schemas.openxmlformats.org/officeDocument/2006/relationships/hyperlink" Target="https://humanoid.guide/product/digit/" TargetMode="External" Id="rId35"/><Relationship Type="http://schemas.openxmlformats.org/officeDocument/2006/relationships/hyperlink" Target="https://agilityrobotics.com/" TargetMode="External" Id="rId36"/><Relationship Type="http://schemas.openxmlformats.org/officeDocument/2006/relationships/hyperlink" Target="https://humanoid.guide/product/akinci-5/" TargetMode="External" Id="rId37"/><Relationship Type="http://schemas.openxmlformats.org/officeDocument/2006/relationships/hyperlink" Target="https://www.akinrobotics.com/" TargetMode="External" Id="rId38"/><Relationship Type="http://schemas.openxmlformats.org/officeDocument/2006/relationships/hyperlink" Target="https://humanoid.guide/product/abi/" TargetMode="External" Id="rId39"/><Relationship Type="http://schemas.openxmlformats.org/officeDocument/2006/relationships/hyperlink" Target="https://andromedarobotics.ai/" TargetMode="External" Id="rId40"/><Relationship Type="http://schemas.openxmlformats.org/officeDocument/2006/relationships/hyperlink" Target="https://humanoid.guide/product/apollo/" TargetMode="External" Id="rId41"/><Relationship Type="http://schemas.openxmlformats.org/officeDocument/2006/relationships/hyperlink" Target="https://apptronik.com/apollo" TargetMode="External" Id="rId42"/><Relationship Type="http://schemas.openxmlformats.org/officeDocument/2006/relationships/hyperlink" Target="https://humanoid.guide/product/apollo-2/" TargetMode="External" Id="rId43"/><Relationship Type="http://schemas.openxmlformats.org/officeDocument/2006/relationships/hyperlink" Target="https://apptronik.com/" TargetMode="External" Id="rId44"/><Relationship Type="http://schemas.openxmlformats.org/officeDocument/2006/relationships/hyperlink" Target="https://humanoid.guide/product/astra/" TargetMode="External" Id="rId45"/><Relationship Type="http://schemas.openxmlformats.org/officeDocument/2006/relationships/hyperlink" Target="https://apptronik.com/" TargetMode="External" Id="rId46"/><Relationship Type="http://schemas.openxmlformats.org/officeDocument/2006/relationships/hyperlink" Target="https://humanoid.guide/product/qdh/" TargetMode="External" Id="rId47"/><Relationship Type="http://schemas.openxmlformats.org/officeDocument/2006/relationships/hyperlink" Target="https://apptronik.com/" TargetMode="External" Id="rId48"/><Relationship Type="http://schemas.openxmlformats.org/officeDocument/2006/relationships/hyperlink" Target="https://humanoid.guide/product/aidol/" TargetMode="External" Id="rId49"/><Relationship Type="http://schemas.openxmlformats.org/officeDocument/2006/relationships/hyperlink" Target="https://aidoltech.ru/" TargetMode="External" Id="rId50"/><Relationship Type="http://schemas.openxmlformats.org/officeDocument/2006/relationships/hyperlink" Target="https://humanoid.guide/product/astribot-s1/" TargetMode="External" Id="rId51"/><Relationship Type="http://schemas.openxmlformats.org/officeDocument/2006/relationships/hyperlink" Target="https://www.astribot.com/en/product" TargetMode="External" Id="rId52"/><Relationship Type="http://schemas.openxmlformats.org/officeDocument/2006/relationships/hyperlink" Target="https://humanoid.guide/product/astribot-t1/" TargetMode="External" Id="rId53"/><Relationship Type="http://schemas.openxmlformats.org/officeDocument/2006/relationships/hyperlink" Target="https://www.astribot.com/en/product" TargetMode="External" Id="rId54"/><Relationship Type="http://schemas.openxmlformats.org/officeDocument/2006/relationships/hyperlink" Target="https://humanoid.guide/product/galbot-et1/" TargetMode="External" Id="rId55"/><Relationship Type="http://schemas.openxmlformats.org/officeDocument/2006/relationships/hyperlink" Target="https://www.galbot.com/" TargetMode="External" Id="rId56"/><Relationship Type="http://schemas.openxmlformats.org/officeDocument/2006/relationships/hyperlink" Target="https://humanoid.guide/product/galbot-s1/" TargetMode="External" Id="rId57"/><Relationship Type="http://schemas.openxmlformats.org/officeDocument/2006/relationships/hyperlink" Target="https://www.galbot.com/" TargetMode="External" Id="rId58"/><Relationship Type="http://schemas.openxmlformats.org/officeDocument/2006/relationships/hyperlink" Target="https://humanoid.guide/product/booster-t1/" TargetMode="External" Id="rId59"/><Relationship Type="http://schemas.openxmlformats.org/officeDocument/2006/relationships/hyperlink" Target="https://www.boosterobotics.com/" TargetMode="External" Id="rId60"/><Relationship Type="http://schemas.openxmlformats.org/officeDocument/2006/relationships/hyperlink" Target="https://humanoid.guide/product/booster-t2/" TargetMode="External" Id="rId61"/><Relationship Type="http://schemas.openxmlformats.org/officeDocument/2006/relationships/hyperlink" Target="http://booster.tech/" TargetMode="External" Id="rId62"/><Relationship Type="http://schemas.openxmlformats.org/officeDocument/2006/relationships/hyperlink" Target="https://humanoid.guide/product/k1/" TargetMode="External" Id="rId63"/><Relationship Type="http://schemas.openxmlformats.org/officeDocument/2006/relationships/hyperlink" Target="http://booster.tech/" TargetMode="External" Id="rId64"/><Relationship Type="http://schemas.openxmlformats.org/officeDocument/2006/relationships/hyperlink" Target="https://humanoid.guide/product/borg-01/" TargetMode="External" Id="rId65"/><Relationship Type="http://schemas.openxmlformats.org/officeDocument/2006/relationships/hyperlink" Target="https://www.borgrobotic.com/" TargetMode="External" Id="rId66"/><Relationship Type="http://schemas.openxmlformats.org/officeDocument/2006/relationships/hyperlink" Target="https://humanoid.guide/product/dexbot/" TargetMode="External" Id="rId67"/><Relationship Type="http://schemas.openxmlformats.org/officeDocument/2006/relationships/hyperlink" Target="https://en.boshi.cn/" TargetMode="External" Id="rId68"/><Relationship Type="http://schemas.openxmlformats.org/officeDocument/2006/relationships/hyperlink" Target="https://humanoid.guide/product/atlas/" TargetMode="External" Id="rId69"/><Relationship Type="http://schemas.openxmlformats.org/officeDocument/2006/relationships/hyperlink" Target="https://bostondynamics.com/" TargetMode="External" Id="rId70"/><Relationship Type="http://schemas.openxmlformats.org/officeDocument/2006/relationships/hyperlink" Target="https://humanoid.guide/product/atlas-2013/" TargetMode="External" Id="rId71"/><Relationship Type="http://schemas.openxmlformats.org/officeDocument/2006/relationships/hyperlink" Target="https://bostondynamics.com/atlas/" TargetMode="External" Id="rId72"/><Relationship Type="http://schemas.openxmlformats.org/officeDocument/2006/relationships/hyperlink" Target="https://humanoid.guide/product/yogi/" TargetMode="External" Id="rId73"/><Relationship Type="http://schemas.openxmlformats.org/officeDocument/2006/relationships/hyperlink" Target="https://www.cartwheelrobotics.com/" TargetMode="External" Id="rId74"/><Relationship Type="http://schemas.openxmlformats.org/officeDocument/2006/relationships/hyperlink" Target="https://humanoid.guide/product/casbot-02/" TargetMode="External" Id="rId75"/><Relationship Type="http://schemas.openxmlformats.org/officeDocument/2006/relationships/hyperlink" Target="https://casbot.tech/" TargetMode="External" Id="rId76"/><Relationship Type="http://schemas.openxmlformats.org/officeDocument/2006/relationships/hyperlink" Target="https://humanoid.guide/product/casbot-w1/" TargetMode="External" Id="rId77"/><Relationship Type="http://schemas.openxmlformats.org/officeDocument/2006/relationships/hyperlink" Target="https://casbot.tech/" TargetMode="External" Id="rId78"/><Relationship Type="http://schemas.openxmlformats.org/officeDocument/2006/relationships/hyperlink" Target="https://humanoid.guide/product/casivibot/" TargetMode="External" Id="rId79"/><Relationship Type="http://schemas.openxmlformats.org/officeDocument/2006/relationships/hyperlink" Target="https://en.zhongkehuiyuan.com/" TargetMode="External" Id="rId80"/><Relationship Type="http://schemas.openxmlformats.org/officeDocument/2006/relationships/hyperlink" Target="https://humanoid.guide/product/clone-alpha/" TargetMode="External" Id="rId81"/><Relationship Type="http://schemas.openxmlformats.org/officeDocument/2006/relationships/hyperlink" Target="https://humanoid.guide/product/orca/" TargetMode="External" Id="rId82"/><Relationship Type="http://schemas.openxmlformats.org/officeDocument/2006/relationships/hyperlink" Target="https://humanoid.guide/product/dr01/" TargetMode="External" Id="rId83"/><Relationship Type="http://schemas.openxmlformats.org/officeDocument/2006/relationships/hyperlink" Target="https://www.deeprobotics.cn/en" TargetMode="External" Id="rId84"/><Relationship Type="http://schemas.openxmlformats.org/officeDocument/2006/relationships/hyperlink" Target="https://humanoid.guide/product/dr02/" TargetMode="External" Id="rId85"/><Relationship Type="http://schemas.openxmlformats.org/officeDocument/2006/relationships/hyperlink" Target="https://www.deeprobotics.cn/" TargetMode="External" Id="rId86"/><Relationship Type="http://schemas.openxmlformats.org/officeDocument/2006/relationships/hyperlink" Target="https://humanoid.guide/product/w1-pro/" TargetMode="External" Id="rId87"/><Relationship Type="http://schemas.openxmlformats.org/officeDocument/2006/relationships/hyperlink" Target="https://en.dexforce.com/" TargetMode="External" Id="rId88"/><Relationship Type="http://schemas.openxmlformats.org/officeDocument/2006/relationships/hyperlink" Target="https://humanoid.guide/product/vega/" TargetMode="External" Id="rId89"/><Relationship Type="http://schemas.openxmlformats.org/officeDocument/2006/relationships/hyperlink" Target="https://humanoid.guide/product/nezha-p01/" TargetMode="External" Id="rId90"/><Relationship Type="http://schemas.openxmlformats.org/officeDocument/2006/relationships/hyperlink" Target="https://www.digit.com.cn/" TargetMode="External" Id="rId91"/><Relationship Type="http://schemas.openxmlformats.org/officeDocument/2006/relationships/hyperlink" Target="https://humanoid.guide/product/xialan-s0/" TargetMode="External" Id="rId92"/><Relationship Type="http://schemas.openxmlformats.org/officeDocument/2006/relationships/hyperlink" Target="https://www.digit.com.cn/" TargetMode="External" Id="rId93"/><Relationship Type="http://schemas.openxmlformats.org/officeDocument/2006/relationships/hyperlink" Target="https://humanoid.guide/product/xiaqi/" TargetMode="External" Id="rId94"/><Relationship Type="http://schemas.openxmlformats.org/officeDocument/2006/relationships/hyperlink" Target="https://www.digit.com.cn/" TargetMode="External" Id="rId95"/><Relationship Type="http://schemas.openxmlformats.org/officeDocument/2006/relationships/hyperlink" Target="https://humanoid.guide/product/atom-2/" TargetMode="External" Id="rId96"/><Relationship Type="http://schemas.openxmlformats.org/officeDocument/2006/relationships/hyperlink" Target="https://www.dobot-robots.com/&#8203;" TargetMode="External" Id="rId97"/><Relationship Type="http://schemas.openxmlformats.org/officeDocument/2006/relationships/hyperlink" Target="https://humanoid.guide/product/atom-max/" TargetMode="External" Id="rId98"/><Relationship Type="http://schemas.openxmlformats.org/officeDocument/2006/relationships/hyperlink" Target="https://www.dobot-robots.com/" TargetMode="External" Id="rId99"/><Relationship Type="http://schemas.openxmlformats.org/officeDocument/2006/relationships/hyperlink" Target="https://humanoid.guide/product/cinnamon-1/" TargetMode="External" Id="rId100"/><Relationship Type="http://schemas.openxmlformats.org/officeDocument/2006/relationships/hyperlink" Target="https://www.donutrobotics.com/en" TargetMode="External" Id="rId101"/><Relationship Type="http://schemas.openxmlformats.org/officeDocument/2006/relationships/hyperlink" Target="https://humanoid.guide/product/duatic-alpha/" TargetMode="External" Id="rId102"/><Relationship Type="http://schemas.openxmlformats.org/officeDocument/2006/relationships/hyperlink" Target="https://www.duatic.com/" TargetMode="External" Id="rId103"/><Relationship Type="http://schemas.openxmlformats.org/officeDocument/2006/relationships/hyperlink" Target="https://humanoid.guide/product/skywalker-2/" TargetMode="External" Id="rId104"/><Relationship Type="http://schemas.openxmlformats.org/officeDocument/2006/relationships/hyperlink" Target="https://www.eir.com.cn/" TargetMode="External" Id="rId105"/><Relationship Type="http://schemas.openxmlformats.org/officeDocument/2006/relationships/hyperlink" Target="https://humanoid.guide/product/astrodroid-ad-01/" TargetMode="External" Id="rId106"/><Relationship Type="http://schemas.openxmlformats.org/officeDocument/2006/relationships/hyperlink" Target="http://www.elu-ai.com/" TargetMode="External" Id="rId107"/><Relationship Type="http://schemas.openxmlformats.org/officeDocument/2006/relationships/hyperlink" Target="https://humanoid.guide/product/mirokai/" TargetMode="External" Id="rId108"/><Relationship Type="http://schemas.openxmlformats.org/officeDocument/2006/relationships/hyperlink" Target="https://enchanted.tools/" TargetMode="External" Id="rId109"/><Relationship Type="http://schemas.openxmlformats.org/officeDocument/2006/relationships/hyperlink" Target="https://humanoid.guide/product/pm01/" TargetMode="External" Id="rId110"/><Relationship Type="http://schemas.openxmlformats.org/officeDocument/2006/relationships/hyperlink" Target="https://www.engineai.com.cn/" TargetMode="External" Id="rId111"/><Relationship Type="http://schemas.openxmlformats.org/officeDocument/2006/relationships/hyperlink" Target="https://humanoid.guide/product/sao2/" TargetMode="External" Id="rId112"/><Relationship Type="http://schemas.openxmlformats.org/officeDocument/2006/relationships/hyperlink" Target="https://www.engineai.com.cn/" TargetMode="External" Id="rId113"/><Relationship Type="http://schemas.openxmlformats.org/officeDocument/2006/relationships/hyperlink" Target="https://humanoid.guide/product/se01/" TargetMode="External" Id="rId114"/><Relationship Type="http://schemas.openxmlformats.org/officeDocument/2006/relationships/hyperlink" Target="https://www.engineai.com.cn/" TargetMode="External" Id="rId115"/><Relationship Type="http://schemas.openxmlformats.org/officeDocument/2006/relationships/hyperlink" Target="https://humanoid.guide/product/t800/" TargetMode="External" Id="rId116"/><Relationship Type="http://schemas.openxmlformats.org/officeDocument/2006/relationships/hyperlink" Target="https://www.engineai.com.cn/" TargetMode="External" Id="rId117"/><Relationship Type="http://schemas.openxmlformats.org/officeDocument/2006/relationships/hyperlink" Target="https://humanoid.guide/product/futurist/" TargetMode="External" Id="rId118"/><Relationship Type="http://schemas.openxmlformats.org/officeDocument/2006/relationships/hyperlink" Target="https://robotics.ff.com/us/" TargetMode="External" Id="rId119"/><Relationship Type="http://schemas.openxmlformats.org/officeDocument/2006/relationships/hyperlink" Target="https://humanoid.guide/product/master/" TargetMode="External" Id="rId120"/><Relationship Type="http://schemas.openxmlformats.org/officeDocument/2006/relationships/hyperlink" Target="https://robotics.ff.com/us/" TargetMode="External" Id="rId121"/><Relationship Type="http://schemas.openxmlformats.org/officeDocument/2006/relationships/hyperlink" Target="https://humanoid.guide/product/sprout/" TargetMode="External" Id="rId122"/><Relationship Type="http://schemas.openxmlformats.org/officeDocument/2006/relationships/hyperlink" Target="https://faunarobotics.com/" TargetMode="External" Id="rId123"/><Relationship Type="http://schemas.openxmlformats.org/officeDocument/2006/relationships/hyperlink" Target="https://humanoid.guide/product/figure-02/" TargetMode="External" Id="rId124"/><Relationship Type="http://schemas.openxmlformats.org/officeDocument/2006/relationships/hyperlink" Target="https://www.figure.ai/" TargetMode="External" Id="rId125"/><Relationship Type="http://schemas.openxmlformats.org/officeDocument/2006/relationships/hyperlink" Target="https://humanoid.guide/product/figure-03/" TargetMode="External" Id="rId126"/><Relationship Type="http://schemas.openxmlformats.org/officeDocument/2006/relationships/hyperlink" Target="https://www.figure.ai/" TargetMode="External" Id="rId127"/><Relationship Type="http://schemas.openxmlformats.org/officeDocument/2006/relationships/hyperlink" Target="https://humanoid.guide/product/aico-2/" TargetMode="External" Id="rId128"/><Relationship Type="http://schemas.openxmlformats.org/officeDocument/2006/relationships/hyperlink" Target="https://flexiv.com/" TargetMode="External" Id="rId129"/><Relationship Type="http://schemas.openxmlformats.org/officeDocument/2006/relationships/hyperlink" Target="https://humanoid.guide/product/mico/" TargetMode="External" Id="rId130"/><Relationship Type="http://schemas.openxmlformats.org/officeDocument/2006/relationships/hyperlink" Target="https://flexiv.com/" TargetMode="External" Id="rId131"/><Relationship Type="http://schemas.openxmlformats.org/officeDocument/2006/relationships/hyperlink" Target="https://humanoid.guide/product/phantom-mk1/" TargetMode="External" Id="rId132"/><Relationship Type="http://schemas.openxmlformats.org/officeDocument/2006/relationships/hyperlink" Target="https://humanoid.guide/product/gr-1/" TargetMode="External" Id="rId133"/><Relationship Type="http://schemas.openxmlformats.org/officeDocument/2006/relationships/hyperlink" Target="https://fourierintelligence.com/gr1/" TargetMode="External" Id="rId134"/><Relationship Type="http://schemas.openxmlformats.org/officeDocument/2006/relationships/hyperlink" Target="https://humanoid.guide/product/gr-2/" TargetMode="External" Id="rId135"/><Relationship Type="http://schemas.openxmlformats.org/officeDocument/2006/relationships/hyperlink" Target="https://www.fftai.com/products-gr2" TargetMode="External" Id="rId136"/><Relationship Type="http://schemas.openxmlformats.org/officeDocument/2006/relationships/hyperlink" Target="https://humanoid.guide/product/fourier-gr-3/" TargetMode="External" Id="rId137"/><Relationship Type="http://schemas.openxmlformats.org/officeDocument/2006/relationships/hyperlink" Target="https://www.fftai.com/" TargetMode="External" Id="rId138"/><Relationship Type="http://schemas.openxmlformats.org/officeDocument/2006/relationships/hyperlink" Target="https://humanoid.guide/product/futuring-2/" TargetMode="External" Id="rId139"/><Relationship Type="http://schemas.openxmlformats.org/officeDocument/2006/relationships/hyperlink" Target="https://futuringrobot.com/" TargetMode="External" Id="rId140"/><Relationship Type="http://schemas.openxmlformats.org/officeDocument/2006/relationships/hyperlink" Target="https://humanoid.guide/product/kengo/" TargetMode="External" Id="rId141"/><Relationship Type="http://schemas.openxmlformats.org/officeDocument/2006/relationships/hyperlink" Target="https://galaxea-dynamics.com/" TargetMode="External" Id="rId142"/><Relationship Type="http://schemas.openxmlformats.org/officeDocument/2006/relationships/hyperlink" Target="https://humanoid.guide/product/r1-pro/" TargetMode="External" Id="rId143"/><Relationship Type="http://schemas.openxmlformats.org/officeDocument/2006/relationships/hyperlink" Target="https://galaxea-dynamics.com/" TargetMode="External" Id="rId144"/><Relationship Type="http://schemas.openxmlformats.org/officeDocument/2006/relationships/hyperlink" Target="https://humanoid.guide/product/galbot/" TargetMode="External" Id="rId145"/><Relationship Type="http://schemas.openxmlformats.org/officeDocument/2006/relationships/hyperlink" Target="https://www.galbot.com/" TargetMode="External" Id="rId146"/><Relationship Type="http://schemas.openxmlformats.org/officeDocument/2006/relationships/hyperlink" Target="https://humanoid.guide/product/gene-01/" TargetMode="External" Id="rId147"/><Relationship Type="http://schemas.openxmlformats.org/officeDocument/2006/relationships/hyperlink" Target="https://gbionics.ai/" TargetMode="External" Id="rId148"/><Relationship Type="http://schemas.openxmlformats.org/officeDocument/2006/relationships/hyperlink" Target="https://humanoid.guide/product/eno/" TargetMode="External" Id="rId149"/><Relationship Type="http://schemas.openxmlformats.org/officeDocument/2006/relationships/hyperlink" Target="https://www.genesis.ai/" TargetMode="External" Id="rId150"/><Relationship Type="http://schemas.openxmlformats.org/officeDocument/2006/relationships/hyperlink" Target="https://humanoid.guide/product/maker-h01/" TargetMode="External" Id="rId151"/><Relationship Type="http://schemas.openxmlformats.org/officeDocument/2006/relationships/hyperlink" Target="https://humanoid.guide/product/hiva-haiwa/" TargetMode="External" Id="rId152"/><Relationship Type="http://schemas.openxmlformats.org/officeDocument/2006/relationships/hyperlink" Target="https://www.haier.com/" TargetMode="External" Id="rId153"/><Relationship Type="http://schemas.openxmlformats.org/officeDocument/2006/relationships/hyperlink" Target="https://humanoid.guide/product/aeon/" TargetMode="External" Id="rId154"/><Relationship Type="http://schemas.openxmlformats.org/officeDocument/2006/relationships/hyperlink" Target="https://robotics.hexagon.com/product/" TargetMode="External" Id="rId155"/><Relationship Type="http://schemas.openxmlformats.org/officeDocument/2006/relationships/hyperlink" Target="https://humanoid.guide/product/friday/" TargetMode="External" Id="rId156"/><Relationship Type="http://schemas.openxmlformats.org/officeDocument/2006/relationships/hyperlink" Target="https://humanoid.guide/product/honor/" TargetMode="External" Id="rId157"/><Relationship Type="http://schemas.openxmlformats.org/officeDocument/2006/relationships/hyperlink" Target="https://www.hihonor.com/" TargetMode="External" Id="rId158"/><Relationship Type="http://schemas.openxmlformats.org/officeDocument/2006/relationships/hyperlink" Target="https://humanoid.guide/product/hmnd-01-alpha-bipedal/" TargetMode="External" Id="rId159"/><Relationship Type="http://schemas.openxmlformats.org/officeDocument/2006/relationships/hyperlink" Target="https://thehumanoid.ai/" TargetMode="External" Id="rId160"/><Relationship Type="http://schemas.openxmlformats.org/officeDocument/2006/relationships/hyperlink" Target="https://humanoid.guide/product/hmnd-01/" TargetMode="External" Id="rId161"/><Relationship Type="http://schemas.openxmlformats.org/officeDocument/2006/relationships/hyperlink" Target="https://thehumanoid.ai/" TargetMode="External" Id="rId162"/><Relationship Type="http://schemas.openxmlformats.org/officeDocument/2006/relationships/hyperlink" Target="https://humanoid.guide/product/tara-gen1/" TargetMode="External" Id="rId163"/><Relationship Type="http://schemas.openxmlformats.org/officeDocument/2006/relationships/hyperlink" Target="https://www.ihubrobotics.com/" TargetMode="External" Id="rId164"/><Relationship Type="http://schemas.openxmlformats.org/officeDocument/2006/relationships/hyperlink" Target="https://humanoid.guide/product/pib-pro/" TargetMode="External" Id="rId165"/><Relationship Type="http://schemas.openxmlformats.org/officeDocument/2006/relationships/hyperlink" Target="https://pib.rocks/" TargetMode="External" Id="rId166"/><Relationship Type="http://schemas.openxmlformats.org/officeDocument/2006/relationships/hyperlink" Target="https://humanoid.guide/product/jaka-&#960;/" TargetMode="External" Id="rId167"/><Relationship Type="http://schemas.openxmlformats.org/officeDocument/2006/relationships/hyperlink" Target="https://www.jaka.com/" TargetMode="External" Id="rId168"/><Relationship Type="http://schemas.openxmlformats.org/officeDocument/2006/relationships/hyperlink" Target="https://humanoid.guide/product/jaka-k1/" TargetMode="External" Id="rId169"/><Relationship Type="http://schemas.openxmlformats.org/officeDocument/2006/relationships/hyperlink" Target="https://www.jaka.com/" TargetMode="External" Id="rId170"/><Relationship Type="http://schemas.openxmlformats.org/officeDocument/2006/relationships/hyperlink" Target="https://humanoid.guide/product/jaka-kargo/" TargetMode="External" Id="rId171"/><Relationship Type="http://schemas.openxmlformats.org/officeDocument/2006/relationships/hyperlink" Target="https://www.jaka.com/" TargetMode="External" Id="rId172"/><Relationship Type="http://schemas.openxmlformats.org/officeDocument/2006/relationships/hyperlink" Target="https://humanoid.guide/product/keenon-xman-r1/" TargetMode="External" Id="rId173"/><Relationship Type="http://schemas.openxmlformats.org/officeDocument/2006/relationships/hyperlink" Target="https://www.keenon.com/" TargetMode="External" Id="rId174"/><Relationship Type="http://schemas.openxmlformats.org/officeDocument/2006/relationships/hyperlink" Target="https://humanoid.guide/product/k2-bumblebee/" TargetMode="External" Id="rId175"/><Relationship Type="http://schemas.openxmlformats.org/officeDocument/2006/relationships/hyperlink" Target="https://www.gotokepler.com/home" TargetMode="External" Id="rId176"/><Relationship Type="http://schemas.openxmlformats.org/officeDocument/2006/relationships/hyperlink" Target="https://humanoid.guide/product/kepler/" TargetMode="External" Id="rId177"/><Relationship Type="http://schemas.openxmlformats.org/officeDocument/2006/relationships/hyperlink" Target="https://www.gotokepler.com/home" TargetMode="External" Id="rId178"/><Relationship Type="http://schemas.openxmlformats.org/officeDocument/2006/relationships/hyperlink" Target="https://humanoid.guide/product/kepler-k2/" TargetMode="External" Id="rId179"/><Relationship Type="http://schemas.openxmlformats.org/officeDocument/2006/relationships/hyperlink" Target="https://www.gotokepler.com/home" TargetMode="External" Id="rId180"/><Relationship Type="http://schemas.openxmlformats.org/officeDocument/2006/relationships/hyperlink" Target="https://humanoid.guide/product/kai/" TargetMode="External" Id="rId181"/><Relationship Type="http://schemas.openxmlformats.org/officeDocument/2006/relationships/hyperlink" Target="https://www.kinetixai.tech/en/" TargetMode="External" Id="rId182"/><Relationship Type="http://schemas.openxmlformats.org/officeDocument/2006/relationships/hyperlink" Target="https://humanoid.guide/product/kinisi-01/" TargetMode="External" Id="rId183"/><Relationship Type="http://schemas.openxmlformats.org/officeDocument/2006/relationships/hyperlink" Target="https://www.kinisi.com/" TargetMode="External" Id="rId184"/><Relationship Type="http://schemas.openxmlformats.org/officeDocument/2006/relationships/hyperlink" Target="https://humanoid.guide/product/kinisi-kr1/" TargetMode="External" Id="rId185"/><Relationship Type="http://schemas.openxmlformats.org/officeDocument/2006/relationships/hyperlink" Target="https://www.kinisi.com/" TargetMode="External" Id="rId186"/><Relationship Type="http://schemas.openxmlformats.org/officeDocument/2006/relationships/hyperlink" Target="https://humanoid.guide/product/vb1-i/" TargetMode="External" Id="rId187"/><Relationship Type="http://schemas.openxmlformats.org/officeDocument/2006/relationships/hyperlink" Target="https://www.lanxinrobotics.com/" TargetMode="External" Id="rId188"/><Relationship Type="http://schemas.openxmlformats.org/officeDocument/2006/relationships/hyperlink" Target="https://humanoid.guide/product/vb2/" TargetMode="External" Id="rId189"/><Relationship Type="http://schemas.openxmlformats.org/officeDocument/2006/relationships/hyperlink" Target="https://www.lanxinrobotics.com/" TargetMode="External" Id="rId190"/><Relationship Type="http://schemas.openxmlformats.org/officeDocument/2006/relationships/hyperlink" Target="https://humanoid.guide/product/versabot-vb-1/" TargetMode="External" Id="rId191"/><Relationship Type="http://schemas.openxmlformats.org/officeDocument/2006/relationships/hyperlink" Target="https://www.lanxinrobotics.com/" TargetMode="External" Id="rId192"/><Relationship Type="http://schemas.openxmlformats.org/officeDocument/2006/relationships/hyperlink" Target="https://humanoid.guide/product/kuavo-5/" TargetMode="External" Id="rId193"/><Relationship Type="http://schemas.openxmlformats.org/officeDocument/2006/relationships/hyperlink" Target="https://www.lejurobot.com/en" TargetMode="External" Id="rId194"/><Relationship Type="http://schemas.openxmlformats.org/officeDocument/2006/relationships/hyperlink" Target="https://humanoid.guide/product/roban-2/" TargetMode="External" Id="rId195"/><Relationship Type="http://schemas.openxmlformats.org/officeDocument/2006/relationships/hyperlink" Target="https://www.lejurobot.com/en" TargetMode="External" Id="rId196"/><Relationship Type="http://schemas.openxmlformats.org/officeDocument/2006/relationships/hyperlink" Target="https://humanoid.guide/product/kuavo-my/" TargetMode="External" Id="rId197"/><Relationship Type="http://schemas.openxmlformats.org/officeDocument/2006/relationships/hyperlink" Target="https://www.lejurobot.com/en/application/kuavo-my" TargetMode="External" Id="rId198"/><Relationship Type="http://schemas.openxmlformats.org/officeDocument/2006/relationships/hyperlink" Target="https://humanoid.guide/product/xtron-kuavo-my/" TargetMode="External" Id="rId199"/><Relationship Type="http://schemas.openxmlformats.org/officeDocument/2006/relationships/hyperlink" Target="https://www.foxtechrobotics.com/" TargetMode="External" Id="rId200"/><Relationship Type="http://schemas.openxmlformats.org/officeDocument/2006/relationships/hyperlink" Target="https://humanoid.guide/product/cloid/" TargetMode="External" Id="rId201"/><Relationship Type="http://schemas.openxmlformats.org/officeDocument/2006/relationships/hyperlink" Target="https://www.lg.com/" TargetMode="External" Id="rId202"/><Relationship Type="http://schemas.openxmlformats.org/officeDocument/2006/relationships/hyperlink" Target="https://humanoid.guide/product/kapex/" TargetMode="External" Id="rId203"/><Relationship Type="http://schemas.openxmlformats.org/officeDocument/2006/relationships/hyperlink" Target="https://www.lg.com/" TargetMode="External" Id="rId204"/><Relationship Type="http://schemas.openxmlformats.org/officeDocument/2006/relationships/hyperlink" Target="https://humanoid.guide/product/limx/" TargetMode="External" Id="rId205"/><Relationship Type="http://schemas.openxmlformats.org/officeDocument/2006/relationships/hyperlink" Target="https://www.limxdynamics.com/en" TargetMode="External" Id="rId206"/><Relationship Type="http://schemas.openxmlformats.org/officeDocument/2006/relationships/hyperlink" Target="https://humanoid.guide/product/limx-cl-series/" TargetMode="External" Id="rId207"/><Relationship Type="http://schemas.openxmlformats.org/officeDocument/2006/relationships/hyperlink" Target="https://www.limxdynamics.com/" TargetMode="External" Id="rId208"/><Relationship Type="http://schemas.openxmlformats.org/officeDocument/2006/relationships/hyperlink" Target="https://humanoid.guide/product/limx-oli/" TargetMode="External" Id="rId209"/><Relationship Type="http://schemas.openxmlformats.org/officeDocument/2006/relationships/hyperlink" Target="https://www.limxdynamics.com/" TargetMode="External" Id="rId210"/><Relationship Type="http://schemas.openxmlformats.org/officeDocument/2006/relationships/hyperlink" Target="https://humanoid.guide/product/luna/" TargetMode="External" Id="rId211"/><Relationship Type="http://schemas.openxmlformats.org/officeDocument/2006/relationships/hyperlink" Target="https://www.limxdynamics.com/en" TargetMode="External" Id="rId212"/><Relationship Type="http://schemas.openxmlformats.org/officeDocument/2006/relationships/hyperlink" Target="https://humanoid.guide/product/lus2/" TargetMode="External" Id="rId213"/><Relationship Type="http://schemas.openxmlformats.org/officeDocument/2006/relationships/hyperlink" Target="https://www.lumosbot.tech/" TargetMode="External" Id="rId214"/><Relationship Type="http://schemas.openxmlformats.org/officeDocument/2006/relationships/hyperlink" Target="https://humanoid.guide/product/nix/" TargetMode="External" Id="rId215"/><Relationship Type="http://schemas.openxmlformats.org/officeDocument/2006/relationships/hyperlink" Target="https://lumosbot.tech/" TargetMode="External" Id="rId216"/><Relationship Type="http://schemas.openxmlformats.org/officeDocument/2006/relationships/hyperlink" Target="https://humanoid.guide/product/magicbot/" TargetMode="External" Id="rId217"/><Relationship Type="http://schemas.openxmlformats.org/officeDocument/2006/relationships/hyperlink" Target="https://www.magiclab.top/" TargetMode="External" Id="rId218"/><Relationship Type="http://schemas.openxmlformats.org/officeDocument/2006/relationships/hyperlink" Target="https://humanoid.guide/product/magicbot-x1/" TargetMode="External" Id="rId219"/><Relationship Type="http://schemas.openxmlformats.org/officeDocument/2006/relationships/hyperlink" Target="https://www.magiclab.top/" TargetMode="External" Id="rId220"/><Relationship Type="http://schemas.openxmlformats.org/officeDocument/2006/relationships/hyperlink" Target="https://humanoid.guide/product/magicbot-z1/" TargetMode="External" Id="rId221"/><Relationship Type="http://schemas.openxmlformats.org/officeDocument/2006/relationships/hyperlink" Target="https://www.magiclab.top/" TargetMode="External" Id="rId222"/><Relationship Type="http://schemas.openxmlformats.org/officeDocument/2006/relationships/hyperlink" Target="https://humanoid.guide/product/matrix-1/" TargetMode="External" Id="rId223"/><Relationship Type="http://schemas.openxmlformats.org/officeDocument/2006/relationships/hyperlink" Target="https://www.matrixrobotics.ai/" TargetMode="External" Id="rId224"/><Relationship Type="http://schemas.openxmlformats.org/officeDocument/2006/relationships/hyperlink" Target="https://humanoid.guide/product/matrix-3/" TargetMode="External" Id="rId225"/><Relationship Type="http://schemas.openxmlformats.org/officeDocument/2006/relationships/hyperlink" Target="https://matrixrobotics.ai/" TargetMode="External" Id="rId226"/><Relationship Type="http://schemas.openxmlformats.org/officeDocument/2006/relationships/hyperlink" Target="https://humanoid.guide/product/asimov/" TargetMode="External" Id="rId227"/><Relationship Type="http://schemas.openxmlformats.org/officeDocument/2006/relationships/hyperlink" Target="https://menlo.ai/" TargetMode="External" Id="rId228"/><Relationship Type="http://schemas.openxmlformats.org/officeDocument/2006/relationships/hyperlink" Target="https://humanoid.guide/product/asimov-one/" TargetMode="External" Id="rId229"/><Relationship Type="http://schemas.openxmlformats.org/officeDocument/2006/relationships/hyperlink" Target="https://menlo.ai/" TargetMode="External" Id="rId230"/><Relationship Type="http://schemas.openxmlformats.org/officeDocument/2006/relationships/hyperlink" Target="https://humanoid.guide/product/asimov-two/" TargetMode="External" Id="rId231"/><Relationship Type="http://schemas.openxmlformats.org/officeDocument/2006/relationships/hyperlink" Target="https://menlo.ai/" TargetMode="External" Id="rId232"/><Relationship Type="http://schemas.openxmlformats.org/officeDocument/2006/relationships/hyperlink" Target="https://humanoid.guide/product/menteebot/" TargetMode="External" Id="rId233"/><Relationship Type="http://schemas.openxmlformats.org/officeDocument/2006/relationships/hyperlink" Target="https://www.menteebot.com/" TargetMode="External" Id="rId234"/><Relationship Type="http://schemas.openxmlformats.org/officeDocument/2006/relationships/hyperlink" Target="https://humanoid.guide/product/menteebot-v3/" TargetMode="External" Id="rId235"/><Relationship Type="http://schemas.openxmlformats.org/officeDocument/2006/relationships/hyperlink" Target="https://www.menteebot.com/" TargetMode="External" Id="rId236"/><Relationship Type="http://schemas.openxmlformats.org/officeDocument/2006/relationships/hyperlink" Target="https://humanoid.guide/product/miro/" TargetMode="External" Id="rId237"/><Relationship Type="http://schemas.openxmlformats.org/officeDocument/2006/relationships/hyperlink" Target="https://www.midea.com.cn/en" TargetMode="External" Id="rId238"/><Relationship Type="http://schemas.openxmlformats.org/officeDocument/2006/relationships/hyperlink" Target="https://humanoid.guide/product/mh3/" TargetMode="External" Id="rId239"/><Relationship Type="http://schemas.openxmlformats.org/officeDocument/2006/relationships/hyperlink" Target="https://humanoid.guide/product/l1/" TargetMode="External" Id="rId240"/><Relationship Type="http://schemas.openxmlformats.org/officeDocument/2006/relationships/hyperlink" Target="https://humanoid.guide/product/spaceo-m1/" TargetMode="External" Id="rId241"/><Relationship Type="http://schemas.openxmlformats.org/officeDocument/2006/relationships/hyperlink" Target="https://humanoid.guide/product/spaceo-pro/" TargetMode="External" Id="rId242"/><Relationship Type="http://schemas.openxmlformats.org/officeDocument/2006/relationships/hyperlink" Target="https://humanoid.guide/product/ambidex/" TargetMode="External" Id="rId243"/><Relationship Type="http://schemas.openxmlformats.org/officeDocument/2006/relationships/hyperlink" Target="https://www.naverlabs.com/ambidex" TargetMode="External" Id="rId244"/><Relationship Type="http://schemas.openxmlformats.org/officeDocument/2006/relationships/hyperlink" Target="https://humanoid.guide/product/4ne-1/" TargetMode="External" Id="rId245"/><Relationship Type="http://schemas.openxmlformats.org/officeDocument/2006/relationships/hyperlink" Target="http://neura-robotics.com/" TargetMode="External" Id="rId246"/><Relationship Type="http://schemas.openxmlformats.org/officeDocument/2006/relationships/hyperlink" Target="https://humanoid.guide/product/4ne1/" TargetMode="External" Id="rId247"/><Relationship Type="http://schemas.openxmlformats.org/officeDocument/2006/relationships/hyperlink" Target="https://neura-robotics.com/" TargetMode="External" Id="rId248"/><Relationship Type="http://schemas.openxmlformats.org/officeDocument/2006/relationships/hyperlink" Target="https://humanoid.guide/product/raynex-g3/" TargetMode="External" Id="rId249"/><Relationship Type="http://schemas.openxmlformats.org/officeDocument/2006/relationships/hyperlink" Target="https://www.nineraygroup.com/" TargetMode="External" Id="rId250"/><Relationship Type="http://schemas.openxmlformats.org/officeDocument/2006/relationships/hyperlink" Target="https://humanoid.guide/product/moby/" TargetMode="External" Id="rId251"/><Relationship Type="http://schemas.openxmlformats.org/officeDocument/2006/relationships/hyperlink" Target="https://www.noblemachines.ai/" TargetMode="External" Id="rId252"/><Relationship Type="http://schemas.openxmlformats.org/officeDocument/2006/relationships/hyperlink" Target="https://humanoid.guide/product/dora/" TargetMode="External" Id="rId253"/><Relationship Type="http://schemas.openxmlformats.org/officeDocument/2006/relationships/hyperlink" Target="https://en.noetixrobotics.com/" TargetMode="External" Id="rId254"/><Relationship Type="http://schemas.openxmlformats.org/officeDocument/2006/relationships/hyperlink" Target="https://humanoid.guide/product/hobbs/" TargetMode="External" Id="rId255"/><Relationship Type="http://schemas.openxmlformats.org/officeDocument/2006/relationships/hyperlink" Target="https://en.noetixrobotics.com/products-279.html" TargetMode="External" Id="rId256"/><Relationship Type="http://schemas.openxmlformats.org/officeDocument/2006/relationships/hyperlink" Target="https://humanoid.guide/product/n2/" TargetMode="External" Id="rId257"/><Relationship Type="http://schemas.openxmlformats.org/officeDocument/2006/relationships/hyperlink" Target="https://en.noetixrobotics.com/" TargetMode="External" Id="rId258"/><Relationship Type="http://schemas.openxmlformats.org/officeDocument/2006/relationships/hyperlink" Target="https://humanoid.guide/product/nori-l3/" TargetMode="External" Id="rId259"/><Relationship Type="http://schemas.openxmlformats.org/officeDocument/2006/relationships/hyperlink" Target="https://www.norirobotics.com/" TargetMode="External" Id="rId260"/><Relationship Type="http://schemas.openxmlformats.org/officeDocument/2006/relationships/hyperlink" Target="https://humanoid.guide/product/isaac-gr00t/" TargetMode="External" Id="rId261"/><Relationship Type="http://schemas.openxmlformats.org/officeDocument/2006/relationships/hyperlink" Target="https://www.nvidia.com/" TargetMode="External" Id="rId262"/><Relationship Type="http://schemas.openxmlformats.org/officeDocument/2006/relationships/hyperlink" Target="https://humanoid.guide/product/modular/" TargetMode="External" Id="rId263"/><Relationship Type="http://schemas.openxmlformats.org/officeDocument/2006/relationships/hyperlink" Target="https://o-id.net/" TargetMode="External" Id="rId264"/><Relationship Type="http://schemas.openxmlformats.org/officeDocument/2006/relationships/hyperlink" Target="https://humanoid.guide/product/openarm-02/" TargetMode="External" Id="rId265"/><Relationship Type="http://schemas.openxmlformats.org/officeDocument/2006/relationships/hyperlink" Target="https://openarm.dev/" TargetMode="External" Id="rId266"/><Relationship Type="http://schemas.openxmlformats.org/officeDocument/2006/relationships/hyperlink" Target="https://humanoid.guide/product/qinglong-v3-0/" TargetMode="External" Id="rId267"/><Relationship Type="http://schemas.openxmlformats.org/officeDocument/2006/relationships/hyperlink" Target="https://www.openloong.net/" TargetMode="External" Id="rId268"/><Relationship Type="http://schemas.openxmlformats.org/officeDocument/2006/relationships/hyperlink" Target="https://humanoid.guide/product/helios/" TargetMode="External" Id="rId269"/><Relationship Type="http://schemas.openxmlformats.org/officeDocument/2006/relationships/hyperlink" Target="https://www.orbitrobotics.ch/" TargetMode="External" Id="rId270"/><Relationship Type="http://schemas.openxmlformats.org/officeDocument/2006/relationships/hyperlink" Target="https://humanoid.guide/product/robee/" TargetMode="External" Id="rId271"/><Relationship Type="http://schemas.openxmlformats.org/officeDocument/2006/relationships/hyperlink" Target="https://www.oversonicrobotics.com/" TargetMode="External" Id="rId272"/><Relationship Type="http://schemas.openxmlformats.org/officeDocument/2006/relationships/hyperlink" Target="https://humanoid.guide/product/kangaroo/" TargetMode="External" Id="rId273"/><Relationship Type="http://schemas.openxmlformats.org/officeDocument/2006/relationships/hyperlink" Target="https://pal-robotics.com/robot/kangaroo/" TargetMode="External" Id="rId274"/><Relationship Type="http://schemas.openxmlformats.org/officeDocument/2006/relationships/hyperlink" Target="https://humanoid.guide/product/tora-doubleone/" TargetMode="External" Id="rId275"/><Relationship Type="http://schemas.openxmlformats.org/officeDocument/2006/relationships/hyperlink" Target="https://paxini.com/robot/doubleOne" TargetMode="External" Id="rId276"/><Relationship Type="http://schemas.openxmlformats.org/officeDocument/2006/relationships/hyperlink" Target="https://humanoid.guide/product/pr-34d/" TargetMode="External" Id="rId277"/><Relationship Type="http://schemas.openxmlformats.org/officeDocument/2006/relationships/hyperlink" Target="https://www.perceptyne.com/" TargetMode="External" Id="rId278"/><Relationship Type="http://schemas.openxmlformats.org/officeDocument/2006/relationships/hyperlink" Target="https://humanoid.guide/product/phybot-c1/" TargetMode="External" Id="rId279"/><Relationship Type="http://schemas.openxmlformats.org/officeDocument/2006/relationships/hyperlink" Target="https://www.phybot.tech/" TargetMode="External" Id="rId280"/><Relationship Type="http://schemas.openxmlformats.org/officeDocument/2006/relationships/hyperlink" Target="https://humanoid.guide/product/phybot-m1/" TargetMode="External" Id="rId281"/><Relationship Type="http://schemas.openxmlformats.org/officeDocument/2006/relationships/hyperlink" Target="https://www.phybot.tech/" TargetMode="External" Id="rId282"/><Relationship Type="http://schemas.openxmlformats.org/officeDocument/2006/relationships/hyperlink" Target="https://humanoid.guide/product/prowhite/" TargetMode="External" Id="rId283"/><Relationship Type="http://schemas.openxmlformats.org/officeDocument/2006/relationships/hyperlink" Target="https://en.pl-universe.com/" TargetMode="External" Id="rId284"/><Relationship Type="http://schemas.openxmlformats.org/officeDocument/2006/relationships/hyperlink" Target="https://humanoid.guide/product/zeus-1/" TargetMode="External" Id="rId285"/><Relationship Type="http://schemas.openxmlformats.org/officeDocument/2006/relationships/hyperlink" Target="https://en.pl-universe.com/" TargetMode="External" Id="rId286"/><Relationship Type="http://schemas.openxmlformats.org/officeDocument/2006/relationships/hyperlink" Target="https://humanoid.guide/product/adam/" TargetMode="External" Id="rId287"/><Relationship Type="http://schemas.openxmlformats.org/officeDocument/2006/relationships/hyperlink" Target="https://pndbotics.com/" TargetMode="External" Id="rId288"/><Relationship Type="http://schemas.openxmlformats.org/officeDocument/2006/relationships/hyperlink" Target="https://humanoid.guide/product/adamsp/" TargetMode="External" Id="rId289"/><Relationship Type="http://schemas.openxmlformats.org/officeDocument/2006/relationships/hyperlink" Target="https://pndbotics.com/" TargetMode="External" Id="rId290"/><Relationship Type="http://schemas.openxmlformats.org/officeDocument/2006/relationships/hyperlink" Target="https://humanoid.guide/product/reachy-2/" TargetMode="External" Id="rId291"/><Relationship Type="http://schemas.openxmlformats.org/officeDocument/2006/relationships/hyperlink" Target="https://www.pollen-robotics.com/" TargetMode="External" Id="rId292"/><Relationship Type="http://schemas.openxmlformats.org/officeDocument/2006/relationships/hyperlink" Target="https://humanoid.guide/product/primebot-q1/" TargetMode="External" Id="rId293"/><Relationship Type="http://schemas.openxmlformats.org/officeDocument/2006/relationships/hyperlink" Target="https://www.primebot.cn/" TargetMode="External" Id="rId294"/><Relationship Type="http://schemas.openxmlformats.org/officeDocument/2006/relationships/hyperlink" Target="https://humanoid.guide/product/primebot-t1/" TargetMode="External" Id="rId295"/><Relationship Type="http://schemas.openxmlformats.org/officeDocument/2006/relationships/hyperlink" Target="https://www.primebot.cn/" TargetMode="External" Id="rId296"/><Relationship Type="http://schemas.openxmlformats.org/officeDocument/2006/relationships/hyperlink" Target="https://humanoid.guide/product/psi-v1/" TargetMode="External" Id="rId297"/><Relationship Type="http://schemas.openxmlformats.org/officeDocument/2006/relationships/hyperlink" Target="https://www.psibot.ai/" TargetMode="External" Id="rId298"/><Relationship Type="http://schemas.openxmlformats.org/officeDocument/2006/relationships/hyperlink" Target="https://humanoid.guide/product/&#968;-synrobot/" TargetMode="External" Id="rId299"/><Relationship Type="http://schemas.openxmlformats.org/officeDocument/2006/relationships/hyperlink" Target="https://www.psibot.ai/" TargetMode="External" Id="rId300"/><Relationship Type="http://schemas.openxmlformats.org/officeDocument/2006/relationships/hyperlink" Target="https://humanoid.guide/product/flashbot-arm/" TargetMode="External" Id="rId301"/><Relationship Type="http://schemas.openxmlformats.org/officeDocument/2006/relationships/hyperlink" Target="https://www.pudurobotics.com/" TargetMode="External" Id="rId302"/><Relationship Type="http://schemas.openxmlformats.org/officeDocument/2006/relationships/hyperlink" Target="https://humanoid.guide/product/pudu-d7/" TargetMode="External" Id="rId303"/><Relationship Type="http://schemas.openxmlformats.org/officeDocument/2006/relationships/hyperlink" Target="https://www.pudurobotics.com/" TargetMode="External" Id="rId304"/><Relationship Type="http://schemas.openxmlformats.org/officeDocument/2006/relationships/hyperlink" Target="https://humanoid.guide/product/pudu-d9/" TargetMode="External" Id="rId305"/><Relationship Type="http://schemas.openxmlformats.org/officeDocument/2006/relationships/hyperlink" Target="https://www.pudurobotics.com/" TargetMode="External" Id="rId306"/><Relationship Type="http://schemas.openxmlformats.org/officeDocument/2006/relationships/hyperlink" Target="https://humanoid.guide/product/rb-y1/" TargetMode="External" Id="rId307"/><Relationship Type="http://schemas.openxmlformats.org/officeDocument/2006/relationships/hyperlink" Target="https://www.rainbow-robotics.com/en_main" TargetMode="External" Id="rId308"/><Relationship Type="http://schemas.openxmlformats.org/officeDocument/2006/relationships/hyperlink" Target="https://humanoid.guide/product/reflex/" TargetMode="External" Id="rId309"/><Relationship Type="http://schemas.openxmlformats.org/officeDocument/2006/relationships/hyperlink" Target="https://humanoid.guide/product/robbyant-r1/" TargetMode="External" Id="rId310"/><Relationship Type="http://schemas.openxmlformats.org/officeDocument/2006/relationships/hyperlink" Target="https://www.antgroup.com/en" TargetMode="External" Id="rId311"/><Relationship Type="http://schemas.openxmlformats.org/officeDocument/2006/relationships/hyperlink" Target="https://humanoid.guide/product/robo-t1/" TargetMode="External" Id="rId312"/><Relationship Type="http://schemas.openxmlformats.org/officeDocument/2006/relationships/hyperlink" Target="https://humanoid.guide/product/titan/" TargetMode="External" Id="rId313"/><Relationship Type="http://schemas.openxmlformats.org/officeDocument/2006/relationships/hyperlink" Target="http://www.roboforce.ai/" TargetMode="External" Id="rId314"/><Relationship Type="http://schemas.openxmlformats.org/officeDocument/2006/relationships/hyperlink" Target="https://humanoid.guide/product/robin/" TargetMode="External" Id="rId315"/><Relationship Type="http://schemas.openxmlformats.org/officeDocument/2006/relationships/hyperlink" Target="https://www.roboligent.com/" TargetMode="External" Id="rId316"/><Relationship Type="http://schemas.openxmlformats.org/officeDocument/2006/relationships/hyperlink" Target="https://humanoid.guide/product/r-noid/" TargetMode="External" Id="rId317"/><Relationship Type="http://schemas.openxmlformats.org/officeDocument/2006/relationships/hyperlink" Target="https://www.robot.com/" TargetMode="External" Id="rId318"/><Relationship Type="http://schemas.openxmlformats.org/officeDocument/2006/relationships/hyperlink" Target="https://humanoid.guide/product/robotera-l7/" TargetMode="External" Id="rId319"/><Relationship Type="http://schemas.openxmlformats.org/officeDocument/2006/relationships/hyperlink" Target="https://www.robotera.com/" TargetMode="External" Id="rId320"/><Relationship Type="http://schemas.openxmlformats.org/officeDocument/2006/relationships/hyperlink" Target="https://humanoid.guide/product/robotera-m7/" TargetMode="External" Id="rId321"/><Relationship Type="http://schemas.openxmlformats.org/officeDocument/2006/relationships/hyperlink" Target="https://www.robotera.com/" TargetMode="External" Id="rId322"/><Relationship Type="http://schemas.openxmlformats.org/officeDocument/2006/relationships/hyperlink" Target="https://humanoid.guide/product/robotera-q5/" TargetMode="External" Id="rId323"/><Relationship Type="http://schemas.openxmlformats.org/officeDocument/2006/relationships/hyperlink" Target="https://www.robotera.com/" TargetMode="External" Id="rId324"/><Relationship Type="http://schemas.openxmlformats.org/officeDocument/2006/relationships/hyperlink" Target="https://humanoid.guide/product/star1/" TargetMode="External" Id="rId325"/><Relationship Type="http://schemas.openxmlformats.org/officeDocument/2006/relationships/hyperlink" Target="https://www.robotera.com/en" TargetMode="External" Id="rId326"/><Relationship Type="http://schemas.openxmlformats.org/officeDocument/2006/relationships/hyperlink" Target="https://humanoid.guide/product/ai-sapiens-k1/" TargetMode="External" Id="rId327"/><Relationship Type="http://schemas.openxmlformats.org/officeDocument/2006/relationships/hyperlink" Target="https://www.robotis.us/" TargetMode="External" Id="rId328"/><Relationship Type="http://schemas.openxmlformats.org/officeDocument/2006/relationships/hyperlink" Target="https://humanoid.guide/product/ai-worker/" TargetMode="External" Id="rId329"/><Relationship Type="http://schemas.openxmlformats.org/officeDocument/2006/relationships/hyperlink" Target="https://ai.robotis.com/" TargetMode="External" Id="rId330"/><Relationship Type="http://schemas.openxmlformats.org/officeDocument/2006/relationships/hyperlink" Target="https://humanoid.guide/product/k0-by-robotis/" TargetMode="External" Id="rId331"/><Relationship Type="http://schemas.openxmlformats.org/officeDocument/2006/relationships/hyperlink" Target="https://ai.robotis.com/" TargetMode="External" Id="rId332"/><Relationship Type="http://schemas.openxmlformats.org/officeDocument/2006/relationships/hyperlink" Target="https://humanoid.guide/product/igris-c/" TargetMode="External" Id="rId333"/><Relationship Type="http://schemas.openxmlformats.org/officeDocument/2006/relationships/hyperlink" Target="https://www.robros.co.kr/en" TargetMode="External" Id="rId334"/><Relationship Type="http://schemas.openxmlformats.org/officeDocument/2006/relationships/hyperlink" Target="https://humanoid.guide/product/phoenix/" TargetMode="External" Id="rId335"/><Relationship Type="http://schemas.openxmlformats.org/officeDocument/2006/relationships/hyperlink" Target="https://sanctuary.ai/product/" TargetMode="External" Id="rId336"/><Relationship Type="http://schemas.openxmlformats.org/officeDocument/2006/relationships/hyperlink" Target="https://humanoid.guide/product/roboto-origin/" TargetMode="External" Id="rId337"/><Relationship Type="http://schemas.openxmlformats.org/officeDocument/2006/relationships/hyperlink" Target="https://www.roboparty.com/" TargetMode="External" Id="rId338"/><Relationship Type="http://schemas.openxmlformats.org/officeDocument/2006/relationships/hyperlink" Target="https://humanoid.guide/product/duco/" TargetMode="External" Id="rId339"/><Relationship Type="http://schemas.openxmlformats.org/officeDocument/2006/relationships/hyperlink" Target="https://www.siasun.com/" TargetMode="External" Id="rId340"/><Relationship Type="http://schemas.openxmlformats.org/officeDocument/2006/relationships/hyperlink" Target="https://humanoid.guide/product/songxing/" TargetMode="External" Id="rId341"/><Relationship Type="http://schemas.openxmlformats.org/officeDocument/2006/relationships/hyperlink" Target="https://en.siasun.com/" TargetMode="External" Id="rId342"/><Relationship Type="http://schemas.openxmlformats.org/officeDocument/2006/relationships/hyperlink" Target="https://humanoid.guide/product/simplexity-robotics-i-series/" TargetMode="External" Id="rId343"/><Relationship Type="http://schemas.openxmlformats.org/officeDocument/2006/relationships/hyperlink" Target="https://humanoid.guide/product/moz1/" TargetMode="External" Id="rId344"/><Relationship Type="http://schemas.openxmlformats.org/officeDocument/2006/relationships/hyperlink" Target="https://spirit-ai.com/" TargetMode="External" Id="rId345"/><Relationship Type="http://schemas.openxmlformats.org/officeDocument/2006/relationships/hyperlink" Target="https://humanoid.guide/product/steve/" TargetMode="External" Id="rId346"/><Relationship Type="http://schemas.openxmlformats.org/officeDocument/2006/relationships/hyperlink" Target="https://jandecoster.com/" TargetMode="External" Id="rId347"/><Relationship Type="http://schemas.openxmlformats.org/officeDocument/2006/relationships/hyperlink" Target="https://humanoid.guide/product/memo/" TargetMode="External" Id="rId348"/><Relationship Type="http://schemas.openxmlformats.org/officeDocument/2006/relationships/hyperlink" Target="https://www.sunday.ai/" TargetMode="External" Id="rId349"/><Relationship Type="http://schemas.openxmlformats.org/officeDocument/2006/relationships/hyperlink" Target="https://humanoid.guide/product/bimanual/" TargetMode="External" Id="rId350"/><Relationship Type="http://schemas.openxmlformats.org/officeDocument/2006/relationships/hyperlink" Target="https://svayarobotics.com/" TargetMode="External" Id="rId351"/><Relationship Type="http://schemas.openxmlformats.org/officeDocument/2006/relationships/hyperlink" Target="https://humanoid.guide/product/onero-h1/" TargetMode="External" Id="rId352"/><Relationship Type="http://schemas.openxmlformats.org/officeDocument/2006/relationships/hyperlink" Target="https://www.switch-bot.com/" TargetMode="External" Id="rId353"/><Relationship Type="http://schemas.openxmlformats.org/officeDocument/2006/relationships/hyperlink" Target="https://humanoid.guide/product/eggie/" TargetMode="External" Id="rId354"/><Relationship Type="http://schemas.openxmlformats.org/officeDocument/2006/relationships/hyperlink" Target="https://tangiblerobots.ai/" TargetMode="External" Id="rId355"/><Relationship Type="http://schemas.openxmlformats.org/officeDocument/2006/relationships/hyperlink" Target="https://humanoid.guide/product/tars/" TargetMode="External" Id="rId356"/><Relationship Type="http://schemas.openxmlformats.org/officeDocument/2006/relationships/hyperlink" Target="https://www.tarsupv.com/" TargetMode="External" Id="rId357"/><Relationship Type="http://schemas.openxmlformats.org/officeDocument/2006/relationships/hyperlink" Target="https://humanoid.guide/product/tm-xplore-1/" TargetMode="External" Id="rId358"/><Relationship Type="http://schemas.openxmlformats.org/officeDocument/2006/relationships/hyperlink" Target="https://www.tm-robot.com/en/" TargetMode="External" Id="rId359"/><Relationship Type="http://schemas.openxmlformats.org/officeDocument/2006/relationships/hyperlink" Target="https://humanoid.guide/product/alpha/" TargetMode="External" Id="rId360"/><Relationship Type="http://schemas.openxmlformats.org/officeDocument/2006/relationships/hyperlink" Target="https://www.tekntrash.com/" TargetMode="External" Id="rId361"/><Relationship Type="http://schemas.openxmlformats.org/officeDocument/2006/relationships/hyperlink" Target="https://humanoid.guide/product/xiao-liu/" TargetMode="External" Id="rId362"/><Relationship Type="http://schemas.openxmlformats.org/officeDocument/2006/relationships/hyperlink" Target="https://www.tencent.com/" TargetMode="External" Id="rId363"/><Relationship Type="http://schemas.openxmlformats.org/officeDocument/2006/relationships/hyperlink" Target="https://humanoid.guide/product/optimus/" TargetMode="External" Id="rId364"/><Relationship Type="http://schemas.openxmlformats.org/officeDocument/2006/relationships/hyperlink" Target="https://www.tesla.com/en_eu/AI" TargetMode="External" Id="rId365"/><Relationship Type="http://schemas.openxmlformats.org/officeDocument/2006/relationships/hyperlink" Target="https://humanoid.guide/product/optimus-gen-3/" TargetMode="External" Id="rId366"/><Relationship Type="http://schemas.openxmlformats.org/officeDocument/2006/relationships/hyperlink" Target="https://www.tesla.com/en_in/AI" TargetMode="External" Id="rId367"/><Relationship Type="http://schemas.openxmlformats.org/officeDocument/2006/relationships/hyperlink" Target="https://humanoid.guide/product/optimus-gen2/" TargetMode="External" Id="rId368"/><Relationship Type="http://schemas.openxmlformats.org/officeDocument/2006/relationships/hyperlink" Target="https://www.tesla.com/en_eu/AI" TargetMode="External" Id="rId369"/><Relationship Type="http://schemas.openxmlformats.org/officeDocument/2006/relationships/hyperlink" Target="https://humanoid.guide/product/tesla-optimus-v2-5/" TargetMode="External" Id="rId370"/><Relationship Type="http://schemas.openxmlformats.org/officeDocument/2006/relationships/hyperlink" Target="https://www.tesla.com/en_in/AI" TargetMode="External" Id="rId371"/><Relationship Type="http://schemas.openxmlformats.org/officeDocument/2006/relationships/hyperlink" Target="https://humanoid.guide/product/toraone/" TargetMode="External" Id="rId372"/><Relationship Type="http://schemas.openxmlformats.org/officeDocument/2006/relationships/hyperlink" Target="https://paxini.com/robot" TargetMode="External" Id="rId373"/><Relationship Type="http://schemas.openxmlformats.org/officeDocument/2006/relationships/hyperlink" Target="https://humanoid.guide/product/torobo/" TargetMode="External" Id="rId374"/><Relationship Type="http://schemas.openxmlformats.org/officeDocument/2006/relationships/hyperlink" Target="https://robotics.tokyo/" TargetMode="External" Id="rId375"/><Relationship Type="http://schemas.openxmlformats.org/officeDocument/2006/relationships/hyperlink" Target="https://humanoid.guide/product/xiao-tuo/" TargetMode="External" Id="rId376"/><Relationship Type="http://schemas.openxmlformats.org/officeDocument/2006/relationships/hyperlink" Target="https://www.topstarmachine.com/" TargetMode="External" Id="rId377"/><Relationship Type="http://schemas.openxmlformats.org/officeDocument/2006/relationships/hyperlink" Target="https://humanoid.guide/product/cue7/" TargetMode="External" Id="rId378"/><Relationship Type="http://schemas.openxmlformats.org/officeDocument/2006/relationships/hyperlink" Target="https://global.toyota/en/" TargetMode="External" Id="rId379"/><Relationship Type="http://schemas.openxmlformats.org/officeDocument/2006/relationships/hyperlink" Target="https://humanoid.guide/product/tobi/" TargetMode="External" Id="rId380"/><Relationship Type="http://schemas.openxmlformats.org/officeDocument/2006/relationships/hyperlink" Target="https://www.twolabs.ai/" TargetMode="External" Id="rId381"/><Relationship Type="http://schemas.openxmlformats.org/officeDocument/2006/relationships/hyperlink" Target="https://humanoid.guide/product/walker-s2/" TargetMode="External" Id="rId382"/><Relationship Type="http://schemas.openxmlformats.org/officeDocument/2006/relationships/hyperlink" Target="https://www.commercial.ubtrobot.com/" TargetMode="External" Id="rId383"/><Relationship Type="http://schemas.openxmlformats.org/officeDocument/2006/relationships/hyperlink" Target="https://humanoid.guide/product/cruzr-s2/" TargetMode="External" Id="rId384"/><Relationship Type="http://schemas.openxmlformats.org/officeDocument/2006/relationships/hyperlink" Target="https://www.ubtrobot.com/en/" TargetMode="External" Id="rId385"/><Relationship Type="http://schemas.openxmlformats.org/officeDocument/2006/relationships/hyperlink" Target="https://humanoid.guide/product/cruzr-y1/" TargetMode="External" Id="rId386"/><Relationship Type="http://schemas.openxmlformats.org/officeDocument/2006/relationships/hyperlink" Target="https://www.ubtrobot.com/en/" TargetMode="External" Id="rId387"/><Relationship Type="http://schemas.openxmlformats.org/officeDocument/2006/relationships/hyperlink" Target="https://humanoid.guide/product/u1-pro/" TargetMode="External" Id="rId388"/><Relationship Type="http://schemas.openxmlformats.org/officeDocument/2006/relationships/hyperlink" Target="https://www.ubtrobot.com/en/" TargetMode="External" Id="rId389"/><Relationship Type="http://schemas.openxmlformats.org/officeDocument/2006/relationships/hyperlink" Target="https://humanoid.guide/product/walker-c/" TargetMode="External" Id="rId390"/><Relationship Type="http://schemas.openxmlformats.org/officeDocument/2006/relationships/hyperlink" Target="https://www.ubtrobot.com/en/" TargetMode="External" Id="rId391"/><Relationship Type="http://schemas.openxmlformats.org/officeDocument/2006/relationships/hyperlink" Target="https://humanoid.guide/product/walker-c1/" TargetMode="External" Id="rId392"/><Relationship Type="http://schemas.openxmlformats.org/officeDocument/2006/relationships/hyperlink" Target="https://www.ubtrobot.com/en/" TargetMode="External" Id="rId393"/><Relationship Type="http://schemas.openxmlformats.org/officeDocument/2006/relationships/hyperlink" Target="https://humanoid.guide/product/walker-s1/" TargetMode="External" Id="rId394"/><Relationship Type="http://schemas.openxmlformats.org/officeDocument/2006/relationships/hyperlink" Target="https://www.commercial.ubtrobot.com/" TargetMode="External" Id="rId395"/><Relationship Type="http://schemas.openxmlformats.org/officeDocument/2006/relationships/hyperlink" Target="https://humanoid.guide/product/operator-op1/" TargetMode="External" Id="rId396"/><Relationship Type="http://schemas.openxmlformats.org/officeDocument/2006/relationships/hyperlink" Target="https://www.ultra.tech/" TargetMode="External" Id="rId397"/><Relationship Type="http://schemas.openxmlformats.org/officeDocument/2006/relationships/hyperlink" Target="https://humanoid.guide/product/northstar/" TargetMode="External" Id="rId398"/><Relationship Type="http://schemas.openxmlformats.org/officeDocument/2006/relationships/hyperlink" Target="https://uma.bot/" TargetMode="External" Id="rId399"/><Relationship Type="http://schemas.openxmlformats.org/officeDocument/2006/relationships/hyperlink" Target="https://humanoid.guide/product/moby-old/" TargetMode="External" Id="rId400"/><Relationship Type="http://schemas.openxmlformats.org/officeDocument/2006/relationships/hyperlink" Target="https://www.undercontrol.ai/" TargetMode="External" Id="rId401"/><Relationship Type="http://schemas.openxmlformats.org/officeDocument/2006/relationships/hyperlink" Target="https://humanoid.guide/product/g1/" TargetMode="External" Id="rId402"/><Relationship Type="http://schemas.openxmlformats.org/officeDocument/2006/relationships/hyperlink" Target="https://www.unitree.com/g1/" TargetMode="External" Id="rId403"/><Relationship Type="http://schemas.openxmlformats.org/officeDocument/2006/relationships/hyperlink" Target="https://humanoid.guide/product/h1-2/" TargetMode="External" Id="rId404"/><Relationship Type="http://schemas.openxmlformats.org/officeDocument/2006/relationships/hyperlink" Target="https://www.unitree.com/" TargetMode="External" Id="rId405"/><Relationship Type="http://schemas.openxmlformats.org/officeDocument/2006/relationships/hyperlink" Target="https://humanoid.guide/product/h2/" TargetMode="External" Id="rId406"/><Relationship Type="http://schemas.openxmlformats.org/officeDocument/2006/relationships/hyperlink" Target="https://www.unitree.com/" TargetMode="External" Id="rId407"/><Relationship Type="http://schemas.openxmlformats.org/officeDocument/2006/relationships/hyperlink" Target="https://humanoid.guide/product/unitree-r1/" TargetMode="External" Id="rId408"/><Relationship Type="http://schemas.openxmlformats.org/officeDocument/2006/relationships/hyperlink" Target="https://www.unitree.com/" TargetMode="External" Id="rId409"/><Relationship Type="http://schemas.openxmlformats.org/officeDocument/2006/relationships/hyperlink" Target="https://humanoid.guide/product/h2-plus/" TargetMode="External" Id="rId410"/><Relationship Type="http://schemas.openxmlformats.org/officeDocument/2006/relationships/hyperlink" Target="https://www.unitree.com/" TargetMode="External" Id="rId411"/><Relationship Type="http://schemas.openxmlformats.org/officeDocument/2006/relationships/hyperlink" Target="https://humanoid.guide/product/superman/" TargetMode="External" Id="rId412"/><Relationship Type="http://schemas.openxmlformats.org/officeDocument/2006/relationships/hyperlink" Target="https://www.unitree.com/" TargetMode="External" Id="rId413"/><Relationship Type="http://schemas.openxmlformats.org/officeDocument/2006/relationships/hyperlink" Target="https://humanoid.guide/product/martian/" TargetMode="External" Id="rId414"/><Relationship Type="http://schemas.openxmlformats.org/officeDocument/2006/relationships/hyperlink" Target="https://www.unix-group.ai/" TargetMode="External" Id="rId415"/><Relationship Type="http://schemas.openxmlformats.org/officeDocument/2006/relationships/hyperlink" Target="https://humanoid.guide/product/panther/" TargetMode="External" Id="rId416"/><Relationship Type="http://schemas.openxmlformats.org/officeDocument/2006/relationships/hyperlink" Target="https://www.unix-group.ai/" TargetMode="External" Id="rId417"/><Relationship Type="http://schemas.openxmlformats.org/officeDocument/2006/relationships/hyperlink" Target="https://humanoid.guide/product/wanda-2-0/" TargetMode="External" Id="rId418"/><Relationship Type="http://schemas.openxmlformats.org/officeDocument/2006/relationships/hyperlink" Target="https://www.unix-group.ai/" TargetMode="External" Id="rId419"/><Relationship Type="http://schemas.openxmlformats.org/officeDocument/2006/relationships/hyperlink" Target="https://humanoid.guide/product/motion-2/" TargetMode="External" Id="rId420"/><Relationship Type="http://schemas.openxmlformats.org/officeDocument/2006/relationships/hyperlink" Target="https://vinmotion.net/" TargetMode="External" Id="rId421"/><Relationship Type="http://schemas.openxmlformats.org/officeDocument/2006/relationships/hyperlink" Target="https://humanoid.guide/product/calvin-40/" TargetMode="External" Id="rId422"/><Relationship Type="http://schemas.openxmlformats.org/officeDocument/2006/relationships/hyperlink" Target="https://en.wandercraft.eu/" TargetMode="External" Id="rId423"/><Relationship Type="http://schemas.openxmlformats.org/officeDocument/2006/relationships/hyperlink" Target="https://humanoid.guide/product/isaac-0/" TargetMode="External" Id="rId424"/><Relationship Type="http://schemas.openxmlformats.org/officeDocument/2006/relationships/hyperlink" Target="https://www.weaverobotics.com/" TargetMode="External" Id="rId425"/><Relationship Type="http://schemas.openxmlformats.org/officeDocument/2006/relationships/hyperlink" Target="https://humanoid.guide/product/isaac-1/" TargetMode="External" Id="rId426"/><Relationship Type="http://schemas.openxmlformats.org/officeDocument/2006/relationships/hyperlink" Target="https://www.weaverobotics.com/" TargetMode="External" Id="rId427"/><Relationship Type="http://schemas.openxmlformats.org/officeDocument/2006/relationships/hyperlink" Target="https://humanoid.guide/product/themis-v2/" TargetMode="External" Id="rId428"/><Relationship Type="http://schemas.openxmlformats.org/officeDocument/2006/relationships/hyperlink" Target="https://www.westwoodrobotics.io/" TargetMode="External" Id="rId429"/><Relationship Type="http://schemas.openxmlformats.org/officeDocument/2006/relationships/hyperlink" Target="https://humanoid.guide/product/allex/" TargetMode="External" Id="rId430"/><Relationship Type="http://schemas.openxmlformats.org/officeDocument/2006/relationships/hyperlink" Target="https://humanoid.guide/product/totan-o1/" TargetMode="External" Id="rId431"/><Relationship Type="http://schemas.openxmlformats.org/officeDocument/2006/relationships/hyperlink" Target="https://wlrobo.com/" TargetMode="External" Id="rId432"/><Relationship Type="http://schemas.openxmlformats.org/officeDocument/2006/relationships/hyperlink" Target="https://humanoid.guide/product/syntro/" TargetMode="External" Id="rId433"/><Relationship Type="http://schemas.openxmlformats.org/officeDocument/2006/relationships/hyperlink" Target="https://www.workfar.com/" TargetMode="External" Id="rId434"/><Relationship Type="http://schemas.openxmlformats.org/officeDocument/2006/relationships/hyperlink" Target="https://humanoid.guide/product/omni/" TargetMode="External" Id="rId435"/><Relationship Type="http://schemas.openxmlformats.org/officeDocument/2006/relationships/hyperlink" Target="https://www.x-humanoid.com/" TargetMode="External" Id="rId436"/><Relationship Type="http://schemas.openxmlformats.org/officeDocument/2006/relationships/hyperlink" Target="https://humanoid.guide/product/tian-yi-2-0/" TargetMode="External" Id="rId437"/><Relationship Type="http://schemas.openxmlformats.org/officeDocument/2006/relationships/hyperlink" Target="https://www.x-humanoid.com/detail/tianyi.html" TargetMode="External" Id="rId438"/><Relationship Type="http://schemas.openxmlformats.org/officeDocument/2006/relationships/hyperlink" Target="https://humanoid.guide/product/tien-kung-2-0/" TargetMode="External" Id="rId439"/><Relationship Type="http://schemas.openxmlformats.org/officeDocument/2006/relationships/hyperlink" Target="https://www.x-humanoid.com/detail/jstg.html" TargetMode="External" Id="rId440"/><Relationship Type="http://schemas.openxmlformats.org/officeDocument/2006/relationships/hyperlink" Target="https://humanoid.guide/product/tien-kung-3-0/" TargetMode="External" Id="rId441"/><Relationship Type="http://schemas.openxmlformats.org/officeDocument/2006/relationships/hyperlink" Target="https://www.x-humanoid.com/" TargetMode="External" Id="rId442"/><Relationship Type="http://schemas.openxmlformats.org/officeDocument/2006/relationships/hyperlink" Target="https://humanoid.guide/product/quanta-x2/" TargetMode="External" Id="rId443"/><Relationship Type="http://schemas.openxmlformats.org/officeDocument/2006/relationships/hyperlink" Target="https://humanoid.guide/product/cyberone/" TargetMode="External" Id="rId444"/><Relationship Type="http://schemas.openxmlformats.org/officeDocument/2006/relationships/hyperlink" Target="https://humanoid.guide/product/cyberone-v2/" TargetMode="External" Id="rId445"/><Relationship Type="http://schemas.openxmlformats.org/officeDocument/2006/relationships/hyperlink" Target="https://humanoid.guide/product/iron_prototype/" TargetMode="External" Id="rId446"/><Relationship Type="http://schemas.openxmlformats.org/officeDocument/2006/relationships/hyperlink" Target="https://www.pxing.com/en/index" TargetMode="External" Id="rId447"/><Relationship Type="http://schemas.openxmlformats.org/officeDocument/2006/relationships/hyperlink" Target="https://humanoid.guide/product/px5/" TargetMode="External" Id="rId448"/><Relationship Type="http://schemas.openxmlformats.org/officeDocument/2006/relationships/hyperlink" Target="https://www.xpeng.com/" TargetMode="External" Id="rId449"/><Relationship Type="http://schemas.openxmlformats.org/officeDocument/2006/relationships/hyperlink" Target="https://humanoid.guide/product/iron/" TargetMode="External" Id="rId450"/><Relationship Type="http://schemas.openxmlformats.org/officeDocument/2006/relationships/hyperlink" Target="https://www.pxing.com/en/index" TargetMode="External" Id="rId451"/><Relationship Type="http://schemas.openxmlformats.org/officeDocument/2006/relationships/hyperlink" Target="https://humanoid.guide/product/deux/" TargetMode="External" Id="rId452"/><Relationship Type="http://schemas.openxmlformats.org/officeDocument/2006/relationships/hyperlink" Target="https://xyzcorp.imweb.me/" TargetMode="External" Id="rId453"/><Relationship Type="http://schemas.openxmlformats.org/officeDocument/2006/relationships/hyperlink" Target="https://humanoid.guide/product/zerith-h1/" TargetMode="External" Id="rId454"/><Relationship Type="http://schemas.openxmlformats.org/officeDocument/2006/relationships/hyperlink" Target="https://casbot.tech/" TargetMode="External" Id="rId455"/><Relationship Type="http://schemas.openxmlformats.org/officeDocument/2006/relationships/hyperlink" Target="https://humanoid.guide/product/zerith-z1/" TargetMode="External" Id="rId456"/><Relationship Type="http://schemas.openxmlformats.org/officeDocument/2006/relationships/hyperlink" Target="https://casbot.tech/" TargetMode="External" Id="rId457"/><Relationship Type="http://schemas.openxmlformats.org/officeDocument/2006/relationships/hyperlink" Target="https://humanoid.guide/product/sean/" TargetMode="External" Id="rId458"/><Relationship Type="http://schemas.openxmlformats.org/officeDocument/2006/relationships/hyperlink" Target="https://www.zeroth0.com/" TargetMode="External" Id="rId459"/><Relationship Type="http://schemas.openxmlformats.org/officeDocument/2006/relationships/hyperlink" Target="https://humanoid.guide/product/navai-i3/" TargetMode="External" Id="rId460"/><Relationship Type="http://schemas.openxmlformats.org/officeDocument/2006/relationships/hyperlink" Target="https://www.zj-humanoid.com/" TargetMode="External" Id="rId461"/><Relationship Type="http://schemas.openxmlformats.org/officeDocument/2006/relationships/hyperlink" Target="https://humanoid.guide/product/navigator-2/" TargetMode="External" Id="rId462"/><Relationship Type="http://schemas.openxmlformats.org/officeDocument/2006/relationships/hyperlink" Target="https://www.zj-humanoid.com/" TargetMode="External" Id="rId463"/><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8.xml.rels><Relationships xmlns="http://schemas.openxmlformats.org/package/2006/relationships"><Relationship Type="http://schemas.openxmlformats.org/officeDocument/2006/relationships/hyperlink" Target="https://humanoid.guide/product/neo/" TargetMode="External" Id="rId1"/><Relationship Type="http://schemas.openxmlformats.org/officeDocument/2006/relationships/hyperlink" Target="https://humanoid.guide/product/neo-beta/" TargetMode="External" Id="rId2"/><Relationship Type="http://schemas.openxmlformats.org/officeDocument/2006/relationships/hyperlink" Target="https://humanoid.guide/product/neo-gamma/" TargetMode="External" Id="rId3"/><Relationship Type="http://schemas.openxmlformats.org/officeDocument/2006/relationships/hyperlink" Target="https://humanoid.guide/product/alice/" TargetMode="External" Id="rId4"/><Relationship Type="http://schemas.openxmlformats.org/officeDocument/2006/relationships/hyperlink" Target="https://humanoid.guide/product/alice-m1/" TargetMode="External" Id="rId5"/><Relationship Type="http://schemas.openxmlformats.org/officeDocument/2006/relationships/hyperlink" Target="https://humanoid.guide/product/a2/" TargetMode="External" Id="rId6"/><Relationship Type="http://schemas.openxmlformats.org/officeDocument/2006/relationships/hyperlink" Target="https://humanoid.guide/product/a2-max/" TargetMode="External" Id="rId7"/><Relationship Type="http://schemas.openxmlformats.org/officeDocument/2006/relationships/hyperlink" Target="https://humanoid.guide/product/agibot-a2-w/" TargetMode="External" Id="rId8"/><Relationship Type="http://schemas.openxmlformats.org/officeDocument/2006/relationships/hyperlink" Target="https://humanoid.guide/product/agibot-a3/" TargetMode="External" Id="rId9"/><Relationship Type="http://schemas.openxmlformats.org/officeDocument/2006/relationships/hyperlink" Target="https://humanoid.guide/product/agibot-g1/" TargetMode="External" Id="rId10"/><Relationship Type="http://schemas.openxmlformats.org/officeDocument/2006/relationships/hyperlink" Target="https://humanoid.guide/product/agibot-x1/" TargetMode="External" Id="rId11"/><Relationship Type="http://schemas.openxmlformats.org/officeDocument/2006/relationships/hyperlink" Target="https://humanoid.guide/product/g2-genie/" TargetMode="External" Id="rId12"/><Relationship Type="http://schemas.openxmlformats.org/officeDocument/2006/relationships/hyperlink" Target="https://humanoid.guide/product/g2-max/" TargetMode="External" Id="rId13"/><Relationship Type="http://schemas.openxmlformats.org/officeDocument/2006/relationships/hyperlink" Target="https://humanoid.guide/product/quester1-q1/" TargetMode="External" Id="rId14"/><Relationship Type="http://schemas.openxmlformats.org/officeDocument/2006/relationships/hyperlink" Target="https://humanoid.guide/product/raise-a1/" TargetMode="External" Id="rId15"/><Relationship Type="http://schemas.openxmlformats.org/officeDocument/2006/relationships/hyperlink" Target="https://humanoid.guide/product/agibot-x2/" TargetMode="External" Id="rId16"/><Relationship Type="http://schemas.openxmlformats.org/officeDocument/2006/relationships/hyperlink" Target="https://humanoid.guide/product/agile-one/" TargetMode="External" Id="rId17"/><Relationship Type="http://schemas.openxmlformats.org/officeDocument/2006/relationships/hyperlink" Target="https://humanoid.guide/product/digit/" TargetMode="External" Id="rId18"/><Relationship Type="http://schemas.openxmlformats.org/officeDocument/2006/relationships/hyperlink" Target="https://humanoid.guide/product/akinci-5/" TargetMode="External" Id="rId19"/><Relationship Type="http://schemas.openxmlformats.org/officeDocument/2006/relationships/hyperlink" Target="https://humanoid.guide/product/abi/" TargetMode="External" Id="rId20"/><Relationship Type="http://schemas.openxmlformats.org/officeDocument/2006/relationships/hyperlink" Target="https://humanoid.guide/product/apollo/" TargetMode="External" Id="rId21"/><Relationship Type="http://schemas.openxmlformats.org/officeDocument/2006/relationships/hyperlink" Target="https://humanoid.guide/product/apollo-2/" TargetMode="External" Id="rId22"/><Relationship Type="http://schemas.openxmlformats.org/officeDocument/2006/relationships/hyperlink" Target="https://humanoid.guide/product/astra/" TargetMode="External" Id="rId23"/><Relationship Type="http://schemas.openxmlformats.org/officeDocument/2006/relationships/hyperlink" Target="https://humanoid.guide/product/qdh/" TargetMode="External" Id="rId24"/><Relationship Type="http://schemas.openxmlformats.org/officeDocument/2006/relationships/hyperlink" Target="https://humanoid.guide/product/aidol/" TargetMode="External" Id="rId25"/><Relationship Type="http://schemas.openxmlformats.org/officeDocument/2006/relationships/hyperlink" Target="https://humanoid.guide/product/astribot-s1/" TargetMode="External" Id="rId26"/><Relationship Type="http://schemas.openxmlformats.org/officeDocument/2006/relationships/hyperlink" Target="https://humanoid.guide/product/astribot-t1/" TargetMode="External" Id="rId27"/><Relationship Type="http://schemas.openxmlformats.org/officeDocument/2006/relationships/hyperlink" Target="https://humanoid.guide/product/galbot-et1/" TargetMode="External" Id="rId28"/><Relationship Type="http://schemas.openxmlformats.org/officeDocument/2006/relationships/hyperlink" Target="https://humanoid.guide/product/galbot-s1/" TargetMode="External" Id="rId29"/><Relationship Type="http://schemas.openxmlformats.org/officeDocument/2006/relationships/hyperlink" Target="https://humanoid.guide/product/booster-t1/" TargetMode="External" Id="rId30"/><Relationship Type="http://schemas.openxmlformats.org/officeDocument/2006/relationships/hyperlink" Target="https://humanoid.guide/product/booster-t2/" TargetMode="External" Id="rId31"/><Relationship Type="http://schemas.openxmlformats.org/officeDocument/2006/relationships/hyperlink" Target="https://humanoid.guide/product/k1/" TargetMode="External" Id="rId32"/><Relationship Type="http://schemas.openxmlformats.org/officeDocument/2006/relationships/hyperlink" Target="https://humanoid.guide/product/borg-01/" TargetMode="External" Id="rId33"/><Relationship Type="http://schemas.openxmlformats.org/officeDocument/2006/relationships/hyperlink" Target="https://humanoid.guide/product/dexbot/" TargetMode="External" Id="rId34"/><Relationship Type="http://schemas.openxmlformats.org/officeDocument/2006/relationships/hyperlink" Target="https://humanoid.guide/product/atlas/" TargetMode="External" Id="rId35"/><Relationship Type="http://schemas.openxmlformats.org/officeDocument/2006/relationships/hyperlink" Target="https://humanoid.guide/product/atlas-2013/" TargetMode="External" Id="rId36"/><Relationship Type="http://schemas.openxmlformats.org/officeDocument/2006/relationships/hyperlink" Target="https://humanoid.guide/product/yogi/" TargetMode="External" Id="rId37"/><Relationship Type="http://schemas.openxmlformats.org/officeDocument/2006/relationships/hyperlink" Target="https://humanoid.guide/product/casbot-02/" TargetMode="External" Id="rId38"/><Relationship Type="http://schemas.openxmlformats.org/officeDocument/2006/relationships/hyperlink" Target="https://humanoid.guide/product/casbot-w1/" TargetMode="External" Id="rId39"/><Relationship Type="http://schemas.openxmlformats.org/officeDocument/2006/relationships/hyperlink" Target="https://humanoid.guide/product/casivibot/" TargetMode="External" Id="rId40"/><Relationship Type="http://schemas.openxmlformats.org/officeDocument/2006/relationships/hyperlink" Target="https://humanoid.guide/product/clone-alpha/" TargetMode="External" Id="rId41"/><Relationship Type="http://schemas.openxmlformats.org/officeDocument/2006/relationships/hyperlink" Target="https://humanoid.guide/product/orca/" TargetMode="External" Id="rId42"/><Relationship Type="http://schemas.openxmlformats.org/officeDocument/2006/relationships/hyperlink" Target="https://humanoid.guide/product/dr01/" TargetMode="External" Id="rId43"/><Relationship Type="http://schemas.openxmlformats.org/officeDocument/2006/relationships/hyperlink" Target="https://humanoid.guide/product/dr02/" TargetMode="External" Id="rId44"/><Relationship Type="http://schemas.openxmlformats.org/officeDocument/2006/relationships/hyperlink" Target="https://humanoid.guide/product/w1-pro/" TargetMode="External" Id="rId45"/><Relationship Type="http://schemas.openxmlformats.org/officeDocument/2006/relationships/hyperlink" Target="https://humanoid.guide/product/vega/" TargetMode="External" Id="rId46"/><Relationship Type="http://schemas.openxmlformats.org/officeDocument/2006/relationships/hyperlink" Target="https://humanoid.guide/product/nezha-p01/" TargetMode="External" Id="rId47"/><Relationship Type="http://schemas.openxmlformats.org/officeDocument/2006/relationships/hyperlink" Target="https://humanoid.guide/product/xialan-s0/" TargetMode="External" Id="rId48"/><Relationship Type="http://schemas.openxmlformats.org/officeDocument/2006/relationships/hyperlink" Target="https://humanoid.guide/product/xiaqi/" TargetMode="External" Id="rId49"/><Relationship Type="http://schemas.openxmlformats.org/officeDocument/2006/relationships/hyperlink" Target="https://humanoid.guide/product/atom-2/" TargetMode="External" Id="rId50"/><Relationship Type="http://schemas.openxmlformats.org/officeDocument/2006/relationships/hyperlink" Target="https://humanoid.guide/product/atom-max/" TargetMode="External" Id="rId51"/><Relationship Type="http://schemas.openxmlformats.org/officeDocument/2006/relationships/hyperlink" Target="https://humanoid.guide/product/cinnamon-1/" TargetMode="External" Id="rId52"/><Relationship Type="http://schemas.openxmlformats.org/officeDocument/2006/relationships/hyperlink" Target="https://humanoid.guide/product/duatic-alpha/" TargetMode="External" Id="rId53"/><Relationship Type="http://schemas.openxmlformats.org/officeDocument/2006/relationships/hyperlink" Target="https://humanoid.guide/product/skywalker-2/" TargetMode="External" Id="rId54"/><Relationship Type="http://schemas.openxmlformats.org/officeDocument/2006/relationships/hyperlink" Target="https://humanoid.guide/product/astrodroid-ad-01/" TargetMode="External" Id="rId55"/><Relationship Type="http://schemas.openxmlformats.org/officeDocument/2006/relationships/hyperlink" Target="https://humanoid.guide/product/mirokai/" TargetMode="External" Id="rId56"/><Relationship Type="http://schemas.openxmlformats.org/officeDocument/2006/relationships/hyperlink" Target="https://humanoid.guide/product/pm01/" TargetMode="External" Id="rId57"/><Relationship Type="http://schemas.openxmlformats.org/officeDocument/2006/relationships/hyperlink" Target="https://humanoid.guide/product/sao2/" TargetMode="External" Id="rId58"/><Relationship Type="http://schemas.openxmlformats.org/officeDocument/2006/relationships/hyperlink" Target="https://humanoid.guide/product/se01/" TargetMode="External" Id="rId59"/><Relationship Type="http://schemas.openxmlformats.org/officeDocument/2006/relationships/hyperlink" Target="https://humanoid.guide/product/t800/" TargetMode="External" Id="rId60"/><Relationship Type="http://schemas.openxmlformats.org/officeDocument/2006/relationships/hyperlink" Target="https://humanoid.guide/product/futurist/" TargetMode="External" Id="rId61"/><Relationship Type="http://schemas.openxmlformats.org/officeDocument/2006/relationships/hyperlink" Target="https://humanoid.guide/product/master/" TargetMode="External" Id="rId62"/><Relationship Type="http://schemas.openxmlformats.org/officeDocument/2006/relationships/hyperlink" Target="https://humanoid.guide/product/sprout/" TargetMode="External" Id="rId63"/><Relationship Type="http://schemas.openxmlformats.org/officeDocument/2006/relationships/hyperlink" Target="https://humanoid.guide/product/figure-02/" TargetMode="External" Id="rId64"/><Relationship Type="http://schemas.openxmlformats.org/officeDocument/2006/relationships/hyperlink" Target="https://humanoid.guide/product/figure-03/" TargetMode="External" Id="rId65"/><Relationship Type="http://schemas.openxmlformats.org/officeDocument/2006/relationships/hyperlink" Target="https://humanoid.guide/product/aico-2/" TargetMode="External" Id="rId66"/><Relationship Type="http://schemas.openxmlformats.org/officeDocument/2006/relationships/hyperlink" Target="https://humanoid.guide/product/mico/" TargetMode="External" Id="rId67"/><Relationship Type="http://schemas.openxmlformats.org/officeDocument/2006/relationships/hyperlink" Target="https://humanoid.guide/product/phantom-mk1/" TargetMode="External" Id="rId68"/><Relationship Type="http://schemas.openxmlformats.org/officeDocument/2006/relationships/hyperlink" Target="https://humanoid.guide/product/gr-1/" TargetMode="External" Id="rId69"/><Relationship Type="http://schemas.openxmlformats.org/officeDocument/2006/relationships/hyperlink" Target="https://humanoid.guide/product/gr-2/" TargetMode="External" Id="rId70"/><Relationship Type="http://schemas.openxmlformats.org/officeDocument/2006/relationships/hyperlink" Target="https://humanoid.guide/product/fourier-gr-3/" TargetMode="External" Id="rId71"/><Relationship Type="http://schemas.openxmlformats.org/officeDocument/2006/relationships/hyperlink" Target="https://humanoid.guide/product/futuring-2/" TargetMode="External" Id="rId72"/><Relationship Type="http://schemas.openxmlformats.org/officeDocument/2006/relationships/hyperlink" Target="https://humanoid.guide/product/kengo/" TargetMode="External" Id="rId73"/><Relationship Type="http://schemas.openxmlformats.org/officeDocument/2006/relationships/hyperlink" Target="https://humanoid.guide/product/r1-pro/" TargetMode="External" Id="rId74"/><Relationship Type="http://schemas.openxmlformats.org/officeDocument/2006/relationships/hyperlink" Target="https://humanoid.guide/product/galbot/" TargetMode="External" Id="rId75"/><Relationship Type="http://schemas.openxmlformats.org/officeDocument/2006/relationships/hyperlink" Target="https://humanoid.guide/product/gene-01/" TargetMode="External" Id="rId76"/><Relationship Type="http://schemas.openxmlformats.org/officeDocument/2006/relationships/hyperlink" Target="https://humanoid.guide/product/eno/" TargetMode="External" Id="rId77"/><Relationship Type="http://schemas.openxmlformats.org/officeDocument/2006/relationships/hyperlink" Target="https://humanoid.guide/product/maker-h01/" TargetMode="External" Id="rId78"/><Relationship Type="http://schemas.openxmlformats.org/officeDocument/2006/relationships/hyperlink" Target="https://humanoid.guide/product/hiva-haiwa/" TargetMode="External" Id="rId79"/><Relationship Type="http://schemas.openxmlformats.org/officeDocument/2006/relationships/hyperlink" Target="https://humanoid.guide/product/aeon/" TargetMode="External" Id="rId80"/><Relationship Type="http://schemas.openxmlformats.org/officeDocument/2006/relationships/hyperlink" Target="https://humanoid.guide/product/friday/" TargetMode="External" Id="rId81"/><Relationship Type="http://schemas.openxmlformats.org/officeDocument/2006/relationships/hyperlink" Target="https://humanoid.guide/product/honor/" TargetMode="External" Id="rId82"/><Relationship Type="http://schemas.openxmlformats.org/officeDocument/2006/relationships/hyperlink" Target="https://humanoid.guide/product/hmnd-01-alpha-bipedal/" TargetMode="External" Id="rId83"/><Relationship Type="http://schemas.openxmlformats.org/officeDocument/2006/relationships/hyperlink" Target="https://humanoid.guide/product/hmnd-01/" TargetMode="External" Id="rId84"/><Relationship Type="http://schemas.openxmlformats.org/officeDocument/2006/relationships/hyperlink" Target="https://humanoid.guide/product/tara-gen1/" TargetMode="External" Id="rId85"/><Relationship Type="http://schemas.openxmlformats.org/officeDocument/2006/relationships/hyperlink" Target="https://humanoid.guide/product/pib-pro/" TargetMode="External" Id="rId86"/><Relationship Type="http://schemas.openxmlformats.org/officeDocument/2006/relationships/hyperlink" Target="https://humanoid.guide/product/jaka-&#960;/" TargetMode="External" Id="rId87"/><Relationship Type="http://schemas.openxmlformats.org/officeDocument/2006/relationships/hyperlink" Target="https://humanoid.guide/product/jaka-k1/" TargetMode="External" Id="rId88"/><Relationship Type="http://schemas.openxmlformats.org/officeDocument/2006/relationships/hyperlink" Target="https://humanoid.guide/product/jaka-kargo/" TargetMode="External" Id="rId89"/><Relationship Type="http://schemas.openxmlformats.org/officeDocument/2006/relationships/hyperlink" Target="https://humanoid.guide/product/keenon-xman-r1/" TargetMode="External" Id="rId90"/><Relationship Type="http://schemas.openxmlformats.org/officeDocument/2006/relationships/hyperlink" Target="https://humanoid.guide/product/k2-bumblebee/" TargetMode="External" Id="rId91"/><Relationship Type="http://schemas.openxmlformats.org/officeDocument/2006/relationships/hyperlink" Target="https://humanoid.guide/product/kepler/" TargetMode="External" Id="rId92"/><Relationship Type="http://schemas.openxmlformats.org/officeDocument/2006/relationships/hyperlink" Target="https://humanoid.guide/product/kepler-k2/" TargetMode="External" Id="rId93"/><Relationship Type="http://schemas.openxmlformats.org/officeDocument/2006/relationships/hyperlink" Target="https://humanoid.guide/product/kai/" TargetMode="External" Id="rId94"/><Relationship Type="http://schemas.openxmlformats.org/officeDocument/2006/relationships/hyperlink" Target="https://humanoid.guide/product/kinisi-01/" TargetMode="External" Id="rId95"/><Relationship Type="http://schemas.openxmlformats.org/officeDocument/2006/relationships/hyperlink" Target="https://humanoid.guide/product/kinisi-kr1/" TargetMode="External" Id="rId96"/><Relationship Type="http://schemas.openxmlformats.org/officeDocument/2006/relationships/hyperlink" Target="https://humanoid.guide/product/vb1-i/" TargetMode="External" Id="rId97"/><Relationship Type="http://schemas.openxmlformats.org/officeDocument/2006/relationships/hyperlink" Target="https://humanoid.guide/product/vb2/" TargetMode="External" Id="rId98"/><Relationship Type="http://schemas.openxmlformats.org/officeDocument/2006/relationships/hyperlink" Target="https://humanoid.guide/product/versabot-vb-1/" TargetMode="External" Id="rId99"/><Relationship Type="http://schemas.openxmlformats.org/officeDocument/2006/relationships/hyperlink" Target="https://humanoid.guide/product/kuavo-5/" TargetMode="External" Id="rId100"/><Relationship Type="http://schemas.openxmlformats.org/officeDocument/2006/relationships/hyperlink" Target="https://humanoid.guide/product/roban-2/" TargetMode="External" Id="rId101"/><Relationship Type="http://schemas.openxmlformats.org/officeDocument/2006/relationships/hyperlink" Target="https://humanoid.guide/product/kuavo-my/" TargetMode="External" Id="rId102"/><Relationship Type="http://schemas.openxmlformats.org/officeDocument/2006/relationships/hyperlink" Target="https://humanoid.guide/product/xtron-kuavo-my/" TargetMode="External" Id="rId103"/><Relationship Type="http://schemas.openxmlformats.org/officeDocument/2006/relationships/hyperlink" Target="https://humanoid.guide/product/cloid/" TargetMode="External" Id="rId104"/><Relationship Type="http://schemas.openxmlformats.org/officeDocument/2006/relationships/hyperlink" Target="https://humanoid.guide/product/kapex/" TargetMode="External" Id="rId105"/><Relationship Type="http://schemas.openxmlformats.org/officeDocument/2006/relationships/hyperlink" Target="https://humanoid.guide/product/limx/" TargetMode="External" Id="rId106"/><Relationship Type="http://schemas.openxmlformats.org/officeDocument/2006/relationships/hyperlink" Target="https://humanoid.guide/product/limx-cl-series/" TargetMode="External" Id="rId107"/><Relationship Type="http://schemas.openxmlformats.org/officeDocument/2006/relationships/hyperlink" Target="https://humanoid.guide/product/limx-oli/" TargetMode="External" Id="rId108"/><Relationship Type="http://schemas.openxmlformats.org/officeDocument/2006/relationships/hyperlink" Target="https://humanoid.guide/product/luna/" TargetMode="External" Id="rId109"/><Relationship Type="http://schemas.openxmlformats.org/officeDocument/2006/relationships/hyperlink" Target="https://humanoid.guide/product/lus2/" TargetMode="External" Id="rId110"/><Relationship Type="http://schemas.openxmlformats.org/officeDocument/2006/relationships/hyperlink" Target="https://humanoid.guide/product/nix/" TargetMode="External" Id="rId111"/><Relationship Type="http://schemas.openxmlformats.org/officeDocument/2006/relationships/hyperlink" Target="https://humanoid.guide/product/magicbot/" TargetMode="External" Id="rId112"/><Relationship Type="http://schemas.openxmlformats.org/officeDocument/2006/relationships/hyperlink" Target="https://humanoid.guide/product/magicbot-x1/" TargetMode="External" Id="rId113"/><Relationship Type="http://schemas.openxmlformats.org/officeDocument/2006/relationships/hyperlink" Target="https://humanoid.guide/product/magicbot-z1/" TargetMode="External" Id="rId114"/><Relationship Type="http://schemas.openxmlformats.org/officeDocument/2006/relationships/hyperlink" Target="https://humanoid.guide/product/matrix-1/" TargetMode="External" Id="rId115"/><Relationship Type="http://schemas.openxmlformats.org/officeDocument/2006/relationships/hyperlink" Target="https://humanoid.guide/product/matrix-3/" TargetMode="External" Id="rId116"/><Relationship Type="http://schemas.openxmlformats.org/officeDocument/2006/relationships/hyperlink" Target="https://humanoid.guide/product/asimov/" TargetMode="External" Id="rId117"/><Relationship Type="http://schemas.openxmlformats.org/officeDocument/2006/relationships/hyperlink" Target="https://humanoid.guide/product/asimov-one/" TargetMode="External" Id="rId118"/><Relationship Type="http://schemas.openxmlformats.org/officeDocument/2006/relationships/hyperlink" Target="https://humanoid.guide/product/asimov-two/" TargetMode="External" Id="rId119"/><Relationship Type="http://schemas.openxmlformats.org/officeDocument/2006/relationships/hyperlink" Target="https://humanoid.guide/product/menteebot/" TargetMode="External" Id="rId120"/><Relationship Type="http://schemas.openxmlformats.org/officeDocument/2006/relationships/hyperlink" Target="https://humanoid.guide/product/menteebot-v3/" TargetMode="External" Id="rId121"/><Relationship Type="http://schemas.openxmlformats.org/officeDocument/2006/relationships/hyperlink" Target="https://humanoid.guide/product/miro/" TargetMode="External" Id="rId122"/><Relationship Type="http://schemas.openxmlformats.org/officeDocument/2006/relationships/hyperlink" Target="https://humanoid.guide/product/mh3/" TargetMode="External" Id="rId123"/><Relationship Type="http://schemas.openxmlformats.org/officeDocument/2006/relationships/hyperlink" Target="https://humanoid.guide/product/l1/" TargetMode="External" Id="rId124"/><Relationship Type="http://schemas.openxmlformats.org/officeDocument/2006/relationships/hyperlink" Target="https://humanoid.guide/product/spaceo-m1/" TargetMode="External" Id="rId125"/><Relationship Type="http://schemas.openxmlformats.org/officeDocument/2006/relationships/hyperlink" Target="https://humanoid.guide/product/spaceo-pro/" TargetMode="External" Id="rId126"/><Relationship Type="http://schemas.openxmlformats.org/officeDocument/2006/relationships/hyperlink" Target="https://humanoid.guide/product/ambidex/" TargetMode="External" Id="rId127"/><Relationship Type="http://schemas.openxmlformats.org/officeDocument/2006/relationships/hyperlink" Target="https://humanoid.guide/product/4ne-1/" TargetMode="External" Id="rId128"/><Relationship Type="http://schemas.openxmlformats.org/officeDocument/2006/relationships/hyperlink" Target="https://humanoid.guide/product/4ne1/" TargetMode="External" Id="rId129"/><Relationship Type="http://schemas.openxmlformats.org/officeDocument/2006/relationships/hyperlink" Target="https://humanoid.guide/product/raynex-g3/" TargetMode="External" Id="rId130"/><Relationship Type="http://schemas.openxmlformats.org/officeDocument/2006/relationships/hyperlink" Target="https://humanoid.guide/product/moby/" TargetMode="External" Id="rId131"/><Relationship Type="http://schemas.openxmlformats.org/officeDocument/2006/relationships/hyperlink" Target="https://humanoid.guide/product/dora/" TargetMode="External" Id="rId132"/><Relationship Type="http://schemas.openxmlformats.org/officeDocument/2006/relationships/hyperlink" Target="https://humanoid.guide/product/hobbs/" TargetMode="External" Id="rId133"/><Relationship Type="http://schemas.openxmlformats.org/officeDocument/2006/relationships/hyperlink" Target="https://humanoid.guide/product/n2/" TargetMode="External" Id="rId134"/><Relationship Type="http://schemas.openxmlformats.org/officeDocument/2006/relationships/hyperlink" Target="https://humanoid.guide/product/nori-l3/" TargetMode="External" Id="rId135"/><Relationship Type="http://schemas.openxmlformats.org/officeDocument/2006/relationships/hyperlink" Target="https://humanoid.guide/product/isaac-gr00t/" TargetMode="External" Id="rId136"/><Relationship Type="http://schemas.openxmlformats.org/officeDocument/2006/relationships/hyperlink" Target="https://humanoid.guide/product/modular/" TargetMode="External" Id="rId137"/><Relationship Type="http://schemas.openxmlformats.org/officeDocument/2006/relationships/hyperlink" Target="https://humanoid.guide/product/openarm-02/" TargetMode="External" Id="rId138"/><Relationship Type="http://schemas.openxmlformats.org/officeDocument/2006/relationships/hyperlink" Target="https://humanoid.guide/product/qinglong-v3-0/" TargetMode="External" Id="rId139"/><Relationship Type="http://schemas.openxmlformats.org/officeDocument/2006/relationships/hyperlink" Target="https://humanoid.guide/product/helios/" TargetMode="External" Id="rId140"/><Relationship Type="http://schemas.openxmlformats.org/officeDocument/2006/relationships/hyperlink" Target="https://humanoid.guide/product/robee/" TargetMode="External" Id="rId141"/><Relationship Type="http://schemas.openxmlformats.org/officeDocument/2006/relationships/hyperlink" Target="https://humanoid.guide/product/kangaroo/" TargetMode="External" Id="rId142"/><Relationship Type="http://schemas.openxmlformats.org/officeDocument/2006/relationships/hyperlink" Target="https://humanoid.guide/product/tora-doubleone/" TargetMode="External" Id="rId143"/><Relationship Type="http://schemas.openxmlformats.org/officeDocument/2006/relationships/hyperlink" Target="https://humanoid.guide/product/pr-34d/" TargetMode="External" Id="rId144"/><Relationship Type="http://schemas.openxmlformats.org/officeDocument/2006/relationships/hyperlink" Target="https://humanoid.guide/product/phybot-c1/" TargetMode="External" Id="rId145"/><Relationship Type="http://schemas.openxmlformats.org/officeDocument/2006/relationships/hyperlink" Target="https://humanoid.guide/product/phybot-m1/" TargetMode="External" Id="rId146"/><Relationship Type="http://schemas.openxmlformats.org/officeDocument/2006/relationships/hyperlink" Target="https://humanoid.guide/product/prowhite/" TargetMode="External" Id="rId147"/><Relationship Type="http://schemas.openxmlformats.org/officeDocument/2006/relationships/hyperlink" Target="https://humanoid.guide/product/zeus-1/" TargetMode="External" Id="rId148"/><Relationship Type="http://schemas.openxmlformats.org/officeDocument/2006/relationships/hyperlink" Target="https://humanoid.guide/product/adam/" TargetMode="External" Id="rId149"/><Relationship Type="http://schemas.openxmlformats.org/officeDocument/2006/relationships/hyperlink" Target="https://humanoid.guide/product/adamsp/" TargetMode="External" Id="rId150"/><Relationship Type="http://schemas.openxmlformats.org/officeDocument/2006/relationships/hyperlink" Target="https://humanoid.guide/product/reachy-2/" TargetMode="External" Id="rId151"/><Relationship Type="http://schemas.openxmlformats.org/officeDocument/2006/relationships/hyperlink" Target="https://humanoid.guide/product/primebot-q1/" TargetMode="External" Id="rId152"/><Relationship Type="http://schemas.openxmlformats.org/officeDocument/2006/relationships/hyperlink" Target="https://humanoid.guide/product/primebot-t1/" TargetMode="External" Id="rId153"/><Relationship Type="http://schemas.openxmlformats.org/officeDocument/2006/relationships/hyperlink" Target="https://humanoid.guide/product/psi-v1/" TargetMode="External" Id="rId154"/><Relationship Type="http://schemas.openxmlformats.org/officeDocument/2006/relationships/hyperlink" Target="https://humanoid.guide/product/&#968;-synrobot/" TargetMode="External" Id="rId155"/><Relationship Type="http://schemas.openxmlformats.org/officeDocument/2006/relationships/hyperlink" Target="https://humanoid.guide/product/flashbot-arm/" TargetMode="External" Id="rId156"/><Relationship Type="http://schemas.openxmlformats.org/officeDocument/2006/relationships/hyperlink" Target="https://humanoid.guide/product/pudu-d7/" TargetMode="External" Id="rId157"/><Relationship Type="http://schemas.openxmlformats.org/officeDocument/2006/relationships/hyperlink" Target="https://humanoid.guide/product/pudu-d9/" TargetMode="External" Id="rId158"/><Relationship Type="http://schemas.openxmlformats.org/officeDocument/2006/relationships/hyperlink" Target="https://humanoid.guide/product/rb-y1/" TargetMode="External" Id="rId159"/><Relationship Type="http://schemas.openxmlformats.org/officeDocument/2006/relationships/hyperlink" Target="https://humanoid.guide/product/reflex/" TargetMode="External" Id="rId160"/><Relationship Type="http://schemas.openxmlformats.org/officeDocument/2006/relationships/hyperlink" Target="https://humanoid.guide/product/robbyant-r1/" TargetMode="External" Id="rId161"/><Relationship Type="http://schemas.openxmlformats.org/officeDocument/2006/relationships/hyperlink" Target="https://humanoid.guide/product/robo-t1/" TargetMode="External" Id="rId162"/><Relationship Type="http://schemas.openxmlformats.org/officeDocument/2006/relationships/hyperlink" Target="https://humanoid.guide/product/titan/" TargetMode="External" Id="rId163"/><Relationship Type="http://schemas.openxmlformats.org/officeDocument/2006/relationships/hyperlink" Target="https://humanoid.guide/product/robin/" TargetMode="External" Id="rId164"/><Relationship Type="http://schemas.openxmlformats.org/officeDocument/2006/relationships/hyperlink" Target="https://humanoid.guide/product/r-noid/" TargetMode="External" Id="rId165"/><Relationship Type="http://schemas.openxmlformats.org/officeDocument/2006/relationships/hyperlink" Target="https://humanoid.guide/product/robotera-l7/" TargetMode="External" Id="rId166"/><Relationship Type="http://schemas.openxmlformats.org/officeDocument/2006/relationships/hyperlink" Target="https://humanoid.guide/product/robotera-m7/" TargetMode="External" Id="rId167"/><Relationship Type="http://schemas.openxmlformats.org/officeDocument/2006/relationships/hyperlink" Target="https://humanoid.guide/product/robotera-q5/" TargetMode="External" Id="rId168"/><Relationship Type="http://schemas.openxmlformats.org/officeDocument/2006/relationships/hyperlink" Target="https://humanoid.guide/product/star1/" TargetMode="External" Id="rId169"/><Relationship Type="http://schemas.openxmlformats.org/officeDocument/2006/relationships/hyperlink" Target="https://humanoid.guide/product/ai-sapiens-k1/" TargetMode="External" Id="rId170"/><Relationship Type="http://schemas.openxmlformats.org/officeDocument/2006/relationships/hyperlink" Target="https://humanoid.guide/product/ai-worker/" TargetMode="External" Id="rId171"/><Relationship Type="http://schemas.openxmlformats.org/officeDocument/2006/relationships/hyperlink" Target="https://humanoid.guide/product/k0-by-robotis/" TargetMode="External" Id="rId172"/><Relationship Type="http://schemas.openxmlformats.org/officeDocument/2006/relationships/hyperlink" Target="https://humanoid.guide/product/igris-c/" TargetMode="External" Id="rId173"/><Relationship Type="http://schemas.openxmlformats.org/officeDocument/2006/relationships/hyperlink" Target="https://humanoid.guide/product/phoenix/" TargetMode="External" Id="rId174"/><Relationship Type="http://schemas.openxmlformats.org/officeDocument/2006/relationships/hyperlink" Target="https://humanoid.guide/product/roboto-origin/" TargetMode="External" Id="rId175"/><Relationship Type="http://schemas.openxmlformats.org/officeDocument/2006/relationships/hyperlink" Target="https://humanoid.guide/product/duco/" TargetMode="External" Id="rId176"/><Relationship Type="http://schemas.openxmlformats.org/officeDocument/2006/relationships/hyperlink" Target="https://humanoid.guide/product/songxing/" TargetMode="External" Id="rId177"/><Relationship Type="http://schemas.openxmlformats.org/officeDocument/2006/relationships/hyperlink" Target="https://humanoid.guide/product/simplexity-robotics-i-series/" TargetMode="External" Id="rId178"/><Relationship Type="http://schemas.openxmlformats.org/officeDocument/2006/relationships/hyperlink" Target="https://humanoid.guide/product/moz1/" TargetMode="External" Id="rId179"/><Relationship Type="http://schemas.openxmlformats.org/officeDocument/2006/relationships/hyperlink" Target="https://humanoid.guide/product/steve/" TargetMode="External" Id="rId180"/><Relationship Type="http://schemas.openxmlformats.org/officeDocument/2006/relationships/hyperlink" Target="https://humanoid.guide/product/memo/" TargetMode="External" Id="rId181"/><Relationship Type="http://schemas.openxmlformats.org/officeDocument/2006/relationships/hyperlink" Target="https://humanoid.guide/product/bimanual/" TargetMode="External" Id="rId182"/><Relationship Type="http://schemas.openxmlformats.org/officeDocument/2006/relationships/hyperlink" Target="https://humanoid.guide/product/onero-h1/" TargetMode="External" Id="rId183"/><Relationship Type="http://schemas.openxmlformats.org/officeDocument/2006/relationships/hyperlink" Target="https://humanoid.guide/product/eggie/" TargetMode="External" Id="rId184"/><Relationship Type="http://schemas.openxmlformats.org/officeDocument/2006/relationships/hyperlink" Target="https://humanoid.guide/product/tars/" TargetMode="External" Id="rId185"/><Relationship Type="http://schemas.openxmlformats.org/officeDocument/2006/relationships/hyperlink" Target="https://humanoid.guide/product/tm-xplore-1/" TargetMode="External" Id="rId186"/><Relationship Type="http://schemas.openxmlformats.org/officeDocument/2006/relationships/hyperlink" Target="https://humanoid.guide/product/alpha/" TargetMode="External" Id="rId187"/><Relationship Type="http://schemas.openxmlformats.org/officeDocument/2006/relationships/hyperlink" Target="https://humanoid.guide/product/xiao-liu/" TargetMode="External" Id="rId188"/><Relationship Type="http://schemas.openxmlformats.org/officeDocument/2006/relationships/hyperlink" Target="https://humanoid.guide/product/optimus/" TargetMode="External" Id="rId189"/><Relationship Type="http://schemas.openxmlformats.org/officeDocument/2006/relationships/hyperlink" Target="https://humanoid.guide/product/optimus-gen-3/" TargetMode="External" Id="rId190"/><Relationship Type="http://schemas.openxmlformats.org/officeDocument/2006/relationships/hyperlink" Target="https://humanoid.guide/product/optimus-gen2/" TargetMode="External" Id="rId191"/><Relationship Type="http://schemas.openxmlformats.org/officeDocument/2006/relationships/hyperlink" Target="https://humanoid.guide/product/tesla-optimus-v2-5/" TargetMode="External" Id="rId192"/><Relationship Type="http://schemas.openxmlformats.org/officeDocument/2006/relationships/hyperlink" Target="https://humanoid.guide/product/toraone/" TargetMode="External" Id="rId193"/><Relationship Type="http://schemas.openxmlformats.org/officeDocument/2006/relationships/hyperlink" Target="https://humanoid.guide/product/torobo/" TargetMode="External" Id="rId194"/><Relationship Type="http://schemas.openxmlformats.org/officeDocument/2006/relationships/hyperlink" Target="https://humanoid.guide/product/xiao-tuo/" TargetMode="External" Id="rId195"/><Relationship Type="http://schemas.openxmlformats.org/officeDocument/2006/relationships/hyperlink" Target="https://humanoid.guide/product/cue7/" TargetMode="External" Id="rId196"/><Relationship Type="http://schemas.openxmlformats.org/officeDocument/2006/relationships/hyperlink" Target="https://humanoid.guide/product/tobi/" TargetMode="External" Id="rId197"/><Relationship Type="http://schemas.openxmlformats.org/officeDocument/2006/relationships/hyperlink" Target="https://humanoid.guide/product/walker-s2/" TargetMode="External" Id="rId198"/><Relationship Type="http://schemas.openxmlformats.org/officeDocument/2006/relationships/hyperlink" Target="https://humanoid.guide/product/cruzr-s2/" TargetMode="External" Id="rId199"/><Relationship Type="http://schemas.openxmlformats.org/officeDocument/2006/relationships/hyperlink" Target="https://humanoid.guide/product/cruzr-y1/" TargetMode="External" Id="rId200"/><Relationship Type="http://schemas.openxmlformats.org/officeDocument/2006/relationships/hyperlink" Target="https://humanoid.guide/product/u1-pro/" TargetMode="External" Id="rId201"/><Relationship Type="http://schemas.openxmlformats.org/officeDocument/2006/relationships/hyperlink" Target="https://humanoid.guide/product/walker-c/" TargetMode="External" Id="rId202"/><Relationship Type="http://schemas.openxmlformats.org/officeDocument/2006/relationships/hyperlink" Target="https://humanoid.guide/product/walker-c1/" TargetMode="External" Id="rId203"/><Relationship Type="http://schemas.openxmlformats.org/officeDocument/2006/relationships/hyperlink" Target="https://humanoid.guide/product/walker-s1/" TargetMode="External" Id="rId204"/><Relationship Type="http://schemas.openxmlformats.org/officeDocument/2006/relationships/hyperlink" Target="https://humanoid.guide/product/operator-op1/" TargetMode="External" Id="rId205"/><Relationship Type="http://schemas.openxmlformats.org/officeDocument/2006/relationships/hyperlink" Target="https://humanoid.guide/product/northstar/" TargetMode="External" Id="rId206"/><Relationship Type="http://schemas.openxmlformats.org/officeDocument/2006/relationships/hyperlink" Target="https://humanoid.guide/product/moby-old/" TargetMode="External" Id="rId207"/><Relationship Type="http://schemas.openxmlformats.org/officeDocument/2006/relationships/hyperlink" Target="https://humanoid.guide/product/g1/" TargetMode="External" Id="rId208"/><Relationship Type="http://schemas.openxmlformats.org/officeDocument/2006/relationships/hyperlink" Target="https://humanoid.guide/product/h1-2/" TargetMode="External" Id="rId209"/><Relationship Type="http://schemas.openxmlformats.org/officeDocument/2006/relationships/hyperlink" Target="https://humanoid.guide/product/h2/" TargetMode="External" Id="rId210"/><Relationship Type="http://schemas.openxmlformats.org/officeDocument/2006/relationships/hyperlink" Target="https://humanoid.guide/product/unitree-r1/" TargetMode="External" Id="rId211"/><Relationship Type="http://schemas.openxmlformats.org/officeDocument/2006/relationships/hyperlink" Target="https://humanoid.guide/product/h2-plus/" TargetMode="External" Id="rId212"/><Relationship Type="http://schemas.openxmlformats.org/officeDocument/2006/relationships/hyperlink" Target="https://humanoid.guide/product/superman/" TargetMode="External" Id="rId213"/><Relationship Type="http://schemas.openxmlformats.org/officeDocument/2006/relationships/hyperlink" Target="https://humanoid.guide/product/martian/" TargetMode="External" Id="rId214"/><Relationship Type="http://schemas.openxmlformats.org/officeDocument/2006/relationships/hyperlink" Target="https://humanoid.guide/product/panther/" TargetMode="External" Id="rId215"/><Relationship Type="http://schemas.openxmlformats.org/officeDocument/2006/relationships/hyperlink" Target="https://humanoid.guide/product/wanda-2-0/" TargetMode="External" Id="rId216"/><Relationship Type="http://schemas.openxmlformats.org/officeDocument/2006/relationships/hyperlink" Target="https://humanoid.guide/product/motion-2/" TargetMode="External" Id="rId217"/><Relationship Type="http://schemas.openxmlformats.org/officeDocument/2006/relationships/hyperlink" Target="https://humanoid.guide/product/calvin-40/" TargetMode="External" Id="rId218"/><Relationship Type="http://schemas.openxmlformats.org/officeDocument/2006/relationships/hyperlink" Target="https://humanoid.guide/product/isaac-0/" TargetMode="External" Id="rId219"/><Relationship Type="http://schemas.openxmlformats.org/officeDocument/2006/relationships/hyperlink" Target="https://humanoid.guide/product/isaac-1/" TargetMode="External" Id="rId220"/><Relationship Type="http://schemas.openxmlformats.org/officeDocument/2006/relationships/hyperlink" Target="https://humanoid.guide/product/themis-v2/" TargetMode="External" Id="rId221"/><Relationship Type="http://schemas.openxmlformats.org/officeDocument/2006/relationships/hyperlink" Target="https://humanoid.guide/product/allex/" TargetMode="External" Id="rId222"/><Relationship Type="http://schemas.openxmlformats.org/officeDocument/2006/relationships/hyperlink" Target="https://humanoid.guide/product/totan-o1/" TargetMode="External" Id="rId223"/><Relationship Type="http://schemas.openxmlformats.org/officeDocument/2006/relationships/hyperlink" Target="https://humanoid.guide/product/syntro/" TargetMode="External" Id="rId224"/><Relationship Type="http://schemas.openxmlformats.org/officeDocument/2006/relationships/hyperlink" Target="https://humanoid.guide/product/omni/" TargetMode="External" Id="rId225"/><Relationship Type="http://schemas.openxmlformats.org/officeDocument/2006/relationships/hyperlink" Target="https://humanoid.guide/product/tian-yi-2-0/" TargetMode="External" Id="rId226"/><Relationship Type="http://schemas.openxmlformats.org/officeDocument/2006/relationships/hyperlink" Target="https://humanoid.guide/product/tien-kung-2-0/" TargetMode="External" Id="rId227"/><Relationship Type="http://schemas.openxmlformats.org/officeDocument/2006/relationships/hyperlink" Target="https://humanoid.guide/product/tien-kung-3-0/" TargetMode="External" Id="rId228"/><Relationship Type="http://schemas.openxmlformats.org/officeDocument/2006/relationships/hyperlink" Target="https://humanoid.guide/product/quanta-x2/" TargetMode="External" Id="rId229"/><Relationship Type="http://schemas.openxmlformats.org/officeDocument/2006/relationships/hyperlink" Target="https://humanoid.guide/product/cyberone/" TargetMode="External" Id="rId230"/><Relationship Type="http://schemas.openxmlformats.org/officeDocument/2006/relationships/hyperlink" Target="https://humanoid.guide/product/cyberone-v2/" TargetMode="External" Id="rId231"/><Relationship Type="http://schemas.openxmlformats.org/officeDocument/2006/relationships/hyperlink" Target="https://humanoid.guide/product/iron_prototype/" TargetMode="External" Id="rId232"/><Relationship Type="http://schemas.openxmlformats.org/officeDocument/2006/relationships/hyperlink" Target="https://humanoid.guide/product/px5/" TargetMode="External" Id="rId233"/><Relationship Type="http://schemas.openxmlformats.org/officeDocument/2006/relationships/hyperlink" Target="https://humanoid.guide/product/iron/" TargetMode="External" Id="rId234"/><Relationship Type="http://schemas.openxmlformats.org/officeDocument/2006/relationships/hyperlink" Target="https://humanoid.guide/product/deux/" TargetMode="External" Id="rId235"/><Relationship Type="http://schemas.openxmlformats.org/officeDocument/2006/relationships/hyperlink" Target="https://humanoid.guide/product/zerith-h1/" TargetMode="External" Id="rId236"/><Relationship Type="http://schemas.openxmlformats.org/officeDocument/2006/relationships/hyperlink" Target="https://humanoid.guide/product/zerith-z1/" TargetMode="External" Id="rId237"/><Relationship Type="http://schemas.openxmlformats.org/officeDocument/2006/relationships/hyperlink" Target="https://humanoid.guide/product/sean/" TargetMode="External" Id="rId238"/><Relationship Type="http://schemas.openxmlformats.org/officeDocument/2006/relationships/hyperlink" Target="https://humanoid.guide/product/navai-i3/" TargetMode="External" Id="rId239"/><Relationship Type="http://schemas.openxmlformats.org/officeDocument/2006/relationships/hyperlink" Target="https://humanoid.guide/product/navigator-2/" TargetMode="External" Id="rId240"/></Relationships>
</file>

<file path=xl/worksheets/_rels/sheet9.xml.rels><Relationships xmlns="http://schemas.openxmlformats.org/package/2006/relationships"><Relationship Type="http://schemas.openxmlformats.org/officeDocument/2006/relationships/hyperlink" Target="https://humanoid.guide/product/omnihand/" TargetMode="External" Id="rId1"/><Relationship Type="http://schemas.openxmlformats.org/officeDocument/2006/relationships/hyperlink" Target="https://www.agibot.com/" TargetMode="External" Id="rId2"/><Relationship Type="http://schemas.openxmlformats.org/officeDocument/2006/relationships/hyperlink" Target="https://humanoid.guide/product/omnihand-pro/" TargetMode="External" Id="rId3"/><Relationship Type="http://schemas.openxmlformats.org/officeDocument/2006/relationships/hyperlink" Target="https://www.agibot.com/" TargetMode="External" Id="rId4"/><Relationship Type="http://schemas.openxmlformats.org/officeDocument/2006/relationships/hyperlink" Target="https://humanoid.guide/product/agile/" TargetMode="External" Id="rId5"/><Relationship Type="http://schemas.openxmlformats.org/officeDocument/2006/relationships/hyperlink" Target="https://www.agile-robots.com/" TargetMode="External" Id="rId6"/><Relationship Type="http://schemas.openxmlformats.org/officeDocument/2006/relationships/hyperlink" Target="https://humanoid.guide/product/aidin-hand-gen1/" TargetMode="External" Id="rId7"/><Relationship Type="http://schemas.openxmlformats.org/officeDocument/2006/relationships/hyperlink" Target="http://www.aidinrobotics.co.kr/" TargetMode="External" Id="rId8"/><Relationship Type="http://schemas.openxmlformats.org/officeDocument/2006/relationships/hyperlink" Target="https://humanoid.guide/product/allonic-hand-mk2/" TargetMode="External" Id="rId9"/><Relationship Type="http://schemas.openxmlformats.org/officeDocument/2006/relationships/hyperlink" Target="https://allonic.co/" TargetMode="External" Id="rId10"/><Relationship Type="http://schemas.openxmlformats.org/officeDocument/2006/relationships/hyperlink" Target="https://humanoid.guide/product/surge/" TargetMode="External" Id="rId11"/><Relationship Type="http://schemas.openxmlformats.org/officeDocument/2006/relationships/hyperlink" Target="https://altbionics.com/" TargetMode="External" Id="rId12"/><Relationship Type="http://schemas.openxmlformats.org/officeDocument/2006/relationships/hyperlink" Target="https://humanoid.guide/product/atarobot/" TargetMode="External" Id="rId13"/><Relationship Type="http://schemas.openxmlformats.org/officeDocument/2006/relationships/hyperlink" Target="https://www.atarrobot.com/" TargetMode="External" Id="rId14"/><Relationship Type="http://schemas.openxmlformats.org/officeDocument/2006/relationships/hyperlink" Target="https://humanoid.guide/product/revo-2/" TargetMode="External" Id="rId15"/><Relationship Type="http://schemas.openxmlformats.org/officeDocument/2006/relationships/hyperlink" Target="https://autodiscovery.co.uk/" TargetMode="External" Id="rId16"/><Relationship Type="http://schemas.openxmlformats.org/officeDocument/2006/relationships/hyperlink" Target="https://humanoid.guide/product/rh56-series/" TargetMode="External" Id="rId17"/><Relationship Type="http://schemas.openxmlformats.org/officeDocument/2006/relationships/hyperlink" Target="https://en.inspire-robots.com/" TargetMode="External" Id="rId18"/><Relationship Type="http://schemas.openxmlformats.org/officeDocument/2006/relationships/hyperlink" Target="https://humanoid.guide/product/rh56e2/" TargetMode="External" Id="rId19"/><Relationship Type="http://schemas.openxmlformats.org/officeDocument/2006/relationships/hyperlink" Target="https://en.inspire-robots.com/" TargetMode="External" Id="rId20"/><Relationship Type="http://schemas.openxmlformats.org/officeDocument/2006/relationships/hyperlink" Target="https://humanoid.guide/product/rh5dg2/" TargetMode="External" Id="rId21"/><Relationship Type="http://schemas.openxmlformats.org/officeDocument/2006/relationships/hyperlink" Target="https://en.inspire-robots.com/" TargetMode="External" Id="rId22"/><Relationship Type="http://schemas.openxmlformats.org/officeDocument/2006/relationships/hyperlink" Target="https://humanoid.guide/product/adams-hand-plus/" TargetMode="External" Id="rId23"/><Relationship Type="http://schemas.openxmlformats.org/officeDocument/2006/relationships/hyperlink" Target="https://bionitlabs.com/robotics/" TargetMode="External" Id="rId24"/><Relationship Type="http://schemas.openxmlformats.org/officeDocument/2006/relationships/hyperlink" Target="https://humanoid.guide/product/dexmano-d22-pro/" TargetMode="External" Id="rId25"/><Relationship Type="http://schemas.openxmlformats.org/officeDocument/2006/relationships/hyperlink" Target="https://botyard.ai/" TargetMode="External" Id="rId26"/><Relationship Type="http://schemas.openxmlformats.org/officeDocument/2006/relationships/hyperlink" Target="https://humanoid.guide/product/revo-3/" TargetMode="External" Id="rId27"/><Relationship Type="http://schemas.openxmlformats.org/officeDocument/2006/relationships/hyperlink" Target="https://www.brainco.tech/" TargetMode="External" Id="rId28"/><Relationship Type="http://schemas.openxmlformats.org/officeDocument/2006/relationships/hyperlink" Target="https://humanoid.guide/product/leap-hand/" TargetMode="External" Id="rId29"/><Relationship Type="http://schemas.openxmlformats.org/officeDocument/2006/relationships/hyperlink" Target="https://v1.leaphand.com/" TargetMode="External" Id="rId30"/><Relationship Type="http://schemas.openxmlformats.org/officeDocument/2006/relationships/hyperlink" Target="https://humanoid.guide/product/x2-robotic-hand/" TargetMode="External" Id="rId31"/><Relationship Type="http://schemas.openxmlformats.org/officeDocument/2006/relationships/hyperlink" Target="https://www.changingtek.com/" TargetMode="External" Id="rId32"/><Relationship Type="http://schemas.openxmlformats.org/officeDocument/2006/relationships/hyperlink" Target="https://humanoid.guide/product/covvi/" TargetMode="External" Id="rId33"/><Relationship Type="http://schemas.openxmlformats.org/officeDocument/2006/relationships/hyperlink" Target="https://www.covvi-robotics.com/" TargetMode="External" Id="rId34"/><Relationship Type="http://schemas.openxmlformats.org/officeDocument/2006/relationships/hyperlink" Target="https://humanoid.guide/product/apex-hand/" TargetMode="External" Id="rId35"/><Relationship Type="http://schemas.openxmlformats.org/officeDocument/2006/relationships/hyperlink" Target="https://www.dexcelbot.com/" TargetMode="External" Id="rId36"/><Relationship Type="http://schemas.openxmlformats.org/officeDocument/2006/relationships/hyperlink" Target="https://humanoid.guide/product/dexhand021/" TargetMode="External" Id="rId37"/><Relationship Type="http://schemas.openxmlformats.org/officeDocument/2006/relationships/hyperlink" Target="https://www.dex-robot.com/en" TargetMode="External" Id="rId38"/><Relationship Type="http://schemas.openxmlformats.org/officeDocument/2006/relationships/hyperlink" Target="https://humanoid.guide/product/bionicsofthand/" TargetMode="External" Id="rId39"/><Relationship Type="http://schemas.openxmlformats.org/officeDocument/2006/relationships/hyperlink" Target="https://www.festo.com/" TargetMode="External" Id="rId40"/><Relationship Type="http://schemas.openxmlformats.org/officeDocument/2006/relationships/hyperlink" Target="https://humanoid.guide/product/hw1/" TargetMode="External" Id="rId41"/><Relationship Type="http://schemas.openxmlformats.org/officeDocument/2006/relationships/hyperlink" Target="https://gestureplatforms.com/" TargetMode="External" Id="rId42"/><Relationship Type="http://schemas.openxmlformats.org/officeDocument/2006/relationships/hyperlink" Target="https://humanoid.guide/product/fllex/" TargetMode="External" Id="rId43"/><Relationship Type="http://schemas.openxmlformats.org/officeDocument/2006/relationships/hyperlink" Target="https://www.koreatech.ac.kr/" TargetMode="External" Id="rId44"/><Relationship Type="http://schemas.openxmlformats.org/officeDocument/2006/relationships/hyperlink" Target="https://humanoid.guide/product/kyber-labs-hand/" TargetMode="External" Id="rId45"/><Relationship Type="http://schemas.openxmlformats.org/officeDocument/2006/relationships/hyperlink" Target="https://kyberlabs.ai/" TargetMode="External" Id="rId46"/><Relationship Type="http://schemas.openxmlformats.org/officeDocument/2006/relationships/hyperlink" Target="https://humanoid.guide/product/dh2015/" TargetMode="External" Id="rId47"/><Relationship Type="http://schemas.openxmlformats.org/officeDocument/2006/relationships/hyperlink" Target="https://www.leadshine.com/" TargetMode="External" Id="rId48"/><Relationship Type="http://schemas.openxmlformats.org/officeDocument/2006/relationships/hyperlink" Target="https://humanoid.guide/product/linker-l30/" TargetMode="External" Id="rId49"/><Relationship Type="http://schemas.openxmlformats.org/officeDocument/2006/relationships/hyperlink" Target="https://www.linkerbot.cn/" TargetMode="External" Id="rId50"/><Relationship Type="http://schemas.openxmlformats.org/officeDocument/2006/relationships/hyperlink" Target="https://humanoid.guide/product/linker-o6/" TargetMode="External" Id="rId51"/><Relationship Type="http://schemas.openxmlformats.org/officeDocument/2006/relationships/hyperlink" Target="https://www.linkerbot.cn/" TargetMode="External" Id="rId52"/><Relationship Type="http://schemas.openxmlformats.org/officeDocument/2006/relationships/hyperlink" Target="https://humanoid.guide/product/linker-r30/" TargetMode="External" Id="rId53"/><Relationship Type="http://schemas.openxmlformats.org/officeDocument/2006/relationships/hyperlink" Target="https://www.linkerbot.cn/" TargetMode="External" Id="rId54"/><Relationship Type="http://schemas.openxmlformats.org/officeDocument/2006/relationships/hyperlink" Target="https://humanoid.guide/product/flexhand-v1/" TargetMode="External" Id="rId55"/><Relationship Type="http://schemas.openxmlformats.org/officeDocument/2006/relationships/hyperlink" Target="https://lxrobotics.com/" TargetMode="External" Id="rId56"/><Relationship Type="http://schemas.openxmlformats.org/officeDocument/2006/relationships/hyperlink" Target="https://humanoid.guide/product/magichand-s01/" TargetMode="External" Id="rId57"/><Relationship Type="http://schemas.openxmlformats.org/officeDocument/2006/relationships/hyperlink" Target="https://www.magiclab.top/" TargetMode="External" Id="rId58"/><Relationship Type="http://schemas.openxmlformats.org/officeDocument/2006/relationships/hyperlink" Target="https://humanoid.guide/product/mark-7/" TargetMode="External" Id="rId59"/><Relationship Type="http://schemas.openxmlformats.org/officeDocument/2006/relationships/hyperlink" Target="https://mand.ro/" TargetMode="External" Id="rId60"/><Relationship Type="http://schemas.openxmlformats.org/officeDocument/2006/relationships/hyperlink" Target="https://humanoid.guide/product/m1-0/" TargetMode="External" Id="rId61"/><Relationship Type="http://schemas.openxmlformats.org/officeDocument/2006/relationships/hyperlink" Target="https://www.mimicrobotics.com/" TargetMode="External" Id="rId62"/><Relationship Type="http://schemas.openxmlformats.org/officeDocument/2006/relationships/hyperlink" Target="https://humanoid.guide/product/mimic-hand-m1/" TargetMode="External" Id="rId63"/><Relationship Type="http://schemas.openxmlformats.org/officeDocument/2006/relationships/hyperlink" Target="https://www.mimicrobotics.com/" TargetMode="External" Id="rId64"/><Relationship Type="http://schemas.openxmlformats.org/officeDocument/2006/relationships/hyperlink" Target="https://humanoid.guide/product/ruka/" TargetMode="External" Id="rId65"/><Relationship Type="http://schemas.openxmlformats.org/officeDocument/2006/relationships/hyperlink" Target="https://ruka-hand.github.io/" TargetMode="External" Id="rId66"/><Relationship Type="http://schemas.openxmlformats.org/officeDocument/2006/relationships/hyperlink" Target="https://humanoid.guide/product/r1/" TargetMode="External" Id="rId67"/><Relationship Type="http://schemas.openxmlformats.org/officeDocument/2006/relationships/hyperlink" Target="https://oceantrix.com/" TargetMode="External" Id="rId68"/><Relationship Type="http://schemas.openxmlformats.org/officeDocument/2006/relationships/hyperlink" Target="https://humanoid.guide/product/r2/" TargetMode="External" Id="rId69"/><Relationship Type="http://schemas.openxmlformats.org/officeDocument/2006/relationships/hyperlink" Target="https://oceantrix.com/" TargetMode="External" Id="rId70"/><Relationship Type="http://schemas.openxmlformats.org/officeDocument/2006/relationships/hyperlink" Target="https://humanoid.guide/product/hero-rgd/" TargetMode="External" Id="rId71"/><Relationship Type="http://schemas.openxmlformats.org/officeDocument/2006/relationships/hyperlink" Target="https://openbionics.com/" TargetMode="External" Id="rId72"/><Relationship Type="http://schemas.openxmlformats.org/officeDocument/2006/relationships/hyperlink" Target="https://humanoid.guide/product/opendroids-dh116/" TargetMode="External" Id="rId73"/><Relationship Type="http://schemas.openxmlformats.org/officeDocument/2006/relationships/hyperlink" Target="https://www.opendroids.com/" TargetMode="External" Id="rId74"/><Relationship Type="http://schemas.openxmlformats.org/officeDocument/2006/relationships/hyperlink" Target="https://humanoid.guide/product/orca-v1/" TargetMode="External" Id="rId75"/><Relationship Type="http://schemas.openxmlformats.org/officeDocument/2006/relationships/hyperlink" Target="https://www.orcahand.com/" TargetMode="External" Id="rId76"/><Relationship Type="http://schemas.openxmlformats.org/officeDocument/2006/relationships/hyperlink" Target="https://humanoid.guide/product/orcahand/" TargetMode="External" Id="rId77"/><Relationship Type="http://schemas.openxmlformats.org/officeDocument/2006/relationships/hyperlink" Target="https://www.orcahand.com/" TargetMode="External" Id="rId78"/><Relationship Type="http://schemas.openxmlformats.org/officeDocument/2006/relationships/hyperlink" Target="https://humanoid.guide/product/orcahand-lite/" TargetMode="External" Id="rId79"/><Relationship Type="http://schemas.openxmlformats.org/officeDocument/2006/relationships/hyperlink" Target="https://www.orcahand.com/" TargetMode="External" Id="rId80"/><Relationship Type="http://schemas.openxmlformats.org/officeDocument/2006/relationships/hyperlink" Target="https://humanoid.guide/product/orcahand-touch/" TargetMode="External" Id="rId81"/><Relationship Type="http://schemas.openxmlformats.org/officeDocument/2006/relationships/hyperlink" Target="https://www.orcahand.com/" TargetMode="External" Id="rId82"/><Relationship Type="http://schemas.openxmlformats.org/officeDocument/2006/relationships/hyperlink" Target="https://humanoid.guide/product/ro-hand/" TargetMode="External" Id="rId83"/><Relationship Type="http://schemas.openxmlformats.org/officeDocument/2006/relationships/hyperlink" Target="https://www.oymotion.com/" TargetMode="External" Id="rId84"/><Relationship Type="http://schemas.openxmlformats.org/officeDocument/2006/relationships/hyperlink" Target="https://humanoid.guide/product/dexh13/" TargetMode="External" Id="rId85"/><Relationship Type="http://schemas.openxmlformats.org/officeDocument/2006/relationships/hyperlink" Target="https://paxini.com/dex/gen2" TargetMode="External" Id="rId86"/><Relationship Type="http://schemas.openxmlformats.org/officeDocument/2006/relationships/hyperlink" Target="https://humanoid.guide/product/dexh5/" TargetMode="External" Id="rId87"/><Relationship Type="http://schemas.openxmlformats.org/officeDocument/2006/relationships/hyperlink" Target="https://paxini.com/dex/gen1" TargetMode="External" Id="rId88"/><Relationship Type="http://schemas.openxmlformats.org/officeDocument/2006/relationships/hyperlink" Target="https://humanoid.guide/product/gmh18/" TargetMode="External" Id="rId89"/><Relationship Type="http://schemas.openxmlformats.org/officeDocument/2006/relationships/hyperlink" Target="https://paxini.com/dex/gen3" TargetMode="External" Id="rId90"/><Relationship Type="http://schemas.openxmlformats.org/officeDocument/2006/relationships/hyperlink" Target="https://humanoid.guide/product/pl-withand/" TargetMode="External" Id="rId91"/><Relationship Type="http://schemas.openxmlformats.org/officeDocument/2006/relationships/hyperlink" Target="https://en.pl-universe.com/" TargetMode="External" Id="rId92"/><Relationship Type="http://schemas.openxmlformats.org/officeDocument/2006/relationships/hyperlink" Target="https://humanoid.guide/product/ih2-azzurra/" TargetMode="External" Id="rId93"/><Relationship Type="http://schemas.openxmlformats.org/officeDocument/2006/relationships/hyperlink" Target="https://www.prensilia.com/" TargetMode="External" Id="rId94"/><Relationship Type="http://schemas.openxmlformats.org/officeDocument/2006/relationships/hyperlink" Target="https://humanoid.guide/product/mia-hand-mk2/" TargetMode="External" Id="rId95"/><Relationship Type="http://schemas.openxmlformats.org/officeDocument/2006/relationships/hyperlink" Target="https://www.prensilia.com/" TargetMode="External" Id="rId96"/><Relationship Type="http://schemas.openxmlformats.org/officeDocument/2006/relationships/hyperlink" Target="https://humanoid.guide/product/psi-h1/" TargetMode="External" Id="rId97"/><Relationship Type="http://schemas.openxmlformats.org/officeDocument/2006/relationships/hyperlink" Target="https://www.psibot.ai/" TargetMode="External" Id="rId98"/><Relationship Type="http://schemas.openxmlformats.org/officeDocument/2006/relationships/hyperlink" Target="https://humanoid.guide/product/ability-hand/" TargetMode="External" Id="rId99"/><Relationship Type="http://schemas.openxmlformats.org/officeDocument/2006/relationships/hyperlink" Target="https://www.psyonic.io/" TargetMode="External" Id="rId100"/><Relationship Type="http://schemas.openxmlformats.org/officeDocument/2006/relationships/hyperlink" Target="https://humanoid.guide/product/softhand2/" TargetMode="External" Id="rId101"/><Relationship Type="http://schemas.openxmlformats.org/officeDocument/2006/relationships/hyperlink" Target="https://qbrobotics.com/" TargetMode="External" Id="rId102"/><Relationship Type="http://schemas.openxmlformats.org/officeDocument/2006/relationships/hyperlink" Target="https://humanoid.guide/product/dexhand-v2-3/" TargetMode="External" Id="rId103"/><Relationship Type="http://schemas.openxmlformats.org/officeDocument/2006/relationships/hyperlink" Target="https://www.therobotstudio.com/" TargetMode="External" Id="rId104"/><Relationship Type="http://schemas.openxmlformats.org/officeDocument/2006/relationships/hyperlink" Target="https://humanoid.guide/product/xhand-1-lite/" TargetMode="External" Id="rId105"/><Relationship Type="http://schemas.openxmlformats.org/officeDocument/2006/relationships/hyperlink" Target="https://www.robotera.com/" TargetMode="External" Id="rId106"/><Relationship Type="http://schemas.openxmlformats.org/officeDocument/2006/relationships/hyperlink" Target="https://humanoid.guide/product/xhand-1-pro/" TargetMode="External" Id="rId107"/><Relationship Type="http://schemas.openxmlformats.org/officeDocument/2006/relationships/hyperlink" Target="https://www.robotera.com/" TargetMode="External" Id="rId108"/><Relationship Type="http://schemas.openxmlformats.org/officeDocument/2006/relationships/hyperlink" Target="https://humanoid.guide/product/xhand1/" TargetMode="External" Id="rId109"/><Relationship Type="http://schemas.openxmlformats.org/officeDocument/2006/relationships/hyperlink" Target="https://www.robotera.com/en/goods1/4.html" TargetMode="External" Id="rId110"/><Relationship Type="http://schemas.openxmlformats.org/officeDocument/2006/relationships/hyperlink" Target="https://humanoid.guide/product/hx5-d20/" TargetMode="External" Id="rId111"/><Relationship Type="http://schemas.openxmlformats.org/officeDocument/2006/relationships/hyperlink" Target="https://www.robotis.us/" TargetMode="External" Id="rId112"/><Relationship Type="http://schemas.openxmlformats.org/officeDocument/2006/relationships/hyperlink" Target="https://humanoid.guide/product/ry-h1/" TargetMode="External" Id="rId113"/><Relationship Type="http://schemas.openxmlformats.org/officeDocument/2006/relationships/hyperlink" Target="https://www.ruiyanrobot.com/" TargetMode="External" Id="rId114"/><Relationship Type="http://schemas.openxmlformats.org/officeDocument/2006/relationships/hyperlink" Target="https://humanoid.guide/product/phoenix-hand-3-2/" TargetMode="External" Id="rId115"/><Relationship Type="http://schemas.openxmlformats.org/officeDocument/2006/relationships/hyperlink" Target="https://www.sanctuary.ai/" TargetMode="External" Id="rId116"/><Relationship Type="http://schemas.openxmlformats.org/officeDocument/2006/relationships/hyperlink" Target="https://humanoid.guide/product/artus-lite/" TargetMode="External" Id="rId117"/><Relationship Type="http://schemas.openxmlformats.org/officeDocument/2006/relationships/hyperlink" Target="https://sarcomeredynamics.com/" TargetMode="External" Id="rId118"/><Relationship Type="http://schemas.openxmlformats.org/officeDocument/2006/relationships/hyperlink" Target="https://humanoid.guide/product/svh/" TargetMode="External" Id="rId119"/><Relationship Type="http://schemas.openxmlformats.org/officeDocument/2006/relationships/hyperlink" Target="https://schunk.com/" TargetMode="External" Id="rId120"/><Relationship Type="http://schemas.openxmlformats.org/officeDocument/2006/relationships/hyperlink" Target="https://humanoid.guide/product/rh6d/" TargetMode="External" Id="rId121"/><Relationship Type="http://schemas.openxmlformats.org/officeDocument/2006/relationships/hyperlink" Target="https://www.seedrobotics.com/" TargetMode="External" Id="rId122"/><Relationship Type="http://schemas.openxmlformats.org/officeDocument/2006/relationships/hyperlink" Target="https://humanoid.guide/product/rh8d/" TargetMode="External" Id="rId123"/><Relationship Type="http://schemas.openxmlformats.org/officeDocument/2006/relationships/hyperlink" Target="https://www.seedrobotics.com/" TargetMode="External" Id="rId124"/><Relationship Type="http://schemas.openxmlformats.org/officeDocument/2006/relationships/hyperlink" Target="https://humanoid.guide/product/dex-ee-robotic-hand/" TargetMode="External" Id="rId125"/><Relationship Type="http://schemas.openxmlformats.org/officeDocument/2006/relationships/hyperlink" Target="https://wuji-tech.com/" TargetMode="External" Id="rId126"/><Relationship Type="http://schemas.openxmlformats.org/officeDocument/2006/relationships/hyperlink" Target="https://humanoid.guide/product/dexterous-hand/" TargetMode="External" Id="rId127"/><Relationship Type="http://schemas.openxmlformats.org/officeDocument/2006/relationships/hyperlink" Target="https://shadowrobot.com/" TargetMode="External" Id="rId128"/><Relationship Type="http://schemas.openxmlformats.org/officeDocument/2006/relationships/hyperlink" Target="https://humanoid.guide/product/sharpawave/" TargetMode="External" Id="rId129"/><Relationship Type="http://schemas.openxmlformats.org/officeDocument/2006/relationships/hyperlink" Target="https://www.sharpa.com/" TargetMode="External" Id="rId130"/><Relationship Type="http://schemas.openxmlformats.org/officeDocument/2006/relationships/hyperlink" Target="https://humanoid.guide/product/zwhand/" TargetMode="External" Id="rId131"/><Relationship Type="http://schemas.openxmlformats.org/officeDocument/2006/relationships/hyperlink" Target="https://www.zwhand.com/en" TargetMode="External" Id="rId132"/><Relationship Type="http://schemas.openxmlformats.org/officeDocument/2006/relationships/hyperlink" Target="https://humanoid.guide/product/rochu-hand/" TargetMode="External" Id="rId133"/><Relationship Type="http://schemas.openxmlformats.org/officeDocument/2006/relationships/hyperlink" Target="https://www.softroboticgripper.com/" TargetMode="External" Id="rId134"/><Relationship Type="http://schemas.openxmlformats.org/officeDocument/2006/relationships/hyperlink" Target="https://humanoid.guide/product/dg-5f/" TargetMode="External" Id="rId135"/><Relationship Type="http://schemas.openxmlformats.org/officeDocument/2006/relationships/hyperlink" Target="https://tesollo.com/" TargetMode="External" Id="rId136"/><Relationship Type="http://schemas.openxmlformats.org/officeDocument/2006/relationships/hyperlink" Target="https://humanoid.guide/product/dg-5f-s/" TargetMode="External" Id="rId137"/><Relationship Type="http://schemas.openxmlformats.org/officeDocument/2006/relationships/hyperlink" Target="https://tesollo.com/" TargetMode="External" Id="rId138"/><Relationship Type="http://schemas.openxmlformats.org/officeDocument/2006/relationships/hyperlink" Target="https://humanoid.guide/product/aero-hand-open/" TargetMode="External" Id="rId139"/><Relationship Type="http://schemas.openxmlformats.org/officeDocument/2006/relationships/hyperlink" Target="https://tetheria.ai/" TargetMode="External" Id="rId140"/><Relationship Type="http://schemas.openxmlformats.org/officeDocument/2006/relationships/hyperlink" Target="https://humanoid.guide/product/dex5-1/" TargetMode="External" Id="rId141"/><Relationship Type="http://schemas.openxmlformats.org/officeDocument/2006/relationships/hyperlink" Target="https://www.unitree.com/Dex5-1" TargetMode="External" Id="rId142"/><Relationship Type="http://schemas.openxmlformats.org/officeDocument/2006/relationships/hyperlink" Target="https://humanoid.guide/product/yz-t6/" TargetMode="External" Id="rId143"/><Relationship Type="http://schemas.openxmlformats.org/officeDocument/2006/relationships/hyperlink" Target="https://www.veichi.com/" TargetMode="External" Id="rId144"/><Relationship Type="http://schemas.openxmlformats.org/officeDocument/2006/relationships/hyperlink" Target="https://humanoid.guide/product/yeah/" TargetMode="External" Id="rId145"/><Relationship Type="http://schemas.openxmlformats.org/officeDocument/2006/relationships/hyperlink" Target="https://www.robotgarage.org/" TargetMode="External" Id="rId146"/><Relationship Type="http://schemas.openxmlformats.org/officeDocument/2006/relationships/hyperlink" Target="https://humanoid.guide/product/vh-ha-18t2/" TargetMode="External" Id="rId147"/><Relationship Type="http://schemas.openxmlformats.org/officeDocument/2006/relationships/hyperlink" Target="http://www.vihero.com/" TargetMode="External" Id="rId148"/><Relationship Type="http://schemas.openxmlformats.org/officeDocument/2006/relationships/hyperlink" Target="https://humanoid.guide/product/allex-hand/" TargetMode="External" Id="rId149"/><Relationship Type="http://schemas.openxmlformats.org/officeDocument/2006/relationships/hyperlink" Target="https://www.wirobotics.com/" TargetMode="External" Id="rId150"/><Relationship Type="http://schemas.openxmlformats.org/officeDocument/2006/relationships/hyperlink" Target="https://humanoid.guide/product/allegro-hand-v4/" TargetMode="External" Id="rId151"/><Relationship Type="http://schemas.openxmlformats.org/officeDocument/2006/relationships/hyperlink" Target="https://www.allegrohand.com/" TargetMode="External" Id="rId152"/><Relationship Type="http://schemas.openxmlformats.org/officeDocument/2006/relationships/hyperlink" Target="https://humanoid.guide/product/allegro-hand-v5/" TargetMode="External" Id="rId153"/><Relationship Type="http://schemas.openxmlformats.org/officeDocument/2006/relationships/hyperlink" Target="https://www.allegrohand.com/" TargetMode="External" Id="rId154"/><Relationship Type="http://schemas.openxmlformats.org/officeDocument/2006/relationships/hyperlink" Target="https://humanoid.guide/product/wuji-hand/" TargetMode="External" Id="rId155"/><Relationship Type="http://schemas.openxmlformats.org/officeDocument/2006/relationships/hyperlink" Target="https://wuji.tech/" TargetMode="External" Id="rId156"/><Relationship Type="http://schemas.openxmlformats.org/officeDocument/2006/relationships/hyperlink" Target="https://humanoid.guide/product/wuji-hand-two/" TargetMode="External" Id="rId157"/><Relationship Type="http://schemas.openxmlformats.org/officeDocument/2006/relationships/hyperlink" Target="https://wuji.tech/" TargetMode="External" Id="rId158"/><Relationship Type="http://schemas.openxmlformats.org/officeDocument/2006/relationships/hyperlink" Target="https://humanoid.guide/product/artixon/" TargetMode="External" Id="rId159"/><Relationship Type="http://schemas.openxmlformats.org/officeDocument/2006/relationships/hyperlink" Target="https://www.x2robot.com/" TargetMode="External" Id="rId160"/><Relationship Type="http://schemas.openxmlformats.org/officeDocument/2006/relationships/hyperlink" Target="https://humanoid.guide/product/flex-2/" TargetMode="External" Id="rId161"/><Relationship Type="http://schemas.openxmlformats.org/officeDocument/2006/relationships/hyperlink" Target="https://xynova.com.cn/en/" TargetMode="External" Id="rId162"/><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sheet1.xml><?xml version="1.0" encoding="utf-8"?>
<worksheet xmlns="http://schemas.openxmlformats.org/spreadsheetml/2006/main">
  <sheetPr filterMode="0">
    <outlinePr summaryBelow="1" summaryRight="1"/>
    <pageSetUpPr fitToPage="0"/>
  </sheetPr>
  <dimension ref="B2:G35"/>
  <sheetViews>
    <sheetView showFormulas="0" showGridLines="0" showRowColHeaders="1" showZeros="1" rightToLeft="0" tabSelected="1" showOutlineSymbols="1" defaultGridColor="1" view="normal" topLeftCell="A1" colorId="64" zoomScale="120" zoomScaleNormal="120" zoomScalePageLayoutView="100" workbookViewId="0">
      <selection pane="topLeft" activeCell="A1" activeCellId="0" sqref="A1"/>
    </sheetView>
  </sheetViews>
  <sheetFormatPr baseColWidth="8" defaultColWidth="8.6796875" defaultRowHeight="15" zeroHeight="0" outlineLevelRow="0"/>
  <cols>
    <col width="3" customWidth="1" style="101" min="1" max="1"/>
    <col width="42" customWidth="1" style="101" min="2" max="2"/>
    <col width="22" customWidth="1" style="101" min="3" max="6"/>
    <col width="28" customWidth="1" style="101" min="7" max="7"/>
  </cols>
  <sheetData>
    <row r="1" ht="12" customHeight="1" s="102"/>
    <row r="2" ht="36" customHeight="1" s="102">
      <c r="B2" s="103" t="inlineStr">
        <is>
          <t>ROBOT PLATFORMS DIRECTORY</t>
        </is>
      </c>
    </row>
    <row r="3" ht="21.75" customHeight="1" s="102">
      <c r="B3" s="104" t="inlineStr">
        <is>
          <t>The Official Robot™   ·   theofficialrobot.com   ·   Huntington Beach, California</t>
        </is>
      </c>
    </row>
    <row r="4" ht="36" customHeight="1" s="102">
      <c r="B4" s="105" t="inlineStr">
        <is>
          <t>Humanoid catalog synchronized with humanoid.guide (240 humanoids + 81 dexterous hands extracted 26 Aug 2026) + store.html marketplace rows for quadruped, aerial, and marine. Duplicates merged. Specs include physicals, actuation, AI/LLM, and capability scores.</t>
        </is>
      </c>
    </row>
    <row r="5" ht="15.75" customHeight="1" s="102">
      <c r="B5" s="106" t="inlineStr">
        <is>
          <t>ALL PLATFORMS</t>
        </is>
      </c>
      <c r="D5" s="107" t="inlineStr">
        <is>
          <t>HUMANOIDS</t>
        </is>
      </c>
      <c r="E5" s="108" t="inlineStr">
        <is>
          <t>QUADRUPEDS</t>
        </is>
      </c>
      <c r="F5" s="109" t="inlineStr">
        <is>
          <t>AERIAL</t>
        </is>
      </c>
      <c r="G5" s="110" t="inlineStr">
        <is>
          <t>MARINE</t>
        </is>
      </c>
    </row>
    <row r="6" ht="31.5" customHeight="1" s="102">
      <c r="B6" s="111">
        <f>COUNTA(01_All_Platforms!C5:C2000)</f>
        <v/>
      </c>
      <c r="D6" s="111">
        <f>COUNTIF(01_All_Platforms!F5:F2000,"humanoid")</f>
        <v/>
      </c>
      <c r="E6" s="111">
        <f>COUNTIF(01_All_Platforms!F5:F2000,"campanionoid")</f>
        <v/>
      </c>
      <c r="F6" s="111">
        <f>COUNTIF(01_All_Platforms!F5:F2000,"aerial")</f>
        <v/>
      </c>
      <c r="G6" s="111">
        <f>COUNTIF(01_All_Platforms!F5:F2000,"water")</f>
        <v/>
      </c>
    </row>
    <row r="7" ht="24" customHeight="1" s="102">
      <c r="B7" s="112" t="inlineStr">
        <is>
          <t>DEXTEROUS HANDS</t>
        </is>
      </c>
      <c r="D7" s="113">
        <f>COUNTA(08_Hands!D5:D2000)</f>
        <v/>
      </c>
      <c r="F7" s="114" t="inlineStr">
        <is>
          <t>Source: humanoid.guide/hands/  ·  61 manufacturers  ·  parts &amp; accessories SKU class</t>
        </is>
      </c>
    </row>
    <row r="8" ht="15" customHeight="1" s="102">
      <c r="B8" s="115" t="inlineStr">
        <is>
          <t>HUMANOID SOURCE MIX</t>
        </is>
      </c>
      <c r="D8" s="115" t="inlineStr">
        <is>
          <t>HUMANOID.GUIDE EXTRACT</t>
        </is>
      </c>
    </row>
    <row r="9" ht="15" customHeight="1" s="102">
      <c r="B9" s="116" t="inlineStr">
        <is>
          <t>Both (store + humanoid.guide)</t>
        </is>
      </c>
      <c r="C9" s="117">
        <f>COUNTIF(02_Humanoid!B5:B2000,"Both")</f>
        <v/>
      </c>
      <c r="D9" s="116" t="inlineStr">
        <is>
          <t>Source</t>
        </is>
      </c>
      <c r="E9" s="118" t="inlineStr">
        <is>
          <t>https://humanoid.guide/</t>
        </is>
      </c>
    </row>
    <row r="10" ht="15" customHeight="1" s="102">
      <c r="B10" s="116" t="inlineStr">
        <is>
          <t>Humanoid.guide only (new to directory)</t>
        </is>
      </c>
      <c r="C10" s="119">
        <f>COUNTIF(02_Humanoid!B5:B2000,"Humanoid.guide")</f>
        <v/>
      </c>
      <c r="D10" s="116" t="inlineStr">
        <is>
          <t>Database</t>
        </is>
      </c>
      <c r="E10" s="118" t="inlineStr">
        <is>
          <t>https://humanoid.guide/humanoid-robots-database/</t>
        </is>
      </c>
    </row>
    <row r="11" ht="15" customHeight="1" s="102">
      <c r="B11" s="116" t="inlineStr">
        <is>
          <t>Website / store only (not listed on HG)</t>
        </is>
      </c>
      <c r="C11" s="120">
        <f>COUNTIF(02_Humanoid!B5:B2000,"Website")</f>
        <v/>
      </c>
      <c r="D11" s="116" t="inlineStr">
        <is>
          <t>Extracted</t>
        </is>
      </c>
      <c r="E11" s="101" t="inlineStr">
        <is>
          <t>26 August 2026  ·  WooCommerce Humanoids category (240 product records + attributes)</t>
        </is>
      </c>
    </row>
    <row r="13" ht="15" customHeight="1" s="102">
      <c r="B13" s="121" t="inlineStr">
        <is>
          <t>HOW THIS FILE IS ORGANIZED</t>
        </is>
      </c>
    </row>
    <row r="14" ht="15" customHeight="1" s="102">
      <c r="B14" s="122" t="inlineStr">
        <is>
          <t>00_Cover</t>
        </is>
      </c>
      <c r="C14" s="123" t="inlineStr">
        <is>
          <t>This page — counts, sources, methodology.</t>
        </is>
      </c>
    </row>
    <row r="15" ht="15" customHeight="1" s="102">
      <c r="B15" s="122" t="inlineStr">
        <is>
          <t>01_All_Platforms</t>
        </is>
      </c>
      <c r="C15" s="123" t="inlineStr">
        <is>
          <t>Every platform, sorted Type → Manufacturer → Model. Filter/sort freely.</t>
        </is>
      </c>
    </row>
    <row r="16" ht="15" customHeight="1" s="102">
      <c r="B16" s="122" t="inlineStr">
        <is>
          <t>02_Humanoid</t>
        </is>
      </c>
      <c r="C16" s="123" t="inlineStr">
        <is>
          <t>Full humanoid directory (humanoid.guide + unmatched store rows).</t>
        </is>
      </c>
    </row>
    <row r="17" ht="15" customHeight="1" s="102">
      <c r="B17" s="122" t="inlineStr">
        <is>
          <t>03_Quadruped_Campanionoid</t>
        </is>
      </c>
      <c r="C17" s="123" t="inlineStr">
        <is>
          <t>Store catalog quadrupeds / companionoids.</t>
        </is>
      </c>
    </row>
    <row r="18" ht="15" customHeight="1" s="102">
      <c r="B18" s="122" t="inlineStr">
        <is>
          <t>04_Aerial_Drones</t>
        </is>
      </c>
      <c r="C18" s="123" t="inlineStr">
        <is>
          <t>Store catalog aerial / UAV platforms.</t>
        </is>
      </c>
    </row>
    <row r="19" ht="15" customHeight="1" s="102">
      <c r="B19" s="122" t="inlineStr">
        <is>
          <t>05_Sea_Marine</t>
        </is>
      </c>
      <c r="C19" s="123" t="inlineStr">
        <is>
          <t>Store catalog water / marine platforms.</t>
        </is>
      </c>
    </row>
    <row r="20" ht="15" customHeight="1" s="102">
      <c r="B20" s="122" t="inlineStr">
        <is>
          <t>06_Column_Dictionary</t>
        </is>
      </c>
      <c r="C20" s="123" t="inlineStr">
        <is>
          <t>Every column with units and definition.</t>
        </is>
      </c>
    </row>
    <row r="21" ht="15" customHeight="1" s="102">
      <c r="B21" s="122" t="inlineStr">
        <is>
          <t>07_Humanoid_Index</t>
        </is>
      </c>
      <c r="C21" s="123" t="inlineStr">
        <is>
          <t>Compact humanoid index: manufacturer, model, price, status, scores, link.</t>
        </is>
      </c>
    </row>
    <row r="22" ht="19.5" customHeight="1" s="102">
      <c r="B22" s="122" t="inlineStr">
        <is>
          <t>08_Hands</t>
        </is>
      </c>
      <c r="C22" s="124" t="inlineStr">
        <is>
          <t>Dexterous hands / end-effectors — 81 models from humanoid.guide/hands/, with DOF, fingers, tactile, actuation, weight, list price, and warranty schedule.</t>
        </is>
      </c>
    </row>
    <row r="23" ht="15" customHeight="1" s="102">
      <c r="B23" s="125" t="inlineStr">
        <is>
          <t>UNITS, MERGE RULES, WARRANTY</t>
        </is>
      </c>
    </row>
    <row r="24" ht="27.75" customHeight="1" s="102">
      <c r="B24" s="126" t="inlineStr">
        <is>
          <t>•  Physical specs from humanoid.guide are stored in source SI units (cm, kg, km/h) and converted to US customary (ft in, lb, mph) for marketplace consistency.</t>
        </is>
      </c>
    </row>
    <row r="25" ht="27.75" customHeight="1" s="102">
      <c r="B25" s="126" t="inlineStr">
        <is>
          <t>•  When a store.html robot matched a humanoid.guide model, rows were merged (Catalog Source = Both). Website ID, variants, colors, add-ons, and researched warranties were preserved. HG supplied missing or higher-resolution technical attributes.</t>
        </is>
      </c>
    </row>
    <row r="26" ht="27.75" customHeight="1" s="102">
      <c r="B26" s="126" t="inlineStr">
        <is>
          <t>•  Grouped store series (e.g. EngineAI SE01/T800, Booster T1/T2) were split to individual HG models. Website ID stays on the best-matching constituent so the configurator key is not duplicated.</t>
        </is>
      </c>
    </row>
    <row r="27" ht="27.75" customHeight="1" s="102">
      <c r="B27" s="126" t="inlineStr">
        <is>
          <t>•  Robots on the store but absent from humanoid.guide remain as Catalog Source = Website (Vietnam platforms, some series names, Engineered Arts Ameca, DaxAI Qiji X1, etc.).</t>
        </is>
      </c>
    </row>
    <row r="28" ht="27.75" customHeight="1" s="102">
      <c r="B28" s="126" t="inlineStr">
        <is>
          <t>•  Manipulation / Navigation scores are Humanoid.guide 1–4 skill ratings (not all models scored). Capabilities / Skills Summary concatenates market, scores, AI stack, actuation, and runtime.</t>
        </is>
      </c>
    </row>
    <row r="29" ht="27.75" customHeight="1" s="102">
      <c r="B29" s="126" t="inlineStr">
        <is>
          <t>•  Extended warranty schedule is unchanged: +1yr 10% / +2yr 17% / +3yr 24% of configuration, targeting ~45–55% gross margin. New HG-only robots inherit Estimated 12-month OEM norm until a quote is confirmed.</t>
        </is>
      </c>
    </row>
    <row r="30" ht="27.75" customHeight="1" s="102">
      <c r="B30" s="126" t="inlineStr">
        <is>
          <t>•  Approx. Cost (USD): store basePrice wins on merged rows; otherwise Humanoid.guide list price. Material list-price deltas are noted in Notes.</t>
        </is>
      </c>
    </row>
    <row r="31" ht="27.75" customHeight="1" s="102">
      <c r="B31" s="126" t="inlineStr">
        <is>
          <t>•  humanoid.guide also lists a small number of upper-body / arm platforms inside the Humanoids category (e.g. OpenArm). They are retained because they were published in that catalog.</t>
        </is>
      </c>
    </row>
    <row r="32" ht="72" customHeight="1" s="102">
      <c r="B32" s="200" t="inlineStr">
        <is>
          <t>•  28 Aug 2026 directory pass: reviewed aixzd.com/robots (644 sitemap robots; humanoid/quad/wheeled/hands look taxonomy) and theresanaiforthat.com/robots (669 claimed, Cloudflare-gated detail pages) plus theresarobotforthat.com ancillary buyers guide. Added 17 in-scope platforms missing from this workbook. Attached AIXZD product URLs to 137 existing rows. Columns 90–92 hold external directory links. Out-of-scope listings (industrial arms, AGVs, cleaners, toys without humanoid/quad/aerial/marine form) were not imported.</t>
        </is>
      </c>
    </row>
    <row r="33" ht="15" customHeight="1" s="102">
      <c r="B33" s="127" t="inlineStr">
        <is>
          <t>The Official Robot  ·  Become the largest market in the world for used and resale robots.</t>
        </is>
      </c>
    </row>
    <row r="34">
      <c r="B34" s="101" t="inlineStr">
        <is>
          <t>Humanoid technical specs standardized 11 Sep 2026 to a single Amazon-style comparison sheet (44 fields, 9 groups). Every humanoid in store.html and 02_Humanoid shares the same spec keys; undisclosed values are marked Not disclosed. SI + US units retained.</t>
        </is>
      </c>
    </row>
    <row r="35">
      <c r="B35" s="101" t="inlineStr">
        <is>
          <t>Humanoid #miniSpecs locked 11 Sep 2026 to Height · Weight · DOF · Payload · Max Speed · Battery / Runtime.</t>
        </is>
      </c>
    </row>
  </sheetData>
  <mergeCells count="33">
    <mergeCell ref="B2:G2"/>
    <mergeCell ref="E10:G10"/>
    <mergeCell ref="B7:C7"/>
    <mergeCell ref="D8:G8"/>
    <mergeCell ref="C15:G15"/>
    <mergeCell ref="B23:G23"/>
    <mergeCell ref="E9:G9"/>
    <mergeCell ref="B13:G13"/>
    <mergeCell ref="C14:G14"/>
    <mergeCell ref="B29:G29"/>
    <mergeCell ref="F7:G7"/>
    <mergeCell ref="C20:G20"/>
    <mergeCell ref="B28:G28"/>
    <mergeCell ref="E11:G11"/>
    <mergeCell ref="C16:G16"/>
    <mergeCell ref="B30:G30"/>
    <mergeCell ref="C22:G22"/>
    <mergeCell ref="B8:C8"/>
    <mergeCell ref="B33:G33"/>
    <mergeCell ref="B24:G24"/>
    <mergeCell ref="C21:G21"/>
    <mergeCell ref="D7:E7"/>
    <mergeCell ref="B4:G4"/>
    <mergeCell ref="B26:G26"/>
    <mergeCell ref="C17:G17"/>
    <mergeCell ref="B25:G25"/>
    <mergeCell ref="B3:G3"/>
    <mergeCell ref="B6:C6"/>
    <mergeCell ref="B5:C5"/>
    <mergeCell ref="B31:G31"/>
    <mergeCell ref="B27:G27"/>
    <mergeCell ref="C19:G19"/>
    <mergeCell ref="C18:G18"/>
  </mergeCells>
  <hyperlinks>
    <hyperlink xmlns:r="http://schemas.openxmlformats.org/officeDocument/2006/relationships" ref="E9" display="https://humanoid.guide/" r:id="rId1"/>
    <hyperlink xmlns:r="http://schemas.openxmlformats.org/officeDocument/2006/relationships" ref="E10" display="https://humanoid.guide/humanoid-robots-database/" r:id="rId2"/>
  </hyperlink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1"/>
  </sheetPr>
  <dimension ref="A1:CQ379"/>
  <sheetViews>
    <sheetView showFormulas="0" showGridLines="0" showRowColHeaders="1" showZeros="1" rightToLeft="0" tabSelected="0" showOutlineSymbols="1" defaultGridColor="1" view="normal" topLeftCell="A1" colorId="64" zoomScale="90" zoomScaleNormal="90" zoomScalePageLayoutView="100" workbookViewId="0">
      <selection pane="topLeft" activeCell="A1" activeCellId="0" sqref="A1"/>
    </sheetView>
  </sheetViews>
  <sheetFormatPr baseColWidth="8" defaultColWidth="8.6796875" defaultRowHeight="15" zeroHeight="0" outlineLevelRow="0"/>
  <cols>
    <col width="28" customWidth="1" style="101" min="1" max="1"/>
    <col width="16" customWidth="1" style="101" min="2" max="2"/>
    <col width="28" customWidth="1" style="101" min="3" max="3"/>
    <col width="26" customWidth="1" style="101" min="4" max="4"/>
    <col width="36" customWidth="1" style="101" min="5" max="5"/>
    <col width="14" customWidth="1" style="101" min="6" max="6"/>
    <col width="16" customWidth="1" style="101" min="7" max="7"/>
    <col width="12" customWidth="1" style="101" min="8" max="8"/>
    <col width="16" customWidth="1" style="101" min="9" max="9"/>
    <col width="20" customWidth="1" style="101" min="10" max="10"/>
    <col width="56" customWidth="1" style="101" min="11" max="11"/>
    <col width="48" customWidth="1" style="101" min="12" max="12"/>
    <col width="32" customWidth="1" style="101" min="13" max="13"/>
    <col width="14" customWidth="1" style="101" min="14" max="14"/>
    <col width="12" customWidth="1" style="101" min="15" max="17"/>
    <col width="26" customWidth="1" style="101" min="18" max="18"/>
    <col width="16" customWidth="1" style="101" min="19" max="19"/>
    <col width="22" customWidth="1" style="101" min="20" max="20"/>
    <col width="28" customWidth="1" style="101" min="21" max="21"/>
    <col width="12" customWidth="1" style="101" min="22" max="22"/>
    <col width="13" customWidth="1" style="101" min="23" max="23"/>
    <col width="14" customWidth="1" style="101" min="24" max="24"/>
    <col width="15" customWidth="1" style="101" min="25" max="25"/>
    <col width="18" customWidth="1" style="101" min="26" max="26"/>
    <col width="28" customWidth="1" style="101" min="27" max="27"/>
    <col width="22" customWidth="1" style="101" min="28" max="28"/>
    <col width="16" customWidth="1" style="101" min="29" max="29"/>
    <col width="22" customWidth="1" style="101" min="30" max="30"/>
    <col width="28" customWidth="1" style="101" min="31" max="31"/>
    <col width="16" customWidth="1" style="101" min="32" max="32"/>
    <col width="22" customWidth="1" style="101" min="33" max="33"/>
    <col width="36" customWidth="1" style="101" min="34" max="34"/>
    <col width="32" customWidth="1" style="101" min="35" max="35"/>
    <col width="22" customWidth="1" style="101" min="36" max="36"/>
    <col width="14" customWidth="1" style="101" min="37" max="37"/>
    <col width="18" customWidth="1" style="101" min="38" max="38"/>
    <col width="20" customWidth="1" style="101" min="39" max="39"/>
    <col width="28" customWidth="1" style="101" min="40" max="40"/>
    <col width="22" customWidth="1" style="101" min="41" max="42"/>
    <col width="20" customWidth="1" style="101" min="43" max="43"/>
    <col width="36" customWidth="1" style="101" min="44" max="44"/>
    <col width="28" customWidth="1" style="101" min="45" max="45"/>
    <col width="24" customWidth="1" style="101" min="46" max="46"/>
    <col width="28" customWidth="1" style="101" min="47" max="47"/>
    <col width="22" customWidth="1" style="101" min="48" max="48"/>
    <col width="28" customWidth="1" style="101" min="49" max="49"/>
    <col width="40" customWidth="1" style="101" min="50" max="50"/>
    <col width="32" customWidth="1" style="101" min="51" max="52"/>
    <col width="28" customWidth="1" style="101" min="53" max="53"/>
    <col width="24" customWidth="1" style="101" min="54" max="54"/>
    <col width="14" customWidth="1" style="101" min="55" max="55"/>
    <col width="18" customWidth="1" style="101" min="56" max="56"/>
    <col width="14" customWidth="1" style="101" min="57" max="61"/>
    <col width="18" customWidth="1" style="101" min="62" max="62"/>
    <col width="16" customWidth="1" style="101" min="63" max="63"/>
    <col width="22" customWidth="1" style="101" min="64" max="64"/>
    <col width="64" customWidth="1" style="101" min="65" max="65"/>
    <col width="22" customWidth="1" style="101" min="66" max="66"/>
    <col width="36" customWidth="1" style="101" min="67" max="67"/>
    <col width="28" customWidth="1" style="101" min="68" max="69"/>
    <col width="20" customWidth="1" style="101" min="70" max="70"/>
    <col width="14" customWidth="1" style="101" min="71" max="71"/>
    <col width="36" customWidth="1" style="101" min="72" max="74"/>
    <col width="32" customWidth="1" style="101" min="75" max="75"/>
    <col width="22" customWidth="1" style="101" min="76" max="76"/>
    <col width="36" customWidth="1" style="101" min="77" max="78"/>
    <col width="16" customWidth="1" style="101" min="79" max="79"/>
    <col width="36" customWidth="1" style="101" min="80" max="80"/>
    <col width="28" customWidth="1" style="101" min="81" max="81"/>
    <col width="16" customWidth="1" style="101" min="82" max="82"/>
    <col width="32" customWidth="1" style="101" min="83" max="83"/>
    <col width="18" customWidth="1" style="101" min="84" max="86"/>
    <col width="36" customWidth="1" style="101" min="87" max="87"/>
    <col width="40" customWidth="1" style="101" min="88" max="88"/>
    <col width="28" customWidth="1" style="101" min="89" max="89"/>
    <col width="42" customWidth="1" style="102" min="90" max="90"/>
    <col width="42" customWidth="1" style="102" min="91" max="91"/>
    <col width="48" customWidth="1" style="102" min="92" max="92"/>
    <col width="56" customWidth="1" style="102" min="93" max="93"/>
  </cols>
  <sheetData>
    <row r="1" ht="27.75" customHeight="1" s="102">
      <c r="A1" s="128" t="inlineStr">
        <is>
          <t>ALL ROBOT PLATFORMS</t>
        </is>
      </c>
      <c r="O1" s="129" t="n"/>
      <c r="P1" s="129" t="n"/>
      <c r="Q1" s="129" t="n"/>
      <c r="R1" s="129" t="n"/>
      <c r="S1" s="129" t="n"/>
      <c r="T1" s="129" t="n"/>
      <c r="U1" s="129" t="n"/>
      <c r="V1" s="129" t="n"/>
      <c r="W1" s="129" t="n"/>
      <c r="X1" s="129" t="n"/>
      <c r="Y1" s="129" t="n"/>
      <c r="Z1" s="129" t="n"/>
      <c r="AA1" s="129" t="n"/>
      <c r="AB1" s="129" t="n"/>
      <c r="AC1" s="129" t="n"/>
      <c r="AD1" s="129" t="n"/>
      <c r="AE1" s="129" t="n"/>
      <c r="AF1" s="129" t="n"/>
      <c r="AG1" s="129" t="n"/>
      <c r="AH1" s="129" t="n"/>
      <c r="AI1" s="129" t="n"/>
      <c r="AJ1" s="129" t="n"/>
      <c r="AK1" s="129" t="n"/>
      <c r="AL1" s="129" t="n"/>
      <c r="AM1" s="129" t="n"/>
      <c r="AN1" s="129" t="n"/>
      <c r="AO1" s="129" t="n"/>
      <c r="AP1" s="129" t="n"/>
      <c r="AQ1" s="129" t="n"/>
      <c r="AR1" s="129" t="n"/>
      <c r="AS1" s="129" t="n"/>
      <c r="AT1" s="129" t="n"/>
      <c r="AU1" s="129" t="n"/>
      <c r="AV1" s="129" t="n"/>
      <c r="AW1" s="129" t="n"/>
      <c r="AX1" s="129" t="n"/>
      <c r="AY1" s="129" t="n"/>
      <c r="AZ1" s="129" t="n"/>
      <c r="BA1" s="129" t="n"/>
      <c r="BB1" s="129" t="n"/>
      <c r="BC1" s="129" t="n"/>
      <c r="BD1" s="129" t="n"/>
      <c r="BE1" s="129" t="n"/>
      <c r="BF1" s="129" t="n"/>
      <c r="BG1" s="129" t="n"/>
      <c r="BH1" s="129" t="n"/>
      <c r="BI1" s="129" t="n"/>
      <c r="BJ1" s="129" t="n"/>
      <c r="BK1" s="129" t="n"/>
      <c r="BL1" s="129" t="n"/>
      <c r="BM1" s="129" t="n"/>
      <c r="BN1" s="129" t="n"/>
      <c r="BO1" s="129" t="n"/>
      <c r="BP1" s="129" t="n"/>
      <c r="BQ1" s="129" t="n"/>
      <c r="BR1" s="129" t="n"/>
      <c r="BS1" s="129" t="n"/>
      <c r="BT1" s="129" t="n"/>
      <c r="BU1" s="129" t="n"/>
      <c r="BV1" s="129" t="n"/>
      <c r="BW1" s="129" t="n"/>
      <c r="BX1" s="129" t="n"/>
      <c r="BY1" s="129" t="n"/>
      <c r="BZ1" s="129" t="n"/>
      <c r="CA1" s="129" t="n"/>
      <c r="CB1" s="129" t="n"/>
      <c r="CC1" s="129" t="n"/>
      <c r="CD1" s="129" t="n"/>
      <c r="CE1" s="129" t="n"/>
      <c r="CF1" s="129" t="n"/>
      <c r="CG1" s="129" t="n"/>
      <c r="CH1" s="129" t="n"/>
      <c r="CI1" s="129" t="n"/>
      <c r="CJ1" s="129" t="n"/>
      <c r="CK1" s="129" t="n"/>
      <c r="CL1" s="129" t="n"/>
      <c r="CM1" s="129" t="n"/>
    </row>
    <row r="2" ht="18" customHeight="1" s="102">
      <c r="A2" s="130" t="inlineStr">
        <is>
          <t>369 platforms  ·  Humanoid.guide extract 26 Aug 2026  ·  AIXZD + TAAFT directory pass 28 Aug 2026 (+17 net-new)  ·  store.html marketplace columns retained</t>
        </is>
      </c>
      <c r="O2" s="131" t="n"/>
      <c r="P2" s="131" t="n"/>
      <c r="Q2" s="131" t="n"/>
      <c r="R2" s="131" t="n"/>
      <c r="S2" s="131" t="n"/>
      <c r="T2" s="131" t="n"/>
      <c r="U2" s="131" t="n"/>
      <c r="V2" s="131" t="n"/>
      <c r="W2" s="131" t="n"/>
      <c r="X2" s="131" t="n"/>
      <c r="Y2" s="131" t="n"/>
      <c r="Z2" s="131" t="n"/>
      <c r="AA2" s="131" t="n"/>
      <c r="AB2" s="131" t="n"/>
      <c r="AC2" s="131" t="n"/>
      <c r="AD2" s="131" t="n"/>
      <c r="AE2" s="131" t="n"/>
      <c r="AF2" s="131" t="n"/>
      <c r="AG2" s="131" t="n"/>
      <c r="AH2" s="131" t="n"/>
      <c r="AI2" s="131" t="n"/>
      <c r="AJ2" s="131" t="n"/>
      <c r="AK2" s="131" t="n"/>
      <c r="AL2" s="131" t="n"/>
      <c r="AM2" s="131" t="n"/>
      <c r="AN2" s="131" t="n"/>
      <c r="AO2" s="131" t="n"/>
      <c r="AP2" s="131" t="n"/>
      <c r="AQ2" s="131" t="n"/>
      <c r="AR2" s="131" t="n"/>
      <c r="AS2" s="131" t="n"/>
      <c r="AT2" s="131" t="n"/>
      <c r="AU2" s="131" t="n"/>
      <c r="AV2" s="131" t="n"/>
      <c r="AW2" s="131" t="n"/>
      <c r="AX2" s="131" t="n"/>
      <c r="AY2" s="131" t="n"/>
      <c r="AZ2" s="131" t="n"/>
      <c r="BA2" s="131" t="n"/>
      <c r="BB2" s="131" t="n"/>
      <c r="BC2" s="131" t="n"/>
      <c r="BD2" s="131" t="n"/>
      <c r="BE2" s="131" t="n"/>
      <c r="BF2" s="131" t="n"/>
      <c r="BG2" s="131" t="n"/>
      <c r="BH2" s="131" t="n"/>
      <c r="BI2" s="131" t="n"/>
      <c r="BJ2" s="131" t="n"/>
      <c r="BK2" s="131" t="n"/>
      <c r="BL2" s="131" t="n"/>
      <c r="BM2" s="131" t="n"/>
      <c r="BN2" s="131" t="n"/>
      <c r="BO2" s="131" t="n"/>
      <c r="BP2" s="131" t="n"/>
      <c r="BQ2" s="131" t="n"/>
      <c r="BR2" s="131" t="n"/>
      <c r="BS2" s="131" t="n"/>
      <c r="BT2" s="131" t="n"/>
      <c r="BU2" s="131" t="n"/>
      <c r="BV2" s="131" t="n"/>
      <c r="BW2" s="131" t="n"/>
      <c r="BX2" s="131" t="n"/>
      <c r="BY2" s="131" t="n"/>
      <c r="BZ2" s="131" t="n"/>
      <c r="CA2" s="131" t="n"/>
      <c r="CB2" s="131" t="n"/>
      <c r="CC2" s="131" t="n"/>
      <c r="CD2" s="131" t="n"/>
      <c r="CE2" s="131" t="n"/>
      <c r="CF2" s="131" t="n"/>
      <c r="CG2" s="131" t="n"/>
      <c r="CH2" s="131" t="n"/>
      <c r="CI2" s="131" t="n"/>
      <c r="CJ2" s="131" t="n"/>
      <c r="CK2" s="131" t="n"/>
      <c r="CL2" s="131" t="n"/>
      <c r="CM2" s="131" t="n"/>
    </row>
    <row r="3" ht="18" customHeight="1" s="102">
      <c r="A3" s="132" t="inlineStr">
        <is>
          <t>IDENTITY</t>
        </is>
      </c>
    </row>
    <row r="4" ht="36" customHeight="1" s="102">
      <c r="A4" s="193" t="inlineStr">
        <is>
          <t>Website ID</t>
        </is>
      </c>
      <c r="B4" s="193" t="inlineStr">
        <is>
          <t>Catalog Source</t>
        </is>
      </c>
      <c r="C4" s="193" t="inlineStr">
        <is>
          <t>Manufacturer</t>
        </is>
      </c>
      <c r="D4" s="193" t="inlineStr">
        <is>
          <t>Model Name</t>
        </is>
      </c>
      <c r="E4" s="193" t="inlineStr">
        <is>
          <t>Model Name (Website)</t>
        </is>
      </c>
      <c r="F4" s="193" t="inlineStr">
        <is>
          <t>Type</t>
        </is>
      </c>
      <c r="G4" s="193" t="inlineStr">
        <is>
          <t>Country of Origin</t>
        </is>
      </c>
      <c r="H4" s="193" t="inlineStr">
        <is>
          <t>First Year (YYYY)</t>
        </is>
      </c>
      <c r="I4" s="193" t="inlineStr">
        <is>
          <t>Approx. Cost (USD)</t>
        </is>
      </c>
      <c r="J4" s="193" t="inlineStr">
        <is>
          <t>Price Source</t>
        </is>
      </c>
      <c r="K4" s="193" t="inlineStr">
        <is>
          <t>Description (1 sentence)</t>
        </is>
      </c>
      <c r="L4" s="193" t="inlineStr">
        <is>
          <t>Unique Summary</t>
        </is>
      </c>
      <c r="M4" s="193" t="inlineStr">
        <is>
          <t>Bio / History</t>
        </is>
      </c>
      <c r="N4" s="193" t="inlineStr">
        <is>
          <t>Humanoid.guide URL</t>
        </is>
      </c>
      <c r="O4" s="193" t="inlineStr">
        <is>
          <t>OEM Website</t>
        </is>
      </c>
      <c r="P4" s="193" t="inlineStr">
        <is>
          <t>Height (ft in)</t>
        </is>
      </c>
      <c r="Q4" s="193" t="inlineStr">
        <is>
          <t>Height (cm)</t>
        </is>
      </c>
      <c r="R4" s="193" t="inlineStr">
        <is>
          <t>Weight (lb)</t>
        </is>
      </c>
      <c r="S4" s="193" t="inlineStr">
        <is>
          <t>Weight (kg)</t>
        </is>
      </c>
      <c r="T4" s="193" t="inlineStr">
        <is>
          <t>Standing Size / Envelope (in)</t>
        </is>
      </c>
      <c r="U4" s="193" t="inlineStr">
        <is>
          <t>Shipping Size</t>
        </is>
      </c>
      <c r="V4" s="193" t="inlineStr">
        <is>
          <t>Degrees of Freedom (DOF)</t>
        </is>
      </c>
      <c r="W4" s="193" t="inlineStr">
        <is>
          <t>DOF Hands</t>
        </is>
      </c>
      <c r="X4" s="193" t="inlineStr">
        <is>
          <t>Payload (lb)</t>
        </is>
      </c>
      <c r="Y4" s="193" t="inlineStr">
        <is>
          <t>Strength (kg)</t>
        </is>
      </c>
      <c r="Z4" s="193" t="inlineStr">
        <is>
          <t>Max Speed (mph)</t>
        </is>
      </c>
      <c r="AA4" s="193" t="inlineStr">
        <is>
          <t>Max Speed (km/h)</t>
        </is>
      </c>
      <c r="AB4" s="193" t="inlineStr">
        <is>
          <t>Walking Speed (km/h)</t>
        </is>
      </c>
      <c r="AC4" s="193" t="inlineStr">
        <is>
          <t>Battery / Runtime (Wh / h)</t>
        </is>
      </c>
      <c r="AD4" s="193" t="inlineStr">
        <is>
          <t>Runtime (hours)</t>
        </is>
      </c>
      <c r="AE4" s="193" t="inlineStr">
        <is>
          <t>Flight Time (min)</t>
        </is>
      </c>
      <c r="AF4" s="193" t="inlineStr">
        <is>
          <t>Charging</t>
        </is>
      </c>
      <c r="AG4" s="193" t="inlineStr">
        <is>
          <t>Hands / End-effectors</t>
        </is>
      </c>
      <c r="AH4" s="193" t="inlineStr">
        <is>
          <t>Number of Fingers</t>
        </is>
      </c>
      <c r="AI4" s="193" t="inlineStr">
        <is>
          <t>Manipulation Performance (1–4)</t>
        </is>
      </c>
      <c r="AJ4" s="193" t="inlineStr">
        <is>
          <t>Camera / Vision</t>
        </is>
      </c>
      <c r="AK4" s="193" t="inlineStr">
        <is>
          <t>Camera Resolution</t>
        </is>
      </c>
      <c r="AL4" s="193" t="inlineStr">
        <is>
          <t>Video</t>
        </is>
      </c>
      <c r="AM4" s="193" t="inlineStr">
        <is>
          <t>Gimbal</t>
        </is>
      </c>
      <c r="AN4" s="193" t="inlineStr">
        <is>
          <t>LiDAR</t>
        </is>
      </c>
      <c r="AO4" s="193" t="inlineStr">
        <is>
          <t>Audio</t>
        </is>
      </c>
      <c r="AP4" s="193" t="inlineStr">
        <is>
          <t>Sensors</t>
        </is>
      </c>
      <c r="AQ4" s="193" t="inlineStr">
        <is>
          <t>Tactile / Force Sensors</t>
        </is>
      </c>
      <c r="AR4" s="193" t="inlineStr">
        <is>
          <t>Obstacle Sensing</t>
        </is>
      </c>
      <c r="AS4" s="193" t="inlineStr">
        <is>
          <t>Compute (TOPS / class)</t>
        </is>
      </c>
      <c r="AT4" s="193" t="inlineStr">
        <is>
          <t>CPU / GPU</t>
        </is>
      </c>
      <c r="AU4" s="193" t="inlineStr">
        <is>
          <t>Connectivity</t>
        </is>
      </c>
      <c r="AV4" s="193" t="inlineStr">
        <is>
          <t>Control Interface</t>
        </is>
      </c>
      <c r="AW4" s="193" t="inlineStr">
        <is>
          <t>Navigation</t>
        </is>
      </c>
      <c r="AX4" s="193" t="inlineStr">
        <is>
          <t>Navigation Performance (1–4)</t>
        </is>
      </c>
      <c r="AY4" s="193" t="inlineStr">
        <is>
          <t>Operating System</t>
        </is>
      </c>
      <c r="AZ4" s="193" t="inlineStr">
        <is>
          <t>LLM Integration</t>
        </is>
      </c>
      <c r="BA4" s="193" t="inlineStr">
        <is>
          <t>Latency Glass-to-Action</t>
        </is>
      </c>
      <c r="BB4" s="193" t="inlineStr">
        <is>
          <t>Motor Tech</t>
        </is>
      </c>
      <c r="BC4" s="193" t="inlineStr">
        <is>
          <t>Gear Tech</t>
        </is>
      </c>
      <c r="BD4" s="193" t="inlineStr">
        <is>
          <t>Main Structural Material</t>
        </is>
      </c>
      <c r="BE4" s="193" t="inlineStr">
        <is>
          <t>IP Rating (IPxx)</t>
        </is>
      </c>
      <c r="BF4" s="193" t="inlineStr">
        <is>
          <t>Ingress Protection</t>
        </is>
      </c>
      <c r="BG4" s="193" t="inlineStr">
        <is>
          <t>Depth Rating (ft)</t>
        </is>
      </c>
      <c r="BH4" s="193" t="inlineStr">
        <is>
          <t>Range / Link (mi)</t>
        </is>
      </c>
      <c r="BI4" s="193" t="inlineStr">
        <is>
          <t>Lights</t>
        </is>
      </c>
      <c r="BJ4" s="193" t="inlineStr">
        <is>
          <t>Thrusters</t>
        </is>
      </c>
      <c r="BK4" s="193" t="inlineStr">
        <is>
          <t>Tether</t>
        </is>
      </c>
      <c r="BL4" s="193" t="inlineStr">
        <is>
          <t>Protection</t>
        </is>
      </c>
      <c r="BM4" s="193" t="inlineStr">
        <is>
          <t>Safe with Humans</t>
        </is>
      </c>
      <c r="BN4" s="193" t="inlineStr">
        <is>
          <t>Capable of Rising After Fall</t>
        </is>
      </c>
      <c r="BO4" s="193" t="inlineStr">
        <is>
          <t>Capabilities / Skills Summary</t>
        </is>
      </c>
      <c r="BP4" s="193" t="inlineStr">
        <is>
          <t>Operating Environment</t>
        </is>
      </c>
      <c r="BQ4" s="193" t="inlineStr">
        <is>
          <t>Primary Use / Main Market</t>
        </is>
      </c>
      <c r="BR4" s="193" t="inlineStr">
        <is>
          <t>Commercial Status</t>
        </is>
      </c>
      <c r="BS4" s="193" t="inlineStr">
        <is>
          <t>Availability (HG)</t>
        </is>
      </c>
      <c r="BT4" s="193" t="inlineStr">
        <is>
          <t>Color Options (HG)</t>
        </is>
      </c>
      <c r="BU4" s="193" t="inlineStr">
        <is>
          <t>Verified (HG)</t>
        </is>
      </c>
      <c r="BV4" s="193" t="inlineStr">
        <is>
          <t>Notes</t>
        </is>
      </c>
      <c r="BW4" s="193" t="inlineStr">
        <is>
          <t>Bullet Highlights</t>
        </is>
      </c>
      <c r="BX4" s="193" t="inlineStr">
        <is>
          <t>Variants (id|name|price|desc)</t>
        </is>
      </c>
      <c r="BY4" s="193" t="inlineStr">
        <is>
          <t>Colors (id|name|hex|premium)</t>
        </is>
      </c>
      <c r="BZ4" s="193" t="inlineStr">
        <is>
          <t>Platform Add-ons (IDs)</t>
        </is>
      </c>
      <c r="CA4" s="193" t="inlineStr">
        <is>
          <t>Key Upgrades / Accessories Summary</t>
        </is>
      </c>
      <c r="CB4" s="193" t="inlineStr">
        <is>
          <t>Manufacturer Warranty (label)</t>
        </is>
      </c>
      <c r="CC4" s="193" t="inlineStr">
        <is>
          <t>Manufacturer Warranty (months)</t>
        </is>
      </c>
      <c r="CD4" s="193" t="inlineStr">
        <is>
          <t>Default Extended Warranty</t>
        </is>
      </c>
      <c r="CE4" s="193" t="inlineStr">
        <is>
          <t>Warranty Source</t>
        </is>
      </c>
      <c r="CF4" s="193" t="inlineStr">
        <is>
          <t>Warranty Confidence</t>
        </is>
      </c>
      <c r="CG4" s="193" t="inlineStr">
        <is>
          <t>Warranty Notes</t>
        </is>
      </c>
      <c r="CH4" s="193" t="inlineStr">
        <is>
          <t>Extended Warranty +1yr (% of config)</t>
        </is>
      </c>
      <c r="CI4" s="193" t="inlineStr">
        <is>
          <t>Extended Warranty +2yr (% of config)</t>
        </is>
      </c>
      <c r="CJ4" s="193" t="inlineStr">
        <is>
          <t>Extended Warranty +3yr (% of config)</t>
        </is>
      </c>
      <c r="CK4" s="193" t="inlineStr">
        <is>
          <t>Extended Warranty Options</t>
        </is>
      </c>
      <c r="CL4" s="193" t="inlineStr">
        <is>
          <t>Extended Warranty Pricing Rationale</t>
        </is>
      </c>
      <c r="CM4" s="193" t="inlineStr">
        <is>
          <t>Warranty</t>
        </is>
      </c>
      <c r="CN4" s="202" t="inlineStr">
        <is>
          <t>AIXZD URL</t>
        </is>
      </c>
      <c r="CO4" s="202" t="inlineStr">
        <is>
          <t>TAAFT Directory</t>
        </is>
      </c>
      <c r="CP4" s="202" t="inlineStr">
        <is>
          <t>External Directory Notes</t>
        </is>
      </c>
      <c r="CQ4" s="193" t="inlineStr">
        <is>
          <t>Mini Specs (Amazon snapshot)</t>
        </is>
      </c>
    </row>
    <row r="5" ht="31.5" customHeight="1" s="102">
      <c r="A5" s="143" t="inlineStr">
        <is>
          <t>neo</t>
        </is>
      </c>
      <c r="B5" s="144" t="inlineStr">
        <is>
          <t>Major-player brief 11 Sep 2026</t>
        </is>
      </c>
      <c r="C5" s="145" t="inlineStr">
        <is>
          <t>1X Technologies</t>
        </is>
      </c>
      <c r="D5" s="145" t="inlineStr">
        <is>
          <t>NEO</t>
        </is>
      </c>
      <c r="E5" s="145" t="inlineStr">
        <is>
          <t>[1X] NEO (2026)</t>
        </is>
      </c>
      <c r="F5" s="146" t="inlineStr">
        <is>
          <t>humanoid</t>
        </is>
      </c>
      <c r="G5" s="145" t="inlineStr">
        <is>
          <t>USA</t>
        </is>
      </c>
      <c r="H5" s="147" t="n">
        <v>2026</v>
      </c>
      <c r="I5" s="148" t="n">
        <v>20000</v>
      </c>
      <c r="J5" s="145" t="inlineStr">
        <is>
          <t>Robot Price Index Aug 2026 · pre-order</t>
        </is>
      </c>
      <c r="K5" s="149" t="inlineStr">
        <is>
          <t>NEO is a soft-covered biped designed for the home, where it must handle everyday tasks in unpredictable environments.</t>
        </is>
      </c>
      <c r="L5" s="101" t="inlineStr">
        <is>
          <t>NEO is a soft-covered biped designed for the home, where it must handle everyday tasks in unpredictable environments.</t>
        </is>
      </c>
      <c r="M5" s="101" t="inlineStr">
        <is>
          <t>1X Technologies began in Norway as Halodi Robotics and now builds consumer humanoids from the United States. NEO is the 2026 home product that followed the NEO Beta and Gamma prototypes: a soft-covered, tendon-driven biped meant to live in ordinary houses rather than laboratories. It is offered as early-access ownership or a monthly subscription, with the design centered on conversation and everyday chores in unpredictable rooms.</t>
        </is>
      </c>
      <c r="N5" s="150" t="inlineStr">
        <is>
          <t>https://humanoid.guide/product/neo/</t>
        </is>
      </c>
      <c r="O5" s="150" t="inlineStr">
        <is>
          <t>https://www.1x.tech</t>
        </is>
      </c>
      <c r="P5" s="145" t="inlineStr">
        <is>
          <t>≈ 5 ft 6 in</t>
        </is>
      </c>
      <c r="Q5" s="145" t="n">
        <v>170</v>
      </c>
      <c r="R5" s="145" t="n">
        <v>66.09999999999999</v>
      </c>
      <c r="S5" s="145" t="n">
        <v>30</v>
      </c>
      <c r="T5" s="149" t="inlineStr">
        <is>
          <t>Not disclosed</t>
        </is>
      </c>
      <c r="U5" s="145" t="n"/>
      <c r="V5" s="145" t="inlineStr">
        <is>
          <t>≈ 75 total (hands ≈ 22×2 class)</t>
        </is>
      </c>
      <c r="W5" s="149" t="inlineStr">
        <is>
          <t>22</t>
        </is>
      </c>
      <c r="X5" s="145" t="n">
        <v>154.3</v>
      </c>
      <c r="Y5" s="145" t="n">
        <v>70</v>
      </c>
      <c r="Z5" s="145" t="n">
        <v>13.67</v>
      </c>
      <c r="AA5" s="145" t="n">
        <v>22</v>
      </c>
      <c r="AB5" s="145" t="n">
        <v>5</v>
      </c>
      <c r="AC5" s="149" t="inlineStr">
        <is>
          <t>≈ 842 Wh · ≈ 4 h class</t>
        </is>
      </c>
      <c r="AD5" s="149" t="inlineStr">
        <is>
          <t>4</t>
        </is>
      </c>
      <c r="AE5" s="145" t="n"/>
      <c r="AF5" s="145" t="inlineStr">
        <is>
          <t>842 Wh class pack; ~4 h class runtime</t>
        </is>
      </c>
      <c r="AG5" s="149" t="inlineStr">
        <is>
          <t>Tendon-driven hands (high DOF hand packages)</t>
        </is>
      </c>
      <c r="AH5" s="145" t="inlineStr">
        <is>
          <t>10</t>
        </is>
      </c>
      <c r="AI5" s="151" t="n">
        <v>3</v>
      </c>
      <c r="AJ5" s="149" t="inlineStr">
        <is>
          <t>Multi-camera head and body perception for household tasks</t>
        </is>
      </c>
      <c r="AK5" s="149" t="inlineStr">
        <is>
          <t>Dual 8.85 MP stereo fisheye at 90 Hz</t>
        </is>
      </c>
      <c r="AL5" s="145" t="inlineStr">
        <is>
          <t>Teleoperation and autonomy vision streams</t>
        </is>
      </c>
      <c r="AM5" s="145" t="n"/>
      <c r="AN5" s="145" t="inlineStr">
        <is>
          <t>Not disclosed</t>
        </is>
      </c>
      <c r="AO5" s="145" t="inlineStr">
        <is>
          <t>Voice interaction and far-field microphone array</t>
        </is>
      </c>
      <c r="AP5" s="145" t="inlineStr">
        <is>
          <t>Not disclosed</t>
        </is>
      </c>
      <c r="AQ5" s="145" t="inlineStr">
        <is>
          <t>Not disclosed</t>
        </is>
      </c>
      <c r="AR5" s="145" t="n"/>
      <c r="AS5" s="145" t="n"/>
      <c r="AT5" s="149" t="inlineStr">
        <is>
          <t>1X NEO Cortex (NVIDIA Jetson Thor)</t>
        </is>
      </c>
      <c r="AU5" s="149" t="inlineStr">
        <is>
          <t>Wi-Fi, Bluetooth, 5G</t>
        </is>
      </c>
      <c r="AV5" s="145" t="inlineStr">
        <is>
          <t>1X app / Expert Mode teleoperation; autonomy features expanding</t>
        </is>
      </c>
      <c r="AW5" s="149" t="inlineStr">
        <is>
          <t>Indoor bipedal navigation; household obstacle handling</t>
        </is>
      </c>
      <c r="AX5" s="151" t="n">
        <v>3</v>
      </c>
      <c r="AY5" s="149" t="inlineStr">
        <is>
          <t>Not disclosed</t>
        </is>
      </c>
      <c r="AZ5" s="149" t="inlineStr">
        <is>
          <t>Built-in LLM + Redwood AI vision-language model for learning &amp; chores.</t>
        </is>
      </c>
      <c r="BA5" s="149" t="inlineStr">
        <is>
          <t>teleop via app/VR is supported</t>
        </is>
      </c>
      <c r="BB5" s="149" t="inlineStr">
        <is>
          <t>Tendon-driven actuators; high torque-density motors</t>
        </is>
      </c>
      <c r="BC5" s="149" t="inlineStr">
        <is>
          <t>Tendon-based transmissions</t>
        </is>
      </c>
      <c r="BD5" s="145" t="inlineStr">
        <is>
          <t>Soft 3D-lattice polymer body; machine-washable nylon suit/shoes.</t>
        </is>
      </c>
      <c r="BE5" s="145" t="inlineStr">
        <is>
          <t>IP68</t>
        </is>
      </c>
      <c r="BF5" s="145" t="inlineStr">
        <is>
          <t>Hands IP68 (submersible); Body IP44 (splash-proof).</t>
        </is>
      </c>
      <c r="BG5" s="145" t="n"/>
      <c r="BH5" s="145" t="n"/>
      <c r="BI5" s="145" t="n"/>
      <c r="BJ5" s="145" t="n"/>
      <c r="BK5" s="145" t="n"/>
      <c r="BL5" s="145" t="n"/>
      <c r="BM5" s="145" t="inlineStr">
        <is>
          <t>Soft lattice body, low-inertia drives, no pinch points, HIC &lt; 250 class</t>
        </is>
      </c>
      <c r="BN5" s="145" t="inlineStr">
        <is>
          <t>Not disclosed</t>
        </is>
      </c>
      <c r="BO5" s="149" t="inlineStr">
        <is>
          <t>Market: Consumer home use · Manipulation 3/4 · Navigation 3/4 · Human-safe: Yes · AI: Built-in LLM + Redwood AI vision-language model for learning &amp; chores. · Actuation: Tendon-driven actuators; high torque-density motors · Peak 22 km/h · Walk 5 km/h · Runtime 4</t>
        </is>
      </c>
      <c r="BP5" s="145" t="n"/>
      <c r="BQ5" s="149" t="inlineStr">
        <is>
          <t>Consumer home use in unstructured households</t>
        </is>
      </c>
      <c r="BR5" s="149" t="inlineStr">
        <is>
          <t>Prototype</t>
        </is>
      </c>
      <c r="BS5" s="149" t="inlineStr">
        <is>
          <t>Prototype</t>
        </is>
      </c>
      <c r="BT5" s="145" t="n"/>
      <c r="BU5" s="145" t="inlineStr">
        <is>
          <t>Not verified</t>
        </is>
      </c>
      <c r="BV5" s="149" t="n"/>
      <c r="BW5" s="149" t="inlineStr">
        <is>
          <t>Origin &amp; status — USA · Prototype · 2026 | Manipulation — Tendon-driven hands (high DOF hand packages) · 10 fingers · Hand DOF 22 · Payload Arm ≈ 18 lb · Carry ≈ 55 lb | Sensing &amp; software — Multi-camera head and body perception for household tasks · Built-in LLM + Redwood AI vision-language model for learning &amp; chores. · 1X app / Expert Mode te… | Buying notes — From $20,000 · 12 months manufacturer standard (typical research/commercial humanoid) · Best fit: Consumer home use</t>
        </is>
      </c>
      <c r="BX5" s="149" t="inlineStr">
        <is>
          <t>early|Early Access Ownership|20000|Full ownership + 3-year warranty || sub|Subscription|499|$499 / month</t>
        </is>
      </c>
      <c r="BY5" s="145" t="inlineStr">
        <is>
          <t>tan|Tan|#d2b48c|0 || gray|Gray|#9ca3af|0 || brown|Dark Brown|#5c4033|0</t>
        </is>
      </c>
      <c r="BZ5" s="145" t="inlineStr">
        <is>
          <t>warranty_neo</t>
        </is>
      </c>
      <c r="CA5" s="149" t="inlineStr">
        <is>
          <t>2 configuration tiers; 3 color options; Multi-year extended warranty available</t>
        </is>
      </c>
      <c r="CB5" s="149" t="inlineStr">
        <is>
          <t>12 months manufacturer standard (typical research/commercial humanoid)</t>
        </is>
      </c>
      <c r="CC5" s="147" t="n">
        <v>12</v>
      </c>
      <c r="CD5" s="149" t="inlineStr">
        <is>
          <t>+3 Year Extended ≈24% of configuration (default in configurator)</t>
        </is>
      </c>
      <c r="CE5" s="145" t="inlineStr">
        <is>
          <t>Humanoid category norm 2025–2026</t>
        </is>
      </c>
      <c r="CF5" s="145" t="inlineStr">
        <is>
          <t>Estimated</t>
        </is>
      </c>
      <c r="CG5" s="149" t="inlineStr">
        <is>
          <t>EDU or enterprise packages may differ; confirm on formal quote.</t>
        </is>
      </c>
      <c r="CH5" s="145" t="inlineStr">
        <is>
          <t>10%</t>
        </is>
      </c>
      <c r="CI5" s="145" t="inlineStr">
        <is>
          <t>17%</t>
        </is>
      </c>
      <c r="CJ5" s="145" t="inlineStr">
        <is>
          <t>24%</t>
        </is>
      </c>
      <c r="CK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5" s="145" t="inlineStr">
        <is>
          <t>12 months manufacturer standard (typical research/commercial humanoid)</t>
        </is>
      </c>
      <c r="CN5" s="203" t="inlineStr">
        <is>
          <t>https://aixzd.com/robot/neo</t>
        </is>
      </c>
      <c r="CO5" s="203" t="inlineStr">
        <is>
          <t>https://theresanaiforthat.com/robots/</t>
        </is>
      </c>
      <c r="CP5" s="203" t="inlineStr">
        <is>
          <t>Cross-checked against TAAFT Robots directory (669 entries) 28 Aug 2026 — individual TAAFT permalinks are JS/Cloudflare gated.</t>
        </is>
      </c>
      <c r="CQ5" s="101" t="inlineStr">
        <is>
          <t>Height: ≈ 5 ft 6 in | Weight: 66.1 | Degrees of Freedom: ≈ 75 total (hands ≈ 22×2 class) | Payload: 154.3 | Max Speed: 13.67 | Battery / Runtime: ≈ 842 Wh · ≈ 4 h class</t>
        </is>
      </c>
    </row>
    <row r="6" ht="31.5" customHeight="1" s="102">
      <c r="A6" s="152" t="inlineStr">
        <is>
          <t>h_1x_technologies_neo_beta</t>
        </is>
      </c>
      <c r="B6" s="153" t="inlineStr">
        <is>
          <t>Humanoid.guide</t>
        </is>
      </c>
      <c r="C6" s="152" t="inlineStr">
        <is>
          <t>1X Technologies</t>
        </is>
      </c>
      <c r="D6" s="152" t="inlineStr">
        <is>
          <t>NEO Beta</t>
        </is>
      </c>
      <c r="E6" s="152" t="inlineStr">
        <is>
          <t>[1X] NEO Beta (2023)</t>
        </is>
      </c>
      <c r="F6" s="146" t="inlineStr">
        <is>
          <t>humanoid</t>
        </is>
      </c>
      <c r="G6" s="152" t="inlineStr">
        <is>
          <t>USA</t>
        </is>
      </c>
      <c r="H6" s="154" t="n">
        <v>2023</v>
      </c>
      <c r="I6" s="155" t="n">
        <v>75000</v>
      </c>
      <c r="J6" s="152" t="inlineStr">
        <is>
          <t>Research/prototype estimate (NEO consumer list is $20,000)</t>
        </is>
      </c>
      <c r="K6" s="156" t="inlineStr">
        <is>
          <t>NEO Beta is 1X Technologies's humanoid — 5 ft 5 in class, 55 DOF, 43.9 lb payload. Aimed at research, commercial pilots, education, and professional deployment.</t>
        </is>
      </c>
      <c r="L6" s="101" t="inlineStr">
        <is>
          <t>NEO Beta is 1X Technologies's humanoid — 5 ft 5 in class, 55 DOF, 43.9 lb payload. Aimed at research, commercial pilots, education, and professional deployment.</t>
        </is>
      </c>
      <c r="M6" s="101" t="inlineStr">
        <is>
          <t>NEO Beta was 1X’s first public home-humanoid prototype, the machine that tested tendon-driven soft hardware and household teleoperation before the 2026 NEO product. It established the company’s argument that a consumer humanoid should be covered, compliant, and safe around people rather than a bare industrial frame.</t>
        </is>
      </c>
      <c r="N6" s="157" t="inlineStr">
        <is>
          <t>https://humanoid.guide/product/neo-beta/</t>
        </is>
      </c>
      <c r="O6" s="157" t="inlineStr">
        <is>
          <t>https://www.1x.tech</t>
        </is>
      </c>
      <c r="P6" s="152" t="inlineStr">
        <is>
          <t>5 ft 5 in</t>
        </is>
      </c>
      <c r="Q6" s="152" t="n">
        <v>165</v>
      </c>
      <c r="R6" s="152" t="n">
        <v>66.09999999999999</v>
      </c>
      <c r="S6" s="152" t="n">
        <v>30</v>
      </c>
      <c r="T6" s="156" t="inlineStr">
        <is>
          <t>Not disclosed</t>
        </is>
      </c>
      <c r="U6" s="152" t="n"/>
      <c r="V6" s="152" t="inlineStr">
        <is>
          <t>55</t>
        </is>
      </c>
      <c r="W6" s="156" t="inlineStr">
        <is>
          <t>Not disclosed</t>
        </is>
      </c>
      <c r="X6" s="152" t="n">
        <v>43.9</v>
      </c>
      <c r="Y6" s="152" t="n">
        <v>19.9</v>
      </c>
      <c r="Z6" s="152" t="n">
        <v>7.46</v>
      </c>
      <c r="AA6" s="152" t="n">
        <v>12</v>
      </c>
      <c r="AB6" s="152" t="n">
        <v>4</v>
      </c>
      <c r="AC6" s="156" t="inlineStr">
        <is>
          <t>≈ 4 hours</t>
        </is>
      </c>
      <c r="AD6" s="156" t="inlineStr">
        <is>
          <t>4</t>
        </is>
      </c>
      <c r="AE6" s="152" t="n"/>
      <c r="AF6" s="152" t="inlineStr">
        <is>
          <t>Not disclosed</t>
        </is>
      </c>
      <c r="AG6" s="156" t="inlineStr">
        <is>
          <t>Not disclosed</t>
        </is>
      </c>
      <c r="AH6" s="152" t="inlineStr">
        <is>
          <t>Not disclosed</t>
        </is>
      </c>
      <c r="AI6" s="151" t="n">
        <v>3</v>
      </c>
      <c r="AJ6" s="156" t="inlineStr">
        <is>
          <t>Not disclosed</t>
        </is>
      </c>
      <c r="AK6" s="156" t="n"/>
      <c r="AL6" s="152" t="inlineStr">
        <is>
          <t>Not disclosed</t>
        </is>
      </c>
      <c r="AM6" s="152" t="n"/>
      <c r="AN6" s="152" t="inlineStr">
        <is>
          <t>Not disclosed</t>
        </is>
      </c>
      <c r="AO6" s="152" t="inlineStr">
        <is>
          <t>Not disclosed</t>
        </is>
      </c>
      <c r="AP6" s="152" t="inlineStr">
        <is>
          <t>Not disclosed</t>
        </is>
      </c>
      <c r="AQ6" s="152" t="inlineStr">
        <is>
          <t>Not disclosed</t>
        </is>
      </c>
      <c r="AR6" s="152" t="n"/>
      <c r="AS6" s="152" t="n"/>
      <c r="AT6" s="156" t="inlineStr">
        <is>
          <t>Not disclosed</t>
        </is>
      </c>
      <c r="AU6" s="156" t="inlineStr">
        <is>
          <t>Not disclosed</t>
        </is>
      </c>
      <c r="AV6" s="152" t="inlineStr">
        <is>
          <t>Not disclosed</t>
        </is>
      </c>
      <c r="AW6" s="156" t="inlineStr">
        <is>
          <t>Not disclosed</t>
        </is>
      </c>
      <c r="AX6" s="151" t="n">
        <v>3</v>
      </c>
      <c r="AY6" s="156" t="inlineStr">
        <is>
          <t>Not disclosed</t>
        </is>
      </c>
      <c r="AZ6" s="156" t="inlineStr">
        <is>
          <t>Not disclosed</t>
        </is>
      </c>
      <c r="BA6" s="156" t="n"/>
      <c r="BB6" s="156" t="inlineStr">
        <is>
          <t>Not disclosed</t>
        </is>
      </c>
      <c r="BC6" s="156" t="inlineStr">
        <is>
          <t>Not disclosed</t>
        </is>
      </c>
      <c r="BD6" s="152" t="inlineStr">
        <is>
          <t>Not disclosed</t>
        </is>
      </c>
      <c r="BE6" s="152" t="inlineStr">
        <is>
          <t>Not disclosed</t>
        </is>
      </c>
      <c r="BF6" s="152" t="n"/>
      <c r="BG6" s="152" t="n"/>
      <c r="BH6" s="152" t="n"/>
      <c r="BI6" s="152" t="n"/>
      <c r="BJ6" s="152" t="n"/>
      <c r="BK6" s="152" t="n"/>
      <c r="BL6" s="152" t="n"/>
      <c r="BM6" s="152" t="inlineStr">
        <is>
          <t>Not disclosed</t>
        </is>
      </c>
      <c r="BN6" s="152" t="inlineStr">
        <is>
          <t>Not disclosed</t>
        </is>
      </c>
      <c r="BO6" s="156" t="inlineStr">
        <is>
          <t>Manipulation 3/4 · Navigation 3/4 · Peak 12 km/h · Walk 4 km/h · Runtime 4</t>
        </is>
      </c>
      <c r="BP6" s="152" t="n"/>
      <c r="BQ6" s="156" t="inlineStr">
        <is>
          <t>Research labs, commercial pilots, and education programs evaluating a humanoid from 1X Technologies (USA) now listed as prototype.</t>
        </is>
      </c>
      <c r="BR6" s="156" t="inlineStr">
        <is>
          <t>Prototype</t>
        </is>
      </c>
      <c r="BS6" s="156" t="inlineStr">
        <is>
          <t>Prototype</t>
        </is>
      </c>
      <c r="BT6" s="152" t="n"/>
      <c r="BU6" s="152" t="inlineStr">
        <is>
          <t>Not verified</t>
        </is>
      </c>
      <c r="BV6" s="156" t="n"/>
      <c r="BW6" s="156" t="inlineStr">
        <is>
          <t>Origin &amp; status — USA · Prototype · 2023 | Manipulation — Payload 43.9 lb | Sensing &amp; software — Sensor and compute package confirmed on formal quote | Buying notes — From $75,000 · 12 months manufacturer standard (typical research/commercial humanoid)</t>
        </is>
      </c>
      <c r="BX6" s="156" t="inlineStr">
        <is>
          <t>as_shipped|NEO Beta|75000|As shipped</t>
        </is>
      </c>
      <c r="BY6" s="152" t="inlineStr">
        <is>
          <t>neo_beta|Manufacturer finish|#e2e8f0|0</t>
        </is>
      </c>
      <c r="BZ6" s="152" t="inlineStr"/>
      <c r="CA6" s="156" t="n"/>
      <c r="CB6" s="156" t="inlineStr">
        <is>
          <t>12 months manufacturer standard (typical research/commercial humanoid)</t>
        </is>
      </c>
      <c r="CC6" s="154" t="n">
        <v>12</v>
      </c>
      <c r="CD6" s="156" t="inlineStr">
        <is>
          <t>+3 Year Extended ≈24% of configuration (default in configurator)</t>
        </is>
      </c>
      <c r="CE6" s="152" t="inlineStr">
        <is>
          <t>Humanoid category norm 2025–2026</t>
        </is>
      </c>
      <c r="CF6" s="152" t="inlineStr">
        <is>
          <t>Estimated</t>
        </is>
      </c>
      <c r="CG6" s="156" t="inlineStr">
        <is>
          <t>Confirm on formal OEM quote. EDU or enterprise packages may differ.</t>
        </is>
      </c>
      <c r="CH6" s="152" t="inlineStr">
        <is>
          <t>10%</t>
        </is>
      </c>
      <c r="CI6" s="152" t="inlineStr">
        <is>
          <t>17%</t>
        </is>
      </c>
      <c r="CJ6" s="152" t="inlineStr">
        <is>
          <t>24%</t>
        </is>
      </c>
      <c r="CK6" s="156" t="inlineStr">
        <is>
          <t>+1yr ≈10% | +2yr ≈17% | +3yr ≈24% of selected configuration price (parts &amp; labor beyond manufacturer standard).</t>
        </is>
      </c>
      <c r="CL6"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6" s="152" t="inlineStr">
        <is>
          <t>12 months manufacturer standard (typical research/commercial humanoid)</t>
        </is>
      </c>
      <c r="CN6" s="203" t="inlineStr">
        <is>
          <t>https://aixzd.com/robot/neo</t>
        </is>
      </c>
      <c r="CO6" s="203" t="inlineStr">
        <is>
          <t>https://theresanaiforthat.com/robots/</t>
        </is>
      </c>
      <c r="CP6" s="203" t="inlineStr">
        <is>
          <t>Cross-checked against TAAFT Robots directory (669 entries) 28 Aug 2026 — individual TAAFT permalinks are JS/Cloudflare gated.</t>
        </is>
      </c>
      <c r="CQ6" s="101" t="inlineStr">
        <is>
          <t>Height: 5 ft 5 in | Weight: 66.1 | Degrees of Freedom: 55 | Payload: 43.9 | Max Speed: 7.46 | Battery / Runtime: ≈ 4 hours</t>
        </is>
      </c>
    </row>
    <row r="7" ht="31.5" customHeight="1" s="102">
      <c r="A7" s="145" t="inlineStr">
        <is>
          <t>h_1x_technologies_neo_gamma</t>
        </is>
      </c>
      <c r="B7" s="153" t="inlineStr">
        <is>
          <t>Humanoid.guide</t>
        </is>
      </c>
      <c r="C7" s="145" t="inlineStr">
        <is>
          <t>1X Technologies</t>
        </is>
      </c>
      <c r="D7" s="145" t="inlineStr">
        <is>
          <t>NEO Gamma</t>
        </is>
      </c>
      <c r="E7" s="145" t="inlineStr">
        <is>
          <t>[1X] NEO Gamma (2026)</t>
        </is>
      </c>
      <c r="F7" s="146" t="inlineStr">
        <is>
          <t>humanoid</t>
        </is>
      </c>
      <c r="G7" s="145" t="inlineStr">
        <is>
          <t>USA</t>
        </is>
      </c>
      <c r="H7" s="145" t="n"/>
      <c r="I7" s="148" t="n">
        <v>20000</v>
      </c>
      <c r="J7" s="145" t="inlineStr">
        <is>
          <t>Robot Price Index Aug 2026 · pre-order</t>
        </is>
      </c>
      <c r="K7" s="149" t="inlineStr">
        <is>
          <t>NEO Gamma is 1X Technologies's humanoid — 5 ft 5 in class, 25 DOF, 33.1 lb payload. Aimed at research, commercial pilots, education, and professional deployment.</t>
        </is>
      </c>
      <c r="L7" s="101" t="inlineStr">
        <is>
          <t>NEO Gamma is 1X Technologies's humanoid — 5 ft 5 in class, 25 DOF, 33.1 lb payload. Aimed at research, commercial pilots, education, and professional deployment.</t>
        </is>
      </c>
      <c r="M7" s="101" t="inlineStr">
        <is>
          <t>NEO Gamma sits between the Beta prototype and the 2026 NEO product. 1X used it to harden Redwood AI, the home chore stack, and the soft-body hardware that later shipped on NEO.</t>
        </is>
      </c>
      <c r="N7" s="150" t="inlineStr">
        <is>
          <t>https://humanoid.guide/product/neo-gamma/</t>
        </is>
      </c>
      <c r="O7" s="150" t="inlineStr">
        <is>
          <t>https://www.1x.tech</t>
        </is>
      </c>
      <c r="P7" s="145" t="inlineStr">
        <is>
          <t>5 ft 5 in</t>
        </is>
      </c>
      <c r="Q7" s="145" t="n">
        <v>165</v>
      </c>
      <c r="R7" s="145" t="n">
        <v>77.2</v>
      </c>
      <c r="S7" s="145" t="n">
        <v>35</v>
      </c>
      <c r="T7" s="149" t="inlineStr">
        <is>
          <t>Not disclosed</t>
        </is>
      </c>
      <c r="U7" s="145" t="n"/>
      <c r="V7" s="145" t="inlineStr">
        <is>
          <t>25</t>
        </is>
      </c>
      <c r="W7" s="149" t="inlineStr">
        <is>
          <t>Not disclosed</t>
        </is>
      </c>
      <c r="X7" s="145" t="n">
        <v>33.1</v>
      </c>
      <c r="Y7" s="145" t="n">
        <v>15</v>
      </c>
      <c r="Z7" s="145" t="n">
        <v>3.11</v>
      </c>
      <c r="AA7" s="145" t="n">
        <v>5</v>
      </c>
      <c r="AB7" s="145" t="n"/>
      <c r="AC7" s="149" t="inlineStr">
        <is>
          <t>Not disclosed</t>
        </is>
      </c>
      <c r="AD7" s="149" t="n"/>
      <c r="AE7" s="145" t="n"/>
      <c r="AF7" s="145" t="inlineStr">
        <is>
          <t>Not disclosed</t>
        </is>
      </c>
      <c r="AG7" s="149" t="inlineStr">
        <is>
          <t>Not disclosed</t>
        </is>
      </c>
      <c r="AH7" s="145" t="inlineStr">
        <is>
          <t>Not disclosed</t>
        </is>
      </c>
      <c r="AI7" s="151" t="n">
        <v>3</v>
      </c>
      <c r="AJ7" s="149" t="inlineStr">
        <is>
          <t>Not disclosed</t>
        </is>
      </c>
      <c r="AK7" s="149" t="n"/>
      <c r="AL7" s="145" t="inlineStr">
        <is>
          <t>Not disclosed</t>
        </is>
      </c>
      <c r="AM7" s="145" t="n"/>
      <c r="AN7" s="145" t="inlineStr">
        <is>
          <t>Not disclosed</t>
        </is>
      </c>
      <c r="AO7" s="145" t="inlineStr">
        <is>
          <t>Not disclosed</t>
        </is>
      </c>
      <c r="AP7" s="145" t="inlineStr">
        <is>
          <t>Not disclosed</t>
        </is>
      </c>
      <c r="AQ7" s="145" t="inlineStr">
        <is>
          <t>Not disclosed</t>
        </is>
      </c>
      <c r="AR7" s="145" t="n"/>
      <c r="AS7" s="145" t="n"/>
      <c r="AT7" s="149" t="inlineStr">
        <is>
          <t>Not disclosed</t>
        </is>
      </c>
      <c r="AU7" s="149" t="inlineStr">
        <is>
          <t>Not disclosed</t>
        </is>
      </c>
      <c r="AV7" s="145" t="inlineStr">
        <is>
          <t>Not disclosed</t>
        </is>
      </c>
      <c r="AW7" s="149" t="inlineStr">
        <is>
          <t>Not disclosed</t>
        </is>
      </c>
      <c r="AX7" s="151" t="n">
        <v>3</v>
      </c>
      <c r="AY7" s="149" t="inlineStr">
        <is>
          <t>Not disclosed</t>
        </is>
      </c>
      <c r="AZ7" s="149" t="inlineStr">
        <is>
          <t>Not disclosed</t>
        </is>
      </c>
      <c r="BA7" s="149" t="n"/>
      <c r="BB7" s="149" t="inlineStr">
        <is>
          <t>Not disclosed</t>
        </is>
      </c>
      <c r="BC7" s="149" t="inlineStr">
        <is>
          <t>Not disclosed</t>
        </is>
      </c>
      <c r="BD7" s="145" t="inlineStr">
        <is>
          <t>Not disclosed</t>
        </is>
      </c>
      <c r="BE7" s="145" t="inlineStr">
        <is>
          <t>Not disclosed</t>
        </is>
      </c>
      <c r="BF7" s="145" t="n"/>
      <c r="BG7" s="145" t="n"/>
      <c r="BH7" s="145" t="n"/>
      <c r="BI7" s="145" t="n"/>
      <c r="BJ7" s="145" t="n"/>
      <c r="BK7" s="145" t="n"/>
      <c r="BL7" s="145" t="n"/>
      <c r="BM7" s="145" t="inlineStr">
        <is>
          <t>Not disclosed</t>
        </is>
      </c>
      <c r="BN7" s="145" t="inlineStr">
        <is>
          <t>Not disclosed</t>
        </is>
      </c>
      <c r="BO7" s="149" t="inlineStr">
        <is>
          <t>Manipulation 3/4 · Navigation 3/4 · Peak 5 km/h</t>
        </is>
      </c>
      <c r="BP7" s="145" t="n"/>
      <c r="BQ7" s="149" t="inlineStr">
        <is>
          <t>Research labs, commercial pilots, and education programs evaluating a humanoid from 1X Technologies (USA) now listed as prototype.</t>
        </is>
      </c>
      <c r="BR7" s="149" t="inlineStr">
        <is>
          <t>Prototype</t>
        </is>
      </c>
      <c r="BS7" s="149" t="inlineStr">
        <is>
          <t>Prototype</t>
        </is>
      </c>
      <c r="BT7" s="145" t="n"/>
      <c r="BU7" s="145" t="inlineStr">
        <is>
          <t>Not verified</t>
        </is>
      </c>
      <c r="BV7" s="149" t="n"/>
      <c r="BW7" s="149" t="inlineStr">
        <is>
          <t>Origin &amp; status — USA · Prototype · 2026 | Manipulation — Payload 33.1 lb | Sensing &amp; software — Sensor and compute package confirmed on formal quote | Buying notes — From $20,000 · 12 months manufacturer standard (typical research/commercial humanoid)</t>
        </is>
      </c>
      <c r="BX7" s="149" t="inlineStr">
        <is>
          <t>as_shipped|NEO Gamma|20000|As shipped</t>
        </is>
      </c>
      <c r="BY7" s="145" t="inlineStr">
        <is>
          <t>neo_gamma|Manufacturer finish|#e2e8f0|0</t>
        </is>
      </c>
      <c r="BZ7" s="145" t="inlineStr"/>
      <c r="CA7" s="149" t="n"/>
      <c r="CB7" s="149" t="inlineStr">
        <is>
          <t>12 months manufacturer standard (typical research/commercial humanoid)</t>
        </is>
      </c>
      <c r="CC7" s="147" t="n">
        <v>12</v>
      </c>
      <c r="CD7" s="149" t="inlineStr">
        <is>
          <t>+3 Year Extended ≈24% of configuration (default in configurator)</t>
        </is>
      </c>
      <c r="CE7" s="145" t="inlineStr">
        <is>
          <t>Humanoid category norm 2025–2026</t>
        </is>
      </c>
      <c r="CF7" s="145" t="inlineStr">
        <is>
          <t>Estimated</t>
        </is>
      </c>
      <c r="CG7" s="149" t="inlineStr">
        <is>
          <t>Confirm on formal OEM quote. EDU or enterprise packages may differ.</t>
        </is>
      </c>
      <c r="CH7" s="145" t="inlineStr">
        <is>
          <t>10%</t>
        </is>
      </c>
      <c r="CI7" s="145" t="inlineStr">
        <is>
          <t>17%</t>
        </is>
      </c>
      <c r="CJ7" s="145" t="inlineStr">
        <is>
          <t>24%</t>
        </is>
      </c>
      <c r="CK7" s="149" t="inlineStr">
        <is>
          <t>+1yr ≈10% | +2yr ≈17% | +3yr ≈24% of selected configuration price (parts &amp; labor beyond manufacturer standard).</t>
        </is>
      </c>
      <c r="CL7"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7" s="145" t="inlineStr">
        <is>
          <t>12 months manufacturer standard (typical research/commercial humanoid)</t>
        </is>
      </c>
      <c r="CN7" s="203" t="inlineStr">
        <is>
          <t>https://aixzd.com/robot/neo</t>
        </is>
      </c>
      <c r="CO7" s="203" t="inlineStr">
        <is>
          <t>https://theresanaiforthat.com/robots/</t>
        </is>
      </c>
      <c r="CP7" s="203" t="inlineStr">
        <is>
          <t>Cross-checked against TAAFT Robots directory (669 entries) 28 Aug 2026 — individual TAAFT permalinks are JS/Cloudflare gated.</t>
        </is>
      </c>
      <c r="CQ7" s="101" t="inlineStr">
        <is>
          <t>Height: 5 ft 5 in | Weight: 77.2 | Degrees of Freedom: 25 | Payload: 33.1 | Max Speed: 3.11 | Battery / Runtime: Not disclosed</t>
        </is>
      </c>
    </row>
    <row r="8" ht="31.5" customHeight="1" s="102">
      <c r="A8" s="152" t="inlineStr">
        <is>
          <t>aei_robot_alice</t>
        </is>
      </c>
      <c r="B8" s="153" t="inlineStr">
        <is>
          <t>Humanoid.guide</t>
        </is>
      </c>
      <c r="C8" s="152" t="inlineStr">
        <is>
          <t>AEI Robot</t>
        </is>
      </c>
      <c r="D8" s="152" t="inlineStr">
        <is>
          <t>Alice</t>
        </is>
      </c>
      <c r="E8" s="152" t="inlineStr">
        <is>
          <t>[AEI Robot] Alice (2026)</t>
        </is>
      </c>
      <c r="F8" s="146" t="inlineStr">
        <is>
          <t>humanoid</t>
        </is>
      </c>
      <c r="G8" s="152" t="inlineStr">
        <is>
          <t>China</t>
        </is>
      </c>
      <c r="H8" s="152" t="n"/>
      <c r="I8" s="155" t="n">
        <v>65000</v>
      </c>
      <c r="J8" s="152" t="inlineStr">
        <is>
          <t>Humanoid.guide list</t>
        </is>
      </c>
      <c r="K8" s="156" t="inlineStr">
        <is>
          <t>Alice is a humanoid robot by AEI Robot designed for human-robot interaction, research, and demonstrations, focusing on safe movement, intuitive behavior, and AI-assisted task execution.</t>
        </is>
      </c>
      <c r="L8" s="101" t="inlineStr">
        <is>
          <t>Alice is a humanoid robot by AEI Robot designed for human-robot interaction, research, and demonstrations, focusing on safe movement, intuitive behavior, and AI-assisted task execution.</t>
        </is>
      </c>
      <c r="M8" s="101" t="inlineStr">
        <is>
          <t>Alice is a humanoid robot by AEI Robot designed for human-robot interaction, research, and demonstrations, focusing on safe movement, intuitive behavior, and AI-assisted task execution. Public status is listed as prototype, and it is positioned for research institutions, robotics labs, AI development, demonstrations.</t>
        </is>
      </c>
      <c r="N8" s="157" t="inlineStr">
        <is>
          <t>https://humanoid.guide/product/alice/</t>
        </is>
      </c>
      <c r="O8" s="157" t="inlineStr">
        <is>
          <t>https://arobot4all.com</t>
        </is>
      </c>
      <c r="P8" s="152" t="inlineStr">
        <is>
          <t>5 ft 2 in</t>
        </is>
      </c>
      <c r="Q8" s="152" t="n">
        <v>157</v>
      </c>
      <c r="R8" s="152" t="n">
        <v>110.2</v>
      </c>
      <c r="S8" s="152" t="n">
        <v>50</v>
      </c>
      <c r="T8" s="156" t="inlineStr">
        <is>
          <t>Not disclosed</t>
        </is>
      </c>
      <c r="U8" s="152" t="n"/>
      <c r="V8" s="152" t="inlineStr">
        <is>
          <t>31</t>
        </is>
      </c>
      <c r="W8" s="156" t="inlineStr">
        <is>
          <t>7</t>
        </is>
      </c>
      <c r="X8" s="152" t="n">
        <v>22</v>
      </c>
      <c r="Y8" s="152" t="n">
        <v>10</v>
      </c>
      <c r="Z8" s="152" t="n">
        <v>1.86</v>
      </c>
      <c r="AA8" s="152" t="n">
        <v>3</v>
      </c>
      <c r="AB8" s="152" t="n">
        <v>2</v>
      </c>
      <c r="AC8" s="156" t="inlineStr">
        <is>
          <t>≈ 1.5 hours</t>
        </is>
      </c>
      <c r="AD8" s="156" t="inlineStr">
        <is>
          <t>1.5</t>
        </is>
      </c>
      <c r="AE8" s="152" t="n"/>
      <c r="AF8" s="152" t="inlineStr">
        <is>
          <t>Not disclosed</t>
        </is>
      </c>
      <c r="AG8" s="156" t="inlineStr">
        <is>
          <t>5 per hand</t>
        </is>
      </c>
      <c r="AH8" s="152" t="inlineStr">
        <is>
          <t>5 per hand</t>
        </is>
      </c>
      <c r="AI8" s="158" t="n">
        <v>2</v>
      </c>
      <c r="AJ8" s="156" t="inlineStr">
        <is>
          <t>1080p RGB + depth camera</t>
        </is>
      </c>
      <c r="AK8" s="156" t="inlineStr">
        <is>
          <t>1080p RGB + depth camera</t>
        </is>
      </c>
      <c r="AL8" s="152" t="inlineStr">
        <is>
          <t>Not disclosed</t>
        </is>
      </c>
      <c r="AM8" s="152" t="n"/>
      <c r="AN8" s="152" t="inlineStr">
        <is>
          <t>Not disclosed</t>
        </is>
      </c>
      <c r="AO8" s="152" t="inlineStr">
        <is>
          <t>Not disclosed</t>
        </is>
      </c>
      <c r="AP8" s="152" t="inlineStr">
        <is>
          <t>Not disclosed</t>
        </is>
      </c>
      <c r="AQ8" s="152" t="inlineStr">
        <is>
          <t>Not disclosed</t>
        </is>
      </c>
      <c r="AR8" s="152" t="n"/>
      <c r="AS8" s="152" t="n"/>
      <c r="AT8" s="156" t="inlineStr">
        <is>
          <t>NVIDIA Jetson Orin-class system</t>
        </is>
      </c>
      <c r="AU8" s="156" t="inlineStr">
        <is>
          <t>Ethernet; Wi‑Fi</t>
        </is>
      </c>
      <c r="AV8" s="152" t="inlineStr">
        <is>
          <t>Not disclosed</t>
        </is>
      </c>
      <c r="AW8" s="156" t="inlineStr">
        <is>
          <t>Not disclosed</t>
        </is>
      </c>
      <c r="AX8" s="158" t="n">
        <v>2</v>
      </c>
      <c r="AY8" s="156" t="inlineStr">
        <is>
          <t>Linux (ROS2-based)</t>
        </is>
      </c>
      <c r="AZ8" s="156" t="inlineStr">
        <is>
          <t>Likely via cloud API (OpenAI, Alibaba Qwen, Baidu, etc.)</t>
        </is>
      </c>
      <c r="BA8" s="156" t="inlineStr">
        <is>
          <t>250–450 ms</t>
        </is>
      </c>
      <c r="BB8" s="156" t="inlineStr">
        <is>
          <t>Brushless Motor</t>
        </is>
      </c>
      <c r="BC8" s="156" t="inlineStr">
        <is>
          <t>Harmonic Drive</t>
        </is>
      </c>
      <c r="BD8" s="152" t="inlineStr">
        <is>
          <t>Aluminum + plastic composites</t>
        </is>
      </c>
      <c r="BE8" s="152" t="inlineStr">
        <is>
          <t>IP20</t>
        </is>
      </c>
      <c r="BF8" s="152" t="inlineStr">
        <is>
          <t>IP20</t>
        </is>
      </c>
      <c r="BG8" s="152" t="n"/>
      <c r="BH8" s="152" t="n"/>
      <c r="BI8" s="152" t="n"/>
      <c r="BJ8" s="152" t="n"/>
      <c r="BK8" s="152" t="n"/>
      <c r="BL8" s="152" t="n"/>
      <c r="BM8" s="152" t="inlineStr">
        <is>
          <t>Yes</t>
        </is>
      </c>
      <c r="BN8" s="152" t="inlineStr">
        <is>
          <t>Not disclosed</t>
        </is>
      </c>
      <c r="BO8" s="156" t="inlineStr">
        <is>
          <t>Market: Research institutions, robotics labs, AI development, demonstrations · Manipulation 2/4 · Navigation 2/4 · Human-safe: Yes · AI: Likely via cloud API (OpenAI, Alibaba Qwen, Baidu, etc.) · Actuation: Brushless Motor · Peak 3 km/h · Walk 2 km/h · Runtime 1.5</t>
        </is>
      </c>
      <c r="BP8" s="152" t="n"/>
      <c r="BQ8" s="156" t="inlineStr">
        <is>
          <t>Research institutions, robotics labs, AI development, demonstrations</t>
        </is>
      </c>
      <c r="BR8" s="156" t="inlineStr">
        <is>
          <t>Prototype</t>
        </is>
      </c>
      <c r="BS8" s="156" t="inlineStr">
        <is>
          <t>Prototype</t>
        </is>
      </c>
      <c r="BT8" s="152" t="inlineStr">
        <is>
          <t>White</t>
        </is>
      </c>
      <c r="BU8" s="152" t="inlineStr">
        <is>
          <t>Not verified</t>
        </is>
      </c>
      <c r="BV8" s="156" t="n"/>
      <c r="BW8" s="156" t="inlineStr">
        <is>
          <t>Origin &amp; status — China · Prototype · 2026 | Manipulation — 5 per hand · 5 per hand fingers · Hand DOF 7 · Payload 22 lb | Sensing &amp; software — 1080p RGB + depth camera · Likely via cloud API (OpenAI, Alibaba Qwen, Baidu, etc.) · Linux (ROS2-based) | Buying notes — From $65,000 · 12 months manufacturer standard (typical research/commercial humanoid) · Best fit: Research institutions, robotics labs, AI development, demonstrat…</t>
        </is>
      </c>
      <c r="BX8" s="156" t="inlineStr">
        <is>
          <t>as_shipped|Alice|65000|As shipped</t>
        </is>
      </c>
      <c r="BY8" s="152" t="inlineStr">
        <is>
          <t>white|White|#e2e8f0|0</t>
        </is>
      </c>
      <c r="BZ8" s="152" t="inlineStr"/>
      <c r="CA8" s="156" t="n"/>
      <c r="CB8" s="156" t="inlineStr">
        <is>
          <t>12 months manufacturer standard (typical research/commercial humanoid)</t>
        </is>
      </c>
      <c r="CC8" s="154" t="n">
        <v>12</v>
      </c>
      <c r="CD8" s="156" t="inlineStr">
        <is>
          <t>+3 Year Extended ≈24% of configuration (default in configurator)</t>
        </is>
      </c>
      <c r="CE8" s="152" t="inlineStr">
        <is>
          <t>Humanoid category norm 2025–2026</t>
        </is>
      </c>
      <c r="CF8" s="152" t="inlineStr">
        <is>
          <t>Estimated</t>
        </is>
      </c>
      <c r="CG8" s="156" t="inlineStr">
        <is>
          <t>Confirm on formal OEM quote. EDU or enterprise packages may differ.</t>
        </is>
      </c>
      <c r="CH8" s="152" t="inlineStr">
        <is>
          <t>10%</t>
        </is>
      </c>
      <c r="CI8" s="152" t="inlineStr">
        <is>
          <t>17%</t>
        </is>
      </c>
      <c r="CJ8" s="152" t="inlineStr">
        <is>
          <t>24%</t>
        </is>
      </c>
      <c r="CK8" s="156" t="inlineStr">
        <is>
          <t>+1yr ≈10% | +2yr ≈17% | +3yr ≈24% of selected configuration price (parts &amp; labor beyond manufacturer standard).</t>
        </is>
      </c>
      <c r="CL8"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8" s="152" t="inlineStr">
        <is>
          <t>12 months manufacturer standard (typical research/commercial humanoid)</t>
        </is>
      </c>
      <c r="CQ8" s="101" t="inlineStr">
        <is>
          <t>Height: 5 ft 2 in | Weight: 110.2 | Degrees of Freedom: 31 | Payload: 22 | Max Speed: 1.86 | Battery / Runtime: ≈ 1.5 hours</t>
        </is>
      </c>
    </row>
    <row r="9" ht="31.5" customHeight="1" s="102">
      <c r="A9" s="145" t="inlineStr">
        <is>
          <t>aei_robot_alice_m1</t>
        </is>
      </c>
      <c r="B9" s="153" t="inlineStr">
        <is>
          <t>Humanoid.guide</t>
        </is>
      </c>
      <c r="C9" s="145" t="inlineStr">
        <is>
          <t>AEI Robot</t>
        </is>
      </c>
      <c r="D9" s="145" t="inlineStr">
        <is>
          <t>Alice M1</t>
        </is>
      </c>
      <c r="E9" s="145" t="inlineStr">
        <is>
          <t>[AEI Robot] Alice M1 (2026)</t>
        </is>
      </c>
      <c r="F9" s="146" t="inlineStr">
        <is>
          <t>humanoid</t>
        </is>
      </c>
      <c r="G9" s="145" t="inlineStr">
        <is>
          <t>South Korea</t>
        </is>
      </c>
      <c r="H9" s="145" t="n"/>
      <c r="I9" s="148" t="n">
        <v>45000</v>
      </c>
      <c r="J9" s="145" t="inlineStr">
        <is>
          <t>Humanoid.guide list</t>
        </is>
      </c>
      <c r="K9" s="149" t="inlineStr">
        <is>
          <t>A versatile mobile humanoid robot with an adjustable height system and high-DOF arms, optimized for industrial and manufacturing environments.</t>
        </is>
      </c>
      <c r="L9" s="101" t="inlineStr">
        <is>
          <t>A versatile mobile humanoid robot with an adjustable height system and high-DOF arms, optimized for industrial and manufacturing environments.</t>
        </is>
      </c>
      <c r="M9" s="101" t="inlineStr">
        <is>
          <t>Alice M1 is AEI Robot's humanoid, introduced around 2026 in South Korea. A versatile mobile humanoid robot with an adjustable height system and high-DOF arms, optimized for industrial and manufacturing environments. Public status is listed as in Production / Industrial Deployment, and it is positioned for construction; Manufacturing; Shipbuilding.</t>
        </is>
      </c>
      <c r="N9" s="150" t="inlineStr">
        <is>
          <t>https://humanoid.guide/product/alice-m1/</t>
        </is>
      </c>
      <c r="O9" s="150" t="inlineStr">
        <is>
          <t>https://arobot4all.com</t>
        </is>
      </c>
      <c r="P9" s="145" t="inlineStr">
        <is>
          <t>4 ft 3 in</t>
        </is>
      </c>
      <c r="Q9" s="145" t="n">
        <v>130</v>
      </c>
      <c r="R9" s="145" t="n">
        <v>213.8</v>
      </c>
      <c r="S9" s="145" t="n">
        <v>97</v>
      </c>
      <c r="T9" s="149" t="inlineStr">
        <is>
          <t>Not disclosed</t>
        </is>
      </c>
      <c r="U9" s="145" t="inlineStr">
        <is>
          <t>~1450 x 500 x 400 mm (Approx.)</t>
        </is>
      </c>
      <c r="V9" s="145" t="inlineStr">
        <is>
          <t>31</t>
        </is>
      </c>
      <c r="W9" s="149" t="inlineStr">
        <is>
          <t>12</t>
        </is>
      </c>
      <c r="X9" s="145" t="n">
        <v>17.6</v>
      </c>
      <c r="Y9" s="145" t="n">
        <v>8</v>
      </c>
      <c r="Z9" s="145" t="n">
        <v>1.86</v>
      </c>
      <c r="AA9" s="145" t="n">
        <v>3</v>
      </c>
      <c r="AB9" s="145" t="n"/>
      <c r="AC9" s="149" t="inlineStr">
        <is>
          <t>~1.5 - 2.0 hours (Estimated)</t>
        </is>
      </c>
      <c r="AD9" s="149" t="inlineStr">
        <is>
          <t>~1.5 - 2.0 hours (Estimated)</t>
        </is>
      </c>
      <c r="AE9" s="145" t="n"/>
      <c r="AF9" s="145" t="inlineStr">
        <is>
          <t>Not disclosed</t>
        </is>
      </c>
      <c r="AG9" s="149" t="inlineStr">
        <is>
          <t>5 per hand</t>
        </is>
      </c>
      <c r="AH9" s="145" t="inlineStr">
        <is>
          <t>5 per hand</t>
        </is>
      </c>
      <c r="AI9" s="145" t="n"/>
      <c r="AJ9" s="149" t="inlineStr">
        <is>
          <t>1080p (Stereo/Depth sensors)</t>
        </is>
      </c>
      <c r="AK9" s="149" t="inlineStr">
        <is>
          <t>1080p (Stereo/Depth sensors)</t>
        </is>
      </c>
      <c r="AL9" s="145" t="inlineStr">
        <is>
          <t>Not disclosed</t>
        </is>
      </c>
      <c r="AM9" s="145" t="n"/>
      <c r="AN9" s="145" t="inlineStr">
        <is>
          <t>Not disclosed</t>
        </is>
      </c>
      <c r="AO9" s="145" t="inlineStr">
        <is>
          <t>Not disclosed</t>
        </is>
      </c>
      <c r="AP9" s="145" t="inlineStr">
        <is>
          <t>Not disclosed</t>
        </is>
      </c>
      <c r="AQ9" s="145" t="inlineStr">
        <is>
          <t>Not disclosed</t>
        </is>
      </c>
      <c r="AR9" s="145" t="n"/>
      <c r="AS9" s="145" t="n"/>
      <c r="AT9" s="149" t="inlineStr">
        <is>
          <t>NVIDIA AGX Orin (AFE-R360)</t>
        </is>
      </c>
      <c r="AU9" s="149" t="inlineStr">
        <is>
          <t>Ethernet; Wi‑Fi</t>
        </is>
      </c>
      <c r="AV9" s="145" t="inlineStr">
        <is>
          <t>Not disclosed</t>
        </is>
      </c>
      <c r="AW9" s="149" t="inlineStr">
        <is>
          <t>Not disclosed</t>
        </is>
      </c>
      <c r="AX9" s="145" t="n"/>
      <c r="AY9" s="149" t="inlineStr">
        <is>
          <t>Linux / ROS2</t>
        </is>
      </c>
      <c r="AZ9" s="149" t="inlineStr">
        <is>
          <t>Supported (Via ROS2/AI API)</t>
        </is>
      </c>
      <c r="BA9" s="149" t="inlineStr">
        <is>
          <t>~250–450 ms</t>
        </is>
      </c>
      <c r="BB9" s="149" t="inlineStr">
        <is>
          <t>Brushless DC Motors</t>
        </is>
      </c>
      <c r="BC9" s="149" t="inlineStr">
        <is>
          <t>Harmonic Drive / Cycloidal</t>
        </is>
      </c>
      <c r="BD9" s="145" t="inlineStr">
        <is>
          <t>Aluminum and High-strength Composites</t>
        </is>
      </c>
      <c r="BE9" s="145" t="inlineStr">
        <is>
          <t>IP20</t>
        </is>
      </c>
      <c r="BF9" s="145" t="inlineStr">
        <is>
          <t>IP20 (Indoor industrial use)</t>
        </is>
      </c>
      <c r="BG9" s="145" t="n"/>
      <c r="BH9" s="145" t="n"/>
      <c r="BI9" s="145" t="n"/>
      <c r="BJ9" s="145" t="n"/>
      <c r="BK9" s="145" t="n"/>
      <c r="BL9" s="145" t="n"/>
      <c r="BM9" s="145" t="inlineStr">
        <is>
          <t>Yes</t>
        </is>
      </c>
      <c r="BN9" s="145" t="inlineStr">
        <is>
          <t>Not disclosed</t>
        </is>
      </c>
      <c r="BO9" s="149" t="inlineStr">
        <is>
          <t>Market: Construction; Manufacturing; Shipbuilding · Human-safe: Yes · AI: Supported (Via ROS2/AI API) · Actuation: Brushless DC Motors · Peak 3 km/h · Runtime ~1.5 - 2.0 hours (Estimated)</t>
        </is>
      </c>
      <c r="BP9" s="145" t="n"/>
      <c r="BQ9" s="149" t="inlineStr">
        <is>
          <t>Construction; Manufacturing; Shipbuilding</t>
        </is>
      </c>
      <c r="BR9" s="149" t="inlineStr">
        <is>
          <t>In Production / Industrial Deployment</t>
        </is>
      </c>
      <c r="BS9" s="149" t="inlineStr">
        <is>
          <t>In Production / Industrial Deployment</t>
        </is>
      </c>
      <c r="BT9" s="145" t="inlineStr">
        <is>
          <t>Orange + Grey</t>
        </is>
      </c>
      <c r="BU9" s="145" t="inlineStr">
        <is>
          <t>Not verified</t>
        </is>
      </c>
      <c r="BV9" s="149" t="n"/>
      <c r="BW9" s="149" t="inlineStr">
        <is>
          <t>Origin &amp; status — South Korea · In Production / Industrial Deployment · 2026 | Manipulation — 5 per hand · 5 per hand fingers · Hand DOF 12 · Payload 17.6 lb | Sensing &amp; software — 1080p (Stereo/Depth sensors) · Supported (Via ROS2/AI API) · Linux / ROS2 | Buying notes — From $45,000 · 12 months manufacturer standard (typical research/commercial humanoid) · Best fit: Construction</t>
        </is>
      </c>
      <c r="BX9" s="149" t="inlineStr">
        <is>
          <t>as_shipped|Alice M1|45000|As shipped</t>
        </is>
      </c>
      <c r="BY9" s="145" t="inlineStr">
        <is>
          <t>orange_grey|Orange + Grey|#e2e8f0|0</t>
        </is>
      </c>
      <c r="BZ9" s="145" t="inlineStr"/>
      <c r="CA9" s="149" t="n"/>
      <c r="CB9" s="149" t="inlineStr">
        <is>
          <t>12 months manufacturer standard (typical research/commercial humanoid)</t>
        </is>
      </c>
      <c r="CC9" s="147" t="n">
        <v>12</v>
      </c>
      <c r="CD9" s="149" t="inlineStr">
        <is>
          <t>+3 Year Extended ≈24% of configuration (default in configurator)</t>
        </is>
      </c>
      <c r="CE9" s="145" t="inlineStr">
        <is>
          <t>Humanoid category norm 2025–2026</t>
        </is>
      </c>
      <c r="CF9" s="145" t="inlineStr">
        <is>
          <t>Estimated</t>
        </is>
      </c>
      <c r="CG9" s="149" t="inlineStr">
        <is>
          <t>Confirm on formal OEM quote. EDU or enterprise packages may differ.</t>
        </is>
      </c>
      <c r="CH9" s="145" t="inlineStr">
        <is>
          <t>10%</t>
        </is>
      </c>
      <c r="CI9" s="145" t="inlineStr">
        <is>
          <t>17%</t>
        </is>
      </c>
      <c r="CJ9" s="145" t="inlineStr">
        <is>
          <t>24%</t>
        </is>
      </c>
      <c r="CK9" s="149" t="inlineStr">
        <is>
          <t>+1yr ≈10% | +2yr ≈17% | +3yr ≈24% of selected configuration price (parts &amp; labor beyond manufacturer standard).</t>
        </is>
      </c>
      <c r="CL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9" s="145" t="inlineStr">
        <is>
          <t>12 months manufacturer standard (typical research/commercial humanoid)</t>
        </is>
      </c>
      <c r="CN9" s="203" t="inlineStr">
        <is>
          <t>https://aixzd.com/robot/alice-m1</t>
        </is>
      </c>
      <c r="CQ9" s="101" t="inlineStr">
        <is>
          <t>Height: 4 ft 3 in | Weight: 213.8 | Degrees of Freedom: 31 | Payload: 17.6 | Max Speed: 1.86 | Battery / Runtime: ~1.5 - 2.0 hours (Estimated)</t>
        </is>
      </c>
    </row>
    <row r="10" ht="31.5" customHeight="1" s="102">
      <c r="A10" s="152" t="inlineStr">
        <is>
          <t>agibot_a2</t>
        </is>
      </c>
      <c r="B10" s="153" t="inlineStr">
        <is>
          <t>Humanoid.guide</t>
        </is>
      </c>
      <c r="C10" s="152" t="inlineStr">
        <is>
          <t>AgiBot</t>
        </is>
      </c>
      <c r="D10" s="152" t="inlineStr">
        <is>
          <t>A2</t>
        </is>
      </c>
      <c r="E10" s="152" t="inlineStr">
        <is>
          <t>[AgiBot] A2 (2026)</t>
        </is>
      </c>
      <c r="F10" s="146" t="inlineStr">
        <is>
          <t>humanoid</t>
        </is>
      </c>
      <c r="G10" s="152" t="inlineStr">
        <is>
          <t>China</t>
        </is>
      </c>
      <c r="H10" s="152" t="n"/>
      <c r="I10" s="155" t="n">
        <v>44560</v>
      </c>
      <c r="J10" s="152" t="inlineStr">
        <is>
          <t>Robot Price Index Aug 2026 · A2 entry</t>
        </is>
      </c>
      <c r="K10" s="156" t="inlineStr">
        <is>
          <t>Standing 1.7 meters tall, it integrates an AI-driven system with sensors for perception, navigation, and spatial understanding.</t>
        </is>
      </c>
      <c r="L10" s="101" t="inlineStr">
        <is>
          <t>Standing 1.7 meters tall, it integrates an AI-driven system with sensors for perception, navigation, and spatial understanding.</t>
        </is>
      </c>
      <c r="M10" s="101" t="inlineStr">
        <is>
          <t>A2 is AgiBot's humanoid, introduced around 2026 in China. Standing 1.7 meters tall, it integrates an AI-driven system with sensors for perception, navigation, and spatial understanding. Public status is listed as prototype.</t>
        </is>
      </c>
      <c r="N10" s="157" t="inlineStr">
        <is>
          <t>https://humanoid.guide/product/a2/</t>
        </is>
      </c>
      <c r="O10" s="157" t="inlineStr">
        <is>
          <t>https://www.agibot.com</t>
        </is>
      </c>
      <c r="P10" s="152" t="inlineStr">
        <is>
          <t>5 ft 7 in</t>
        </is>
      </c>
      <c r="Q10" s="152" t="n">
        <v>170</v>
      </c>
      <c r="R10" s="152" t="n">
        <v>132.3</v>
      </c>
      <c r="S10" s="152" t="n">
        <v>60</v>
      </c>
      <c r="T10" s="156" t="inlineStr">
        <is>
          <t>Not disclosed</t>
        </is>
      </c>
      <c r="U10" s="152" t="n"/>
      <c r="V10" s="152" t="inlineStr">
        <is>
          <t>20</t>
        </is>
      </c>
      <c r="W10" s="156" t="inlineStr">
        <is>
          <t>Not disclosed</t>
        </is>
      </c>
      <c r="X10" s="152" t="n">
        <v>22</v>
      </c>
      <c r="Y10" s="152" t="n">
        <v>10</v>
      </c>
      <c r="Z10" s="152" t="n">
        <v>2.49</v>
      </c>
      <c r="AA10" s="152" t="n">
        <v>4</v>
      </c>
      <c r="AB10" s="152" t="n">
        <v>3.5</v>
      </c>
      <c r="AC10" s="156" t="inlineStr">
        <is>
          <t>≈ 3 hours</t>
        </is>
      </c>
      <c r="AD10" s="156" t="inlineStr">
        <is>
          <t>3</t>
        </is>
      </c>
      <c r="AE10" s="152" t="n"/>
      <c r="AF10" s="152" t="inlineStr">
        <is>
          <t>Not disclosed</t>
        </is>
      </c>
      <c r="AG10" s="156" t="inlineStr">
        <is>
          <t>Not disclosed</t>
        </is>
      </c>
      <c r="AH10" s="152" t="inlineStr">
        <is>
          <t>Not disclosed</t>
        </is>
      </c>
      <c r="AI10" s="158" t="n">
        <v>2</v>
      </c>
      <c r="AJ10" s="156" t="inlineStr">
        <is>
          <t>Not disclosed</t>
        </is>
      </c>
      <c r="AK10" s="156" t="n"/>
      <c r="AL10" s="152" t="inlineStr">
        <is>
          <t>Not disclosed</t>
        </is>
      </c>
      <c r="AM10" s="152" t="n"/>
      <c r="AN10" s="152" t="inlineStr">
        <is>
          <t>Not disclosed</t>
        </is>
      </c>
      <c r="AO10" s="152" t="inlineStr">
        <is>
          <t>Not disclosed</t>
        </is>
      </c>
      <c r="AP10" s="152" t="inlineStr">
        <is>
          <t>Not disclosed</t>
        </is>
      </c>
      <c r="AQ10" s="152" t="inlineStr">
        <is>
          <t>Not disclosed</t>
        </is>
      </c>
      <c r="AR10" s="152" t="n"/>
      <c r="AS10" s="152" t="n"/>
      <c r="AT10" s="156" t="inlineStr">
        <is>
          <t>Not disclosed</t>
        </is>
      </c>
      <c r="AU10" s="156" t="inlineStr">
        <is>
          <t>Not disclosed</t>
        </is>
      </c>
      <c r="AV10" s="152" t="inlineStr">
        <is>
          <t>Not disclosed</t>
        </is>
      </c>
      <c r="AW10" s="156" t="inlineStr">
        <is>
          <t>Not disclosed</t>
        </is>
      </c>
      <c r="AX10" s="158" t="n">
        <v>2</v>
      </c>
      <c r="AY10" s="156" t="inlineStr">
        <is>
          <t>Not disclosed</t>
        </is>
      </c>
      <c r="AZ10" s="156" t="inlineStr">
        <is>
          <t>Not disclosed</t>
        </is>
      </c>
      <c r="BA10" s="156" t="n"/>
      <c r="BB10" s="156" t="inlineStr">
        <is>
          <t>Not disclosed</t>
        </is>
      </c>
      <c r="BC10" s="156" t="inlineStr">
        <is>
          <t>Not disclosed</t>
        </is>
      </c>
      <c r="BD10" s="152" t="inlineStr">
        <is>
          <t>Not disclosed</t>
        </is>
      </c>
      <c r="BE10" s="152" t="inlineStr">
        <is>
          <t>Not disclosed</t>
        </is>
      </c>
      <c r="BF10" s="152" t="n"/>
      <c r="BG10" s="152" t="n"/>
      <c r="BH10" s="152" t="n"/>
      <c r="BI10" s="152" t="n"/>
      <c r="BJ10" s="152" t="n"/>
      <c r="BK10" s="152" t="n"/>
      <c r="BL10" s="152" t="n"/>
      <c r="BM10" s="152" t="inlineStr">
        <is>
          <t>Not disclosed</t>
        </is>
      </c>
      <c r="BN10" s="152" t="inlineStr">
        <is>
          <t>Not disclosed</t>
        </is>
      </c>
      <c r="BO10" s="156" t="inlineStr">
        <is>
          <t>Manipulation 2/4 · Navigation 2/4 · Peak 4 km/h · Walk 3.5 km/h · Runtime 3</t>
        </is>
      </c>
      <c r="BP10" s="152" t="n"/>
      <c r="BQ10" s="156" t="inlineStr">
        <is>
          <t>Research labs, commercial pilots, and education programs evaluating a humanoid from AgiBot (China) now listed as prototype.</t>
        </is>
      </c>
      <c r="BR10" s="156" t="inlineStr">
        <is>
          <t>Prototype</t>
        </is>
      </c>
      <c r="BS10" s="156" t="inlineStr">
        <is>
          <t>Prototype</t>
        </is>
      </c>
      <c r="BT10" s="152" t="n"/>
      <c r="BU10" s="152" t="inlineStr">
        <is>
          <t>Not verified</t>
        </is>
      </c>
      <c r="BV10" s="156" t="n"/>
      <c r="BW10" s="156" t="inlineStr">
        <is>
          <t>Origin &amp; status — China · Prototype · 2026 | Manipulation — Payload 22 lb | Sensing &amp; software — Sensor and compute package confirmed on formal quote | Buying notes — From $44,560 · 12 months manufacturer standard (typical research/commercial humanoid)</t>
        </is>
      </c>
      <c r="BX10" s="156" t="inlineStr">
        <is>
          <t>as_shipped|A2|44560|As shipped</t>
        </is>
      </c>
      <c r="BY10" s="152" t="inlineStr">
        <is>
          <t>a2|Manufacturer finish|#e2e8f0|0</t>
        </is>
      </c>
      <c r="BZ10" s="152" t="inlineStr"/>
      <c r="CA10" s="156" t="n"/>
      <c r="CB10" s="156" t="inlineStr">
        <is>
          <t>12 months manufacturer standard (typical research/commercial humanoid)</t>
        </is>
      </c>
      <c r="CC10" s="154" t="n">
        <v>12</v>
      </c>
      <c r="CD10" s="156" t="inlineStr">
        <is>
          <t>+3 Year Extended ≈24% of configuration (default in configurator)</t>
        </is>
      </c>
      <c r="CE10" s="152" t="inlineStr">
        <is>
          <t>Humanoid category norm 2025–2026</t>
        </is>
      </c>
      <c r="CF10" s="152" t="inlineStr">
        <is>
          <t>Estimated</t>
        </is>
      </c>
      <c r="CG10" s="156" t="inlineStr">
        <is>
          <t>Confirm on formal OEM quote. EDU or enterprise packages may differ.</t>
        </is>
      </c>
      <c r="CH10" s="152" t="inlineStr">
        <is>
          <t>10%</t>
        </is>
      </c>
      <c r="CI10" s="152" t="inlineStr">
        <is>
          <t>17%</t>
        </is>
      </c>
      <c r="CJ10" s="152" t="inlineStr">
        <is>
          <t>24%</t>
        </is>
      </c>
      <c r="CK10" s="156" t="inlineStr">
        <is>
          <t>+1yr ≈10% | +2yr ≈17% | +3yr ≈24% of selected configuration price (parts &amp; labor beyond manufacturer standard).</t>
        </is>
      </c>
      <c r="CL10"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0" s="152" t="inlineStr">
        <is>
          <t>12 months manufacturer standard (typical research/commercial humanoid)</t>
        </is>
      </c>
      <c r="CN10" s="203" t="inlineStr">
        <is>
          <t>https://aixzd.com/robot/unitree-a2</t>
        </is>
      </c>
      <c r="CO10" s="203" t="inlineStr">
        <is>
          <t>https://theresanaiforthat.com/robots/</t>
        </is>
      </c>
      <c r="CP10" s="203" t="inlineStr">
        <is>
          <t>Cross-checked against TAAFT Robots directory (669 entries) 28 Aug 2026 — individual TAAFT permalinks are JS/Cloudflare gated.</t>
        </is>
      </c>
      <c r="CQ10" s="101" t="inlineStr">
        <is>
          <t>Height: 5 ft 7 in | Weight: 132.3 | Degrees of Freedom: 20 | Payload: 22 | Max Speed: 2.49 | Battery / Runtime: ≈ 3 hours</t>
        </is>
      </c>
    </row>
    <row r="11" ht="31.5" customHeight="1" s="102">
      <c r="A11" s="145" t="inlineStr">
        <is>
          <t>agibot_a2_max</t>
        </is>
      </c>
      <c r="B11" s="153" t="inlineStr">
        <is>
          <t>Humanoid.guide</t>
        </is>
      </c>
      <c r="C11" s="145" t="inlineStr">
        <is>
          <t>AgiBot</t>
        </is>
      </c>
      <c r="D11" s="145" t="inlineStr">
        <is>
          <t>A2 Max</t>
        </is>
      </c>
      <c r="E11" s="145" t="inlineStr">
        <is>
          <t>[AgiBot] A2 Max (2026)</t>
        </is>
      </c>
      <c r="F11" s="146" t="inlineStr">
        <is>
          <t>humanoid</t>
        </is>
      </c>
      <c r="G11" s="145" t="inlineStr">
        <is>
          <t>China</t>
        </is>
      </c>
      <c r="H11" s="145" t="n"/>
      <c r="I11" s="148" t="n">
        <v>80000</v>
      </c>
      <c r="J11" s="145" t="inlineStr">
        <is>
          <t>Estimate · A2 Max above A2 entry</t>
        </is>
      </c>
      <c r="K11" s="149" t="inlineStr">
        <is>
          <t>The Agibot A2 Max by Agile Robots is a robust humanoid robot designed for complex, high-demand applications across industries like logistics and healthcare.</t>
        </is>
      </c>
      <c r="L11" s="101" t="inlineStr">
        <is>
          <t>The Agibot A2 Max by Agile Robots is a robust humanoid robot designed for complex, high-demand applications across industries like logistics and healthcare.</t>
        </is>
      </c>
      <c r="M11" s="101" t="inlineStr">
        <is>
          <t>A2 Max is AgiBot's humanoid, introduced around 2026 in China. The Agibot A2 Max by Agile Robots is a robust humanoid robot designed for complex, high-demand applications across industries like logistics and healthcare. Public status is listed as prototype.</t>
        </is>
      </c>
      <c r="N11" s="150" t="inlineStr">
        <is>
          <t>https://humanoid.guide/product/a2-max/</t>
        </is>
      </c>
      <c r="O11" s="150" t="inlineStr">
        <is>
          <t>https://www.agibot.com</t>
        </is>
      </c>
      <c r="P11" s="145" t="inlineStr">
        <is>
          <t>5 ft 10 in</t>
        </is>
      </c>
      <c r="Q11" s="145" t="n">
        <v>178</v>
      </c>
      <c r="R11" s="145" t="n">
        <v>187.4</v>
      </c>
      <c r="S11" s="145" t="n">
        <v>85</v>
      </c>
      <c r="T11" s="149" t="inlineStr">
        <is>
          <t>Not disclosed</t>
        </is>
      </c>
      <c r="U11" s="145" t="n"/>
      <c r="V11" s="145" t="inlineStr">
        <is>
          <t>25</t>
        </is>
      </c>
      <c r="W11" s="149" t="inlineStr">
        <is>
          <t>Not disclosed</t>
        </is>
      </c>
      <c r="X11" s="145" t="n">
        <v>22</v>
      </c>
      <c r="Y11" s="145" t="n">
        <v>10</v>
      </c>
      <c r="Z11" s="145" t="n">
        <v>3.11</v>
      </c>
      <c r="AA11" s="145" t="n">
        <v>5</v>
      </c>
      <c r="AB11" s="145" t="n">
        <v>4</v>
      </c>
      <c r="AC11" s="149" t="inlineStr">
        <is>
          <t>≈ 4 hours</t>
        </is>
      </c>
      <c r="AD11" s="149" t="inlineStr">
        <is>
          <t>4</t>
        </is>
      </c>
      <c r="AE11" s="145" t="n"/>
      <c r="AF11" s="145" t="inlineStr">
        <is>
          <t>Not disclosed</t>
        </is>
      </c>
      <c r="AG11" s="149" t="inlineStr">
        <is>
          <t>Not disclosed</t>
        </is>
      </c>
      <c r="AH11" s="145" t="inlineStr">
        <is>
          <t>Not disclosed</t>
        </is>
      </c>
      <c r="AI11" s="158" t="n">
        <v>2</v>
      </c>
      <c r="AJ11" s="149" t="inlineStr">
        <is>
          <t>Not disclosed</t>
        </is>
      </c>
      <c r="AK11" s="149" t="n"/>
      <c r="AL11" s="145" t="inlineStr">
        <is>
          <t>Not disclosed</t>
        </is>
      </c>
      <c r="AM11" s="145" t="n"/>
      <c r="AN11" s="145" t="inlineStr">
        <is>
          <t>Not disclosed</t>
        </is>
      </c>
      <c r="AO11" s="145" t="inlineStr">
        <is>
          <t>Not disclosed</t>
        </is>
      </c>
      <c r="AP11" s="145" t="inlineStr">
        <is>
          <t>Not disclosed</t>
        </is>
      </c>
      <c r="AQ11" s="145" t="inlineStr">
        <is>
          <t>Not disclosed</t>
        </is>
      </c>
      <c r="AR11" s="145" t="n"/>
      <c r="AS11" s="145" t="n"/>
      <c r="AT11" s="149" t="inlineStr">
        <is>
          <t>Not disclosed</t>
        </is>
      </c>
      <c r="AU11" s="149" t="inlineStr">
        <is>
          <t>Not disclosed</t>
        </is>
      </c>
      <c r="AV11" s="145" t="inlineStr">
        <is>
          <t>Not disclosed</t>
        </is>
      </c>
      <c r="AW11" s="149" t="inlineStr">
        <is>
          <t>Not disclosed</t>
        </is>
      </c>
      <c r="AX11" s="158" t="n">
        <v>2</v>
      </c>
      <c r="AY11" s="149" t="inlineStr">
        <is>
          <t>Not disclosed</t>
        </is>
      </c>
      <c r="AZ11" s="149" t="inlineStr">
        <is>
          <t>Not disclosed</t>
        </is>
      </c>
      <c r="BA11" s="149" t="n"/>
      <c r="BB11" s="149" t="inlineStr">
        <is>
          <t>Not disclosed</t>
        </is>
      </c>
      <c r="BC11" s="149" t="inlineStr">
        <is>
          <t>Not disclosed</t>
        </is>
      </c>
      <c r="BD11" s="145" t="inlineStr">
        <is>
          <t>Not disclosed</t>
        </is>
      </c>
      <c r="BE11" s="145" t="inlineStr">
        <is>
          <t>Not disclosed</t>
        </is>
      </c>
      <c r="BF11" s="145" t="n"/>
      <c r="BG11" s="145" t="n"/>
      <c r="BH11" s="145" t="n"/>
      <c r="BI11" s="145" t="n"/>
      <c r="BJ11" s="145" t="n"/>
      <c r="BK11" s="145" t="n"/>
      <c r="BL11" s="145" t="n"/>
      <c r="BM11" s="145" t="inlineStr">
        <is>
          <t>Not disclosed</t>
        </is>
      </c>
      <c r="BN11" s="145" t="inlineStr">
        <is>
          <t>Not disclosed</t>
        </is>
      </c>
      <c r="BO11" s="149" t="inlineStr">
        <is>
          <t>Manipulation 2/4 · Navigation 2/4 · Peak 5 km/h · Walk 4 km/h · Runtime 4</t>
        </is>
      </c>
      <c r="BP11" s="145" t="n"/>
      <c r="BQ11" s="149" t="inlineStr">
        <is>
          <t>Research labs, commercial pilots, and education programs evaluating a humanoid from AgiBot (China) now listed as prototype.</t>
        </is>
      </c>
      <c r="BR11" s="149" t="inlineStr">
        <is>
          <t>Prototype</t>
        </is>
      </c>
      <c r="BS11" s="149" t="inlineStr">
        <is>
          <t>Prototype</t>
        </is>
      </c>
      <c r="BT11" s="145" t="n"/>
      <c r="BU11" s="145" t="inlineStr">
        <is>
          <t>Not verified</t>
        </is>
      </c>
      <c r="BV11" s="149" t="n"/>
      <c r="BW11" s="149" t="inlineStr">
        <is>
          <t>Origin &amp; status — China · Prototype · 2026 | Manipulation — Payload 22 lb | Sensing &amp; software — Sensor and compute package confirmed on formal quote | Buying notes — From $80,000 · 12 months manufacturer standard (typical research/commercial humanoid)</t>
        </is>
      </c>
      <c r="BX11" s="149" t="inlineStr">
        <is>
          <t>as_shipped|A2 Max|80000|As shipped</t>
        </is>
      </c>
      <c r="BY11" s="145" t="inlineStr">
        <is>
          <t>a2_max|Manufacturer finish|#e2e8f0|0</t>
        </is>
      </c>
      <c r="BZ11" s="145" t="inlineStr"/>
      <c r="CA11" s="149" t="n"/>
      <c r="CB11" s="149" t="inlineStr">
        <is>
          <t>12 months manufacturer standard (typical research/commercial humanoid)</t>
        </is>
      </c>
      <c r="CC11" s="147" t="n">
        <v>12</v>
      </c>
      <c r="CD11" s="149" t="inlineStr">
        <is>
          <t>+3 Year Extended ≈24% of configuration (default in configurator)</t>
        </is>
      </c>
      <c r="CE11" s="145" t="inlineStr">
        <is>
          <t>Humanoid category norm 2025–2026</t>
        </is>
      </c>
      <c r="CF11" s="145" t="inlineStr">
        <is>
          <t>Estimated</t>
        </is>
      </c>
      <c r="CG11" s="149" t="inlineStr">
        <is>
          <t>Confirm on formal OEM quote. EDU or enterprise packages may differ.</t>
        </is>
      </c>
      <c r="CH11" s="145" t="inlineStr">
        <is>
          <t>10%</t>
        </is>
      </c>
      <c r="CI11" s="145" t="inlineStr">
        <is>
          <t>17%</t>
        </is>
      </c>
      <c r="CJ11" s="145" t="inlineStr">
        <is>
          <t>24%</t>
        </is>
      </c>
      <c r="CK11" s="149" t="inlineStr">
        <is>
          <t>+1yr ≈10% | +2yr ≈17% | +3yr ≈24% of selected configuration price (parts &amp; labor beyond manufacturer standard).</t>
        </is>
      </c>
      <c r="CL1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1" s="145" t="inlineStr">
        <is>
          <t>12 months manufacturer standard (typical research/commercial humanoid)</t>
        </is>
      </c>
      <c r="CO11" s="203" t="inlineStr">
        <is>
          <t>https://theresanaiforthat.com/robots/</t>
        </is>
      </c>
      <c r="CP11" s="203" t="inlineStr">
        <is>
          <t>Cross-checked against TAAFT Robots directory (669 entries) 28 Aug 2026 — individual TAAFT permalinks are JS/Cloudflare gated.</t>
        </is>
      </c>
      <c r="CQ11" s="101" t="inlineStr">
        <is>
          <t>Height: 5 ft 10 in | Weight: 187.4 | Degrees of Freedom: 25 | Payload: 22 | Max Speed: 3.11 | Battery / Runtime: ≈ 4 hours</t>
        </is>
      </c>
    </row>
    <row r="12" ht="31.5" customHeight="1" s="102">
      <c r="A12" s="152" t="inlineStr">
        <is>
          <t>agibot_agibot_a2_w</t>
        </is>
      </c>
      <c r="B12" s="153" t="inlineStr">
        <is>
          <t>Humanoid.guide</t>
        </is>
      </c>
      <c r="C12" s="152" t="inlineStr">
        <is>
          <t>AgiBot</t>
        </is>
      </c>
      <c r="D12" s="152" t="inlineStr">
        <is>
          <t>AGIBOT A2-W</t>
        </is>
      </c>
      <c r="E12" s="152" t="inlineStr">
        <is>
          <t>[AgiBot] AGIBOT A2-W (2026)</t>
        </is>
      </c>
      <c r="F12" s="146" t="inlineStr">
        <is>
          <t>humanoid</t>
        </is>
      </c>
      <c r="G12" s="152" t="inlineStr">
        <is>
          <t>China</t>
        </is>
      </c>
      <c r="H12" s="152" t="n"/>
      <c r="I12" s="155" t="n">
        <v>80000</v>
      </c>
      <c r="J12" s="152" t="inlineStr">
        <is>
          <t>Estimate · wheeled A2 above A2 entry</t>
        </is>
      </c>
      <c r="K12" s="156" t="inlineStr">
        <is>
          <t>AGIBOT A2-W is a wheeled humanoid robot designed for industrial automation, research, and safe human-robot collaboration in indoor environments.</t>
        </is>
      </c>
      <c r="L12" s="101" t="inlineStr">
        <is>
          <t>AGIBOT A2-W is a wheeled humanoid robot designed for industrial automation, research, and safe human-robot collaboration in indoor environments.</t>
        </is>
      </c>
      <c r="M12" s="101" t="inlineStr">
        <is>
          <t>AGIBOT A2-W is a wheeled humanoid robot designed for industrial automation, research, and safe human-robot collaboration in indoor environments. Public status is listed as limited production / pilot deployments, and it is positioned for industrial automation; logistics; Manufacturing; research labs.</t>
        </is>
      </c>
      <c r="N12" s="157" t="inlineStr">
        <is>
          <t>https://humanoid.guide/product/agibot-a2-w/</t>
        </is>
      </c>
      <c r="O12" s="157" t="inlineStr">
        <is>
          <t>https://www.agibot.com</t>
        </is>
      </c>
      <c r="P12" s="152" t="inlineStr">
        <is>
          <t>5 ft 4 in</t>
        </is>
      </c>
      <c r="Q12" s="152" t="n">
        <v>163</v>
      </c>
      <c r="R12" s="152" t="n">
        <v>507.1</v>
      </c>
      <c r="S12" s="152" t="n">
        <v>230</v>
      </c>
      <c r="T12" s="156" t="inlineStr">
        <is>
          <t>Not disclosed</t>
        </is>
      </c>
      <c r="U12" s="152" t="n"/>
      <c r="V12" s="152" t="inlineStr">
        <is>
          <t>22</t>
        </is>
      </c>
      <c r="W12" s="156" t="inlineStr">
        <is>
          <t>7 per arm</t>
        </is>
      </c>
      <c r="X12" s="152" t="n">
        <v>26.5</v>
      </c>
      <c r="Y12" s="152" t="n">
        <v>12</v>
      </c>
      <c r="Z12" s="152" t="n">
        <v>0</v>
      </c>
      <c r="AA12" s="152" t="n">
        <v>0</v>
      </c>
      <c r="AB12" s="152" t="n"/>
      <c r="AC12" s="156" t="inlineStr">
        <is>
          <t>≈ 5 hours</t>
        </is>
      </c>
      <c r="AD12" s="156" t="inlineStr">
        <is>
          <t>5</t>
        </is>
      </c>
      <c r="AE12" s="152" t="n"/>
      <c r="AF12" s="152" t="inlineStr">
        <is>
          <t>Not disclosed</t>
        </is>
      </c>
      <c r="AG12" s="156" t="inlineStr">
        <is>
          <t>5 per hand</t>
        </is>
      </c>
      <c r="AH12" s="152" t="inlineStr">
        <is>
          <t>5 per hand</t>
        </is>
      </c>
      <c r="AI12" s="152" t="n"/>
      <c r="AJ12" s="156" t="inlineStr">
        <is>
          <t>RGBD Cameras</t>
        </is>
      </c>
      <c r="AK12" s="156" t="inlineStr">
        <is>
          <t>RGBD Cameras</t>
        </is>
      </c>
      <c r="AL12" s="152" t="inlineStr">
        <is>
          <t>Not disclosed</t>
        </is>
      </c>
      <c r="AM12" s="152" t="n"/>
      <c r="AN12" s="152" t="inlineStr">
        <is>
          <t>Not disclosed</t>
        </is>
      </c>
      <c r="AO12" s="152" t="inlineStr">
        <is>
          <t>Not disclosed</t>
        </is>
      </c>
      <c r="AP12" s="152" t="inlineStr">
        <is>
          <t>Not disclosed</t>
        </is>
      </c>
      <c r="AQ12" s="152" t="inlineStr">
        <is>
          <t>Not disclosed</t>
        </is>
      </c>
      <c r="AR12" s="152" t="n"/>
      <c r="AS12" s="152" t="n"/>
      <c r="AT12" s="156" t="inlineStr">
        <is>
          <t>Not disclosed</t>
        </is>
      </c>
      <c r="AU12" s="156" t="inlineStr">
        <is>
          <t>5G; Ethernet; Wi‑Fi</t>
        </is>
      </c>
      <c r="AV12" s="152" t="inlineStr">
        <is>
          <t>Not disclosed</t>
        </is>
      </c>
      <c r="AW12" s="156" t="inlineStr">
        <is>
          <t>Not disclosed</t>
        </is>
      </c>
      <c r="AX12" s="152" t="n"/>
      <c r="AY12" s="156" t="inlineStr">
        <is>
          <t>Linux-based robotics framework (likely ROS/ROS2)</t>
        </is>
      </c>
      <c r="AZ12" s="156" t="inlineStr">
        <is>
          <t>Supports embodied AI and potential LLM integration</t>
        </is>
      </c>
      <c r="BA12" s="156" t="inlineStr">
        <is>
          <t>Real-time processing</t>
        </is>
      </c>
      <c r="BB12" s="156" t="inlineStr">
        <is>
          <t>High-torque electric servo actuators</t>
        </is>
      </c>
      <c r="BC12" s="156" t="inlineStr">
        <is>
          <t>Precision harmonic or planetary drives</t>
        </is>
      </c>
      <c r="BD12" s="152" t="inlineStr">
        <is>
          <t>Aluminum alloy frame with composite exterior panels</t>
        </is>
      </c>
      <c r="BE12" s="152" t="inlineStr">
        <is>
          <t>IP20</t>
        </is>
      </c>
      <c r="BF12" s="152" t="inlineStr">
        <is>
          <t>IP20</t>
        </is>
      </c>
      <c r="BG12" s="152" t="n"/>
      <c r="BH12" s="152" t="n"/>
      <c r="BI12" s="152" t="n"/>
      <c r="BJ12" s="152" t="n"/>
      <c r="BK12" s="152" t="n"/>
      <c r="BL12" s="152" t="n"/>
      <c r="BM12" s="152" t="inlineStr">
        <is>
          <t>Yes</t>
        </is>
      </c>
      <c r="BN12" s="152" t="inlineStr">
        <is>
          <t>Not disclosed</t>
        </is>
      </c>
      <c r="BO12" s="156" t="inlineStr">
        <is>
          <t>Market: Industrial automation; logistics; Manufacturing; research labs · Human-safe: Yes · AI: Supports embodied AI and potential LLM integration · Actuation: High-torque electric servo actuators · Runtime 5</t>
        </is>
      </c>
      <c r="BP12" s="152" t="n"/>
      <c r="BQ12" s="156" t="inlineStr">
        <is>
          <t>Industrial automation; logistics; Manufacturing; research labs</t>
        </is>
      </c>
      <c r="BR12" s="156" t="inlineStr">
        <is>
          <t>Limited production / pilot deployments</t>
        </is>
      </c>
      <c r="BS12" s="156" t="inlineStr">
        <is>
          <t>Limited production / pilot deployments</t>
        </is>
      </c>
      <c r="BT12" s="152" t="inlineStr">
        <is>
          <t>Silver</t>
        </is>
      </c>
      <c r="BU12" s="152" t="inlineStr">
        <is>
          <t>Not verified</t>
        </is>
      </c>
      <c r="BV12" s="156" t="n"/>
      <c r="BW12" s="156" t="inlineStr">
        <is>
          <t>Origin &amp; status — China · Limited production / pilot deployments · 2026 | Manipulation — 5 per hand · 5 per hand fingers · Hand DOF 7 per arm · Payload 26.5 lb | Sensing &amp; software — RGBD Cameras · Supports embodied AI and potential LLM integration · Linux-based robotics framework (likely ROS/ROS2) | Buying notes — From $80,000 · 12 months manufacturer standard (typical research/commercial humanoid) · Best fit: Industrial automation</t>
        </is>
      </c>
      <c r="BX12" s="156" t="inlineStr">
        <is>
          <t>as_shipped|AGIBOT A2-W|80000|As shipped</t>
        </is>
      </c>
      <c r="BY12" s="152" t="inlineStr">
        <is>
          <t>silver|Silver|#e2e8f0|0</t>
        </is>
      </c>
      <c r="BZ12" s="152" t="inlineStr"/>
      <c r="CA12" s="156" t="n"/>
      <c r="CB12" s="156" t="inlineStr">
        <is>
          <t>12 months manufacturer standard (typical research/commercial humanoid)</t>
        </is>
      </c>
      <c r="CC12" s="154" t="n">
        <v>12</v>
      </c>
      <c r="CD12" s="156" t="inlineStr">
        <is>
          <t>+3 Year Extended ≈24% of configuration (default in configurator)</t>
        </is>
      </c>
      <c r="CE12" s="152" t="inlineStr">
        <is>
          <t>Humanoid category norm 2025–2026</t>
        </is>
      </c>
      <c r="CF12" s="152" t="inlineStr">
        <is>
          <t>Estimated</t>
        </is>
      </c>
      <c r="CG12" s="156" t="inlineStr">
        <is>
          <t>Confirm on formal OEM quote. EDU or enterprise packages may differ.</t>
        </is>
      </c>
      <c r="CH12" s="152" t="inlineStr">
        <is>
          <t>10%</t>
        </is>
      </c>
      <c r="CI12" s="152" t="inlineStr">
        <is>
          <t>17%</t>
        </is>
      </c>
      <c r="CJ12" s="152" t="inlineStr">
        <is>
          <t>24%</t>
        </is>
      </c>
      <c r="CK12" s="156" t="inlineStr">
        <is>
          <t>+1yr ≈10% | +2yr ≈17% | +3yr ≈24% of selected configuration price (parts &amp; labor beyond manufacturer standard).</t>
        </is>
      </c>
      <c r="CL12"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2" s="152" t="inlineStr">
        <is>
          <t>12 months manufacturer standard (typical research/commercial humanoid)</t>
        </is>
      </c>
      <c r="CO12" s="203" t="inlineStr">
        <is>
          <t>https://theresanaiforthat.com/robots/</t>
        </is>
      </c>
      <c r="CP12" s="203" t="inlineStr">
        <is>
          <t>Cross-checked against TAAFT Robots directory (669 entries) 28 Aug 2026 — individual TAAFT permalinks are JS/Cloudflare gated.</t>
        </is>
      </c>
      <c r="CQ12" s="101" t="inlineStr">
        <is>
          <t>Height: 5 ft 4 in | Weight: 507.1 | Degrees of Freedom: 22 | Payload: 26.5 | Max Speed: 0 | Battery / Runtime: ≈ 5 hours</t>
        </is>
      </c>
    </row>
    <row r="13" ht="31.5" customHeight="1" s="102">
      <c r="A13" s="145" t="inlineStr">
        <is>
          <t>agibot_agibot_a3</t>
        </is>
      </c>
      <c r="B13" s="153" t="inlineStr">
        <is>
          <t>Humanoid.guide</t>
        </is>
      </c>
      <c r="C13" s="145" t="inlineStr">
        <is>
          <t>AgiBot</t>
        </is>
      </c>
      <c r="D13" s="145" t="inlineStr">
        <is>
          <t>AGIBOT A3</t>
        </is>
      </c>
      <c r="E13" s="145" t="inlineStr">
        <is>
          <t>[AgiBot] AGIBOT A3 (2026)</t>
        </is>
      </c>
      <c r="F13" s="146" t="inlineStr">
        <is>
          <t>humanoid</t>
        </is>
      </c>
      <c r="G13" s="145" t="inlineStr">
        <is>
          <t>China</t>
        </is>
      </c>
      <c r="H13" s="145" t="n"/>
      <c r="I13" s="148" t="n">
        <v>45000</v>
      </c>
      <c r="J13" s="145" t="inlineStr">
        <is>
          <t>Humanoid.guide list</t>
        </is>
      </c>
      <c r="K13" s="149" t="inlineStr">
        <is>
          <t>AGIBOT A3 is AgiBot's humanoid — 5 ft 8 in class, 31 DOF, 22 lb payload. 5 per hand; onboard AI: LinkSoul platform for persona, voice, knowledge base and skills.</t>
        </is>
      </c>
      <c r="L13" s="101" t="inlineStr">
        <is>
          <t>AGIBOT A3 is AgiBot's humanoid — 5 ft 8 in class, 31 DOF, 22 lb payload. 5 per hand; onboard AI: LinkSoul platform for persona, voice, knowledge base and skills.</t>
        </is>
      </c>
      <c r="M13" s="101" t="inlineStr">
        <is>
          <t>AGIBOT A3 is AgiBot's humanoid — 5 ft 8 in class, 31 DOF, 22 lb payload. 5 per hand; onboard AI: LinkSoul platform for persona, voice, knowledge base and skills. Public status is listed as in production, and it is positioned for commercial performance; guided tours and retail; interactive entertainment; research and education.</t>
        </is>
      </c>
      <c r="N13" s="150" t="inlineStr">
        <is>
          <t>https://humanoid.guide/product/agibot-a3/</t>
        </is>
      </c>
      <c r="O13" s="150" t="inlineStr">
        <is>
          <t>https://www.agibot.com</t>
        </is>
      </c>
      <c r="P13" s="145" t="inlineStr">
        <is>
          <t>5 ft 8 in</t>
        </is>
      </c>
      <c r="Q13" s="145" t="n">
        <v>173</v>
      </c>
      <c r="R13" s="145" t="n">
        <v>121.3</v>
      </c>
      <c r="S13" s="145" t="n">
        <v>55</v>
      </c>
      <c r="T13" s="149" t="inlineStr">
        <is>
          <t>Not disclosed</t>
        </is>
      </c>
      <c r="U13" s="145" t="n"/>
      <c r="V13" s="145" t="inlineStr">
        <is>
          <t>31</t>
        </is>
      </c>
      <c r="W13" s="149" t="inlineStr">
        <is>
          <t>12</t>
        </is>
      </c>
      <c r="X13" s="145" t="n">
        <v>22</v>
      </c>
      <c r="Y13" s="145" t="n">
        <v>10</v>
      </c>
      <c r="Z13" s="145" t="n">
        <v>11.18</v>
      </c>
      <c r="AA13" s="145" t="n">
        <v>18</v>
      </c>
      <c r="AB13" s="145" t="n">
        <v>6.5</v>
      </c>
      <c r="AC13" s="149" t="inlineStr">
        <is>
          <t>≈ 10 hours</t>
        </is>
      </c>
      <c r="AD13" s="149" t="inlineStr">
        <is>
          <t>10</t>
        </is>
      </c>
      <c r="AE13" s="145" t="n"/>
      <c r="AF13" s="145" t="inlineStr">
        <is>
          <t>Not disclosed</t>
        </is>
      </c>
      <c r="AG13" s="149" t="inlineStr">
        <is>
          <t>5 per hand</t>
        </is>
      </c>
      <c r="AH13" s="145" t="inlineStr">
        <is>
          <t>5 per hand</t>
        </is>
      </c>
      <c r="AI13" s="145" t="n"/>
      <c r="AJ13" s="149" t="inlineStr">
        <is>
          <t>Not disclosed</t>
        </is>
      </c>
      <c r="AK13" s="149" t="n"/>
      <c r="AL13" s="145" t="inlineStr">
        <is>
          <t>Not disclosed</t>
        </is>
      </c>
      <c r="AM13" s="145" t="n"/>
      <c r="AN13" s="145" t="inlineStr">
        <is>
          <t>Not disclosed</t>
        </is>
      </c>
      <c r="AO13" s="145" t="inlineStr">
        <is>
          <t>Not disclosed</t>
        </is>
      </c>
      <c r="AP13" s="145" t="inlineStr">
        <is>
          <t>Not disclosed</t>
        </is>
      </c>
      <c r="AQ13" s="145" t="inlineStr">
        <is>
          <t>Not disclosed</t>
        </is>
      </c>
      <c r="AR13" s="145" t="n"/>
      <c r="AS13" s="145" t="n"/>
      <c r="AT13" s="149" t="inlineStr">
        <is>
          <t>2 × Rockchip RK3588 (head HDU + torso MDU)</t>
        </is>
      </c>
      <c r="AU13" s="149" t="inlineStr">
        <is>
          <t>5G; Bluetooth; Wi‑Fi</t>
        </is>
      </c>
      <c r="AV13" s="145" t="inlineStr">
        <is>
          <t>Not disclosed</t>
        </is>
      </c>
      <c r="AW13" s="149" t="inlineStr">
        <is>
          <t>Not disclosed</t>
        </is>
      </c>
      <c r="AX13" s="145" t="n"/>
      <c r="AY13" s="149" t="inlineStr">
        <is>
          <t>AGIBOT Link-U-OS</t>
        </is>
      </c>
      <c r="AZ13" s="149" t="inlineStr">
        <is>
          <t>LinkSoul platform for persona, voice, knowledge base and skills. End-to-end voice interaction, no wake word</t>
        </is>
      </c>
      <c r="BA13" s="149" t="n"/>
      <c r="BB13" s="149" t="inlineStr">
        <is>
          <t>In-house quasi-direct-drive PMSM joints. 150 A peak current, 12 kW peak power, 0.218 kW/kg, 320 N·m knee torque.</t>
        </is>
      </c>
      <c r="BC13" s="149" t="inlineStr">
        <is>
          <t>Low-ratio planetary reduction (quasi-direct-drive architecture)</t>
        </is>
      </c>
      <c r="BD13" s="145" t="inlineStr">
        <is>
          <t>Magnesium alloy body, titanium alloy at stress points, TPU flexible elements</t>
        </is>
      </c>
      <c r="BE13" s="145" t="inlineStr">
        <is>
          <t>Not disclosed</t>
        </is>
      </c>
      <c r="BF13" s="145" t="n"/>
      <c r="BG13" s="145" t="n"/>
      <c r="BH13" s="145" t="n"/>
      <c r="BI13" s="145" t="n"/>
      <c r="BJ13" s="145" t="n"/>
      <c r="BK13" s="145" t="n"/>
      <c r="BL13" s="145" t="n"/>
      <c r="BM13" s="145" t="inlineStr">
        <is>
          <t>Yes</t>
        </is>
      </c>
      <c r="BN13" s="145" t="inlineStr">
        <is>
          <t>Not disclosed</t>
        </is>
      </c>
      <c r="BO13" s="149" t="inlineStr">
        <is>
          <t>Market: Commercial performance; guided tours and retail; interactive entertainment; research and education · Human-safe: Yes · AI: LinkSoul platform for persona, voice, knowledge base and skills. End-to-end voice interaction, no wake word · Actuation: In-house quasi-direct-drive PMSM joints. 150 A peak current, 12 kW peak power, 0.218 kW/kg, 320 N·m knee to… · Peak 18 km/h · Walk 6.5 km/h · Runtime 10</t>
        </is>
      </c>
      <c r="BP13" s="145" t="n"/>
      <c r="BQ13" s="149" t="inlineStr">
        <is>
          <t>Commercial performance; guided tours and retail; interactive entertainment; research and education</t>
        </is>
      </c>
      <c r="BR13" s="149" t="inlineStr">
        <is>
          <t>In production</t>
        </is>
      </c>
      <c r="BS13" s="149" t="inlineStr">
        <is>
          <t>In production</t>
        </is>
      </c>
      <c r="BT13" s="145" t="inlineStr">
        <is>
          <t>Silver / Black / White</t>
        </is>
      </c>
      <c r="BU13" s="145" t="inlineStr">
        <is>
          <t>Verified</t>
        </is>
      </c>
      <c r="BV13" s="149" t="n"/>
      <c r="BW13" s="149" t="inlineStr">
        <is>
          <t>Origin &amp; status — China · In production · 2026 | Manipulation — 5 per hand · 5 per hand fingers · Hand DOF 12 · Payload 22 lb | Sensing &amp; software — LinkSoul platform for persona, voice, knowledge base and skills. End-to-end voice interaction, no wake word · AGIBOT Link-U-OS | Buying notes — From $45,000 · 12 months manufacturer standard (typical research/commercial humanoid) · Best fit: Commercial performance</t>
        </is>
      </c>
      <c r="BX13" s="149" t="inlineStr">
        <is>
          <t>as_shipped|AGIBOT A3|45000|As shipped</t>
        </is>
      </c>
      <c r="BY13" s="145" t="inlineStr">
        <is>
          <t>silver|Silver|#e2e8f0|0 || black|Black|#1e293b|0 || white|White|#0891b2|0</t>
        </is>
      </c>
      <c r="BZ13" s="145" t="inlineStr"/>
      <c r="CA13" s="149" t="n"/>
      <c r="CB13" s="149" t="inlineStr">
        <is>
          <t>12 months manufacturer standard (typical research/commercial humanoid)</t>
        </is>
      </c>
      <c r="CC13" s="147" t="n">
        <v>12</v>
      </c>
      <c r="CD13" s="149" t="inlineStr">
        <is>
          <t>+3 Year Extended ≈24% of configuration (default in configurator)</t>
        </is>
      </c>
      <c r="CE13" s="145" t="inlineStr">
        <is>
          <t>Humanoid category norm 2025–2026</t>
        </is>
      </c>
      <c r="CF13" s="145" t="inlineStr">
        <is>
          <t>Estimated</t>
        </is>
      </c>
      <c r="CG13" s="149" t="inlineStr">
        <is>
          <t>Confirm on formal OEM quote. EDU or enterprise packages may differ.</t>
        </is>
      </c>
      <c r="CH13" s="145" t="inlineStr">
        <is>
          <t>10%</t>
        </is>
      </c>
      <c r="CI13" s="145" t="inlineStr">
        <is>
          <t>17%</t>
        </is>
      </c>
      <c r="CJ13" s="145" t="inlineStr">
        <is>
          <t>24%</t>
        </is>
      </c>
      <c r="CK13" s="149" t="inlineStr">
        <is>
          <t>+1yr ≈10% | +2yr ≈17% | +3yr ≈24% of selected configuration price (parts &amp; labor beyond manufacturer standard).</t>
        </is>
      </c>
      <c r="CL13"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3" s="145" t="inlineStr">
        <is>
          <t>12 months manufacturer standard (typical research/commercial humanoid)</t>
        </is>
      </c>
      <c r="CO13" s="203" t="inlineStr">
        <is>
          <t>https://theresanaiforthat.com/robots/</t>
        </is>
      </c>
      <c r="CP13" s="203" t="inlineStr">
        <is>
          <t>Cross-checked against TAAFT Robots directory (669 entries) 28 Aug 2026 — individual TAAFT permalinks are JS/Cloudflare gated.</t>
        </is>
      </c>
      <c r="CQ13" s="101" t="inlineStr">
        <is>
          <t>Height: 5 ft 8 in | Weight: 121.3 | Degrees of Freedom: 31 | Payload: 22 | Max Speed: 11.18 | Battery / Runtime: ≈ 10 hours</t>
        </is>
      </c>
    </row>
    <row r="14" ht="31.5" customHeight="1" s="102">
      <c r="A14" s="152" t="inlineStr">
        <is>
          <t>agibot_agibot_g1</t>
        </is>
      </c>
      <c r="B14" s="153" t="inlineStr">
        <is>
          <t>Humanoid.guide</t>
        </is>
      </c>
      <c r="C14" s="152" t="inlineStr">
        <is>
          <t>AgiBot</t>
        </is>
      </c>
      <c r="D14" s="152" t="inlineStr">
        <is>
          <t>AGIBOT G1</t>
        </is>
      </c>
      <c r="E14" s="152" t="inlineStr">
        <is>
          <t>[AgiBot] AGIBOT G1 (2026)</t>
        </is>
      </c>
      <c r="F14" s="146" t="inlineStr">
        <is>
          <t>humanoid</t>
        </is>
      </c>
      <c r="G14" s="152" t="inlineStr">
        <is>
          <t>China</t>
        </is>
      </c>
      <c r="H14" s="152" t="n"/>
      <c r="I14" s="155" t="n">
        <v>95000</v>
      </c>
      <c r="J14" s="152" t="inlineStr">
        <is>
          <t>Estimate · AgiBot G1 family</t>
        </is>
      </c>
      <c r="K14" s="156" t="inlineStr">
        <is>
          <t>AGIBOT G1 is a full-size humanoid robot built for embodied AI research, dynamic mobility, and advanced manipulation in structured indoor environments.</t>
        </is>
      </c>
      <c r="L14" s="101" t="inlineStr">
        <is>
          <t>AGIBOT G1 is a full-size humanoid robot built for embodied AI research, dynamic mobility, and advanced manipulation in structured indoor environments.</t>
        </is>
      </c>
      <c r="M14" s="101" t="inlineStr">
        <is>
          <t>AGIBOT G1 is a full-size humanoid robot built for embodied AI research, dynamic mobility, and advanced manipulation in structured indoor environments. Public status is listed as limited production / pilot deployments, and it is positioned for embodied AI development; Industrial; Manufacturing; Robotics research.</t>
        </is>
      </c>
      <c r="N14" s="157" t="inlineStr">
        <is>
          <t>https://humanoid.guide/product/agibot-g1/</t>
        </is>
      </c>
      <c r="O14" s="157" t="inlineStr">
        <is>
          <t>https://www.agibot.com</t>
        </is>
      </c>
      <c r="P14" s="152" t="inlineStr">
        <is>
          <t>4 ft 3 in</t>
        </is>
      </c>
      <c r="Q14" s="152" t="n">
        <v>130</v>
      </c>
      <c r="R14" s="152" t="n">
        <v>330.7</v>
      </c>
      <c r="S14" s="152" t="n">
        <v>150</v>
      </c>
      <c r="T14" s="156" t="inlineStr">
        <is>
          <t>Not disclosed</t>
        </is>
      </c>
      <c r="U14" s="152" t="n"/>
      <c r="V14" s="152" t="inlineStr">
        <is>
          <t>26</t>
        </is>
      </c>
      <c r="W14" s="156" t="inlineStr">
        <is>
          <t>6</t>
        </is>
      </c>
      <c r="X14" s="152" t="n">
        <v>26.5</v>
      </c>
      <c r="Y14" s="152" t="n">
        <v>12</v>
      </c>
      <c r="Z14" s="152" t="n">
        <v>2.49</v>
      </c>
      <c r="AA14" s="152" t="n">
        <v>4</v>
      </c>
      <c r="AB14" s="152" t="n"/>
      <c r="AC14" s="156" t="inlineStr">
        <is>
          <t>≈ 4 hours</t>
        </is>
      </c>
      <c r="AD14" s="156" t="inlineStr">
        <is>
          <t>4</t>
        </is>
      </c>
      <c r="AE14" s="152" t="n"/>
      <c r="AF14" s="152" t="inlineStr">
        <is>
          <t>Not disclosed</t>
        </is>
      </c>
      <c r="AG14" s="156" t="inlineStr">
        <is>
          <t>5 per hand</t>
        </is>
      </c>
      <c r="AH14" s="152" t="inlineStr">
        <is>
          <t>5 per hand</t>
        </is>
      </c>
      <c r="AI14" s="152" t="n"/>
      <c r="AJ14" s="156" t="inlineStr">
        <is>
          <t>RGBD Camera*3 &amp; Fisheye*5</t>
        </is>
      </c>
      <c r="AK14" s="156" t="inlineStr">
        <is>
          <t>RGBD Camera*3 &amp; Fisheye*5</t>
        </is>
      </c>
      <c r="AL14" s="152" t="inlineStr">
        <is>
          <t>Not disclosed</t>
        </is>
      </c>
      <c r="AM14" s="152" t="n"/>
      <c r="AN14" s="152" t="inlineStr">
        <is>
          <t>Not disclosed</t>
        </is>
      </c>
      <c r="AO14" s="152" t="inlineStr">
        <is>
          <t>Not disclosed</t>
        </is>
      </c>
      <c r="AP14" s="152" t="inlineStr">
        <is>
          <t>Not disclosed</t>
        </is>
      </c>
      <c r="AQ14" s="152" t="inlineStr">
        <is>
          <t>Not disclosed</t>
        </is>
      </c>
      <c r="AR14" s="152" t="n"/>
      <c r="AS14" s="152" t="n"/>
      <c r="AT14" s="156" t="inlineStr">
        <is>
          <t>Jetson AGX Orin 64GB</t>
        </is>
      </c>
      <c r="AU14" s="156" t="inlineStr">
        <is>
          <t>5G; Ethernet; Wi‑Fi</t>
        </is>
      </c>
      <c r="AV14" s="152" t="inlineStr">
        <is>
          <t>Not disclosed</t>
        </is>
      </c>
      <c r="AW14" s="156" t="inlineStr">
        <is>
          <t>Not disclosed</t>
        </is>
      </c>
      <c r="AX14" s="152" t="n"/>
      <c r="AY14" s="156" t="inlineStr">
        <is>
          <t>Linux-based robotics framework (likely ROS/ROS2)</t>
        </is>
      </c>
      <c r="AZ14" s="156" t="inlineStr">
        <is>
          <t>Supports embodied AI and potential LLM integration</t>
        </is>
      </c>
      <c r="BA14" s="156" t="inlineStr">
        <is>
          <t>Real-time processing</t>
        </is>
      </c>
      <c r="BB14" s="156" t="inlineStr">
        <is>
          <t>High-torque electric servo actuators</t>
        </is>
      </c>
      <c r="BC14" s="156" t="inlineStr">
        <is>
          <t>Precision harmonic or planetary drives</t>
        </is>
      </c>
      <c r="BD14" s="152" t="inlineStr">
        <is>
          <t>Aluminum alloy frame with composite outer panels</t>
        </is>
      </c>
      <c r="BE14" s="152" t="inlineStr">
        <is>
          <t>IP20</t>
        </is>
      </c>
      <c r="BF14" s="152" t="inlineStr">
        <is>
          <t>IP20</t>
        </is>
      </c>
      <c r="BG14" s="152" t="n"/>
      <c r="BH14" s="152" t="n"/>
      <c r="BI14" s="152" t="n"/>
      <c r="BJ14" s="152" t="n"/>
      <c r="BK14" s="152" t="n"/>
      <c r="BL14" s="152" t="n"/>
      <c r="BM14" s="152" t="inlineStr">
        <is>
          <t>Yes</t>
        </is>
      </c>
      <c r="BN14" s="152" t="inlineStr">
        <is>
          <t>Not disclosed</t>
        </is>
      </c>
      <c r="BO14" s="156" t="inlineStr">
        <is>
          <t>Market: embodied AI development; Industrial; Manufacturing; Robotics research · Human-safe: Yes · AI: Supports embodied AI and potential LLM integration · Actuation: High-torque electric servo actuators · Peak 4 km/h · Runtime 4</t>
        </is>
      </c>
      <c r="BP14" s="152" t="n"/>
      <c r="BQ14" s="156" t="inlineStr">
        <is>
          <t>embodied AI development; Industrial; Manufacturing; Robotics research</t>
        </is>
      </c>
      <c r="BR14" s="156" t="inlineStr">
        <is>
          <t>Limited production / pilot deployments</t>
        </is>
      </c>
      <c r="BS14" s="156" t="inlineStr">
        <is>
          <t>Limited production / pilot deployments</t>
        </is>
      </c>
      <c r="BT14" s="152" t="inlineStr">
        <is>
          <t>Silver / Black / White</t>
        </is>
      </c>
      <c r="BU14" s="152" t="inlineStr">
        <is>
          <t>Not verified</t>
        </is>
      </c>
      <c r="BV14" s="156" t="n"/>
      <c r="BW14" s="156" t="inlineStr">
        <is>
          <t>Origin &amp; status — China · Limited production / pilot deployments · 2026 | Manipulation — 5 per hand · 5 per hand fingers · Hand DOF 6 · Payload 26.5 lb | Sensing &amp; software — RGBD Camera*3 &amp; Fisheye*5 · Supports embodied AI and potential LLM integration · Linux-based robotics framework (likely ROS/ROS2) | Buying notes — From $95,000 · 12 months manufacturer standard (typical research/commercial humanoid) · Best fit: embodied AI development</t>
        </is>
      </c>
      <c r="BX14" s="156" t="inlineStr">
        <is>
          <t>as_shipped|AGIBOT G1|95000|As shipped</t>
        </is>
      </c>
      <c r="BY14" s="152" t="inlineStr">
        <is>
          <t>silver|Silver|#e2e8f0|0 || black|Black|#1e293b|0 || white|White|#0891b2|0</t>
        </is>
      </c>
      <c r="BZ14" s="152" t="inlineStr"/>
      <c r="CA14" s="156" t="n"/>
      <c r="CB14" s="156" t="inlineStr">
        <is>
          <t>12 months manufacturer standard (typical research/commercial humanoid)</t>
        </is>
      </c>
      <c r="CC14" s="154" t="n">
        <v>12</v>
      </c>
      <c r="CD14" s="156" t="inlineStr">
        <is>
          <t>+3 Year Extended ≈24% of configuration (default in configurator)</t>
        </is>
      </c>
      <c r="CE14" s="152" t="inlineStr">
        <is>
          <t>Humanoid category norm 2025–2026</t>
        </is>
      </c>
      <c r="CF14" s="152" t="inlineStr">
        <is>
          <t>Estimated</t>
        </is>
      </c>
      <c r="CG14" s="156" t="inlineStr">
        <is>
          <t>Confirm on formal OEM quote. EDU or enterprise packages may differ.</t>
        </is>
      </c>
      <c r="CH14" s="152" t="inlineStr">
        <is>
          <t>10%</t>
        </is>
      </c>
      <c r="CI14" s="152" t="inlineStr">
        <is>
          <t>17%</t>
        </is>
      </c>
      <c r="CJ14" s="152" t="inlineStr">
        <is>
          <t>24%</t>
        </is>
      </c>
      <c r="CK14" s="156" t="inlineStr">
        <is>
          <t>+1yr ≈10% | +2yr ≈17% | +3yr ≈24% of selected configuration price (parts &amp; labor beyond manufacturer standard).</t>
        </is>
      </c>
      <c r="CL14"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4" s="152" t="inlineStr">
        <is>
          <t>12 months manufacturer standard (typical research/commercial humanoid)</t>
        </is>
      </c>
      <c r="CN14" s="203" t="inlineStr">
        <is>
          <t>https://aixzd.com/robot/g1</t>
        </is>
      </c>
      <c r="CO14" s="203" t="inlineStr">
        <is>
          <t>https://theresanaiforthat.com/robots/</t>
        </is>
      </c>
      <c r="CP14" s="203" t="inlineStr">
        <is>
          <t>Cross-checked against TAAFT Robots directory (669 entries) 28 Aug 2026 — individual TAAFT permalinks are JS/Cloudflare gated.</t>
        </is>
      </c>
      <c r="CQ14" s="101" t="inlineStr">
        <is>
          <t>Height: 4 ft 3 in | Weight: 330.7 | Degrees of Freedom: 26 | Payload: 26.5 | Max Speed: 2.49 | Battery / Runtime: ≈ 4 hours</t>
        </is>
      </c>
    </row>
    <row r="15" ht="31.5" customHeight="1" s="102">
      <c r="A15" s="145" t="inlineStr">
        <is>
          <t>agibot_agibot_x1</t>
        </is>
      </c>
      <c r="B15" s="153" t="inlineStr">
        <is>
          <t>Humanoid.guide</t>
        </is>
      </c>
      <c r="C15" s="145" t="inlineStr">
        <is>
          <t>AgiBot</t>
        </is>
      </c>
      <c r="D15" s="145" t="inlineStr">
        <is>
          <t>AgiBot X1</t>
        </is>
      </c>
      <c r="E15" s="145" t="inlineStr">
        <is>
          <t>[AgiBot] AgiBot X1 (2026)</t>
        </is>
      </c>
      <c r="F15" s="146" t="inlineStr">
        <is>
          <t>humanoid</t>
        </is>
      </c>
      <c r="G15" s="145" t="inlineStr">
        <is>
          <t>China</t>
        </is>
      </c>
      <c r="H15" s="145" t="n"/>
      <c r="I15" s="148" t="n">
        <v>19499</v>
      </c>
      <c r="J15" s="145" t="inlineStr">
        <is>
          <t>Robot Price Index Aug 2026</t>
        </is>
      </c>
      <c r="K15" s="149" t="inlineStr">
        <is>
          <t>The AgiBot X1 humanoid robot is a 130 cm, 33 kg open-source platform with 34 DOF, 0.5 kg arm payload and PowerFlow servo tech; it walks at 3.6 km h-¹, runs two hours per battery and costs under US $20 000—making advanced bipedal robotics attainable for research and maker communit.</t>
        </is>
      </c>
      <c r="L15" s="101" t="inlineStr">
        <is>
          <t>The AgiBot X1 humanoid robot is a 130 cm, 33 kg open-source platform with 34 DOF, 0.5 kg arm payload and PowerFlow servo tech; it walks at 3.6 km h-¹, runs two hours per battery and costs under US $20 000—making advanced bipedal robotics attainable for research and maker communit.</t>
        </is>
      </c>
      <c r="M15" s="101" t="inlineStr">
        <is>
          <t>The AgiBot X1 humanoid robot is a 130 cm, 33 kg open-source platform with 34 DOF, 0.5 kg arm payload and PowerFlow servo tech; it walks at 3.6 km h-¹, runs two hours per battery and costs under US $20 000—making advanced bipedal robotics attainable for research and maker communit. Public status is listed as prototype, and it is positioned for research &amp; education labs, maker spaces, developer communities.</t>
        </is>
      </c>
      <c r="N15" s="150" t="inlineStr">
        <is>
          <t>https://humanoid.guide/product/agibot-x1/</t>
        </is>
      </c>
      <c r="O15" s="150" t="inlineStr">
        <is>
          <t>https://www.agibot.com</t>
        </is>
      </c>
      <c r="P15" s="145" t="inlineStr">
        <is>
          <t>4 ft 3 in</t>
        </is>
      </c>
      <c r="Q15" s="145" t="n">
        <v>130</v>
      </c>
      <c r="R15" s="145" t="n">
        <v>72.8</v>
      </c>
      <c r="S15" s="145" t="n">
        <v>33</v>
      </c>
      <c r="T15" s="149" t="inlineStr">
        <is>
          <t>Not disclosed</t>
        </is>
      </c>
      <c r="U15" s="145" t="n"/>
      <c r="V15" s="145" t="inlineStr">
        <is>
          <t>34</t>
        </is>
      </c>
      <c r="W15" s="149" t="inlineStr">
        <is>
          <t>Not disclosed</t>
        </is>
      </c>
      <c r="X15" s="145" t="n">
        <v>1.1</v>
      </c>
      <c r="Y15" s="145" t="n">
        <v>0.5</v>
      </c>
      <c r="Z15" s="145" t="n">
        <v>2.24</v>
      </c>
      <c r="AA15" s="145" t="n">
        <v>3.6</v>
      </c>
      <c r="AB15" s="145" t="n"/>
      <c r="AC15" s="149" t="inlineStr">
        <is>
          <t>≈ 2 hours</t>
        </is>
      </c>
      <c r="AD15" s="149" t="inlineStr">
        <is>
          <t>2</t>
        </is>
      </c>
      <c r="AE15" s="145" t="n"/>
      <c r="AF15" s="145" t="inlineStr">
        <is>
          <t>Not disclosed</t>
        </is>
      </c>
      <c r="AG15" s="149" t="inlineStr">
        <is>
          <t>4</t>
        </is>
      </c>
      <c r="AH15" s="145" t="inlineStr">
        <is>
          <t>4</t>
        </is>
      </c>
      <c r="AI15" s="158" t="n">
        <v>2</v>
      </c>
      <c r="AJ15" s="149" t="inlineStr">
        <is>
          <t>Optional RGB-D camera</t>
        </is>
      </c>
      <c r="AK15" s="149" t="inlineStr">
        <is>
          <t>Optional RGB-D camera</t>
        </is>
      </c>
      <c r="AL15" s="145" t="inlineStr">
        <is>
          <t>Not disclosed</t>
        </is>
      </c>
      <c r="AM15" s="145" t="n"/>
      <c r="AN15" s="145" t="inlineStr">
        <is>
          <t>Not disclosed</t>
        </is>
      </c>
      <c r="AO15" s="145" t="inlineStr">
        <is>
          <t>Not disclosed</t>
        </is>
      </c>
      <c r="AP15" s="145" t="inlineStr">
        <is>
          <t>Not disclosed</t>
        </is>
      </c>
      <c r="AQ15" s="145" t="inlineStr">
        <is>
          <t>Not disclosed</t>
        </is>
      </c>
      <c r="AR15" s="145" t="n"/>
      <c r="AS15" s="145" t="n"/>
      <c r="AT15" s="149" t="inlineStr">
        <is>
          <t>Open architecture – user supplies host PC/Jetson; onboard DCU real-time controllers (1 kHz, 100 Mbps)</t>
        </is>
      </c>
      <c r="AU15" s="149" t="inlineStr">
        <is>
          <t>Ethernet; FDCAN/CAN-FD; GPIO; OTA firmware; UART</t>
        </is>
      </c>
      <c r="AV15" s="145" t="inlineStr">
        <is>
          <t>Not disclosed</t>
        </is>
      </c>
      <c r="AW15" s="149" t="inlineStr">
        <is>
          <t>Not disclosed</t>
        </is>
      </c>
      <c r="AX15" s="158" t="n">
        <v>2</v>
      </c>
      <c r="AY15" s="149" t="inlineStr">
        <is>
          <t>Linux</t>
        </is>
      </c>
      <c r="AZ15" s="149" t="inlineStr">
        <is>
          <t>DIY: hooks for external LLMs via ROS2/AimRT; no bundled model</t>
        </is>
      </c>
      <c r="BA15" s="149" t="inlineStr">
        <is>
          <t>Not specified</t>
        </is>
      </c>
      <c r="BB15" s="149" t="inlineStr">
        <is>
          <t>PowerFlow quasi-direct-drive servo modules (R86/R52/L28 series)</t>
        </is>
      </c>
      <c r="BC15" s="149" t="inlineStr">
        <is>
          <t>Integrated low-ratio (&amp;lt;10 : 1) planetary reducers inside servos</t>
        </is>
      </c>
      <c r="BD15" s="145" t="inlineStr">
        <is>
          <t>Aluminium; composite shell over alloy frame</t>
        </is>
      </c>
      <c r="BE15" s="145" t="inlineStr">
        <is>
          <t>Not disclosed</t>
        </is>
      </c>
      <c r="BF15" s="145" t="inlineStr">
        <is>
          <t>Not specified</t>
        </is>
      </c>
      <c r="BG15" s="145" t="n"/>
      <c r="BH15" s="145" t="n"/>
      <c r="BI15" s="145" t="n"/>
      <c r="BJ15" s="145" t="n"/>
      <c r="BK15" s="145" t="n"/>
      <c r="BL15" s="145" t="n"/>
      <c r="BM15" s="145" t="inlineStr">
        <is>
          <t>Yes</t>
        </is>
      </c>
      <c r="BN15" s="145" t="inlineStr">
        <is>
          <t>Not disclosed</t>
        </is>
      </c>
      <c r="BO15" s="149" t="inlineStr">
        <is>
          <t>Market: Research &amp; education labs, maker spaces, developer communities · Manipulation 2/4 · Navigation 2/4 · Human-safe: Yes · AI: DIY: hooks for external LLMs via ROS2/AimRT; no bundled model · Actuation: PowerFlow quasi-direct-drive servo modules (R86/R52/L28 series) · Peak 3.6 km/h · Runtime 2</t>
        </is>
      </c>
      <c r="BP15" s="145" t="n"/>
      <c r="BQ15" s="149" t="inlineStr">
        <is>
          <t>Research &amp; education labs, maker spaces, developer communities</t>
        </is>
      </c>
      <c r="BR15" s="149" t="inlineStr">
        <is>
          <t>Prototype</t>
        </is>
      </c>
      <c r="BS15" s="149" t="inlineStr">
        <is>
          <t>Prototype</t>
        </is>
      </c>
      <c r="BT15" s="145" t="n"/>
      <c r="BU15" s="145" t="inlineStr">
        <is>
          <t>Not verified</t>
        </is>
      </c>
      <c r="BV15" s="149" t="n"/>
      <c r="BW15" s="149" t="inlineStr">
        <is>
          <t>Origin &amp; status — China · Prototype · 2026 | Manipulation — 4 · 4 fingers · Payload 1.1 lb | Sensing &amp; software — Optional RGB-D camera · DIY: hooks for external LLMs via ROS2/AimRT; no bundled model · Linux | Buying notes — From $19,499 · 12 months manufacturer standard (typical research/commercial humanoid) · Best fit: Research &amp; education labs, maker spaces, developer communities</t>
        </is>
      </c>
      <c r="BX15" s="149" t="inlineStr">
        <is>
          <t>as_shipped|AgiBot X1|19499|As shipped</t>
        </is>
      </c>
      <c r="BY15" s="145" t="inlineStr">
        <is>
          <t>agibot_x1|Manufacturer finish|#e2e8f0|0</t>
        </is>
      </c>
      <c r="BZ15" s="145" t="inlineStr"/>
      <c r="CA15" s="149" t="n"/>
      <c r="CB15" s="149" t="inlineStr">
        <is>
          <t>12 months manufacturer standard (typical research/commercial humanoid)</t>
        </is>
      </c>
      <c r="CC15" s="147" t="n">
        <v>12</v>
      </c>
      <c r="CD15" s="149" t="inlineStr">
        <is>
          <t>+3 Year Extended ≈24% of configuration (default in configurator)</t>
        </is>
      </c>
      <c r="CE15" s="145" t="inlineStr">
        <is>
          <t>Humanoid category norm 2025–2026</t>
        </is>
      </c>
      <c r="CF15" s="145" t="inlineStr">
        <is>
          <t>Estimated</t>
        </is>
      </c>
      <c r="CG15" s="149" t="inlineStr">
        <is>
          <t>Confirm on formal OEM quote. EDU or enterprise packages may differ.</t>
        </is>
      </c>
      <c r="CH15" s="145" t="inlineStr">
        <is>
          <t>10%</t>
        </is>
      </c>
      <c r="CI15" s="145" t="inlineStr">
        <is>
          <t>17%</t>
        </is>
      </c>
      <c r="CJ15" s="145" t="inlineStr">
        <is>
          <t>24%</t>
        </is>
      </c>
      <c r="CK15" s="149" t="inlineStr">
        <is>
          <t>+1yr ≈10% | +2yr ≈17% | +3yr ≈24% of selected configuration price (parts &amp; labor beyond manufacturer standard).</t>
        </is>
      </c>
      <c r="CL1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5" s="145" t="inlineStr">
        <is>
          <t>12 months manufacturer standard (typical research/commercial humanoid)</t>
        </is>
      </c>
      <c r="CO15" s="203" t="inlineStr">
        <is>
          <t>https://theresanaiforthat.com/robots/</t>
        </is>
      </c>
      <c r="CP15" s="203" t="inlineStr">
        <is>
          <t>Cross-checked against TAAFT Robots directory (669 entries) 28 Aug 2026 — individual TAAFT permalinks are JS/Cloudflare gated.</t>
        </is>
      </c>
      <c r="CQ15" s="101" t="inlineStr">
        <is>
          <t>Height: 4 ft 3 in | Weight: 72.8 | Degrees of Freedom: 34 | Payload: 1.1 | Max Speed: 2.24 | Battery / Runtime: ≈ 2 hours</t>
        </is>
      </c>
    </row>
    <row r="16" ht="31.5" customHeight="1" s="102">
      <c r="A16" s="152" t="inlineStr">
        <is>
          <t>agibot_g2_genie</t>
        </is>
      </c>
      <c r="B16" s="153" t="inlineStr">
        <is>
          <t>Humanoid.guide</t>
        </is>
      </c>
      <c r="C16" s="152" t="inlineStr">
        <is>
          <t>AgiBot</t>
        </is>
      </c>
      <c r="D16" s="152" t="inlineStr">
        <is>
          <t>G2 Genie</t>
        </is>
      </c>
      <c r="E16" s="152" t="inlineStr">
        <is>
          <t>[AgiBot] G2 Genie (2026)</t>
        </is>
      </c>
      <c r="F16" s="146" t="inlineStr">
        <is>
          <t>humanoid</t>
        </is>
      </c>
      <c r="G16" s="152" t="inlineStr">
        <is>
          <t>China</t>
        </is>
      </c>
      <c r="H16" s="152" t="n"/>
      <c r="I16" s="155" t="n">
        <v>200000</v>
      </c>
      <c r="J16" s="152" t="inlineStr">
        <is>
          <t>Humanoid.guide list</t>
        </is>
      </c>
      <c r="K16" s="156" t="inlineStr">
        <is>
          <t>Agibot G2 “Genie” is a wheeled humanoid for industrial-grade, people-safe interaction—pairing 7-DoF arms, 360° perception (LiDAR, RGB-D, ultrasonics, mic array), and on-device embodied AI to handle manipulation, guidance, and service tasks.</t>
        </is>
      </c>
      <c r="L16" s="101" t="inlineStr">
        <is>
          <t>Agibot G2 “Genie” is a wheeled humanoid for industrial-grade, people-safe interaction—pairing 7-DoF arms, 360° perception (LiDAR, RGB-D, ultrasonics, mic array), and on-device embodied AI to handle manipulation, guidance, and service tasks.</t>
        </is>
      </c>
      <c r="M16" s="101" t="inlineStr">
        <is>
          <t>G2 Genie is AgiBot's humanoid, introduced around 2026 in China. Agibot G2 “Genie” is a wheeled humanoid for industrial-grade, people-safe interaction—pairing 7-DoF arms, 360° perception (LiDAR, RGB-D, ultrasonics, mic array), and on-device embodied AI to handle manipulation, guidance, and service tasks. Public status is listed as prototype, and it is positioned for industries; logistics; Research &amp; education.</t>
        </is>
      </c>
      <c r="N16" s="157" t="inlineStr">
        <is>
          <t>https://humanoid.guide/product/g2-genie/</t>
        </is>
      </c>
      <c r="O16" s="157" t="inlineStr">
        <is>
          <t>https://www.agibot.com</t>
        </is>
      </c>
      <c r="P16" s="152" t="inlineStr">
        <is>
          <t>5 ft 9 in</t>
        </is>
      </c>
      <c r="Q16" s="152" t="n">
        <v>175</v>
      </c>
      <c r="R16" s="152" t="n">
        <v>121.3</v>
      </c>
      <c r="S16" s="152" t="n">
        <v>55</v>
      </c>
      <c r="T16" s="156" t="inlineStr">
        <is>
          <t>Not disclosed</t>
        </is>
      </c>
      <c r="U16" s="152" t="inlineStr">
        <is>
          <t>Not specified</t>
        </is>
      </c>
      <c r="V16" s="152" t="inlineStr">
        <is>
          <t>Not disclosed</t>
        </is>
      </c>
      <c r="W16" s="156" t="inlineStr">
        <is>
          <t>12</t>
        </is>
      </c>
      <c r="X16" s="152" t="n">
        <v>11</v>
      </c>
      <c r="Y16" s="152" t="n">
        <v>5</v>
      </c>
      <c r="Z16" s="152" t="n">
        <v>4.35</v>
      </c>
      <c r="AA16" s="152" t="n">
        <v>7</v>
      </c>
      <c r="AB16" s="152" t="n">
        <v>7</v>
      </c>
      <c r="AC16" s="156" t="inlineStr">
        <is>
          <t>Not disclosed</t>
        </is>
      </c>
      <c r="AD16" s="156" t="inlineStr">
        <is>
          <t>Not specified</t>
        </is>
      </c>
      <c r="AE16" s="152" t="n"/>
      <c r="AF16" s="152" t="inlineStr">
        <is>
          <t>Not disclosed</t>
        </is>
      </c>
      <c r="AG16" s="156" t="inlineStr">
        <is>
          <t>10</t>
        </is>
      </c>
      <c r="AH16" s="152" t="inlineStr">
        <is>
          <t>10</t>
        </is>
      </c>
      <c r="AI16" s="151" t="n">
        <v>3</v>
      </c>
      <c r="AJ16" s="156" t="inlineStr">
        <is>
          <t>RGB-D camera</t>
        </is>
      </c>
      <c r="AK16" s="156" t="inlineStr">
        <is>
          <t>RGB-D camera</t>
        </is>
      </c>
      <c r="AL16" s="152" t="inlineStr">
        <is>
          <t>Not disclosed</t>
        </is>
      </c>
      <c r="AM16" s="152" t="n"/>
      <c r="AN16" s="152" t="inlineStr">
        <is>
          <t>Not disclosed</t>
        </is>
      </c>
      <c r="AO16" s="152" t="inlineStr">
        <is>
          <t>Not disclosed</t>
        </is>
      </c>
      <c r="AP16" s="152" t="inlineStr">
        <is>
          <t>Not disclosed</t>
        </is>
      </c>
      <c r="AQ16" s="152" t="inlineStr">
        <is>
          <t>Not disclosed</t>
        </is>
      </c>
      <c r="AR16" s="152" t="n"/>
      <c r="AS16" s="152" t="n"/>
      <c r="AT16" s="156" t="inlineStr">
        <is>
          <t>NVIDIA-based local AI compute (exact SKU N/D); ~200 TOPS stated</t>
        </is>
      </c>
      <c r="AU16" s="156" t="inlineStr">
        <is>
          <t>N/D (likely Wi-Fi/Ethernet typical of industrial platforms</t>
        </is>
      </c>
      <c r="AV16" s="152" t="inlineStr">
        <is>
          <t>Not disclosed</t>
        </is>
      </c>
      <c r="AW16" s="156" t="inlineStr">
        <is>
          <t>Not disclosed</t>
        </is>
      </c>
      <c r="AX16" s="151" t="n">
        <v>3</v>
      </c>
      <c r="AY16" s="156" t="inlineStr">
        <is>
          <t>Not disclosed</t>
        </is>
      </c>
      <c r="AZ16" s="156" t="inlineStr">
        <is>
          <t>WorkGPT/Genie multimodal mission-level model; VLM-enhanced.</t>
        </is>
      </c>
      <c r="BA16" s="156" t="inlineStr">
        <is>
          <t>Not specified</t>
        </is>
      </c>
      <c r="BB16" s="156" t="inlineStr">
        <is>
          <t>high-precision torque-sensing joints; vendor not disclosed</t>
        </is>
      </c>
      <c r="BC16" s="156" t="inlineStr">
        <is>
          <t>Not disclosed</t>
        </is>
      </c>
      <c r="BD16" s="152" t="inlineStr">
        <is>
          <t>Not disclosed</t>
        </is>
      </c>
      <c r="BE16" s="152" t="inlineStr">
        <is>
          <t>Not disclosed</t>
        </is>
      </c>
      <c r="BF16" s="152" t="inlineStr">
        <is>
          <t>Not specified</t>
        </is>
      </c>
      <c r="BG16" s="152" t="n"/>
      <c r="BH16" s="152" t="n"/>
      <c r="BI16" s="152" t="n"/>
      <c r="BJ16" s="152" t="n"/>
      <c r="BK16" s="152" t="n"/>
      <c r="BL16" s="152" t="n"/>
      <c r="BM16" s="152" t="inlineStr">
        <is>
          <t>Yes</t>
        </is>
      </c>
      <c r="BN16" s="152" t="inlineStr">
        <is>
          <t>Not disclosed</t>
        </is>
      </c>
      <c r="BO16" s="156" t="inlineStr">
        <is>
          <t>Market: Industries; logistics; Research &amp; education · Manipulation 3/4 · Navigation 3/4 · Human-safe: Yes · AI: WorkGPT/Genie multimodal mission-level model; VLM-enhanced. · Actuation: high-precision torque-sensing joints; vendor not disclosed · Peak 7 km/h · Walk 7 km/h · Runtime Not specified</t>
        </is>
      </c>
      <c r="BP16" s="152" t="n"/>
      <c r="BQ16" s="156" t="inlineStr">
        <is>
          <t>Industries; logistics; Research &amp; education</t>
        </is>
      </c>
      <c r="BR16" s="156" t="inlineStr">
        <is>
          <t>Prototype</t>
        </is>
      </c>
      <c r="BS16" s="156" t="inlineStr">
        <is>
          <t>Prototype</t>
        </is>
      </c>
      <c r="BT16" s="152" t="inlineStr">
        <is>
          <t>Not specified</t>
        </is>
      </c>
      <c r="BU16" s="152" t="inlineStr">
        <is>
          <t>Not verified</t>
        </is>
      </c>
      <c r="BV16" s="156" t="n"/>
      <c r="BW16" s="156" t="inlineStr">
        <is>
          <t>Origin &amp; status — China · Prototype · 2026 | Manipulation — 10 · 10 fingers · Hand DOF 12 · Payload 11 lb | Sensing &amp; software — RGB-D camera · WorkGPT/Genie multimodal mission-level model; VLM-enhanced. | Buying notes — From $200,000 · 12 months manufacturer standard (typical research/commercial humanoid) · Best fit: Industries</t>
        </is>
      </c>
      <c r="BX16" s="156" t="inlineStr">
        <is>
          <t>as_shipped|G2 Genie|200000|As shipped</t>
        </is>
      </c>
      <c r="BY16" s="152" t="inlineStr">
        <is>
          <t>not_specified|Not specified|#e2e8f0|0</t>
        </is>
      </c>
      <c r="BZ16" s="152" t="inlineStr"/>
      <c r="CA16" s="156" t="n"/>
      <c r="CB16" s="156" t="inlineStr">
        <is>
          <t>12 months manufacturer standard (typical research/commercial humanoid)</t>
        </is>
      </c>
      <c r="CC16" s="154" t="n">
        <v>12</v>
      </c>
      <c r="CD16" s="156" t="inlineStr">
        <is>
          <t>+3 Year Extended ≈24% of configuration (default in configurator)</t>
        </is>
      </c>
      <c r="CE16" s="152" t="inlineStr">
        <is>
          <t>Humanoid category norm 2025–2026</t>
        </is>
      </c>
      <c r="CF16" s="152" t="inlineStr">
        <is>
          <t>Estimated</t>
        </is>
      </c>
      <c r="CG16" s="156" t="inlineStr">
        <is>
          <t>Confirm on formal OEM quote. EDU or enterprise packages may differ.</t>
        </is>
      </c>
      <c r="CH16" s="152" t="inlineStr">
        <is>
          <t>10%</t>
        </is>
      </c>
      <c r="CI16" s="152" t="inlineStr">
        <is>
          <t>17%</t>
        </is>
      </c>
      <c r="CJ16" s="152" t="inlineStr">
        <is>
          <t>24%</t>
        </is>
      </c>
      <c r="CK16" s="156" t="inlineStr">
        <is>
          <t>+1yr ≈10% | +2yr ≈17% | +3yr ≈24% of selected configuration price (parts &amp; labor beyond manufacturer standard).</t>
        </is>
      </c>
      <c r="CL16"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6" s="152" t="inlineStr">
        <is>
          <t>12 months manufacturer standard (typical research/commercial humanoid)</t>
        </is>
      </c>
      <c r="CO16" s="203" t="inlineStr">
        <is>
          <t>https://theresanaiforthat.com/robots/</t>
        </is>
      </c>
      <c r="CP16" s="203" t="inlineStr">
        <is>
          <t>Cross-checked against TAAFT Robots directory (669 entries) 28 Aug 2026 — individual TAAFT permalinks are JS/Cloudflare gated.</t>
        </is>
      </c>
      <c r="CQ16" s="101" t="inlineStr">
        <is>
          <t>Height: 5 ft 9 in | Weight: 121.3 | Degrees of Freedom: Not disclosed | Payload: 11 | Max Speed: 4.35 | Battery / Runtime: Not disclosed</t>
        </is>
      </c>
    </row>
    <row r="17" ht="31.5" customHeight="1" s="102">
      <c r="A17" s="145" t="inlineStr">
        <is>
          <t>agibot_g2_max</t>
        </is>
      </c>
      <c r="B17" s="153" t="inlineStr">
        <is>
          <t>Humanoid.guide</t>
        </is>
      </c>
      <c r="C17" s="145" t="inlineStr">
        <is>
          <t>AgiBot</t>
        </is>
      </c>
      <c r="D17" s="145" t="inlineStr">
        <is>
          <t>G2 Max</t>
        </is>
      </c>
      <c r="E17" s="145" t="inlineStr">
        <is>
          <t>[AgiBot] G2 Max (2026)</t>
        </is>
      </c>
      <c r="F17" s="146" t="inlineStr">
        <is>
          <t>humanoid</t>
        </is>
      </c>
      <c r="G17" s="145" t="inlineStr">
        <is>
          <t>China</t>
        </is>
      </c>
      <c r="H17" s="145" t="n"/>
      <c r="I17" s="148" t="n">
        <v>135000</v>
      </c>
      <c r="J17" s="145" t="inlineStr">
        <is>
          <t>Humanoid.guide list</t>
        </is>
      </c>
      <c r="K17" s="149" t="inlineStr">
        <is>
          <t>The AgiBot G2 Max is an upgraded, heavy-payload version of the G2 industrial humanoid — a wheeled, force-controlled task robot built for material handling, palletizing, and precision factory work, powered by NVIDIA Jetson Thor onboard AI.</t>
        </is>
      </c>
      <c r="L17" s="101" t="inlineStr">
        <is>
          <t>The AgiBot G2 Max is an upgraded, heavy-payload version of the G2 industrial humanoid — a wheeled, force-controlled task robot built for material handling, palletizing, and precision factory work, powered by NVIDIA Jetson Thor onboard AI.</t>
        </is>
      </c>
      <c r="M17" s="101" t="inlineStr">
        <is>
          <t>G2 Max is AgiBot's humanoid, introduced around 2026 in China. The AgiBot G2 Max is an upgraded, heavy-payload version of the G2 industrial humanoid — a wheeled, force-controlled task robot built for material handling, palletizing, and precision factory work, powered by NVIDIA Jetson Thor onboard AI. Public status is listed as in production, and it is positioned for industrial; logistics; Manufacturing.</t>
        </is>
      </c>
      <c r="N17" s="150" t="inlineStr">
        <is>
          <t>https://humanoid.guide/product/g2-max/</t>
        </is>
      </c>
      <c r="O17" s="150" t="inlineStr">
        <is>
          <t>https://www.agibot.com</t>
        </is>
      </c>
      <c r="P17" s="145" t="inlineStr">
        <is>
          <t>5 ft 10 in</t>
        </is>
      </c>
      <c r="Q17" s="145" t="n">
        <v>179</v>
      </c>
      <c r="R17" s="145" t="n">
        <v>407.9</v>
      </c>
      <c r="S17" s="145" t="n">
        <v>185</v>
      </c>
      <c r="T17" s="149" t="inlineStr">
        <is>
          <t>Not disclosed</t>
        </is>
      </c>
      <c r="U17" s="145" t="n"/>
      <c r="V17" s="145" t="inlineStr">
        <is>
          <t>50</t>
        </is>
      </c>
      <c r="W17" s="149" t="inlineStr">
        <is>
          <t>24</t>
        </is>
      </c>
      <c r="X17" s="145" t="n">
        <v>44.1</v>
      </c>
      <c r="Y17" s="145" t="n">
        <v>20</v>
      </c>
      <c r="Z17" s="145" t="n">
        <v>3.36</v>
      </c>
      <c r="AA17" s="145" t="n">
        <v>5.4</v>
      </c>
      <c r="AB17" s="145" t="n"/>
      <c r="AC17" s="149" t="inlineStr">
        <is>
          <t>≈ 4 hours</t>
        </is>
      </c>
      <c r="AD17" s="149" t="inlineStr">
        <is>
          <t>4</t>
        </is>
      </c>
      <c r="AE17" s="145" t="n"/>
      <c r="AF17" s="145" t="inlineStr">
        <is>
          <t>Not disclosed</t>
        </is>
      </c>
      <c r="AG17" s="149" t="inlineStr">
        <is>
          <t>2-finger gripping claws</t>
        </is>
      </c>
      <c r="AH17" s="145" t="inlineStr">
        <is>
          <t>2-finger gripping claws</t>
        </is>
      </c>
      <c r="AI17" s="145" t="n"/>
      <c r="AJ17" s="149" t="inlineStr">
        <is>
          <t>Not disclosed</t>
        </is>
      </c>
      <c r="AK17" s="149" t="n"/>
      <c r="AL17" s="145" t="inlineStr">
        <is>
          <t>Not disclosed</t>
        </is>
      </c>
      <c r="AM17" s="145" t="n"/>
      <c r="AN17" s="145" t="inlineStr">
        <is>
          <t>Not disclosed</t>
        </is>
      </c>
      <c r="AO17" s="145" t="inlineStr">
        <is>
          <t>Not disclosed</t>
        </is>
      </c>
      <c r="AP17" s="145" t="inlineStr">
        <is>
          <t>Not disclosed</t>
        </is>
      </c>
      <c r="AQ17" s="145" t="inlineStr">
        <is>
          <t>Not disclosed</t>
        </is>
      </c>
      <c r="AR17" s="145" t="n"/>
      <c r="AS17" s="145" t="n"/>
      <c r="AT17" s="149" t="inlineStr">
        <is>
          <t>NVIDIA Jetson Thor T5000 (~2,070 TFLOPS FP4) + Rhino R1 (~500 TOPS)</t>
        </is>
      </c>
      <c r="AU17" s="149" t="inlineStr">
        <is>
          <t>4G; 5G; Bluetooth; Wi-Fi</t>
        </is>
      </c>
      <c r="AV17" s="145" t="inlineStr">
        <is>
          <t>Not disclosed</t>
        </is>
      </c>
      <c r="AW17" s="149" t="inlineStr">
        <is>
          <t>Not disclosed</t>
        </is>
      </c>
      <c r="AX17" s="145" t="n"/>
      <c r="AY17" s="149" t="inlineStr">
        <is>
          <t>Not disclosed</t>
        </is>
      </c>
      <c r="AZ17" s="149" t="inlineStr">
        <is>
          <t>Yes — runs VLA and LLM models on-device; LLM + RAG knowledge base for role switching</t>
        </is>
      </c>
      <c r="BA17" s="149" t="inlineStr">
        <is>
          <t>Under 10 ms (multi-sensor stream processing)</t>
        </is>
      </c>
      <c r="BB17" s="149" t="inlineStr">
        <is>
          <t>Electric servo actuators</t>
        </is>
      </c>
      <c r="BC17" s="149" t="inlineStr">
        <is>
          <t>Harmonic / Planetary reducers</t>
        </is>
      </c>
      <c r="BD17" s="145" t="inlineStr">
        <is>
          <t>Aluminum alloy frame with polymer shell</t>
        </is>
      </c>
      <c r="BE17" s="145" t="inlineStr">
        <is>
          <t>IP42</t>
        </is>
      </c>
      <c r="BF17" s="145" t="inlineStr">
        <is>
          <t>IP42</t>
        </is>
      </c>
      <c r="BG17" s="145" t="n"/>
      <c r="BH17" s="145" t="n"/>
      <c r="BI17" s="145" t="n"/>
      <c r="BJ17" s="145" t="n"/>
      <c r="BK17" s="145" t="n"/>
      <c r="BL17" s="145" t="n"/>
      <c r="BM17" s="145" t="inlineStr">
        <is>
          <t>Yes</t>
        </is>
      </c>
      <c r="BN17" s="145" t="inlineStr">
        <is>
          <t>Not disclosed</t>
        </is>
      </c>
      <c r="BO17" s="149" t="inlineStr">
        <is>
          <t>Market: Industrial; logistics; Manufacturing · Human-safe: Yes · AI: Yes — runs VLA and LLM models on-device; LLM + RAG knowledge base for role switching · Actuation: Electric servo actuators · Peak 5.4 km/h · Runtime 4</t>
        </is>
      </c>
      <c r="BP17" s="145" t="n"/>
      <c r="BQ17" s="149" t="inlineStr">
        <is>
          <t>Industrial; logistics; Manufacturing</t>
        </is>
      </c>
      <c r="BR17" s="149" t="inlineStr">
        <is>
          <t>In production</t>
        </is>
      </c>
      <c r="BS17" s="149" t="inlineStr">
        <is>
          <t>In production</t>
        </is>
      </c>
      <c r="BT17" s="145" t="n"/>
      <c r="BU17" s="145" t="n"/>
      <c r="BV17" s="149" t="n"/>
      <c r="BW17" s="149" t="inlineStr">
        <is>
          <t>Origin &amp; status — China · In production · 2026 | Manipulation — 2-finger gripping claws · Hand DOF 24 · Payload 44.1 lb | Sensing &amp; software — Yes — runs VLA and LLM models on-device; LLM + RAG knowledge base for role switching | Buying notes — From $135,000 · 12 months manufacturer standard (typical research/commercial humanoid) · Best fit: Industrial</t>
        </is>
      </c>
      <c r="BX17" s="149" t="inlineStr">
        <is>
          <t>as_shipped|G2 Max|135000|As shipped</t>
        </is>
      </c>
      <c r="BY17" s="145" t="inlineStr">
        <is>
          <t>g2_max|Manufacturer finish|#e2e8f0|0</t>
        </is>
      </c>
      <c r="BZ17" s="145" t="inlineStr"/>
      <c r="CA17" s="149" t="n"/>
      <c r="CB17" s="149" t="inlineStr">
        <is>
          <t>12 months manufacturer standard (typical research/commercial humanoid)</t>
        </is>
      </c>
      <c r="CC17" s="147" t="n">
        <v>12</v>
      </c>
      <c r="CD17" s="149" t="inlineStr">
        <is>
          <t>+3 Year Extended ≈24% of configuration (default in configurator)</t>
        </is>
      </c>
      <c r="CE17" s="145" t="inlineStr">
        <is>
          <t>Humanoid category norm 2025–2026</t>
        </is>
      </c>
      <c r="CF17" s="145" t="inlineStr">
        <is>
          <t>Estimated</t>
        </is>
      </c>
      <c r="CG17" s="149" t="inlineStr">
        <is>
          <t>Confirm on formal OEM quote. EDU or enterprise packages may differ.</t>
        </is>
      </c>
      <c r="CH17" s="145" t="inlineStr">
        <is>
          <t>10%</t>
        </is>
      </c>
      <c r="CI17" s="145" t="inlineStr">
        <is>
          <t>17%</t>
        </is>
      </c>
      <c r="CJ17" s="145" t="inlineStr">
        <is>
          <t>24%</t>
        </is>
      </c>
      <c r="CK17" s="149" t="inlineStr">
        <is>
          <t>+1yr ≈10% | +2yr ≈17% | +3yr ≈24% of selected configuration price (parts &amp; labor beyond manufacturer standard).</t>
        </is>
      </c>
      <c r="CL17"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7" s="145" t="inlineStr">
        <is>
          <t>12 months manufacturer standard (typical research/commercial humanoid)</t>
        </is>
      </c>
      <c r="CO17" s="203" t="inlineStr">
        <is>
          <t>https://theresanaiforthat.com/robots/</t>
        </is>
      </c>
      <c r="CP17" s="203" t="inlineStr">
        <is>
          <t>Cross-checked against TAAFT Robots directory (669 entries) 28 Aug 2026 — individual TAAFT permalinks are JS/Cloudflare gated.</t>
        </is>
      </c>
      <c r="CQ17" s="101" t="inlineStr">
        <is>
          <t>Height: 5 ft 10 in | Weight: 407.9 | Degrees of Freedom: 50 | Payload: 44.1 | Max Speed: 3.36 | Battery / Runtime: ≈ 4 hours</t>
        </is>
      </c>
    </row>
    <row r="18" ht="31.5" customHeight="1" s="102">
      <c r="A18" s="152" t="inlineStr">
        <is>
          <t>agibot_quester1_q1</t>
        </is>
      </c>
      <c r="B18" s="153" t="inlineStr">
        <is>
          <t>Humanoid.guide</t>
        </is>
      </c>
      <c r="C18" s="152" t="inlineStr">
        <is>
          <t>AgiBot</t>
        </is>
      </c>
      <c r="D18" s="152" t="inlineStr">
        <is>
          <t>QUESTER1 (Q1)</t>
        </is>
      </c>
      <c r="E18" s="152" t="inlineStr">
        <is>
          <t>[AgiBot] QUESTER1 Q1 (2026)</t>
        </is>
      </c>
      <c r="F18" s="146" t="inlineStr">
        <is>
          <t>humanoid</t>
        </is>
      </c>
      <c r="G18" s="152" t="inlineStr">
        <is>
          <t>China</t>
        </is>
      </c>
      <c r="H18" s="152" t="n"/>
      <c r="I18" s="155" t="n">
        <v>28000</v>
      </c>
      <c r="J18" s="152" t="inlineStr">
        <is>
          <t>Humanoid.guide list</t>
        </is>
      </c>
      <c r="K18" s="156" t="inlineStr">
        <is>
          <t>QUESTER1 (Q1) is a compact humanoid robot by AgiBot, standing about 79 cm tall. It supports embodied AI research with safe, precise manipulation in controlled environments.</t>
        </is>
      </c>
      <c r="L18" s="101" t="inlineStr">
        <is>
          <t>QUESTER1 (Q1) is a compact humanoid robot by AgiBot, standing about 79 cm tall. It supports embodied AI research with safe, precise manipulation in controlled environments.</t>
        </is>
      </c>
      <c r="M18" s="101" t="inlineStr">
        <is>
          <t>QUESTER1 Q1 is AgiBot's humanoid, introduced around 2026 in China. QUESTER1 (Q1) is a compact humanoid robot by AgiBot, standing about 79 cm tall. It supports embodied AI research with safe, precise manipulation in controlled environments. Public status is listed as prototype, and it is positioned for aI research; education.</t>
        </is>
      </c>
      <c r="N18" s="157" t="inlineStr">
        <is>
          <t>https://humanoid.guide/product/quester1-q1/</t>
        </is>
      </c>
      <c r="O18" s="157" t="inlineStr">
        <is>
          <t>https://www.agibot.com</t>
        </is>
      </c>
      <c r="P18" s="152" t="inlineStr">
        <is>
          <t>2 ft 7 in</t>
        </is>
      </c>
      <c r="Q18" s="152" t="n">
        <v>79</v>
      </c>
      <c r="R18" s="152" t="n">
        <v>44.1</v>
      </c>
      <c r="S18" s="152" t="n">
        <v>20</v>
      </c>
      <c r="T18" s="156" t="inlineStr">
        <is>
          <t>Not disclosed</t>
        </is>
      </c>
      <c r="U18" s="152" t="n"/>
      <c r="V18" s="152" t="inlineStr">
        <is>
          <t>~24–32</t>
        </is>
      </c>
      <c r="W18" s="156" t="inlineStr">
        <is>
          <t>~8–12</t>
        </is>
      </c>
      <c r="X18" s="152" t="n">
        <v>8.800000000000001</v>
      </c>
      <c r="Y18" s="152" t="n">
        <v>4</v>
      </c>
      <c r="Z18" s="152" t="n">
        <v>1.55</v>
      </c>
      <c r="AA18" s="152" t="n">
        <v>2.5</v>
      </c>
      <c r="AB18" s="152" t="n">
        <v>2</v>
      </c>
      <c r="AC18" s="156" t="inlineStr">
        <is>
          <t>≈ 3 hours</t>
        </is>
      </c>
      <c r="AD18" s="156" t="inlineStr">
        <is>
          <t>3</t>
        </is>
      </c>
      <c r="AE18" s="152" t="n"/>
      <c r="AF18" s="152" t="inlineStr">
        <is>
          <t>Not disclosed</t>
        </is>
      </c>
      <c r="AG18" s="156" t="inlineStr">
        <is>
          <t>5 per hand</t>
        </is>
      </c>
      <c r="AH18" s="152" t="inlineStr">
        <is>
          <t>5 per hand</t>
        </is>
      </c>
      <c r="AI18" s="152" t="n"/>
      <c r="AJ18" s="156" t="inlineStr">
        <is>
          <t>720p–1080p</t>
        </is>
      </c>
      <c r="AK18" s="156" t="inlineStr">
        <is>
          <t>720p–1080p</t>
        </is>
      </c>
      <c r="AL18" s="152" t="inlineStr">
        <is>
          <t>Not disclosed</t>
        </is>
      </c>
      <c r="AM18" s="152" t="n"/>
      <c r="AN18" s="152" t="inlineStr">
        <is>
          <t>Not disclosed</t>
        </is>
      </c>
      <c r="AO18" s="152" t="inlineStr">
        <is>
          <t>Not disclosed</t>
        </is>
      </c>
      <c r="AP18" s="152" t="inlineStr">
        <is>
          <t>Not disclosed</t>
        </is>
      </c>
      <c r="AQ18" s="152" t="inlineStr">
        <is>
          <t>Not disclosed</t>
        </is>
      </c>
      <c r="AR18" s="152" t="n"/>
      <c r="AS18" s="152" t="n"/>
      <c r="AT18" s="156" t="inlineStr">
        <is>
          <t>Embedded CPU + small AI accelerator</t>
        </is>
      </c>
      <c r="AU18" s="156" t="inlineStr">
        <is>
          <t>Ethernet; USB; Wi‑Fi</t>
        </is>
      </c>
      <c r="AV18" s="152" t="inlineStr">
        <is>
          <t>Not disclosed</t>
        </is>
      </c>
      <c r="AW18" s="156" t="inlineStr">
        <is>
          <t>Not disclosed</t>
        </is>
      </c>
      <c r="AX18" s="152" t="n"/>
      <c r="AY18" s="156" t="inlineStr">
        <is>
          <t>Linux-based robotics OS</t>
        </is>
      </c>
      <c r="AZ18" s="156" t="inlineStr">
        <is>
          <t>Possible via external system integration</t>
        </is>
      </c>
      <c r="BA18" s="156" t="inlineStr">
        <is>
          <t>Low, suitable for manipulation</t>
        </is>
      </c>
      <c r="BB18" s="156" t="inlineStr">
        <is>
          <t>Electric servo motors</t>
        </is>
      </c>
      <c r="BC18" s="156" t="inlineStr">
        <is>
          <t>Harmonic / precision gearboxes</t>
        </is>
      </c>
      <c r="BD18" s="152" t="inlineStr">
        <is>
          <t>Aluminum + plastic composites</t>
        </is>
      </c>
      <c r="BE18" s="152" t="inlineStr">
        <is>
          <t>IP20</t>
        </is>
      </c>
      <c r="BF18" s="152" t="inlineStr">
        <is>
          <t>IP20</t>
        </is>
      </c>
      <c r="BG18" s="152" t="n"/>
      <c r="BH18" s="152" t="n"/>
      <c r="BI18" s="152" t="n"/>
      <c r="BJ18" s="152" t="n"/>
      <c r="BK18" s="152" t="n"/>
      <c r="BL18" s="152" t="n"/>
      <c r="BM18" s="152" t="inlineStr">
        <is>
          <t>Yes</t>
        </is>
      </c>
      <c r="BN18" s="152" t="inlineStr">
        <is>
          <t>Not disclosed</t>
        </is>
      </c>
      <c r="BO18" s="156" t="inlineStr">
        <is>
          <t>Market: AI research; education · Human-safe: Yes · AI: Possible via external system integration · Actuation: Electric servo motors · Peak 2.5 km/h · Walk 2 km/h · Runtime 3</t>
        </is>
      </c>
      <c r="BP18" s="152" t="n"/>
      <c r="BQ18" s="156" t="inlineStr">
        <is>
          <t>AI research; education</t>
        </is>
      </c>
      <c r="BR18" s="156" t="inlineStr">
        <is>
          <t>Prototype</t>
        </is>
      </c>
      <c r="BS18" s="156" t="inlineStr">
        <is>
          <t>Prototype</t>
        </is>
      </c>
      <c r="BT18" s="152" t="inlineStr">
        <is>
          <t>Black</t>
        </is>
      </c>
      <c r="BU18" s="152" t="inlineStr">
        <is>
          <t>Not verified</t>
        </is>
      </c>
      <c r="BV18" s="156" t="n"/>
      <c r="BW18" s="156" t="inlineStr">
        <is>
          <t>Origin &amp; status — China · Prototype · 2026 | Manipulation — 5 per hand · 5 per hand fingers · Hand DOF ~8–12 · Payload 8.8 lb | Sensing &amp; software — 720p–1080p · Possible via external system integration · Linux-based robotics OS | Buying notes — From $28,000 · 12 months manufacturer standard (typical research/commercial humanoid) · Best fit: AI research</t>
        </is>
      </c>
      <c r="BX18" s="156" t="inlineStr">
        <is>
          <t>as_shipped|QUESTER1 Q1|28000|As shipped</t>
        </is>
      </c>
      <c r="BY18" s="152" t="inlineStr">
        <is>
          <t>black|Black|#e2e8f0|0</t>
        </is>
      </c>
      <c r="BZ18" s="152" t="inlineStr"/>
      <c r="CA18" s="156" t="n"/>
      <c r="CB18" s="156" t="inlineStr">
        <is>
          <t>12 months manufacturer standard (typical research/commercial humanoid)</t>
        </is>
      </c>
      <c r="CC18" s="154" t="n">
        <v>12</v>
      </c>
      <c r="CD18" s="156" t="inlineStr">
        <is>
          <t>+3 Year Extended ≈24% of configuration (default in configurator)</t>
        </is>
      </c>
      <c r="CE18" s="152" t="inlineStr">
        <is>
          <t>Humanoid category norm 2025–2026</t>
        </is>
      </c>
      <c r="CF18" s="152" t="inlineStr">
        <is>
          <t>Estimated</t>
        </is>
      </c>
      <c r="CG18" s="156" t="inlineStr">
        <is>
          <t>Confirm on formal OEM quote. EDU or enterprise packages may differ.</t>
        </is>
      </c>
      <c r="CH18" s="152" t="inlineStr">
        <is>
          <t>10%</t>
        </is>
      </c>
      <c r="CI18" s="152" t="inlineStr">
        <is>
          <t>17%</t>
        </is>
      </c>
      <c r="CJ18" s="152" t="inlineStr">
        <is>
          <t>24%</t>
        </is>
      </c>
      <c r="CK18" s="156" t="inlineStr">
        <is>
          <t>+1yr ≈10% | +2yr ≈17% | +3yr ≈24% of selected configuration price (parts &amp; labor beyond manufacturer standard).</t>
        </is>
      </c>
      <c r="CL18"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8" s="152" t="inlineStr">
        <is>
          <t>12 months manufacturer standard (typical research/commercial humanoid)</t>
        </is>
      </c>
      <c r="CN18" s="203" t="inlineStr">
        <is>
          <t>https://aixzd.com/robot/r1</t>
        </is>
      </c>
      <c r="CO18" s="203" t="inlineStr">
        <is>
          <t>https://theresanaiforthat.com/robots/</t>
        </is>
      </c>
      <c r="CP18" s="203" t="inlineStr">
        <is>
          <t>Cross-checked against TAAFT Robots directory (669 entries) 28 Aug 2026 — individual TAAFT permalinks are JS/Cloudflare gated.</t>
        </is>
      </c>
      <c r="CQ18" s="101" t="inlineStr">
        <is>
          <t>Height: 2 ft 7 in | Weight: 44.1 | Degrees of Freedom: ~24–32 | Payload: 8.8 | Max Speed: 1.55 | Battery / Runtime: ≈ 3 hours</t>
        </is>
      </c>
    </row>
    <row r="19" ht="31.5" customHeight="1" s="102">
      <c r="A19" s="145" t="inlineStr">
        <is>
          <t>agibot_raise_a1</t>
        </is>
      </c>
      <c r="B19" s="153" t="inlineStr">
        <is>
          <t>Humanoid.guide</t>
        </is>
      </c>
      <c r="C19" s="145" t="inlineStr">
        <is>
          <t>AgiBot</t>
        </is>
      </c>
      <c r="D19" s="145" t="inlineStr">
        <is>
          <t>RAISE A1</t>
        </is>
      </c>
      <c r="E19" s="145" t="inlineStr">
        <is>
          <t>[AgiBot] RAISE A1 (2026)</t>
        </is>
      </c>
      <c r="F19" s="146" t="inlineStr">
        <is>
          <t>humanoid</t>
        </is>
      </c>
      <c r="G19" s="145" t="inlineStr">
        <is>
          <t>China</t>
        </is>
      </c>
      <c r="H19" s="145" t="n"/>
      <c r="I19" s="148" t="n">
        <v>30000</v>
      </c>
      <c r="J19" s="145" t="inlineStr">
        <is>
          <t>Humanoid.guide list</t>
        </is>
      </c>
      <c r="K19" s="149" t="inlineStr">
        <is>
          <t>AI‑powered humanoid robot (175 cm, 55 kg) with 49+ DoF, 7 km/h walking speed, dexterous five‑finger hands and 200 TOPS onboard AI—built for manufacturing, logistics and services.</t>
        </is>
      </c>
      <c r="L19" s="101" t="inlineStr">
        <is>
          <t>AI‑powered humanoid robot (175 cm, 55 kg) with 49+ DoF, 7 km/h walking speed, dexterous five‑finger hands and 200 TOPS onboard AI—built for manufacturing, logistics and services.</t>
        </is>
      </c>
      <c r="M19" s="101" t="inlineStr">
        <is>
          <t>RAISE A1 is AgiBot's humanoid, introduced around 2026 in China. AI‑powered humanoid robot (175 cm, 55 kg) with 49+ DoF, 7 km/h walking speed, dexterous five‑finger hands and 200 TOPS onboard AI—built for manufacturing, logistics and services. Public status is listed as prototype, and it is positioned for industries; Lgistics.; Manufacturing.</t>
        </is>
      </c>
      <c r="N19" s="150" t="inlineStr">
        <is>
          <t>https://humanoid.guide/product/raise-a1/</t>
        </is>
      </c>
      <c r="O19" s="150" t="inlineStr">
        <is>
          <t>https://www.agibot.com</t>
        </is>
      </c>
      <c r="P19" s="145" t="inlineStr">
        <is>
          <t>5 ft 9 in</t>
        </is>
      </c>
      <c r="Q19" s="145" t="n">
        <v>175</v>
      </c>
      <c r="R19" s="145" t="n">
        <v>121.3</v>
      </c>
      <c r="S19" s="145" t="n">
        <v>55</v>
      </c>
      <c r="T19" s="149" t="inlineStr">
        <is>
          <t>Not disclosed</t>
        </is>
      </c>
      <c r="U19" s="145" t="inlineStr">
        <is>
          <t>Not specified</t>
        </is>
      </c>
      <c r="V19" s="145" t="inlineStr">
        <is>
          <t>49</t>
        </is>
      </c>
      <c r="W19" s="149" t="inlineStr">
        <is>
          <t>12</t>
        </is>
      </c>
      <c r="X19" s="145" t="n">
        <v>11</v>
      </c>
      <c r="Y19" s="145" t="n">
        <v>5</v>
      </c>
      <c r="Z19" s="145" t="n">
        <v>4.35</v>
      </c>
      <c r="AA19" s="145" t="n">
        <v>7</v>
      </c>
      <c r="AB19" s="145" t="n">
        <v>7</v>
      </c>
      <c r="AC19" s="149" t="inlineStr">
        <is>
          <t>≈ 2 hours</t>
        </is>
      </c>
      <c r="AD19" s="149" t="inlineStr">
        <is>
          <t>2</t>
        </is>
      </c>
      <c r="AE19" s="145" t="n"/>
      <c r="AF19" s="145" t="inlineStr">
        <is>
          <t>Not disclosed</t>
        </is>
      </c>
      <c r="AG19" s="149" t="inlineStr">
        <is>
          <t>10</t>
        </is>
      </c>
      <c r="AH19" s="145" t="inlineStr">
        <is>
          <t>10</t>
        </is>
      </c>
      <c r="AI19" s="158" t="n">
        <v>2</v>
      </c>
      <c r="AJ19" s="149" t="inlineStr">
        <is>
          <t>RGB‑D camera</t>
        </is>
      </c>
      <c r="AK19" s="149" t="inlineStr">
        <is>
          <t>RGB‑D camera</t>
        </is>
      </c>
      <c r="AL19" s="145" t="inlineStr">
        <is>
          <t>Not disclosed</t>
        </is>
      </c>
      <c r="AM19" s="145" t="n"/>
      <c r="AN19" s="145" t="inlineStr">
        <is>
          <t>Not disclosed</t>
        </is>
      </c>
      <c r="AO19" s="145" t="inlineStr">
        <is>
          <t>Not disclosed</t>
        </is>
      </c>
      <c r="AP19" s="145" t="inlineStr">
        <is>
          <t>Not disclosed</t>
        </is>
      </c>
      <c r="AQ19" s="145" t="inlineStr">
        <is>
          <t>Not disclosed</t>
        </is>
      </c>
      <c r="AR19" s="145" t="n"/>
      <c r="AS19" s="145" t="n"/>
      <c r="AT19" s="149" t="inlineStr">
        <is>
          <t>Not disclosed</t>
        </is>
      </c>
      <c r="AU19" s="149" t="inlineStr">
        <is>
          <t>Not disclosed</t>
        </is>
      </c>
      <c r="AV19" s="145" t="inlineStr">
        <is>
          <t>Not disclosed</t>
        </is>
      </c>
      <c r="AW19" s="149" t="inlineStr">
        <is>
          <t>Not disclosed</t>
        </is>
      </c>
      <c r="AX19" s="158" t="n">
        <v>2</v>
      </c>
      <c r="AY19" s="149" t="inlineStr">
        <is>
          <t>Not disclosed</t>
        </is>
      </c>
      <c r="AZ19" s="149" t="inlineStr">
        <is>
          <t>WorkGPT</t>
        </is>
      </c>
      <c r="BA19" s="149" t="inlineStr">
        <is>
          <t>Not specified</t>
        </is>
      </c>
      <c r="BB19" s="149" t="inlineStr">
        <is>
          <t>PowerFlow quasi‑direct‑drive joint with high‑torque planetary reducer (&amp;lt;10:1), coaxial dual encoders, liquid‑cooling; peak joint torque ~350 N·m.</t>
        </is>
      </c>
      <c r="BC19" s="149" t="inlineStr">
        <is>
          <t>High‑torque planetary reducers</t>
        </is>
      </c>
      <c r="BD19" s="145" t="inlineStr">
        <is>
          <t>Not disclosed</t>
        </is>
      </c>
      <c r="BE19" s="145" t="inlineStr">
        <is>
          <t>Not disclosed</t>
        </is>
      </c>
      <c r="BF19" s="145" t="inlineStr">
        <is>
          <t>Not specified</t>
        </is>
      </c>
      <c r="BG19" s="145" t="n"/>
      <c r="BH19" s="145" t="n"/>
      <c r="BI19" s="145" t="n"/>
      <c r="BJ19" s="145" t="n"/>
      <c r="BK19" s="145" t="n"/>
      <c r="BL19" s="145" t="n"/>
      <c r="BM19" s="145" t="inlineStr">
        <is>
          <t>Not disclosed</t>
        </is>
      </c>
      <c r="BN19" s="145" t="inlineStr">
        <is>
          <t>Not disclosed</t>
        </is>
      </c>
      <c r="BO19" s="149" t="inlineStr">
        <is>
          <t>Market: Industries; Lgistics.; Manufacturing · Manipulation 2/4 · Navigation 2/4 · Human-safe: Not specified · AI: WorkGPT · Actuation: PowerFlow quasi‑direct‑drive joint with high‑torque planetary reducer (&amp;lt;10:1), coaxial dual encoders, li… · Peak 7 km/h · Walk 7 km/h · Runtime 2</t>
        </is>
      </c>
      <c r="BP19" s="145" t="n"/>
      <c r="BQ19" s="149" t="inlineStr">
        <is>
          <t>Industries; Lgistics.; Manufacturing</t>
        </is>
      </c>
      <c r="BR19" s="149" t="inlineStr">
        <is>
          <t>Prototype</t>
        </is>
      </c>
      <c r="BS19" s="149" t="inlineStr">
        <is>
          <t>Prototype</t>
        </is>
      </c>
      <c r="BT19" s="145" t="inlineStr">
        <is>
          <t>Not specified</t>
        </is>
      </c>
      <c r="BU19" s="145" t="inlineStr">
        <is>
          <t>Not verified</t>
        </is>
      </c>
      <c r="BV19" s="149" t="n"/>
      <c r="BW19" s="149" t="inlineStr">
        <is>
          <t>Origin &amp; status — China · Prototype · 2026 | Manipulation — 10 · 10 fingers · Hand DOF 12 · Payload 11 lb | Sensing &amp; software — RGB‑D camera · WorkGPT | Buying notes — From $30,000 · 12 months manufacturer standard (typical research/commercial humanoid) · Best fit: Industries</t>
        </is>
      </c>
      <c r="BX19" s="149" t="inlineStr">
        <is>
          <t>as_shipped|RAISE A1|30000|As shipped</t>
        </is>
      </c>
      <c r="BY19" s="145" t="inlineStr">
        <is>
          <t>not_specified|Not specified|#e2e8f0|0</t>
        </is>
      </c>
      <c r="BZ19" s="145" t="inlineStr"/>
      <c r="CA19" s="149" t="n"/>
      <c r="CB19" s="149" t="inlineStr">
        <is>
          <t>12 months manufacturer standard (typical research/commercial humanoid)</t>
        </is>
      </c>
      <c r="CC19" s="147" t="n">
        <v>12</v>
      </c>
      <c r="CD19" s="149" t="inlineStr">
        <is>
          <t>+3 Year Extended ≈24% of configuration (default in configurator)</t>
        </is>
      </c>
      <c r="CE19" s="145" t="inlineStr">
        <is>
          <t>Humanoid category norm 2025–2026</t>
        </is>
      </c>
      <c r="CF19" s="145" t="inlineStr">
        <is>
          <t>Estimated</t>
        </is>
      </c>
      <c r="CG19" s="149" t="inlineStr">
        <is>
          <t>Confirm on formal OEM quote. EDU or enterprise packages may differ.</t>
        </is>
      </c>
      <c r="CH19" s="145" t="inlineStr">
        <is>
          <t>10%</t>
        </is>
      </c>
      <c r="CI19" s="145" t="inlineStr">
        <is>
          <t>17%</t>
        </is>
      </c>
      <c r="CJ19" s="145" t="inlineStr">
        <is>
          <t>24%</t>
        </is>
      </c>
      <c r="CK19" s="149" t="inlineStr">
        <is>
          <t>+1yr ≈10% | +2yr ≈17% | +3yr ≈24% of selected configuration price (parts &amp; labor beyond manufacturer standard).</t>
        </is>
      </c>
      <c r="CL1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9" s="145" t="inlineStr">
        <is>
          <t>12 months manufacturer standard (typical research/commercial humanoid)</t>
        </is>
      </c>
      <c r="CO19" s="203" t="inlineStr">
        <is>
          <t>https://theresanaiforthat.com/robots/</t>
        </is>
      </c>
      <c r="CP19" s="203" t="inlineStr">
        <is>
          <t>Cross-checked against TAAFT Robots directory (669 entries) 28 Aug 2026 — individual TAAFT permalinks are JS/Cloudflare gated.</t>
        </is>
      </c>
      <c r="CQ19" s="101" t="inlineStr">
        <is>
          <t>Height: 5 ft 9 in | Weight: 121.3 | Degrees of Freedom: 49 | Payload: 11 | Max Speed: 4.35 | Battery / Runtime: ≈ 2 hours</t>
        </is>
      </c>
    </row>
    <row r="20" ht="31.5" customHeight="1" s="102">
      <c r="A20" s="159" t="inlineStr">
        <is>
          <t>a2lite</t>
        </is>
      </c>
      <c r="B20" s="160" t="inlineStr">
        <is>
          <t>Website</t>
        </is>
      </c>
      <c r="C20" s="152" t="inlineStr">
        <is>
          <t>AgiBot (Zhiyuan)</t>
        </is>
      </c>
      <c r="D20" s="152" t="inlineStr">
        <is>
          <t>A2 Lite</t>
        </is>
      </c>
      <c r="E20" s="152" t="inlineStr">
        <is>
          <t>[AgiBot] A2 Lite (2025)</t>
        </is>
      </c>
      <c r="F20" s="146" t="inlineStr">
        <is>
          <t>humanoid</t>
        </is>
      </c>
      <c r="G20" s="152" t="inlineStr">
        <is>
          <t>China</t>
        </is>
      </c>
      <c r="H20" s="154" t="n">
        <v>2025</v>
      </c>
      <c r="I20" s="155" t="n">
        <v>44560</v>
      </c>
      <c r="J20" s="152" t="inlineStr">
        <is>
          <t>Robot Price Index Aug 2026</t>
        </is>
      </c>
      <c r="K20" s="156" t="inlineStr">
        <is>
          <t>A2 Lite is AgiBot (Zhiyuan)'s humanoid — ≈ 5 ft 7 in class class, Full-size humanoid DOF class, Light commercial interaction payload class lb payload. RGB / depth class sensors for interaction.</t>
        </is>
      </c>
      <c r="L20" s="101" t="inlineStr">
        <is>
          <t>A2 Lite is AgiBot (Zhiyuan)'s humanoid — ≈ 5 ft 7 in class class, Full-size humanoid DOF class, Light commercial interaction payload class lb payload. RGB / depth class sensors for interaction.</t>
        </is>
      </c>
      <c r="M20" s="101" t="inlineStr">
        <is>
          <t>A2 Lite is AgiBot (Zhiyuan)'s humanoid — ≈ 5 ft 7 in class class, Full-size humanoid DOF class, Light commercial interaction payload class lb payload. RGB / depth class sensors for interaction.</t>
        </is>
      </c>
      <c r="N20" s="152" t="n"/>
      <c r="O20" s="152" t="inlineStr">
        <is>
          <t>https://www.agibot.com</t>
        </is>
      </c>
      <c r="P20" s="152" t="inlineStr">
        <is>
          <t>≈ 5 ft 7 in class</t>
        </is>
      </c>
      <c r="Q20" s="152" t="n">
        <v>170.2</v>
      </c>
      <c r="R20" s="152" t="inlineStr">
        <is>
          <t>≈ 121–132 lb class</t>
        </is>
      </c>
      <c r="S20" s="152" t="n">
        <v>59.9</v>
      </c>
      <c r="T20" s="156" t="inlineStr">
        <is>
          <t>Not disclosed</t>
        </is>
      </c>
      <c r="U20" s="152" t="n"/>
      <c r="V20" s="152" t="inlineStr">
        <is>
          <t>Full-size humanoid DOF class</t>
        </is>
      </c>
      <c r="W20" s="156" t="inlineStr">
        <is>
          <t>Not disclosed</t>
        </is>
      </c>
      <c r="X20" s="152" t="inlineStr">
        <is>
          <t>Light commercial interaction payload class</t>
        </is>
      </c>
      <c r="Y20" s="152" t="n"/>
      <c r="Z20" s="152" t="n"/>
      <c r="AA20" s="152" t="n"/>
      <c r="AB20" s="152" t="n"/>
      <c r="AC20" s="156" t="inlineStr">
        <is>
          <t>Not disclosed</t>
        </is>
      </c>
      <c r="AD20" s="156" t="n"/>
      <c r="AE20" s="152" t="n"/>
      <c r="AF20" s="152" t="inlineStr">
        <is>
          <t>Not disclosed</t>
        </is>
      </c>
      <c r="AG20" s="156" t="inlineStr">
        <is>
          <t>Not disclosed</t>
        </is>
      </c>
      <c r="AH20" s="152" t="inlineStr">
        <is>
          <t>Not disclosed</t>
        </is>
      </c>
      <c r="AI20" s="152" t="n"/>
      <c r="AJ20" s="156" t="inlineStr">
        <is>
          <t>RGB / depth class sensors for interaction</t>
        </is>
      </c>
      <c r="AK20" s="156" t="n"/>
      <c r="AL20" s="152" t="inlineStr">
        <is>
          <t>Not disclosed</t>
        </is>
      </c>
      <c r="AM20" s="152" t="n"/>
      <c r="AN20" s="152" t="inlineStr">
        <is>
          <t>Not disclosed</t>
        </is>
      </c>
      <c r="AO20" s="152" t="inlineStr">
        <is>
          <t>Voice interaction hardware on commercial builds</t>
        </is>
      </c>
      <c r="AP20" s="152" t="inlineStr">
        <is>
          <t>Not disclosed</t>
        </is>
      </c>
      <c r="AQ20" s="152" t="inlineStr">
        <is>
          <t>Not disclosed</t>
        </is>
      </c>
      <c r="AR20" s="152" t="n"/>
      <c r="AS20" s="152" t="n"/>
      <c r="AT20" s="156" t="inlineStr">
        <is>
          <t>Not disclosed</t>
        </is>
      </c>
      <c r="AU20" s="156" t="inlineStr">
        <is>
          <t>Not disclosed</t>
        </is>
      </c>
      <c r="AV20" s="152" t="inlineStr">
        <is>
          <t>Commercial demo and showroom software</t>
        </is>
      </c>
      <c r="AW20" s="156" t="inlineStr">
        <is>
          <t>Not disclosed</t>
        </is>
      </c>
      <c r="AX20" s="152" t="n"/>
      <c r="AY20" s="156" t="inlineStr">
        <is>
          <t>Not disclosed</t>
        </is>
      </c>
      <c r="AZ20" s="156" t="inlineStr">
        <is>
          <t>Not disclosed</t>
        </is>
      </c>
      <c r="BA20" s="156" t="n"/>
      <c r="BB20" s="156" t="inlineStr">
        <is>
          <t>Not disclosed</t>
        </is>
      </c>
      <c r="BC20" s="156" t="inlineStr">
        <is>
          <t>Not disclosed</t>
        </is>
      </c>
      <c r="BD20" s="152" t="inlineStr">
        <is>
          <t>Not disclosed</t>
        </is>
      </c>
      <c r="BE20" s="152" t="inlineStr">
        <is>
          <t>Not disclosed</t>
        </is>
      </c>
      <c r="BF20" s="152" t="n"/>
      <c r="BG20" s="152" t="n"/>
      <c r="BH20" s="152" t="n"/>
      <c r="BI20" s="152" t="n"/>
      <c r="BJ20" s="152" t="n"/>
      <c r="BK20" s="152" t="n"/>
      <c r="BL20" s="152" t="n"/>
      <c r="BM20" s="152" t="inlineStr">
        <is>
          <t>Not disclosed</t>
        </is>
      </c>
      <c r="BN20" s="152" t="inlineStr">
        <is>
          <t>Not disclosed</t>
        </is>
      </c>
      <c r="BO20" s="156" t="inlineStr">
        <is>
          <t>The A2 Lite is a bipedal humanoid robot from AgiBot, associated with development and availability timelines around 2025.</t>
        </is>
      </c>
      <c r="BP20" s="152" t="n"/>
      <c r="BQ20" s="156" t="inlineStr">
        <is>
          <t>Commercial demos, showrooms, and teams that want a more finished humanoid appearance with clearer pricing.</t>
        </is>
      </c>
      <c r="BR20" s="156" t="inlineStr">
        <is>
          <t>Not disclosed</t>
        </is>
      </c>
      <c r="BS20" s="156" t="n"/>
      <c r="BT20" s="152" t="n"/>
      <c r="BU20" s="152" t="n"/>
      <c r="BV20" s="156" t="n"/>
      <c r="BW20" s="156" t="inlineStr">
        <is>
          <t>Origin &amp; status — China · 2025 | Manipulation — Payload Light commercial interaction payload class lb | Sensing &amp; software — RGB / depth class sensors for interaction · Commercial demo and showroom software | Buying notes — From $44,560 · 12 months manufacturer standard (typical by tier)</t>
        </is>
      </c>
      <c r="BX20" s="156" t="inlineStr">
        <is>
          <t>lite|A2 Lite|44560|International store configuration || a2|A2 / A2 Ultra|120000|Full Yuanzheng flagship</t>
        </is>
      </c>
      <c r="BY20" s="152" t="inlineStr">
        <is>
          <t>white|Show White|#f8fafc|0 || black|Stage Black|#111111|0</t>
        </is>
      </c>
      <c r="BZ20" s="152" t="inlineStr">
        <is>
          <t>battery_a2l, hands, controller, case, warranty_a2l</t>
        </is>
      </c>
      <c r="CA20" s="156" t="inlineStr">
        <is>
          <t>2 configuration tiers; Add-ons: battery_a2l, hands, controller, case; 2 color options; Multi-year extended warranty available</t>
        </is>
      </c>
      <c r="CB20" s="156" t="inlineStr">
        <is>
          <t>12 months manufacturer standard (typical by tier)</t>
        </is>
      </c>
      <c r="CC20" s="154" t="n">
        <v>12</v>
      </c>
      <c r="CD20" s="156" t="inlineStr">
        <is>
          <t>+3 Year Extended ≈24% of configuration (default in configurator)</t>
        </is>
      </c>
      <c r="CE20" s="152" t="inlineStr">
        <is>
          <t>Category norm for AgiBot commercial platforms</t>
        </is>
      </c>
      <c r="CF20" s="152" t="inlineStr">
        <is>
          <t>Estimated</t>
        </is>
      </c>
      <c r="CG20" s="156" t="inlineStr">
        <is>
          <t>Confirm tier-specific term on formal quote.</t>
        </is>
      </c>
      <c r="CH20" s="152" t="inlineStr">
        <is>
          <t>10%</t>
        </is>
      </c>
      <c r="CI20" s="152" t="inlineStr">
        <is>
          <t>17%</t>
        </is>
      </c>
      <c r="CJ20" s="152" t="inlineStr">
        <is>
          <t>24%</t>
        </is>
      </c>
      <c r="CK20"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0"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0" s="152" t="inlineStr">
        <is>
          <t>12 months manufacturer standard (typical by tier)</t>
        </is>
      </c>
      <c r="CO20" s="203" t="inlineStr">
        <is>
          <t>https://theresanaiforthat.com/robots/</t>
        </is>
      </c>
      <c r="CP20" s="203" t="inlineStr">
        <is>
          <t>Cross-checked against TAAFT Robots directory (669 entries) 28 Aug 2026 — individual TAAFT permalinks are JS/Cloudflare gated.</t>
        </is>
      </c>
      <c r="CQ20" s="101" t="inlineStr">
        <is>
          <t>Height: ≈ 5 ft 7 in class | Weight: ≈ 121–132 lb class | Degrees of Freedom: Full-size humanoid DOF class | Payload: Light commercial interaction payload class | Max Speed: Not disclosed | Battery / Runtime: Not disclosed</t>
        </is>
      </c>
    </row>
    <row r="21" ht="31.5" customHeight="1" s="102">
      <c r="A21" s="143" t="inlineStr">
        <is>
          <t>x2</t>
        </is>
      </c>
      <c r="B21" s="144" t="inlineStr">
        <is>
          <t>Both</t>
        </is>
      </c>
      <c r="C21" s="145" t="inlineStr">
        <is>
          <t>AgiBot</t>
        </is>
      </c>
      <c r="D21" s="145" t="inlineStr">
        <is>
          <t>AgiBot X2</t>
        </is>
      </c>
      <c r="E21" s="145" t="inlineStr">
        <is>
          <t>[AgiBot] Lingxi X2 (2025)</t>
        </is>
      </c>
      <c r="F21" s="146" t="inlineStr">
        <is>
          <t>humanoid</t>
        </is>
      </c>
      <c r="G21" s="145" t="inlineStr">
        <is>
          <t>China</t>
        </is>
      </c>
      <c r="H21" s="147" t="n">
        <v>2025</v>
      </c>
      <c r="I21" s="148" t="n">
        <v>24240</v>
      </c>
      <c r="J21" s="145" t="inlineStr">
        <is>
          <t>Website store</t>
        </is>
      </c>
      <c r="K21" s="149" t="inlineStr">
        <is>
          <t>AgiBot X2 is a bipedal humanoid robot by AgiBot that combines fluid human-like movement, autonomous navigation, and multimodal interaction for versatile service, entertainment, and assistance roles.</t>
        </is>
      </c>
      <c r="L21" s="101" t="inlineStr">
        <is>
          <t>AgiBot X2 is a bipedal humanoid robot by AgiBot that combines fluid human-like movement, autonomous navigation, and multimodal interaction for versatile service, entertainment, and assistance roles.</t>
        </is>
      </c>
      <c r="M21" s="101" t="inlineStr">
        <is>
          <t>Lingxi X2 is AgiBot’s compact interaction humanoid, built as a lighter, more approachable counterpart to the company’s larger industrial A2 family.</t>
        </is>
      </c>
      <c r="N21" s="150" t="inlineStr">
        <is>
          <t>https://humanoid.guide/product/agibot-x2/</t>
        </is>
      </c>
      <c r="O21" s="150" t="inlineStr">
        <is>
          <t>https://www.agibot.com</t>
        </is>
      </c>
      <c r="P21" s="145" t="inlineStr">
        <is>
          <t>≈ 4 ft 4 in</t>
        </is>
      </c>
      <c r="Q21" s="145" t="n">
        <v>130</v>
      </c>
      <c r="R21" s="145" t="n">
        <v>77.2</v>
      </c>
      <c r="S21" s="145" t="n">
        <v>35</v>
      </c>
      <c r="T21" s="149" t="inlineStr">
        <is>
          <t>Not disclosed</t>
        </is>
      </c>
      <c r="U21" s="145" t="inlineStr">
        <is>
          <t>131 cm × 46 cm × 21 cm</t>
        </is>
      </c>
      <c r="V21" s="145" t="inlineStr">
        <is>
          <t>≈ 25–30 depending on trim</t>
        </is>
      </c>
      <c r="W21" s="149" t="inlineStr">
        <is>
          <t>5 DOF per arm on base X2, 7 DOF per arm on Pro/Ultra</t>
        </is>
      </c>
      <c r="X21" s="145" t="n">
        <v>6.6</v>
      </c>
      <c r="Y21" s="145" t="n">
        <v>3</v>
      </c>
      <c r="Z21" s="145" t="n">
        <v>3.36</v>
      </c>
      <c r="AA21" s="145" t="n">
        <v>5.4</v>
      </c>
      <c r="AB21" s="145" t="n">
        <v>5.4</v>
      </c>
      <c r="AC21" s="149" t="inlineStr">
        <is>
          <t>~2 hours at 0.5 m/s walking with 500 Wh battery</t>
        </is>
      </c>
      <c r="AD21" s="149" t="inlineStr">
        <is>
          <t>~2 hours at 0.5 m/s walking with 500 Wh battery</t>
        </is>
      </c>
      <c r="AE21" s="145" t="n"/>
      <c r="AF21" s="145" t="inlineStr">
        <is>
          <t>Not disclosed</t>
        </is>
      </c>
      <c r="AG21" s="149" t="inlineStr">
        <is>
          <t>5 per hand</t>
        </is>
      </c>
      <c r="AH21" s="145" t="inlineStr">
        <is>
          <t>5 per hand</t>
        </is>
      </c>
      <c r="AI21" s="151" t="n">
        <v>3</v>
      </c>
      <c r="AJ21" s="149" t="inlineStr">
        <is>
          <t>Interactive head/camera suite for engagement scenarios</t>
        </is>
      </c>
      <c r="AK21" s="149" t="inlineStr">
        <is>
          <t>Interactive RGB camera; flagship model includes RGB-D camera + multi-line LiDAR + head-touch sensor</t>
        </is>
      </c>
      <c r="AL21" s="145" t="inlineStr">
        <is>
          <t>Onboard capture for interaction and demo recording</t>
        </is>
      </c>
      <c r="AM21" s="145" t="n"/>
      <c r="AN21" s="145" t="inlineStr">
        <is>
          <t>Not disclosed</t>
        </is>
      </c>
      <c r="AO21" s="145" t="inlineStr">
        <is>
          <t>Microphone array for voice interaction</t>
        </is>
      </c>
      <c r="AP21" s="145" t="inlineStr">
        <is>
          <t>Not disclosed</t>
        </is>
      </c>
      <c r="AQ21" s="145" t="inlineStr">
        <is>
          <t>Not disclosed</t>
        </is>
      </c>
      <c r="AR21" s="145" t="n"/>
      <c r="AS21" s="145" t="n"/>
      <c r="AT21" s="149" t="inlineStr">
        <is>
          <t>Base: RK3588 ×2; Ultra: RK3588 ×2 + optional NVIDIA Orin NX 157 TOPS</t>
        </is>
      </c>
      <c r="AU21" s="149" t="inlineStr">
        <is>
          <t>Bluetooth; Pro/Ultra optional 4G/5G module; Wi‑Fi</t>
        </is>
      </c>
      <c r="AV21" s="145" t="inlineStr">
        <is>
          <t>Show / commercial control software paths</t>
        </is>
      </c>
      <c r="AW21" s="149" t="inlineStr">
        <is>
          <t>Bipedal walking for indoor commercial spaces</t>
        </is>
      </c>
      <c r="AX21" s="151" t="n">
        <v>3</v>
      </c>
      <c r="AY21" s="149" t="inlineStr">
        <is>
          <t>Not publicly specified; likely optimized for real-time interaction given demo responsiveness (assumption)</t>
        </is>
      </c>
      <c r="AZ21" s="149" t="inlineStr">
        <is>
          <t>AI-driven decision making, uses a foundation model (GO-1) for general intelligence</t>
        </is>
      </c>
      <c r="BA21" s="149" t="n"/>
      <c r="BB21" s="149" t="inlineStr">
        <is>
          <t>Joint modules with peak joint torque 120 N·m.</t>
        </is>
      </c>
      <c r="BC21" s="149" t="inlineStr">
        <is>
          <t>Not disclosed</t>
        </is>
      </c>
      <c r="BD21" s="145" t="inlineStr">
        <is>
          <t>flexible/impact-resistant materials for exterior</t>
        </is>
      </c>
      <c r="BE21" s="145" t="inlineStr">
        <is>
          <t>Not disclosed</t>
        </is>
      </c>
      <c r="BF21" s="145" t="inlineStr">
        <is>
          <t>Not specified</t>
        </is>
      </c>
      <c r="BG21" s="145" t="n"/>
      <c r="BH21" s="145" t="n"/>
      <c r="BI21" s="145" t="n"/>
      <c r="BJ21" s="145" t="n"/>
      <c r="BK21" s="145" t="n"/>
      <c r="BL21" s="145" t="n"/>
      <c r="BM21" s="145" t="inlineStr">
        <is>
          <t>Yes — designed for human environments, with force limits and obstacle avoidance.</t>
        </is>
      </c>
      <c r="BN21" s="145" t="inlineStr">
        <is>
          <t>Not disclosed</t>
        </is>
      </c>
      <c r="BO21" s="149" t="inlineStr">
        <is>
          <t>Market: Elderly-care; Entertainment; Home service; Light industrial assistance; Public interaction; Security · Manipulation 3/4 · Navigation 3/4 · Human-safe: Yes — designed for human environments, with force limits and obstacle avoidance. · AI: AI-driven decision making, uses a foundation model (GO-1) for general intelligence · Actuation: Joint modules with peak joint torque 120 N·m. · Peak 5.4 km/h · Walk 5.4 km/h · Runtime ~2 hours at 0.5 m/s walking with 500 Wh battery</t>
        </is>
      </c>
      <c r="BP21" s="145" t="n"/>
      <c r="BQ21" s="149" t="inlineStr">
        <is>
          <t>Elderly-care; Entertainment; Home service; Light industrial assistance; Public interaction; Security</t>
        </is>
      </c>
      <c r="BR21" s="149" t="inlineStr">
        <is>
          <t>In production</t>
        </is>
      </c>
      <c r="BS21" s="149" t="inlineStr">
        <is>
          <t>In production</t>
        </is>
      </c>
      <c r="BT21" s="145" t="inlineStr">
        <is>
          <t>Black; White</t>
        </is>
      </c>
      <c r="BU21" s="145" t="inlineStr">
        <is>
          <t>Verified</t>
        </is>
      </c>
      <c r="BV21" s="149" t="inlineStr">
        <is>
          <t>Humanoid.guide listed price $34,000.</t>
        </is>
      </c>
      <c r="BW21" s="149" t="inlineStr">
        <is>
          <t>Origin &amp; status — China · In production · 2025 | Manipulation — 5 per hand · 5 per hand fingers · Hand DOF 5 DOF per arm on base X2, 7 DOF per arm on Pro/Ultra · Payload ≈ 2–7 lb class per arm (compact interactive humanoid) | Sensing &amp; software — Interactive head/camera suite for engagement scenarios · AI-driven decision making, uses a foundation model (GO-1) for general intelligence · Not publicly s… | Buying notes — From $24,240 · 12 months manufacturer standard (typical by tier) · Best fit: Elderly-care</t>
        </is>
      </c>
      <c r="BX21" s="149" t="inlineStr">
        <is>
          <t>interactive|X2|24240|Interactive / performance || pro|X2 Explorer (Pro)|0|Research trim || ultra|X2 Ultra|56400|Flagship + LiDAR</t>
        </is>
      </c>
      <c r="BY21" s="145" t="inlineStr">
        <is>
          <t>white|Performance White|#f8fafc|0</t>
        </is>
      </c>
      <c r="BZ21" s="145" t="inlineStr">
        <is>
          <t>battery_x2, hands_x2, skin_x2, controller</t>
        </is>
      </c>
      <c r="CA21" s="149" t="inlineStr">
        <is>
          <t>3 configuration tiers; Add-ons: battery_x2, hands_x2, skin_x2, controller, case; 2 color options; Multi-year extended warranty available</t>
        </is>
      </c>
      <c r="CB21" s="149" t="inlineStr">
        <is>
          <t>12 months manufacturer standard (typical by tier)</t>
        </is>
      </c>
      <c r="CC21" s="147" t="n">
        <v>12</v>
      </c>
      <c r="CD21" s="149" t="inlineStr">
        <is>
          <t>+3 Year Extended ≈24% of configuration (default in configurator)</t>
        </is>
      </c>
      <c r="CE21" s="145" t="inlineStr">
        <is>
          <t>Category norm for AgiBot commercial platforms</t>
        </is>
      </c>
      <c r="CF21" s="145" t="inlineStr">
        <is>
          <t>Estimated</t>
        </is>
      </c>
      <c r="CG21" s="149" t="inlineStr">
        <is>
          <t>Confirm tier-specific term on formal quote.</t>
        </is>
      </c>
      <c r="CH21" s="145" t="inlineStr">
        <is>
          <t>10%</t>
        </is>
      </c>
      <c r="CI21" s="145" t="inlineStr">
        <is>
          <t>17%</t>
        </is>
      </c>
      <c r="CJ21" s="145" t="inlineStr">
        <is>
          <t>24%</t>
        </is>
      </c>
      <c r="CK2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1" s="145" t="inlineStr">
        <is>
          <t>12 months manufacturer standard (typical by tier)</t>
        </is>
      </c>
      <c r="CN21" s="203" t="inlineStr">
        <is>
          <t>https://aixzd.com/robot/x2</t>
        </is>
      </c>
      <c r="CO21" s="203" t="inlineStr">
        <is>
          <t>https://theresanaiforthat.com/robots/</t>
        </is>
      </c>
      <c r="CP21" s="203" t="inlineStr">
        <is>
          <t>Cross-checked against TAAFT Robots directory (669 entries) 28 Aug 2026 — individual TAAFT permalinks are JS/Cloudflare gated.</t>
        </is>
      </c>
      <c r="CQ21" s="101" t="inlineStr">
        <is>
          <t>Height: ≈ 4 ft 4 in | Weight: 77.2 | Degrees of Freedom: ≈ 25–30 depending on trim | Payload: 6.6 | Max Speed: 3.36 | Battery / Runtime: ~2 hours at 0.5 m/s walking with 500 Wh battery</t>
        </is>
      </c>
    </row>
    <row r="22" ht="31.5" customHeight="1" s="102">
      <c r="A22" s="152" t="inlineStr">
        <is>
          <t>agile_robots_se_agile_one</t>
        </is>
      </c>
      <c r="B22" s="153" t="inlineStr">
        <is>
          <t>Humanoid.guide</t>
        </is>
      </c>
      <c r="C22" s="152" t="inlineStr">
        <is>
          <t>Agile Robots SE</t>
        </is>
      </c>
      <c r="D22" s="152" t="inlineStr">
        <is>
          <t>Agile One</t>
        </is>
      </c>
      <c r="E22" s="152" t="inlineStr">
        <is>
          <t>[Agile Robots SE] Agile One (2026)</t>
        </is>
      </c>
      <c r="F22" s="146" t="inlineStr">
        <is>
          <t>humanoid</t>
        </is>
      </c>
      <c r="G22" s="152" t="inlineStr">
        <is>
          <t>Germany</t>
        </is>
      </c>
      <c r="H22" s="152" t="n"/>
      <c r="I22" s="155" t="n">
        <v>100000</v>
      </c>
      <c r="J22" s="152" t="inlineStr">
        <is>
          <t>Humanoid.guide list</t>
        </is>
      </c>
      <c r="K22" s="156" t="inlineStr">
        <is>
          <t>Agile ONE is Agile Robots’ life-sized industrial humanoid with five-finger dexterous hands, Physical AI and factory-trained foundation models for manufacturing and logistics tasks.</t>
        </is>
      </c>
      <c r="L22" s="101" t="inlineStr">
        <is>
          <t>Agile ONE is Agile Robots’ life-sized industrial humanoid with five-finger dexterous hands, Physical AI and factory-trained foundation models for manufacturing and logistics tasks.</t>
        </is>
      </c>
      <c r="M22" s="101" t="inlineStr">
        <is>
          <t>Agile ONE is Agile Robots’ life-sized industrial humanoid with five-finger dexterous hands, Physical AI and factory-trained foundation models for manufacturing and logistics tasks. Public status is listed as prototype, and it is positioned for logistics; Manufacturing.</t>
        </is>
      </c>
      <c r="N22" s="157" t="inlineStr">
        <is>
          <t>https://humanoid.guide/product/agile-one/</t>
        </is>
      </c>
      <c r="O22" s="157" t="inlineStr">
        <is>
          <t>https://www.agile-robots.com</t>
        </is>
      </c>
      <c r="P22" s="152" t="inlineStr">
        <is>
          <t>5 ft 9 in</t>
        </is>
      </c>
      <c r="Q22" s="152" t="n">
        <v>174</v>
      </c>
      <c r="R22" s="152" t="n">
        <v>152.1</v>
      </c>
      <c r="S22" s="152" t="n">
        <v>69</v>
      </c>
      <c r="T22" s="156" t="inlineStr">
        <is>
          <t>Not disclosed</t>
        </is>
      </c>
      <c r="U22" s="152" t="n"/>
      <c r="V22" s="152" t="inlineStr">
        <is>
          <t>40</t>
        </is>
      </c>
      <c r="W22" s="156" t="inlineStr">
        <is>
          <t>21</t>
        </is>
      </c>
      <c r="X22" s="152" t="n">
        <v>44.1</v>
      </c>
      <c r="Y22" s="152" t="n">
        <v>20</v>
      </c>
      <c r="Z22" s="152" t="n">
        <v>4.47</v>
      </c>
      <c r="AA22" s="152" t="n">
        <v>7.2</v>
      </c>
      <c r="AB22" s="152" t="n">
        <v>7.2</v>
      </c>
      <c r="AC22" s="156" t="inlineStr">
        <is>
          <t>≈ 3 hours</t>
        </is>
      </c>
      <c r="AD22" s="156" t="inlineStr">
        <is>
          <t>3</t>
        </is>
      </c>
      <c r="AE22" s="152" t="n"/>
      <c r="AF22" s="152" t="inlineStr">
        <is>
          <t>Not disclosed</t>
        </is>
      </c>
      <c r="AG22" s="156" t="inlineStr">
        <is>
          <t>10</t>
        </is>
      </c>
      <c r="AH22" s="152" t="inlineStr">
        <is>
          <t>10</t>
        </is>
      </c>
      <c r="AI22" s="151" t="n">
        <v>3</v>
      </c>
      <c r="AJ22" s="156" t="inlineStr">
        <is>
          <t>Not disclosed</t>
        </is>
      </c>
      <c r="AK22" s="156" t="inlineStr">
        <is>
          <t>Not specified</t>
        </is>
      </c>
      <c r="AL22" s="152" t="inlineStr">
        <is>
          <t>Not disclosed</t>
        </is>
      </c>
      <c r="AM22" s="152" t="n"/>
      <c r="AN22" s="152" t="inlineStr">
        <is>
          <t>Not disclosed</t>
        </is>
      </c>
      <c r="AO22" s="152" t="inlineStr">
        <is>
          <t>Not disclosed</t>
        </is>
      </c>
      <c r="AP22" s="152" t="inlineStr">
        <is>
          <t>Not disclosed</t>
        </is>
      </c>
      <c r="AQ22" s="152" t="inlineStr">
        <is>
          <t>Not disclosed</t>
        </is>
      </c>
      <c r="AR22" s="152" t="n"/>
      <c r="AS22" s="152" t="n"/>
      <c r="AT22" s="156" t="inlineStr">
        <is>
          <t>Not disclosed</t>
        </is>
      </c>
      <c r="AU22" s="156" t="inlineStr">
        <is>
          <t>WiFi</t>
        </is>
      </c>
      <c r="AV22" s="152" t="inlineStr">
        <is>
          <t>Not disclosed</t>
        </is>
      </c>
      <c r="AW22" s="156" t="inlineStr">
        <is>
          <t>Not disclosed</t>
        </is>
      </c>
      <c r="AX22" s="151" t="n">
        <v>3</v>
      </c>
      <c r="AY22" s="156" t="inlineStr">
        <is>
          <t>Almost certainly a Linux-based robotics stack running AgileCore and foundation-model control</t>
        </is>
      </c>
      <c r="AZ22" s="156" t="inlineStr">
        <is>
          <t>Uses Robotic Foundation Models trained on large industrial datasets; voice / natural-language interaction is supported, but no specific general-purpose LLM is named.</t>
        </is>
      </c>
      <c r="BA22" s="156" t="inlineStr">
        <is>
          <t>Not specified</t>
        </is>
      </c>
      <c r="BB22" s="156" t="inlineStr">
        <is>
          <t>Electric motors</t>
        </is>
      </c>
      <c r="BC22" s="156" t="inlineStr">
        <is>
          <t>likely high-ratio precision gears such as harmonic/cycloidal, but not stated</t>
        </is>
      </c>
      <c r="BD22" s="152" t="inlineStr">
        <is>
          <t>Internal structure with rigid + elastic polymers, soft silicone outer shell</t>
        </is>
      </c>
      <c r="BE22" s="152" t="inlineStr">
        <is>
          <t>Not disclosed</t>
        </is>
      </c>
      <c r="BF22" s="152" t="inlineStr">
        <is>
          <t>Not specified</t>
        </is>
      </c>
      <c r="BG22" s="152" t="n"/>
      <c r="BH22" s="152" t="n"/>
      <c r="BI22" s="152" t="n"/>
      <c r="BJ22" s="152" t="n"/>
      <c r="BK22" s="152" t="n"/>
      <c r="BL22" s="152" t="n"/>
      <c r="BM22" s="152" t="inlineStr">
        <is>
          <t>Yes</t>
        </is>
      </c>
      <c r="BN22" s="152" t="inlineStr">
        <is>
          <t>Not disclosed</t>
        </is>
      </c>
      <c r="BO22" s="156" t="inlineStr">
        <is>
          <t>Market: logistics; Manufacturing · Manipulation 3/4 · Navigation 3/4 · Human-safe: Yes · AI: Uses Robotic Foundation Models trained on large industrial datasets; voice / natural-language interaction is supported, but no specific g… · Actuation: Electric motors · Peak 7.2 km/h · Walk 7.2 km/h · Runtime 3</t>
        </is>
      </c>
      <c r="BP22" s="152" t="n"/>
      <c r="BQ22" s="156" t="inlineStr">
        <is>
          <t>logistics; Manufacturing</t>
        </is>
      </c>
      <c r="BR22" s="156" t="inlineStr">
        <is>
          <t>Prototype</t>
        </is>
      </c>
      <c r="BS22" s="156" t="inlineStr">
        <is>
          <t>Prototype</t>
        </is>
      </c>
      <c r="BT22" s="152" t="n"/>
      <c r="BU22" s="152" t="inlineStr">
        <is>
          <t>Not verified</t>
        </is>
      </c>
      <c r="BV22" s="156" t="n"/>
      <c r="BW22" s="156" t="inlineStr">
        <is>
          <t>Origin &amp; status — Germany · Prototype · 2026 | Manipulation — 10 · 10 fingers · Hand DOF 21 · Payload 44.1 lb | Sensing &amp; software — Uses Robotic Foundation Models trained on large industrial datasets; voice / natural-language interaction is supported, but no specific general-purpose LLM… | Buying notes — From $100,000 · 12 months manufacturer standard (typical research/commercial humanoid) · Best fit: logistics</t>
        </is>
      </c>
      <c r="BX22" s="156" t="inlineStr">
        <is>
          <t>as_shipped|Agile One|100000|As shipped</t>
        </is>
      </c>
      <c r="BY22" s="152" t="inlineStr">
        <is>
          <t>agile_one|Manufacturer finish|#e2e8f0|0</t>
        </is>
      </c>
      <c r="BZ22" s="152" t="inlineStr"/>
      <c r="CA22" s="156" t="n"/>
      <c r="CB22" s="156" t="inlineStr">
        <is>
          <t>12 months manufacturer standard (typical research/commercial humanoid)</t>
        </is>
      </c>
      <c r="CC22" s="154" t="n">
        <v>12</v>
      </c>
      <c r="CD22" s="156" t="inlineStr">
        <is>
          <t>+3 Year Extended ≈24% of configuration (default in configurator)</t>
        </is>
      </c>
      <c r="CE22" s="152" t="inlineStr">
        <is>
          <t>Humanoid category norm 2025–2026</t>
        </is>
      </c>
      <c r="CF22" s="152" t="inlineStr">
        <is>
          <t>Estimated</t>
        </is>
      </c>
      <c r="CG22" s="156" t="inlineStr">
        <is>
          <t>Confirm on formal OEM quote. EDU or enterprise packages may differ.</t>
        </is>
      </c>
      <c r="CH22" s="152" t="inlineStr">
        <is>
          <t>10%</t>
        </is>
      </c>
      <c r="CI22" s="152" t="inlineStr">
        <is>
          <t>17%</t>
        </is>
      </c>
      <c r="CJ22" s="152" t="inlineStr">
        <is>
          <t>24%</t>
        </is>
      </c>
      <c r="CK22" s="156" t="inlineStr">
        <is>
          <t>+1yr ≈10% | +2yr ≈17% | +3yr ≈24% of selected configuration price (parts &amp; labor beyond manufacturer standard).</t>
        </is>
      </c>
      <c r="CL22"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2" s="152" t="inlineStr">
        <is>
          <t>12 months manufacturer standard (typical research/commercial humanoid)</t>
        </is>
      </c>
      <c r="CQ22" s="101" t="inlineStr">
        <is>
          <t>Height: 5 ft 9 in | Weight: 152.1 | Degrees of Freedom: 40 | Payload: 44.1 | Max Speed: 4.47 | Battery / Runtime: ≈ 3 hours</t>
        </is>
      </c>
    </row>
    <row r="23" ht="31.5" customHeight="1" s="102">
      <c r="A23" s="143" t="inlineStr">
        <is>
          <t>digit</t>
        </is>
      </c>
      <c r="B23" s="144" t="inlineStr">
        <is>
          <t>Major-player brief 11 Sep 2026</t>
        </is>
      </c>
      <c r="C23" s="145" t="inlineStr">
        <is>
          <t>Agility Robotics</t>
        </is>
      </c>
      <c r="D23" s="145" t="inlineStr">
        <is>
          <t>Digit</t>
        </is>
      </c>
      <c r="E23" s="145" t="inlineStr">
        <is>
          <t>[Agility] Digit (2023)</t>
        </is>
      </c>
      <c r="F23" s="146" t="inlineStr">
        <is>
          <t>humanoid</t>
        </is>
      </c>
      <c r="G23" s="145" t="inlineStr">
        <is>
          <t>USA</t>
        </is>
      </c>
      <c r="H23" s="147" t="n">
        <v>2023</v>
      </c>
      <c r="I23" s="148" t="n">
        <v>250000</v>
      </c>
      <c r="J23" s="145" t="inlineStr">
        <is>
          <t>Robot Price Index Aug 2026 · top of $100k–$250k enterprise band</t>
        </is>
      </c>
      <c r="K23" s="149" t="inlineStr">
        <is>
          <t>Digit is one of the most commercially advanced US humanoids, already working with logistics and manufacturing customers on repetitive material-handling tasks.</t>
        </is>
      </c>
      <c r="L23" s="101" t="inlineStr">
        <is>
          <t>Digit is one of the most commercially advanced US humanoids, already working with logistics and manufacturing customers on repetitive material-handling tasks.</t>
        </is>
      </c>
      <c r="M23" s="101" t="inlineStr">
        <is>
          <t>Agility Robotics developed Digit in Oregon out of the earlier Cassie biped from Oregon State research. Digit is one of the most commercially advanced US humanoids, already running repetitive material-handling work with logistics and manufacturing customers.</t>
        </is>
      </c>
      <c r="N23" s="150" t="inlineStr">
        <is>
          <t>https://humanoid.guide/product/digit/</t>
        </is>
      </c>
      <c r="O23" s="150" t="inlineStr">
        <is>
          <t>https://agilityrobotics.com</t>
        </is>
      </c>
      <c r="P23" s="145" t="inlineStr">
        <is>
          <t>≈ 5 ft 9 in</t>
        </is>
      </c>
      <c r="Q23" s="145" t="n">
        <v>180</v>
      </c>
      <c r="R23" s="145" t="n">
        <v>167.6</v>
      </c>
      <c r="S23" s="145" t="n">
        <v>76</v>
      </c>
      <c r="T23" s="149" t="inlineStr">
        <is>
          <t>Not disclosed</t>
        </is>
      </c>
      <c r="U23" s="145" t="n"/>
      <c r="V23" s="145" t="inlineStr">
        <is>
          <t>≈ 28–30 total (≈ 4 DOF per arm · ≈ 6 DOF per leg class)</t>
        </is>
      </c>
      <c r="W23" s="149" t="inlineStr">
        <is>
          <t>Not disclosed</t>
        </is>
      </c>
      <c r="X23" s="145" t="n">
        <v>34.8</v>
      </c>
      <c r="Y23" s="145" t="n">
        <v>15.8</v>
      </c>
      <c r="Z23" s="145" t="n">
        <v>3.36</v>
      </c>
      <c r="AA23" s="145" t="n">
        <v>5.4</v>
      </c>
      <c r="AB23" s="145" t="n">
        <v>5.4</v>
      </c>
      <c r="AC23" s="149" t="inlineStr">
        <is>
          <t>≈ 3.0 kWh class · up to ≈ 4–8 h depending on duty cycle and docking</t>
        </is>
      </c>
      <c r="AD23" s="149" t="inlineStr">
        <is>
          <t>1</t>
        </is>
      </c>
      <c r="AE23" s="145" t="n"/>
      <c r="AF23" s="145" t="inlineStr">
        <is>
          <t>Not disclosed</t>
        </is>
      </c>
      <c r="AG23" s="149" t="inlineStr">
        <is>
          <t>Exchangeable end-effectors for tote handling</t>
        </is>
      </c>
      <c r="AH23" s="145" t="inlineStr">
        <is>
          <t>Not disclosed</t>
        </is>
      </c>
      <c r="AI23" s="151" t="n">
        <v>3</v>
      </c>
      <c r="AJ23" s="149" t="inlineStr">
        <is>
          <t>LiDAR + Intel RealSense depth cameras + RGB cameras</t>
        </is>
      </c>
      <c r="AK23" s="149" t="n"/>
      <c r="AL23" s="145" t="inlineStr">
        <is>
          <t>Operational monitoring streams for warehouse deployments</t>
        </is>
      </c>
      <c r="AM23" s="145" t="n"/>
      <c r="AN23" s="145" t="inlineStr">
        <is>
          <t>Not disclosed</t>
        </is>
      </c>
      <c r="AO23" s="145" t="inlineStr">
        <is>
          <t>Not disclosed</t>
        </is>
      </c>
      <c r="AP23" s="145" t="inlineStr">
        <is>
          <t>LiDAR and depth cameras for warehouse navigation</t>
        </is>
      </c>
      <c r="AQ23" s="145" t="inlineStr">
        <is>
          <t>Not disclosed</t>
        </is>
      </c>
      <c r="AR23" s="145" t="n"/>
      <c r="AS23" s="145" t="n"/>
      <c r="AT23" s="149" t="inlineStr">
        <is>
          <t>Not disclosed</t>
        </is>
      </c>
      <c r="AU23" s="149" t="inlineStr">
        <is>
          <t>Not disclosed</t>
        </is>
      </c>
      <c r="AV23" s="145" t="inlineStr">
        <is>
          <t>Agility Arc and fleet software for warehouse integration</t>
        </is>
      </c>
      <c r="AW23" s="149" t="inlineStr">
        <is>
          <t>Bipedal navigation in structured warehouse aisles</t>
        </is>
      </c>
      <c r="AX23" s="151" t="n">
        <v>3</v>
      </c>
      <c r="AY23" s="149" t="inlineStr">
        <is>
          <t>Not disclosed</t>
        </is>
      </c>
      <c r="AZ23" s="149" t="inlineStr">
        <is>
          <t>Not disclosed</t>
        </is>
      </c>
      <c r="BA23" s="149" t="n"/>
      <c r="BB23" s="149" t="inlineStr">
        <is>
          <t>Not disclosed</t>
        </is>
      </c>
      <c r="BC23" s="149" t="inlineStr">
        <is>
          <t>Not disclosed</t>
        </is>
      </c>
      <c r="BD23" s="145" t="inlineStr">
        <is>
          <t>Not disclosed</t>
        </is>
      </c>
      <c r="BE23" s="145" t="inlineStr">
        <is>
          <t>Not disclosed</t>
        </is>
      </c>
      <c r="BF23" s="145" t="n"/>
      <c r="BG23" s="145" t="n"/>
      <c r="BH23" s="145" t="n"/>
      <c r="BI23" s="145" t="n"/>
      <c r="BJ23" s="145" t="n"/>
      <c r="BK23" s="145" t="n"/>
      <c r="BL23" s="145" t="n"/>
      <c r="BM23" s="145" t="inlineStr">
        <is>
          <t>Not disclosed</t>
        </is>
      </c>
      <c r="BN23" s="145" t="inlineStr">
        <is>
          <t>Not disclosed</t>
        </is>
      </c>
      <c r="BO23" s="149" t="inlineStr">
        <is>
          <t>Manipulation 3/4 · Navigation 3/4 · Peak 5.4 km/h · Walk 5.4 km/h · Runtime 1</t>
        </is>
      </c>
      <c r="BP23" s="145" t="inlineStr">
        <is>
          <t>Indoor industrial / logistics facilities</t>
        </is>
      </c>
      <c r="BQ23" s="149" t="inlineStr">
        <is>
          <t>Logistics and manufacturing material handling</t>
        </is>
      </c>
      <c r="BR23" s="149" t="inlineStr">
        <is>
          <t>In production</t>
        </is>
      </c>
      <c r="BS23" s="149" t="inlineStr">
        <is>
          <t>In production</t>
        </is>
      </c>
      <c r="BT23" s="145" t="n"/>
      <c r="BU23" s="145" t="inlineStr">
        <is>
          <t>Verified</t>
        </is>
      </c>
      <c r="BV23" s="149" t="inlineStr">
        <is>
          <t>Humanoid.guide listed price $45,000.</t>
        </is>
      </c>
      <c r="BW23" s="149" t="inlineStr">
        <is>
          <t>Origin &amp; status — USA · In production · 2023 | Manipulation — Exchangeable end-effectors for tote handling · Payload ≈ 35 lb | Sensing &amp; software — LiDAR + Intel RealSense depth cameras + RGB cameras · Agility Arc and fleet software for warehouse integration | Buying notes — From $250,000 · 12 months / enterprise contract &amp; RaaS agreement dependent</t>
        </is>
      </c>
      <c r="BX23" s="149" t="inlineStr">
        <is>
          <t>raas|Digit RaaS (illustrative)|250000|Annual RaaS class || capital|Digit Capital|250000|Capital purchase estimate</t>
        </is>
      </c>
      <c r="BY23" s="145" t="inlineStr">
        <is>
          <t>orange|Agility Orange|#f97316|0 || black|Industrial Black|#1a1a1a|0</t>
        </is>
      </c>
      <c r="BZ23" s="145" t="inlineStr">
        <is>
          <t>warranty_digit</t>
        </is>
      </c>
      <c r="CA23" s="149" t="inlineStr">
        <is>
          <t>2 configuration tiers; 2 color options; Multi-year extended warranty available</t>
        </is>
      </c>
      <c r="CB23" s="149" t="inlineStr">
        <is>
          <t>12 months / enterprise contract &amp; RaaS agreement dependent</t>
        </is>
      </c>
      <c r="CC23" s="147" t="n">
        <v>12</v>
      </c>
      <c r="CD23" s="149" t="inlineStr">
        <is>
          <t>+3 Year Extended ≈24% of configuration (default in configurator)</t>
        </is>
      </c>
      <c r="CE23" s="145" t="inlineStr">
        <is>
          <t>Enterprise deployment model (no public consumer warranty sheet)</t>
        </is>
      </c>
      <c r="CF23" s="145" t="inlineStr">
        <is>
          <t>Estimated</t>
        </is>
      </c>
      <c r="CG23" s="149" t="inlineStr">
        <is>
          <t>Digit is sold/leased under enterprise terms; support often bundled in service contract.</t>
        </is>
      </c>
      <c r="CH23" s="145" t="inlineStr">
        <is>
          <t>10%</t>
        </is>
      </c>
      <c r="CI23" s="145" t="inlineStr">
        <is>
          <t>17%</t>
        </is>
      </c>
      <c r="CJ23" s="145" t="inlineStr">
        <is>
          <t>24%</t>
        </is>
      </c>
      <c r="CK23"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3"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3" s="145" t="inlineStr">
        <is>
          <t>12 months / enterprise contract &amp; RaaS agreement dependent</t>
        </is>
      </c>
      <c r="CN23" s="203" t="inlineStr">
        <is>
          <t>https://aixzd.com/robot/digit</t>
        </is>
      </c>
      <c r="CO23" s="203" t="inlineStr">
        <is>
          <t>https://theresanaiforthat.com/robots/</t>
        </is>
      </c>
      <c r="CP23" s="203" t="inlineStr">
        <is>
          <t>Cross-checked against TAAFT Robots directory (669 entries) 28 Aug 2026 — individual TAAFT permalinks are JS/Cloudflare gated.</t>
        </is>
      </c>
      <c r="CQ23" s="101" t="inlineStr">
        <is>
          <t>Height: ≈ 5 ft 9 in | Weight: 167.6 | Degrees of Freedom: ≈ 28–30 total (≈ 4 DOF per arm · ≈ 6 DOF per leg class) | Payload: 34.8 | Max Speed: 3.36 | Battery / Runtime: ≈ 3.0 kWh class · up to ≈ 4–8 h depending on duty cycle and docking</t>
        </is>
      </c>
    </row>
    <row r="24" ht="31.5" customHeight="1" s="102">
      <c r="A24" s="152" t="inlineStr">
        <is>
          <t>akinrobotics_akinci_5</t>
        </is>
      </c>
      <c r="B24" s="153" t="inlineStr">
        <is>
          <t>Humanoid.guide</t>
        </is>
      </c>
      <c r="C24" s="152" t="inlineStr">
        <is>
          <t>AKINROBOTICS</t>
        </is>
      </c>
      <c r="D24" s="152" t="inlineStr">
        <is>
          <t>AKINCI-5</t>
        </is>
      </c>
      <c r="E24" s="152" t="inlineStr">
        <is>
          <t>[AKINROBOTICS] AKINCI-5 (2026)</t>
        </is>
      </c>
      <c r="F24" s="146" t="inlineStr">
        <is>
          <t>humanoid</t>
        </is>
      </c>
      <c r="G24" s="152" t="inlineStr">
        <is>
          <t>Turkey</t>
        </is>
      </c>
      <c r="H24" s="152" t="n"/>
      <c r="I24" s="155" t="n">
        <v>95000</v>
      </c>
      <c r="J24" s="152" t="inlineStr">
        <is>
          <t>Humanoid.guide list</t>
        </is>
      </c>
      <c r="K24" s="156" t="inlineStr">
        <is>
          <t>AKINCI-5 is the first humanoid robot from Turkey’s first humanoid robot factory, developed by AKINROBOTICS.</t>
        </is>
      </c>
      <c r="L24" s="101" t="inlineStr">
        <is>
          <t>AKINCI-5 is the first humanoid robot from Turkey’s first humanoid robot factory, developed by AKINROBOTICS.</t>
        </is>
      </c>
      <c r="M24" s="101" t="inlineStr">
        <is>
          <t>AKINCI-5 is the first humanoid robot from Turkey’s first humanoid robot factory, developed by AKINROBOTICS. Public status is listed as prototype, and it is positioned for robotics R&amp;D and automation industry.</t>
        </is>
      </c>
      <c r="N24" s="157" t="inlineStr">
        <is>
          <t>https://humanoid.guide/product/akinci-5/</t>
        </is>
      </c>
      <c r="O24" s="157" t="inlineStr">
        <is>
          <t>https://www.akinrobotics.com</t>
        </is>
      </c>
      <c r="P24" s="152" t="inlineStr">
        <is>
          <t>4 ft 3 in</t>
        </is>
      </c>
      <c r="Q24" s="152" t="n">
        <v>129</v>
      </c>
      <c r="R24" s="152" t="n">
        <v>92.59999999999999</v>
      </c>
      <c r="S24" s="152" t="n">
        <v>42</v>
      </c>
      <c r="T24" s="156" t="inlineStr">
        <is>
          <t>Not disclosed</t>
        </is>
      </c>
      <c r="U24" s="152" t="n"/>
      <c r="V24" s="152" t="inlineStr">
        <is>
          <t>19</t>
        </is>
      </c>
      <c r="W24" s="156" t="inlineStr">
        <is>
          <t>6</t>
        </is>
      </c>
      <c r="X24" s="152" t="n">
        <v>4.4</v>
      </c>
      <c r="Y24" s="152" t="n">
        <v>2</v>
      </c>
      <c r="Z24" s="152" t="n">
        <v>2.17</v>
      </c>
      <c r="AA24" s="152" t="n">
        <v>3.5</v>
      </c>
      <c r="AB24" s="152" t="n">
        <v>2.5</v>
      </c>
      <c r="AC24" s="156" t="inlineStr">
        <is>
          <t>≈ 1 hours</t>
        </is>
      </c>
      <c r="AD24" s="156" t="inlineStr">
        <is>
          <t>1</t>
        </is>
      </c>
      <c r="AE24" s="152" t="n"/>
      <c r="AF24" s="152" t="inlineStr">
        <is>
          <t>Not disclosed</t>
        </is>
      </c>
      <c r="AG24" s="156" t="inlineStr">
        <is>
          <t>0</t>
        </is>
      </c>
      <c r="AH24" s="152" t="inlineStr">
        <is>
          <t>0</t>
        </is>
      </c>
      <c r="AI24" s="152" t="n"/>
      <c r="AJ24" s="156" t="inlineStr">
        <is>
          <t>848 X 800 D:163</t>
        </is>
      </c>
      <c r="AK24" s="156" t="inlineStr">
        <is>
          <t>848 X 800 D:163</t>
        </is>
      </c>
      <c r="AL24" s="152" t="inlineStr">
        <is>
          <t>Not disclosed</t>
        </is>
      </c>
      <c r="AM24" s="152" t="n"/>
      <c r="AN24" s="152" t="inlineStr">
        <is>
          <t>Not disclosed</t>
        </is>
      </c>
      <c r="AO24" s="152" t="inlineStr">
        <is>
          <t>Not disclosed</t>
        </is>
      </c>
      <c r="AP24" s="152" t="inlineStr">
        <is>
          <t>Not disclosed</t>
        </is>
      </c>
      <c r="AQ24" s="152" t="inlineStr">
        <is>
          <t>Not disclosed</t>
        </is>
      </c>
      <c r="AR24" s="152" t="n"/>
      <c r="AS24" s="152" t="n"/>
      <c r="AT24" s="156" t="inlineStr">
        <is>
          <t>AMD Ryzen™ 9 PRO 6950H</t>
        </is>
      </c>
      <c r="AU24" s="156" t="inlineStr">
        <is>
          <t>3× USB 3.0, 3× USB+DP, 2× USB 2.0, 2× Gigabit Ethernet, high-power speakers, Wi-Fi 6</t>
        </is>
      </c>
      <c r="AV24" s="152" t="inlineStr">
        <is>
          <t>Not disclosed</t>
        </is>
      </c>
      <c r="AW24" s="156" t="inlineStr">
        <is>
          <t>Not disclosed</t>
        </is>
      </c>
      <c r="AX24" s="152" t="n"/>
      <c r="AY24" s="156" t="inlineStr">
        <is>
          <t>Linux</t>
        </is>
      </c>
      <c r="AZ24" s="156" t="inlineStr">
        <is>
          <t>Custom in-house LLM</t>
        </is>
      </c>
      <c r="BA24" s="156" t="inlineStr">
        <is>
          <t>~500 ms (estimated)</t>
        </is>
      </c>
      <c r="BB24" s="156" t="inlineStr">
        <is>
          <t>In-house designed/manufactured motors</t>
        </is>
      </c>
      <c r="BC24" s="156" t="inlineStr">
        <is>
          <t>Low-inertia high-speed inner-rotor permanent magnet BLDC motors</t>
        </is>
      </c>
      <c r="BD24" s="152" t="inlineStr">
        <is>
          <t>Aluminum alloy + composites</t>
        </is>
      </c>
      <c r="BE24" s="152" t="inlineStr">
        <is>
          <t>IP30</t>
        </is>
      </c>
      <c r="BF24" s="152" t="inlineStr">
        <is>
          <t>Estimate IP30–IP40 (dust-/touch-protected, not water-rated)</t>
        </is>
      </c>
      <c r="BG24" s="152" t="n"/>
      <c r="BH24" s="152" t="n"/>
      <c r="BI24" s="152" t="n"/>
      <c r="BJ24" s="152" t="n"/>
      <c r="BK24" s="152" t="n"/>
      <c r="BL24" s="152" t="n"/>
      <c r="BM24" s="152" t="inlineStr">
        <is>
          <t>Yes</t>
        </is>
      </c>
      <c r="BN24" s="152" t="inlineStr">
        <is>
          <t>Not disclosed</t>
        </is>
      </c>
      <c r="BO24" s="156" t="inlineStr">
        <is>
          <t>Market: Robotics R&amp;D and automation industry · Human-safe: Yes · AI: Custom in-house LLM · Actuation: In-house designed/manufactured motors · Peak 3.5 km/h · Walk 2.5 km/h · Runtime 1</t>
        </is>
      </c>
      <c r="BP24" s="152" t="n"/>
      <c r="BQ24" s="156" t="inlineStr">
        <is>
          <t>Robotics R&amp;D and automation industry</t>
        </is>
      </c>
      <c r="BR24" s="156" t="inlineStr">
        <is>
          <t>Prototype</t>
        </is>
      </c>
      <c r="BS24" s="156" t="inlineStr">
        <is>
          <t>Prototype</t>
        </is>
      </c>
      <c r="BT24" s="152" t="n"/>
      <c r="BU24" s="152" t="inlineStr">
        <is>
          <t>Verified</t>
        </is>
      </c>
      <c r="BV24" s="156" t="n"/>
      <c r="BW24" s="156" t="inlineStr">
        <is>
          <t>Origin &amp; status — Turkey · Prototype · 2026 | Manipulation — 0 · 0 fingers · Hand DOF 6 · Payload 4.4 lb | Sensing &amp; software — 848 X 800 D:163 · Custom in-house LLM · Linux | Buying notes — From $95,000 · 12 months manufacturer standard (typical research/commercial humanoid) · Best fit: Robotics R&amp;D and automation industry</t>
        </is>
      </c>
      <c r="BX24" s="156" t="inlineStr">
        <is>
          <t>as_shipped|AKINCI-5|95000|As shipped</t>
        </is>
      </c>
      <c r="BY24" s="152" t="inlineStr">
        <is>
          <t>akinci_5|Manufacturer finish|#e2e8f0|0</t>
        </is>
      </c>
      <c r="BZ24" s="152" t="inlineStr"/>
      <c r="CA24" s="156" t="n"/>
      <c r="CB24" s="156" t="inlineStr">
        <is>
          <t>12 months manufacturer standard (typical research/commercial humanoid)</t>
        </is>
      </c>
      <c r="CC24" s="154" t="n">
        <v>12</v>
      </c>
      <c r="CD24" s="156" t="inlineStr">
        <is>
          <t>+3 Year Extended ≈24% of configuration (default in configurator)</t>
        </is>
      </c>
      <c r="CE24" s="152" t="inlineStr">
        <is>
          <t>Humanoid category norm 2025–2026</t>
        </is>
      </c>
      <c r="CF24" s="152" t="inlineStr">
        <is>
          <t>Estimated</t>
        </is>
      </c>
      <c r="CG24" s="156" t="inlineStr">
        <is>
          <t>Confirm on formal OEM quote. EDU or enterprise packages may differ.</t>
        </is>
      </c>
      <c r="CH24" s="152" t="inlineStr">
        <is>
          <t>10%</t>
        </is>
      </c>
      <c r="CI24" s="152" t="inlineStr">
        <is>
          <t>17%</t>
        </is>
      </c>
      <c r="CJ24" s="152" t="inlineStr">
        <is>
          <t>24%</t>
        </is>
      </c>
      <c r="CK24" s="156" t="inlineStr">
        <is>
          <t>+1yr ≈10% | +2yr ≈17% | +3yr ≈24% of selected configuration price (parts &amp; labor beyond manufacturer standard).</t>
        </is>
      </c>
      <c r="CL24"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4" s="152" t="inlineStr">
        <is>
          <t>12 months manufacturer standard (typical research/commercial humanoid)</t>
        </is>
      </c>
      <c r="CQ24" s="101" t="inlineStr">
        <is>
          <t>Height: 4 ft 3 in | Weight: 92.6 | Degrees of Freedom: 19 | Payload: 4.4 | Max Speed: 2.17 | Battery / Runtime: ≈ 1 hours</t>
        </is>
      </c>
    </row>
    <row r="25" ht="31.5" customHeight="1" s="102">
      <c r="A25" s="145" t="inlineStr">
        <is>
          <t>andromeda_robotics_abi</t>
        </is>
      </c>
      <c r="B25" s="153" t="inlineStr">
        <is>
          <t>Humanoid.guide</t>
        </is>
      </c>
      <c r="C25" s="145" t="inlineStr">
        <is>
          <t>Andromeda Robotics</t>
        </is>
      </c>
      <c r="D25" s="145" t="inlineStr">
        <is>
          <t>Abi</t>
        </is>
      </c>
      <c r="E25" s="145" t="inlineStr">
        <is>
          <t>[Andromeda Robotics] Abi (2026)</t>
        </is>
      </c>
      <c r="F25" s="146" t="inlineStr">
        <is>
          <t>humanoid</t>
        </is>
      </c>
      <c r="G25" s="145" t="inlineStr">
        <is>
          <t>Australia</t>
        </is>
      </c>
      <c r="H25" s="145" t="n"/>
      <c r="I25" s="148" t="n">
        <v>25000</v>
      </c>
      <c r="J25" s="145" t="inlineStr">
        <is>
          <t>Humanoid.guide list</t>
        </is>
      </c>
      <c r="K25" s="149" t="inlineStr">
        <is>
          <t>Abi is a wheeled humanoid social robot built for human interaction, customer engagement, and assistive roles in indoor environments.</t>
        </is>
      </c>
      <c r="L25" s="101" t="inlineStr">
        <is>
          <t>Abi is a wheeled humanoid social robot built for human interaction, customer engagement, and assistive roles in indoor environments.</t>
        </is>
      </c>
      <c r="M25" s="101" t="inlineStr">
        <is>
          <t>Abi is a wheeled humanoid social robot built for human interaction, customer engagement, and assistive roles in indoor environments. Public status is listed as in production, and it is positioned for education; healthcare; Hospitality; retail.</t>
        </is>
      </c>
      <c r="N25" s="150" t="inlineStr">
        <is>
          <t>https://humanoid.guide/product/abi/</t>
        </is>
      </c>
      <c r="O25" s="150" t="inlineStr">
        <is>
          <t>https://andromedarobotics.ai</t>
        </is>
      </c>
      <c r="P25" s="145" t="inlineStr">
        <is>
          <t>3 ft 11 in</t>
        </is>
      </c>
      <c r="Q25" s="145" t="n">
        <v>120</v>
      </c>
      <c r="R25" s="145" t="n">
        <v>110.2</v>
      </c>
      <c r="S25" s="145" t="n">
        <v>50</v>
      </c>
      <c r="T25" s="149" t="inlineStr">
        <is>
          <t>Not disclosed</t>
        </is>
      </c>
      <c r="U25" s="145" t="n"/>
      <c r="V25" s="145" t="inlineStr">
        <is>
          <t>12</t>
        </is>
      </c>
      <c r="W25" s="149" t="inlineStr">
        <is>
          <t>4</t>
        </is>
      </c>
      <c r="X25" s="145" t="n">
        <v>8.800000000000001</v>
      </c>
      <c r="Y25" s="145" t="n">
        <v>4</v>
      </c>
      <c r="Z25" s="145" t="n">
        <v>1.86</v>
      </c>
      <c r="AA25" s="145" t="n">
        <v>3</v>
      </c>
      <c r="AB25" s="145" t="n"/>
      <c r="AC25" s="149" t="inlineStr">
        <is>
          <t>≈ 2 hours</t>
        </is>
      </c>
      <c r="AD25" s="149" t="inlineStr">
        <is>
          <t>2</t>
        </is>
      </c>
      <c r="AE25" s="145" t="n"/>
      <c r="AF25" s="145" t="inlineStr">
        <is>
          <t>Not disclosed</t>
        </is>
      </c>
      <c r="AG25" s="149" t="inlineStr">
        <is>
          <t>5 per hand</t>
        </is>
      </c>
      <c r="AH25" s="145" t="inlineStr">
        <is>
          <t>5 per hand</t>
        </is>
      </c>
      <c r="AI25" s="145" t="n"/>
      <c r="AJ25" s="149" t="inlineStr">
        <is>
          <t>Not disclosed</t>
        </is>
      </c>
      <c r="AK25" s="149" t="n"/>
      <c r="AL25" s="145" t="inlineStr">
        <is>
          <t>Not disclosed</t>
        </is>
      </c>
      <c r="AM25" s="145" t="n"/>
      <c r="AN25" s="145" t="inlineStr">
        <is>
          <t>Not disclosed</t>
        </is>
      </c>
      <c r="AO25" s="145" t="inlineStr">
        <is>
          <t>Not disclosed</t>
        </is>
      </c>
      <c r="AP25" s="145" t="inlineStr">
        <is>
          <t>Not disclosed</t>
        </is>
      </c>
      <c r="AQ25" s="145" t="inlineStr">
        <is>
          <t>Not disclosed</t>
        </is>
      </c>
      <c r="AR25" s="145" t="n"/>
      <c r="AS25" s="145" t="n"/>
      <c r="AT25" s="149" t="inlineStr">
        <is>
          <t>Likely ARM-based CPU + edge AI accelerator</t>
        </is>
      </c>
      <c r="AU25" s="149" t="inlineStr">
        <is>
          <t>Bluetooth; Wi‑Fi</t>
        </is>
      </c>
      <c r="AV25" s="145" t="inlineStr">
        <is>
          <t>Not disclosed</t>
        </is>
      </c>
      <c r="AW25" s="149" t="inlineStr">
        <is>
          <t>Not disclosed</t>
        </is>
      </c>
      <c r="AX25" s="145" t="n"/>
      <c r="AY25" s="149" t="inlineStr">
        <is>
          <t>Not disclosed</t>
        </is>
      </c>
      <c r="AZ25" s="149" t="inlineStr">
        <is>
          <t>Yes</t>
        </is>
      </c>
      <c r="BA25" s="149" t="n"/>
      <c r="BB25" s="149" t="inlineStr">
        <is>
          <t>Electric servo motors</t>
        </is>
      </c>
      <c r="BC25" s="149" t="inlineStr">
        <is>
          <t>Standard harmonic/planetary (light-duty)</t>
        </is>
      </c>
      <c r="BD25" s="145" t="inlineStr">
        <is>
          <t>Plastic + aluminum frame</t>
        </is>
      </c>
      <c r="BE25" s="145" t="inlineStr">
        <is>
          <t>IP20</t>
        </is>
      </c>
      <c r="BF25" s="145" t="inlineStr">
        <is>
          <t>Indoor use (approx. IP20)</t>
        </is>
      </c>
      <c r="BG25" s="145" t="n"/>
      <c r="BH25" s="145" t="n"/>
      <c r="BI25" s="145" t="n"/>
      <c r="BJ25" s="145" t="n"/>
      <c r="BK25" s="145" t="n"/>
      <c r="BL25" s="145" t="n"/>
      <c r="BM25" s="145" t="inlineStr">
        <is>
          <t>Yes</t>
        </is>
      </c>
      <c r="BN25" s="145" t="inlineStr">
        <is>
          <t>Not disclosed</t>
        </is>
      </c>
      <c r="BO25" s="149" t="inlineStr">
        <is>
          <t>Market: education; healthcare; Hospitality; retail · Human-safe: Yes · AI: Yes · Actuation: Electric servo motors · Peak 3 km/h · Runtime 2</t>
        </is>
      </c>
      <c r="BP25" s="145" t="n"/>
      <c r="BQ25" s="149" t="inlineStr">
        <is>
          <t>education; healthcare; Hospitality; retail</t>
        </is>
      </c>
      <c r="BR25" s="149" t="inlineStr">
        <is>
          <t>In production</t>
        </is>
      </c>
      <c r="BS25" s="149" t="inlineStr">
        <is>
          <t>In production</t>
        </is>
      </c>
      <c r="BT25" s="145" t="n"/>
      <c r="BU25" s="145" t="n"/>
      <c r="BV25" s="149" t="n"/>
      <c r="BW25" s="149" t="inlineStr">
        <is>
          <t>Origin &amp; status — Australia · In production · 2026 | Manipulation — 5 per hand · 5 per hand fingers · Hand DOF 4 · Payload 8.8 lb | Sensing &amp; software — Yes | Buying notes — From $25,000 · 12 months manufacturer standard (typical research/commercial humanoid) · Best fit: education</t>
        </is>
      </c>
      <c r="BX25" s="149" t="inlineStr">
        <is>
          <t>as_shipped|Abi|25000|As shipped</t>
        </is>
      </c>
      <c r="BY25" s="145" t="inlineStr">
        <is>
          <t>abi|Manufacturer finish|#e2e8f0|0</t>
        </is>
      </c>
      <c r="BZ25" s="145" t="inlineStr"/>
      <c r="CA25" s="149" t="n"/>
      <c r="CB25" s="149" t="inlineStr">
        <is>
          <t>12 months manufacturer standard (typical research/commercial humanoid)</t>
        </is>
      </c>
      <c r="CC25" s="147" t="n">
        <v>12</v>
      </c>
      <c r="CD25" s="149" t="inlineStr">
        <is>
          <t>+3 Year Extended ≈24% of configuration (default in configurator)</t>
        </is>
      </c>
      <c r="CE25" s="145" t="inlineStr">
        <is>
          <t>Humanoid category norm 2025–2026</t>
        </is>
      </c>
      <c r="CF25" s="145" t="inlineStr">
        <is>
          <t>Estimated</t>
        </is>
      </c>
      <c r="CG25" s="149" t="inlineStr">
        <is>
          <t>Confirm on formal OEM quote. EDU or enterprise packages may differ.</t>
        </is>
      </c>
      <c r="CH25" s="145" t="inlineStr">
        <is>
          <t>10%</t>
        </is>
      </c>
      <c r="CI25" s="145" t="inlineStr">
        <is>
          <t>17%</t>
        </is>
      </c>
      <c r="CJ25" s="145" t="inlineStr">
        <is>
          <t>24%</t>
        </is>
      </c>
      <c r="CK25" s="149" t="inlineStr">
        <is>
          <t>+1yr ≈10% | +2yr ≈17% | +3yr ≈24% of selected configuration price (parts &amp; labor beyond manufacturer standard).</t>
        </is>
      </c>
      <c r="CL2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5" s="145" t="inlineStr">
        <is>
          <t>12 months manufacturer standard (typical research/commercial humanoid)</t>
        </is>
      </c>
      <c r="CN25" s="203" t="inlineStr">
        <is>
          <t>https://aixzd.com/robot/abi</t>
        </is>
      </c>
      <c r="CQ25" s="101" t="inlineStr">
        <is>
          <t>Height: 3 ft 11 in | Weight: 110.2 | Degrees of Freedom: 12 | Payload: 8.8 | Max Speed: 1.86 | Battery / Runtime: ≈ 2 hours</t>
        </is>
      </c>
    </row>
    <row r="26" ht="31.5" customHeight="1" s="102">
      <c r="A26" s="159" t="inlineStr">
        <is>
          <t>apollo</t>
        </is>
      </c>
      <c r="B26" s="144" t="inlineStr">
        <is>
          <t>Both</t>
        </is>
      </c>
      <c r="C26" s="152" t="inlineStr">
        <is>
          <t>Apptronik</t>
        </is>
      </c>
      <c r="D26" s="152" t="inlineStr">
        <is>
          <t>Apollo</t>
        </is>
      </c>
      <c r="E26" s="152" t="inlineStr">
        <is>
          <t>[Apptronik] Apollo (2024)</t>
        </is>
      </c>
      <c r="F26" s="146" t="inlineStr">
        <is>
          <t>humanoid</t>
        </is>
      </c>
      <c r="G26" s="152" t="inlineStr">
        <is>
          <t>USA</t>
        </is>
      </c>
      <c r="H26" s="154" t="n">
        <v>2024</v>
      </c>
      <c r="I26" s="155" t="n">
        <v>50000</v>
      </c>
      <c r="J26" s="152" t="inlineStr">
        <is>
          <t>Website store</t>
        </is>
      </c>
      <c r="K26" s="156" t="inlineStr">
        <is>
          <t>Apollo is an advanced humanoid robot developed by Apptronik, a robotics company based in Austin, Texas.</t>
        </is>
      </c>
      <c r="L26" s="101" t="inlineStr">
        <is>
          <t>Apollo is an advanced humanoid robot developed by Apptronik, a robotics company based in Austin, Texas.</t>
        </is>
      </c>
      <c r="M26" s="101" t="inlineStr">
        <is>
          <t>Apptronik spun Apollo out of years of NASA and University of Texas humanoid research in Austin. Apollo is the company’s industrial humanoid platform; Apollo 2 later added a legs-or-wheeled-base choice.</t>
        </is>
      </c>
      <c r="N26" s="157" t="inlineStr">
        <is>
          <t>https://humanoid.guide/product/apollo/</t>
        </is>
      </c>
      <c r="O26" s="157" t="inlineStr">
        <is>
          <t>https://www.apptronik.com</t>
        </is>
      </c>
      <c r="P26" s="152" t="inlineStr">
        <is>
          <t>≈ 5 ft 8 in</t>
        </is>
      </c>
      <c r="Q26" s="152" t="n">
        <v>173</v>
      </c>
      <c r="R26" s="152" t="n">
        <v>158.7</v>
      </c>
      <c r="S26" s="152" t="n">
        <v>72</v>
      </c>
      <c r="T26" s="156" t="inlineStr">
        <is>
          <t>Not disclosed</t>
        </is>
      </c>
      <c r="U26" s="152" t="n"/>
      <c r="V26" s="152" t="inlineStr">
        <is>
          <t>≈ 71 total</t>
        </is>
      </c>
      <c r="W26" s="156" t="inlineStr">
        <is>
          <t>Not disclosed</t>
        </is>
      </c>
      <c r="X26" s="152" t="n">
        <v>54.9</v>
      </c>
      <c r="Y26" s="152" t="n">
        <v>24.9</v>
      </c>
      <c r="Z26" s="152" t="n">
        <v>2.11</v>
      </c>
      <c r="AA26" s="152" t="n">
        <v>3.4</v>
      </c>
      <c r="AB26" s="152" t="n">
        <v>3.4</v>
      </c>
      <c r="AC26" s="156" t="inlineStr">
        <is>
          <t>≈ 4 h per hot-swappable pack</t>
        </is>
      </c>
      <c r="AD26" s="156" t="inlineStr">
        <is>
          <t>4</t>
        </is>
      </c>
      <c r="AE26" s="152" t="n"/>
      <c r="AF26" s="152" t="inlineStr">
        <is>
          <t>Not disclosed</t>
        </is>
      </c>
      <c r="AG26" s="156" t="inlineStr">
        <is>
          <t>Industrial-grade manipulation hands</t>
        </is>
      </c>
      <c r="AH26" s="152" t="inlineStr">
        <is>
          <t>Not disclosed</t>
        </is>
      </c>
      <c r="AI26" s="151" t="n">
        <v>3</v>
      </c>
      <c r="AJ26" s="156" t="inlineStr">
        <is>
          <t>Multi-camera stereo RGB + depth / ToF class</t>
        </is>
      </c>
      <c r="AK26" s="156" t="n"/>
      <c r="AL26" s="152" t="inlineStr">
        <is>
          <t>Teleoperation and autonomy vision</t>
        </is>
      </c>
      <c r="AM26" s="152" t="n"/>
      <c r="AN26" s="152" t="inlineStr">
        <is>
          <t>Not disclosed</t>
        </is>
      </c>
      <c r="AO26" s="152" t="inlineStr">
        <is>
          <t>Not disclosed</t>
        </is>
      </c>
      <c r="AP26" s="152" t="inlineStr">
        <is>
          <t>Not disclosed</t>
        </is>
      </c>
      <c r="AQ26" s="152" t="inlineStr">
        <is>
          <t>Not disclosed</t>
        </is>
      </c>
      <c r="AR26" s="152" t="n"/>
      <c r="AS26" s="152" t="n"/>
      <c r="AT26" s="156" t="inlineStr">
        <is>
          <t>Not disclosed</t>
        </is>
      </c>
      <c r="AU26" s="156" t="inlineStr">
        <is>
          <t>Not disclosed</t>
        </is>
      </c>
      <c r="AV26" s="152" t="inlineStr">
        <is>
          <t>Apptronik control stack for enterprise pilots</t>
        </is>
      </c>
      <c r="AW26" s="156" t="inlineStr">
        <is>
          <t>Human-scale bipedal navigation in industrial settings</t>
        </is>
      </c>
      <c r="AX26" s="151" t="n">
        <v>3</v>
      </c>
      <c r="AY26" s="156" t="inlineStr">
        <is>
          <t>Not disclosed</t>
        </is>
      </c>
      <c r="AZ26" s="156" t="inlineStr">
        <is>
          <t>Not disclosed</t>
        </is>
      </c>
      <c r="BA26" s="156" t="n"/>
      <c r="BB26" s="156" t="inlineStr">
        <is>
          <t>Not disclosed</t>
        </is>
      </c>
      <c r="BC26" s="156" t="inlineStr">
        <is>
          <t>Not disclosed</t>
        </is>
      </c>
      <c r="BD26" s="152" t="inlineStr">
        <is>
          <t>Not disclosed</t>
        </is>
      </c>
      <c r="BE26" s="152" t="inlineStr">
        <is>
          <t>Not disclosed</t>
        </is>
      </c>
      <c r="BF26" s="152" t="n"/>
      <c r="BG26" s="152" t="n"/>
      <c r="BH26" s="152" t="n"/>
      <c r="BI26" s="152" t="n"/>
      <c r="BJ26" s="152" t="n"/>
      <c r="BK26" s="152" t="n"/>
      <c r="BL26" s="152" t="n"/>
      <c r="BM26" s="152" t="inlineStr">
        <is>
          <t>Not disclosed</t>
        </is>
      </c>
      <c r="BN26" s="152" t="inlineStr">
        <is>
          <t>Not disclosed</t>
        </is>
      </c>
      <c r="BO26" s="156" t="inlineStr">
        <is>
          <t>Manipulation 3/4 · Navigation 3/4 · Peak 3.4 km/h · Walk 3.4 km/h · Runtime 4</t>
        </is>
      </c>
      <c r="BP26" s="152" t="n"/>
      <c r="BQ26" s="156" t="inlineStr">
        <is>
          <t>Manufacturing and logistics enterprises running or evaluating humanoid pilots.</t>
        </is>
      </c>
      <c r="BR26" s="156" t="inlineStr">
        <is>
          <t>Prototype</t>
        </is>
      </c>
      <c r="BS26" s="156" t="inlineStr">
        <is>
          <t>Prototype</t>
        </is>
      </c>
      <c r="BT26" s="152" t="n"/>
      <c r="BU26" s="152" t="inlineStr">
        <is>
          <t>Not verified</t>
        </is>
      </c>
      <c r="BV26" s="156" t="n"/>
      <c r="BW26" s="156" t="inlineStr">
        <is>
          <t>Origin &amp; status — USA · Prototype · 2024 | Manipulation — Industrial-grade manipulation hands · Payload ≈ 55 lb | Sensing &amp; software — Multi-camera stereo RGB + depth / ToF class · Apptronik control stack for enterprise pilots | Buying notes — From $50,000 · 12 months manufacturer standard (typical research/commercial humanoid)</t>
        </is>
      </c>
      <c r="BX26" s="156" t="inlineStr">
        <is>
          <t>apollo2|Apollo 2 (Bipedal / Wheeled)|50000|Pilot / commercial configuration || enterprise|Enterprise Deployment Package|120000|Full support package</t>
        </is>
      </c>
      <c r="BY26" s="152" t="inlineStr">
        <is>
          <t>white|Industrial White|#f8fafc|0 || black|Factory Black|#111111|0</t>
        </is>
      </c>
      <c r="BZ26" s="152" t="inlineStr">
        <is>
          <t>warranty_apollo</t>
        </is>
      </c>
      <c r="CA26" s="156" t="inlineStr">
        <is>
          <t>2 configuration tiers; 2 color options; Multi-year extended warranty available</t>
        </is>
      </c>
      <c r="CB26" s="156" t="inlineStr">
        <is>
          <t>12 months manufacturer standard (typical research/commercial humanoid)</t>
        </is>
      </c>
      <c r="CC26" s="154" t="n">
        <v>12</v>
      </c>
      <c r="CD26" s="156" t="inlineStr">
        <is>
          <t>+3 Year Extended ≈24% of configuration (default in configurator)</t>
        </is>
      </c>
      <c r="CE26" s="152" t="inlineStr">
        <is>
          <t>Humanoid category norm 2025–2026</t>
        </is>
      </c>
      <c r="CF26" s="152" t="inlineStr">
        <is>
          <t>Estimated</t>
        </is>
      </c>
      <c r="CG26" s="156" t="inlineStr">
        <is>
          <t>EDU or enterprise packages may differ; confirm on formal quote.</t>
        </is>
      </c>
      <c r="CH26" s="152" t="inlineStr">
        <is>
          <t>10%</t>
        </is>
      </c>
      <c r="CI26" s="152" t="inlineStr">
        <is>
          <t>17%</t>
        </is>
      </c>
      <c r="CJ26" s="152" t="inlineStr">
        <is>
          <t>24%</t>
        </is>
      </c>
      <c r="CK26"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6"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6" s="152" t="inlineStr">
        <is>
          <t>12 months manufacturer standard (typical research/commercial humanoid)</t>
        </is>
      </c>
      <c r="CN26" s="203" t="inlineStr">
        <is>
          <t>https://aixzd.com/robot/apollo</t>
        </is>
      </c>
      <c r="CO26" s="203" t="inlineStr">
        <is>
          <t>https://theresanaiforthat.com/robots/</t>
        </is>
      </c>
      <c r="CP26" s="203" t="inlineStr">
        <is>
          <t>Cross-checked against TAAFT Robots directory (669 entries) 28 Aug 2026 — individual TAAFT permalinks are JS/Cloudflare gated.</t>
        </is>
      </c>
      <c r="CQ26" s="101" t="inlineStr">
        <is>
          <t>Height: ≈ 5 ft 8 in | Weight: 158.7 | Degrees of Freedom: ≈ 71 total | Payload: 54.9 | Max Speed: 2.11 | Battery / Runtime: ≈ 4 h per hot-swappable pack</t>
        </is>
      </c>
    </row>
    <row r="27" ht="31.5" customHeight="1" s="102">
      <c r="A27" s="143" t="inlineStr">
        <is>
          <t>apptronik_apollo_2</t>
        </is>
      </c>
      <c r="B27" s="153" t="inlineStr">
        <is>
          <t>Major-player brief 11 Sep 2026</t>
        </is>
      </c>
      <c r="C27" s="145" t="inlineStr">
        <is>
          <t>Apptronik</t>
        </is>
      </c>
      <c r="D27" s="145" t="inlineStr">
        <is>
          <t>Apollo 2</t>
        </is>
      </c>
      <c r="E27" s="145" t="inlineStr">
        <is>
          <t>[Apptronik] Apollo 2 (2026)</t>
        </is>
      </c>
      <c r="F27" s="146" t="inlineStr">
        <is>
          <t>humanoid</t>
        </is>
      </c>
      <c r="G27" s="145" t="inlineStr">
        <is>
          <t>USA</t>
        </is>
      </c>
      <c r="H27" s="198" t="n">
        <v>2026</v>
      </c>
      <c r="I27" s="148" t="n">
        <v>85000</v>
      </c>
      <c r="J27" s="145" t="inlineStr">
        <is>
          <t>Humanoid.guide list</t>
        </is>
      </c>
      <c r="K27" s="149" t="inlineStr">
        <is>
          <t>Apollo 2 can be configured with legs or a wheeled base, allowing customers to choose between human-like mobility and greater stability.</t>
        </is>
      </c>
      <c r="L27" s="101" t="inlineStr">
        <is>
          <t>Apollo 2 can be configured with legs or a wheeled base, allowing customers to choose between human-like mobility and greater stability.</t>
        </is>
      </c>
      <c r="M27" s="101" t="inlineStr">
        <is>
          <t>Apollo 2 is Apptronik’s modular follow-on to Apollo. Customers can specify legs or a wheeled base, trading human-like mobility for greater stability depending on the floor and the job.</t>
        </is>
      </c>
      <c r="N27" s="150" t="inlineStr">
        <is>
          <t>https://humanoid.guide/product/apollo-2/</t>
        </is>
      </c>
      <c r="O27" s="150" t="inlineStr">
        <is>
          <t>https://www.apptronik.com</t>
        </is>
      </c>
      <c r="P27" s="145" t="inlineStr">
        <is>
          <t>5 ft 8 in</t>
        </is>
      </c>
      <c r="Q27" s="145" t="n">
        <v>173</v>
      </c>
      <c r="R27" s="145" t="n">
        <v>165.3</v>
      </c>
      <c r="S27" s="145" t="n">
        <v>75</v>
      </c>
      <c r="T27" s="149" t="inlineStr">
        <is>
          <t>Not disclosed</t>
        </is>
      </c>
      <c r="U27" s="145" t="n"/>
      <c r="V27" s="145" t="inlineStr">
        <is>
          <t>35</t>
        </is>
      </c>
      <c r="W27" s="149" t="inlineStr">
        <is>
          <t>12</t>
        </is>
      </c>
      <c r="X27" s="145" t="n">
        <v>55.1</v>
      </c>
      <c r="Y27" s="145" t="n">
        <v>25</v>
      </c>
      <c r="Z27" s="145" t="n">
        <v>3.11</v>
      </c>
      <c r="AA27" s="145" t="n">
        <v>5</v>
      </c>
      <c r="AB27" s="145" t="n"/>
      <c r="AC27" s="149" t="inlineStr">
        <is>
          <t>≈ 4 hours</t>
        </is>
      </c>
      <c r="AD27" s="149" t="inlineStr">
        <is>
          <t>4</t>
        </is>
      </c>
      <c r="AE27" s="145" t="n"/>
      <c r="AF27" s="145" t="inlineStr">
        <is>
          <t>Not disclosed</t>
        </is>
      </c>
      <c r="AG27" s="149" t="inlineStr">
        <is>
          <t>10 (5 per hand)</t>
        </is>
      </c>
      <c r="AH27" s="145" t="inlineStr">
        <is>
          <t>10 (5 per hand)</t>
        </is>
      </c>
      <c r="AI27" s="145" t="n"/>
      <c r="AJ27" s="149" t="inlineStr">
        <is>
          <t>Not disclosed</t>
        </is>
      </c>
      <c r="AK27" s="149" t="n"/>
      <c r="AL27" s="145" t="inlineStr">
        <is>
          <t>Not disclosed</t>
        </is>
      </c>
      <c r="AM27" s="145" t="n"/>
      <c r="AN27" s="145" t="inlineStr">
        <is>
          <t>Not disclosed</t>
        </is>
      </c>
      <c r="AO27" s="145" t="inlineStr">
        <is>
          <t>Not disclosed</t>
        </is>
      </c>
      <c r="AP27" s="145" t="inlineStr">
        <is>
          <t>Not disclosed</t>
        </is>
      </c>
      <c r="AQ27" s="145" t="inlineStr">
        <is>
          <t>Not disclosed</t>
        </is>
      </c>
      <c r="AR27" s="145" t="n"/>
      <c r="AS27" s="145" t="n"/>
      <c r="AT27" s="149" t="inlineStr">
        <is>
          <t>Not disclosed</t>
        </is>
      </c>
      <c r="AU27" s="149" t="inlineStr">
        <is>
          <t>Ethernet; Wi-Fi</t>
        </is>
      </c>
      <c r="AV27" s="145" t="inlineStr">
        <is>
          <t>Not disclosed</t>
        </is>
      </c>
      <c r="AW27" s="149" t="inlineStr">
        <is>
          <t>Not disclosed</t>
        </is>
      </c>
      <c r="AX27" s="145" t="n"/>
      <c r="AY27" s="149" t="inlineStr">
        <is>
          <t>Apptronik Artemis (proprietary control/AI stack)</t>
        </is>
      </c>
      <c r="AZ27" s="149" t="inlineStr">
        <is>
          <t>Yes, partnership with Google DeepMind / Gemini Robotics foundation models</t>
        </is>
      </c>
      <c r="BA27" s="149" t="n"/>
      <c r="BB27" s="149" t="inlineStr">
        <is>
          <t>Apptronik patented actuators (electric, 90%+ efficiency target)</t>
        </is>
      </c>
      <c r="BC27" s="149" t="inlineStr">
        <is>
          <t>Not disclosed</t>
        </is>
      </c>
      <c r="BD27" s="145" t="inlineStr">
        <is>
          <t>Aluminum alloy + composites</t>
        </is>
      </c>
      <c r="BE27" s="145" t="inlineStr">
        <is>
          <t>Not disclosed</t>
        </is>
      </c>
      <c r="BF27" s="145" t="n"/>
      <c r="BG27" s="145" t="n"/>
      <c r="BH27" s="145" t="n"/>
      <c r="BI27" s="145" t="n"/>
      <c r="BJ27" s="145" t="n"/>
      <c r="BK27" s="145" t="n"/>
      <c r="BL27" s="145" t="n"/>
      <c r="BM27" s="145" t="inlineStr">
        <is>
          <t>Yes</t>
        </is>
      </c>
      <c r="BN27" s="145" t="inlineStr">
        <is>
          <t>Not disclosed</t>
        </is>
      </c>
      <c r="BO27" s="149" t="inlineStr">
        <is>
          <t>Market: logistics; Manufacturing; retail · Human-safe: Yes · AI: Yes, partnership with Google DeepMind / Gemini Robotics foundation models · Actuation: Apptronik patented actuators (electric, 90%+ efficiency target) · Peak 5 km/h · Runtime 4</t>
        </is>
      </c>
      <c r="BP27" s="145" t="n"/>
      <c r="BQ27" s="149" t="inlineStr">
        <is>
          <t>Modular industrial humanoid — biped or wheeled base</t>
        </is>
      </c>
      <c r="BR27" s="149" t="inlineStr">
        <is>
          <t>Prototype</t>
        </is>
      </c>
      <c r="BS27" s="149" t="inlineStr">
        <is>
          <t>Prototype</t>
        </is>
      </c>
      <c r="BT27" s="145" t="inlineStr">
        <is>
          <t>White</t>
        </is>
      </c>
      <c r="BU27" s="145" t="n"/>
      <c r="BV27" s="149" t="n"/>
      <c r="BW27" s="149" t="inlineStr">
        <is>
          <t>Origin &amp; status — USA · Prototype · 2026 | Manipulation — 10 (5 per hand) · 10 (5 per hand) fingers · Hand DOF 12 · Payload 55.1 lb | Sensing &amp; software — Yes, partnership with Google DeepMind / Gemini Robotics foundation models · Apptronik Artemis (proprietary control/AI stack) | Buying notes — From $85,000 · 12 months manufacturer standard (typical research/commercial humanoid) · Best fit: logistics</t>
        </is>
      </c>
      <c r="BX27" s="149" t="inlineStr">
        <is>
          <t>as_shipped|Apollo 2|85000|As shipped</t>
        </is>
      </c>
      <c r="BY27" s="145" t="inlineStr">
        <is>
          <t>white|White|#e2e8f0|0</t>
        </is>
      </c>
      <c r="BZ27" s="145" t="inlineStr"/>
      <c r="CA27" s="149" t="n"/>
      <c r="CB27" s="149" t="inlineStr">
        <is>
          <t>12 months manufacturer standard (typical research/commercial humanoid)</t>
        </is>
      </c>
      <c r="CC27" s="147" t="n">
        <v>12</v>
      </c>
      <c r="CD27" s="149" t="inlineStr">
        <is>
          <t>+3 Year Extended ≈24% of configuration (default in configurator)</t>
        </is>
      </c>
      <c r="CE27" s="145" t="inlineStr">
        <is>
          <t>Humanoid category norm 2025–2026</t>
        </is>
      </c>
      <c r="CF27" s="145" t="inlineStr">
        <is>
          <t>Estimated</t>
        </is>
      </c>
      <c r="CG27" s="149" t="inlineStr">
        <is>
          <t>Confirm on formal OEM quote. EDU or enterprise packages may differ.</t>
        </is>
      </c>
      <c r="CH27" s="145" t="inlineStr">
        <is>
          <t>10%</t>
        </is>
      </c>
      <c r="CI27" s="145" t="inlineStr">
        <is>
          <t>17%</t>
        </is>
      </c>
      <c r="CJ27" s="145" t="inlineStr">
        <is>
          <t>24%</t>
        </is>
      </c>
      <c r="CK27" s="149" t="inlineStr">
        <is>
          <t>+1yr ≈10% | +2yr ≈17% | +3yr ≈24% of selected configuration price (parts &amp; labor beyond manufacturer standard).</t>
        </is>
      </c>
      <c r="CL27"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7" s="145" t="inlineStr">
        <is>
          <t>12 months manufacturer standard (typical research/commercial humanoid)</t>
        </is>
      </c>
      <c r="CN27" s="203" t="inlineStr">
        <is>
          <t>https://aixzd.com/robot/apollo-2</t>
        </is>
      </c>
      <c r="CO27" s="203" t="inlineStr">
        <is>
          <t>https://theresanaiforthat.com/robots/</t>
        </is>
      </c>
      <c r="CP27" s="203" t="inlineStr">
        <is>
          <t>Cross-checked against TAAFT Robots directory (669 entries) 28 Aug 2026 — individual TAAFT permalinks are JS/Cloudflare gated.</t>
        </is>
      </c>
      <c r="CQ27" s="101" t="inlineStr">
        <is>
          <t>Height: 5 ft 8 in | Weight: 165.3 | Degrees of Freedom: 35 | Payload: 55.1 | Max Speed: 3.11 | Battery / Runtime: ≈ 4 hours</t>
        </is>
      </c>
    </row>
    <row r="28" ht="31.5" customHeight="1" s="102">
      <c r="A28" s="152" t="inlineStr">
        <is>
          <t>apptronik_astra</t>
        </is>
      </c>
      <c r="B28" s="153" t="inlineStr">
        <is>
          <t>Humanoid.guide</t>
        </is>
      </c>
      <c r="C28" s="152" t="inlineStr">
        <is>
          <t>Apptronik</t>
        </is>
      </c>
      <c r="D28" s="152" t="inlineStr">
        <is>
          <t>Astra</t>
        </is>
      </c>
      <c r="E28" s="152" t="inlineStr">
        <is>
          <t>[Apptronik] Astra (2026)</t>
        </is>
      </c>
      <c r="F28" s="146" t="inlineStr">
        <is>
          <t>humanoid</t>
        </is>
      </c>
      <c r="G28" s="152" t="inlineStr">
        <is>
          <t>USA</t>
        </is>
      </c>
      <c r="H28" s="152" t="n"/>
      <c r="I28" s="155" t="n">
        <v>45000</v>
      </c>
      <c r="J28" s="152" t="inlineStr">
        <is>
          <t>Humanoid.guide list</t>
        </is>
      </c>
      <c r="K28" s="156" t="inlineStr">
        <is>
          <t>Astra is Apptronik's humanoid — 3 ft 3 in class, 24 DOF, 22 lb payload. 5 per hand; onboard AI: Possible (via external AI stack).</t>
        </is>
      </c>
      <c r="L28" s="101" t="inlineStr">
        <is>
          <t>Astra is Apptronik's humanoid — 3 ft 3 in class, 24 DOF, 22 lb payload. 5 per hand; onboard AI: Possible (via external AI stack).</t>
        </is>
      </c>
      <c r="M28" s="101" t="inlineStr">
        <is>
          <t>Astra is Apptronik's humanoid — 3 ft 3 in class, 24 DOF, 22 lb payload. 5 per hand; onboard AI: Possible (via external AI stack). Public status is listed as prototype, and it is positioned for interactive service; Manufacturing.</t>
        </is>
      </c>
      <c r="N28" s="157" t="inlineStr">
        <is>
          <t>https://humanoid.guide/product/astra/</t>
        </is>
      </c>
      <c r="O28" s="157" t="inlineStr">
        <is>
          <t>https://www.apptronik.com</t>
        </is>
      </c>
      <c r="P28" s="152" t="inlineStr">
        <is>
          <t>3 ft 3 in</t>
        </is>
      </c>
      <c r="Q28" s="152" t="n">
        <v>100</v>
      </c>
      <c r="R28" s="152" t="n">
        <v>55.1</v>
      </c>
      <c r="S28" s="152" t="n">
        <v>25</v>
      </c>
      <c r="T28" s="156" t="inlineStr">
        <is>
          <t>Not disclosed</t>
        </is>
      </c>
      <c r="U28" s="152" t="n"/>
      <c r="V28" s="152" t="inlineStr">
        <is>
          <t>24</t>
        </is>
      </c>
      <c r="W28" s="156" t="inlineStr">
        <is>
          <t>12</t>
        </is>
      </c>
      <c r="X28" s="152" t="n">
        <v>22</v>
      </c>
      <c r="Y28" s="152" t="n">
        <v>10</v>
      </c>
      <c r="Z28" s="152" t="n">
        <v>0</v>
      </c>
      <c r="AA28" s="152" t="n">
        <v>0</v>
      </c>
      <c r="AB28" s="152" t="n"/>
      <c r="AC28" s="156" t="inlineStr">
        <is>
          <t>≈ 2 hours</t>
        </is>
      </c>
      <c r="AD28" s="156" t="inlineStr">
        <is>
          <t>2</t>
        </is>
      </c>
      <c r="AE28" s="152" t="n"/>
      <c r="AF28" s="152" t="inlineStr">
        <is>
          <t>Not disclosed</t>
        </is>
      </c>
      <c r="AG28" s="156" t="inlineStr">
        <is>
          <t>5 per hand</t>
        </is>
      </c>
      <c r="AH28" s="152" t="inlineStr">
        <is>
          <t>5 per hand</t>
        </is>
      </c>
      <c r="AI28" s="152" t="n"/>
      <c r="AJ28" s="156" t="inlineStr">
        <is>
          <t>Likely HD–4K stereo vision (estimated)</t>
        </is>
      </c>
      <c r="AK28" s="156" t="inlineStr">
        <is>
          <t>Likely HD–4K stereo vision (estimated)</t>
        </is>
      </c>
      <c r="AL28" s="152" t="inlineStr">
        <is>
          <t>Not disclosed</t>
        </is>
      </c>
      <c r="AM28" s="152" t="n"/>
      <c r="AN28" s="152" t="inlineStr">
        <is>
          <t>Not disclosed</t>
        </is>
      </c>
      <c r="AO28" s="152" t="inlineStr">
        <is>
          <t>Not disclosed</t>
        </is>
      </c>
      <c r="AP28" s="152" t="inlineStr">
        <is>
          <t>Not disclosed</t>
        </is>
      </c>
      <c r="AQ28" s="152" t="inlineStr">
        <is>
          <t>Not disclosed</t>
        </is>
      </c>
      <c r="AR28" s="152" t="n"/>
      <c r="AS28" s="152" t="n"/>
      <c r="AT28" s="156" t="inlineStr">
        <is>
          <t>Likely NVIDIA-based edge AI (Jetson class, estimated)</t>
        </is>
      </c>
      <c r="AU28" s="156" t="inlineStr">
        <is>
          <t>Ethernet; Wi‑Fi</t>
        </is>
      </c>
      <c r="AV28" s="152" t="inlineStr">
        <is>
          <t>Not disclosed</t>
        </is>
      </c>
      <c r="AW28" s="156" t="inlineStr">
        <is>
          <t>Not disclosed</t>
        </is>
      </c>
      <c r="AX28" s="152" t="n"/>
      <c r="AY28" s="156" t="inlineStr">
        <is>
          <t>ROS-based (Robot Operating System, assumed)</t>
        </is>
      </c>
      <c r="AZ28" s="156" t="inlineStr">
        <is>
          <t>Possible (via external AI stack)</t>
        </is>
      </c>
      <c r="BA28" s="156" t="inlineStr">
        <is>
          <t>~100–300 ms (estimated)</t>
        </is>
      </c>
      <c r="BB28" s="156" t="inlineStr">
        <is>
          <t>Electric actuators (high-torque, compact)</t>
        </is>
      </c>
      <c r="BC28" s="156" t="inlineStr">
        <is>
          <t>Harmonic drive / planetary gears (assumed)</t>
        </is>
      </c>
      <c r="BD28" s="152" t="inlineStr">
        <is>
          <t>Aluminum + composites</t>
        </is>
      </c>
      <c r="BE28" s="152" t="inlineStr">
        <is>
          <t>Not disclosed</t>
        </is>
      </c>
      <c r="BF28" s="152" t="n"/>
      <c r="BG28" s="152" t="n"/>
      <c r="BH28" s="152" t="n"/>
      <c r="BI28" s="152" t="n"/>
      <c r="BJ28" s="152" t="n"/>
      <c r="BK28" s="152" t="n"/>
      <c r="BL28" s="152" t="n"/>
      <c r="BM28" s="152" t="inlineStr">
        <is>
          <t>Yes</t>
        </is>
      </c>
      <c r="BN28" s="152" t="inlineStr">
        <is>
          <t>Not disclosed</t>
        </is>
      </c>
      <c r="BO28" s="156" t="inlineStr">
        <is>
          <t>Market: Interactive service; Manufacturing · Human-safe: Yes · AI: Possible (via external AI stack) · Actuation: Electric actuators (high-torque, compact) · Runtime 2</t>
        </is>
      </c>
      <c r="BP28" s="152" t="n"/>
      <c r="BQ28" s="156" t="inlineStr">
        <is>
          <t>Interactive service; Manufacturing</t>
        </is>
      </c>
      <c r="BR28" s="156" t="inlineStr">
        <is>
          <t>Prototype</t>
        </is>
      </c>
      <c r="BS28" s="156" t="inlineStr">
        <is>
          <t>Prototype</t>
        </is>
      </c>
      <c r="BT28" s="152" t="n"/>
      <c r="BU28" s="152" t="n"/>
      <c r="BV28" s="156" t="n"/>
      <c r="BW28" s="156" t="inlineStr">
        <is>
          <t>Origin &amp; status — USA · Prototype · 2026 | Manipulation — 5 per hand · 5 per hand fingers · Hand DOF 12 · Payload 22 lb | Sensing &amp; software — Likely HD–4K stereo vision (estimated) · Possible (via external AI stack) · ROS-based (Robot Operating System, assumed) | Buying notes — From $45,000 · 12 months manufacturer standard (typical research/commercial humanoid) · Best fit: Interactive service</t>
        </is>
      </c>
      <c r="BX28" s="156" t="inlineStr">
        <is>
          <t>as_shipped|Astra|45000|As shipped</t>
        </is>
      </c>
      <c r="BY28" s="152" t="inlineStr">
        <is>
          <t>astra|Manufacturer finish|#e2e8f0|0</t>
        </is>
      </c>
      <c r="BZ28" s="152" t="inlineStr"/>
      <c r="CA28" s="156" t="n"/>
      <c r="CB28" s="156" t="inlineStr">
        <is>
          <t>12 months manufacturer standard (typical research/commercial humanoid)</t>
        </is>
      </c>
      <c r="CC28" s="154" t="n">
        <v>12</v>
      </c>
      <c r="CD28" s="156" t="inlineStr">
        <is>
          <t>+3 Year Extended ≈24% of configuration (default in configurator)</t>
        </is>
      </c>
      <c r="CE28" s="152" t="inlineStr">
        <is>
          <t>Humanoid category norm 2025–2026</t>
        </is>
      </c>
      <c r="CF28" s="152" t="inlineStr">
        <is>
          <t>Estimated</t>
        </is>
      </c>
      <c r="CG28" s="156" t="inlineStr">
        <is>
          <t>Confirm on formal OEM quote. EDU or enterprise packages may differ.</t>
        </is>
      </c>
      <c r="CH28" s="152" t="inlineStr">
        <is>
          <t>10%</t>
        </is>
      </c>
      <c r="CI28" s="152" t="inlineStr">
        <is>
          <t>17%</t>
        </is>
      </c>
      <c r="CJ28" s="152" t="inlineStr">
        <is>
          <t>24%</t>
        </is>
      </c>
      <c r="CK28" s="156" t="inlineStr">
        <is>
          <t>+1yr ≈10% | +2yr ≈17% | +3yr ≈24% of selected configuration price (parts &amp; labor beyond manufacturer standard).</t>
        </is>
      </c>
      <c r="CL28"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8" s="152" t="inlineStr">
        <is>
          <t>12 months manufacturer standard (typical research/commercial humanoid)</t>
        </is>
      </c>
      <c r="CO28" s="203" t="inlineStr">
        <is>
          <t>https://theresanaiforthat.com/robots/</t>
        </is>
      </c>
      <c r="CP28" s="203" t="inlineStr">
        <is>
          <t>Cross-checked against TAAFT Robots directory (669 entries) 28 Aug 2026 — individual TAAFT permalinks are JS/Cloudflare gated.</t>
        </is>
      </c>
      <c r="CQ28" s="101" t="inlineStr">
        <is>
          <t>Height: 3 ft 3 in | Weight: 55.1 | Degrees of Freedom: 24 | Payload: 22 | Max Speed: 0 | Battery / Runtime: ≈ 2 hours</t>
        </is>
      </c>
    </row>
    <row r="29" ht="31.5" customHeight="1" s="102">
      <c r="A29" s="145" t="inlineStr">
        <is>
          <t>apptronik_qdh</t>
        </is>
      </c>
      <c r="B29" s="153" t="inlineStr">
        <is>
          <t>Humanoid.guide</t>
        </is>
      </c>
      <c r="C29" s="145" t="inlineStr">
        <is>
          <t>Apptronik</t>
        </is>
      </c>
      <c r="D29" s="145" t="inlineStr">
        <is>
          <t>QDH</t>
        </is>
      </c>
      <c r="E29" s="145" t="inlineStr">
        <is>
          <t>[Apptronik] QDH (2026)</t>
        </is>
      </c>
      <c r="F29" s="146" t="inlineStr">
        <is>
          <t>humanoid</t>
        </is>
      </c>
      <c r="G29" s="145" t="inlineStr">
        <is>
          <t>USA</t>
        </is>
      </c>
      <c r="H29" s="145" t="n"/>
      <c r="I29" s="148" t="n">
        <v>80000</v>
      </c>
      <c r="J29" s="145" t="inlineStr">
        <is>
          <t>Humanoid.guide list</t>
        </is>
      </c>
      <c r="K29" s="149" t="inlineStr">
        <is>
          <t>QDH is a versatile humanoid robot by Apptronik designed for real-world work environments, focusing on safe human interaction, adaptability, and scalable automation.</t>
        </is>
      </c>
      <c r="L29" s="101" t="inlineStr">
        <is>
          <t>QDH is a versatile humanoid robot by Apptronik designed for real-world work environments, focusing on safe human interaction, adaptability, and scalable automation.</t>
        </is>
      </c>
      <c r="M29" s="101" t="inlineStr">
        <is>
          <t>QDH is a versatile humanoid robot by Apptronik designed for real-world work environments, focusing on safe human interaction, adaptability, and scalable automation. Public status is listed as prototype, and it is positioned for logistics; Manufacturing; Research.</t>
        </is>
      </c>
      <c r="N29" s="150" t="inlineStr">
        <is>
          <t>https://humanoid.guide/product/qdh/</t>
        </is>
      </c>
      <c r="O29" s="150" t="inlineStr">
        <is>
          <t>https://www.apptronik.com</t>
        </is>
      </c>
      <c r="P29" s="145" t="inlineStr">
        <is>
          <t>5 ft 5 in</t>
        </is>
      </c>
      <c r="Q29" s="145" t="n">
        <v>165</v>
      </c>
      <c r="R29" s="145" t="n">
        <v>132.3</v>
      </c>
      <c r="S29" s="145" t="n">
        <v>60</v>
      </c>
      <c r="T29" s="149" t="inlineStr">
        <is>
          <t>Not disclosed</t>
        </is>
      </c>
      <c r="U29" s="145" t="n"/>
      <c r="V29" s="145" t="inlineStr">
        <is>
          <t>14</t>
        </is>
      </c>
      <c r="W29" s="149" t="inlineStr">
        <is>
          <t>0</t>
        </is>
      </c>
      <c r="X29" s="145" t="n">
        <v>22</v>
      </c>
      <c r="Y29" s="145" t="n">
        <v>10</v>
      </c>
      <c r="Z29" s="145" t="n">
        <v>1.86</v>
      </c>
      <c r="AA29" s="145" t="n">
        <v>3</v>
      </c>
      <c r="AB29" s="145" t="n">
        <v>3</v>
      </c>
      <c r="AC29" s="149" t="inlineStr">
        <is>
          <t>≈ 2 hours</t>
        </is>
      </c>
      <c r="AD29" s="149" t="inlineStr">
        <is>
          <t>2</t>
        </is>
      </c>
      <c r="AE29" s="145" t="n"/>
      <c r="AF29" s="145" t="inlineStr">
        <is>
          <t>Not disclosed</t>
        </is>
      </c>
      <c r="AG29" s="149" t="inlineStr">
        <is>
          <t>0</t>
        </is>
      </c>
      <c r="AH29" s="145" t="inlineStr">
        <is>
          <t>0</t>
        </is>
      </c>
      <c r="AI29" s="145" t="n"/>
      <c r="AJ29" s="149" t="inlineStr">
        <is>
          <t>HD / stereo vision (estimated)</t>
        </is>
      </c>
      <c r="AK29" s="149" t="inlineStr">
        <is>
          <t>HD / stereo vision (estimated)</t>
        </is>
      </c>
      <c r="AL29" s="145" t="inlineStr">
        <is>
          <t>Not disclosed</t>
        </is>
      </c>
      <c r="AM29" s="145" t="n"/>
      <c r="AN29" s="145" t="inlineStr">
        <is>
          <t>Not disclosed</t>
        </is>
      </c>
      <c r="AO29" s="145" t="inlineStr">
        <is>
          <t>Not disclosed</t>
        </is>
      </c>
      <c r="AP29" s="145" t="inlineStr">
        <is>
          <t>Not disclosed</t>
        </is>
      </c>
      <c r="AQ29" s="145" t="inlineStr">
        <is>
          <t>Not disclosed</t>
        </is>
      </c>
      <c r="AR29" s="145" t="n"/>
      <c r="AS29" s="145" t="n"/>
      <c r="AT29" s="149" t="inlineStr">
        <is>
          <t>Not disclosed</t>
        </is>
      </c>
      <c r="AU29" s="149" t="inlineStr">
        <is>
          <t>Ethernet; Wi‑Fi</t>
        </is>
      </c>
      <c r="AV29" s="145" t="inlineStr">
        <is>
          <t>Not disclosed</t>
        </is>
      </c>
      <c r="AW29" s="149" t="inlineStr">
        <is>
          <t>Not disclosed</t>
        </is>
      </c>
      <c r="AX29" s="145" t="n"/>
      <c r="AY29" s="149" t="inlineStr">
        <is>
          <t>Likely ROS-based system</t>
        </is>
      </c>
      <c r="AZ29" s="149" t="inlineStr">
        <is>
          <t>Possible (via external AI stack)</t>
        </is>
      </c>
      <c r="BA29" s="149" t="inlineStr">
        <is>
          <t>~100–300 ms (estimated)</t>
        </is>
      </c>
      <c r="BB29" s="149" t="inlineStr">
        <is>
          <t>Electric actuators</t>
        </is>
      </c>
      <c r="BC29" s="149" t="inlineStr">
        <is>
          <t>Harmonic drive / planetary gears (assumed)</t>
        </is>
      </c>
      <c r="BD29" s="145" t="inlineStr">
        <is>
          <t>Aluminum + composites</t>
        </is>
      </c>
      <c r="BE29" s="145" t="inlineStr">
        <is>
          <t>Not disclosed</t>
        </is>
      </c>
      <c r="BF29" s="145" t="n"/>
      <c r="BG29" s="145" t="n"/>
      <c r="BH29" s="145" t="n"/>
      <c r="BI29" s="145" t="n"/>
      <c r="BJ29" s="145" t="n"/>
      <c r="BK29" s="145" t="n"/>
      <c r="BL29" s="145" t="n"/>
      <c r="BM29" s="145" t="inlineStr">
        <is>
          <t>Yes</t>
        </is>
      </c>
      <c r="BN29" s="145" t="inlineStr">
        <is>
          <t>Not disclosed</t>
        </is>
      </c>
      <c r="BO29" s="149" t="inlineStr">
        <is>
          <t>Market: logistics; Manufacturing; Research · Human-safe: Yes · AI: Possible (via external AI stack) · Actuation: Electric actuators · Peak 3 km/h · Walk 3 km/h · Runtime 2</t>
        </is>
      </c>
      <c r="BP29" s="145" t="n"/>
      <c r="BQ29" s="149" t="inlineStr">
        <is>
          <t>logistics; Manufacturing; Research</t>
        </is>
      </c>
      <c r="BR29" s="149" t="inlineStr">
        <is>
          <t>Prototype</t>
        </is>
      </c>
      <c r="BS29" s="149" t="inlineStr">
        <is>
          <t>Prototype</t>
        </is>
      </c>
      <c r="BT29" s="145" t="n"/>
      <c r="BU29" s="145" t="n"/>
      <c r="BV29" s="149" t="n"/>
      <c r="BW29" s="149" t="inlineStr">
        <is>
          <t>Origin &amp; status — USA · Prototype · 2026 | Manipulation — 0 · 0 fingers · Hand DOF 0 · Payload 22 lb | Sensing &amp; software — HD / stereo vision (estimated) · Possible (via external AI stack) · Likely ROS-based system | Buying notes — From $80,000 · 12 months manufacturer standard (typical research/commercial humanoid) · Best fit: logistics</t>
        </is>
      </c>
      <c r="BX29" s="149" t="inlineStr">
        <is>
          <t>as_shipped|QDH|80000|As shipped</t>
        </is>
      </c>
      <c r="BY29" s="145" t="inlineStr">
        <is>
          <t>qdh|Manufacturer finish|#e2e8f0|0</t>
        </is>
      </c>
      <c r="BZ29" s="145" t="inlineStr"/>
      <c r="CA29" s="149" t="n"/>
      <c r="CB29" s="149" t="inlineStr">
        <is>
          <t>12 months manufacturer standard (typical research/commercial humanoid)</t>
        </is>
      </c>
      <c r="CC29" s="147" t="n">
        <v>12</v>
      </c>
      <c r="CD29" s="149" t="inlineStr">
        <is>
          <t>+3 Year Extended ≈24% of configuration (default in configurator)</t>
        </is>
      </c>
      <c r="CE29" s="145" t="inlineStr">
        <is>
          <t>Humanoid category norm 2025–2026</t>
        </is>
      </c>
      <c r="CF29" s="145" t="inlineStr">
        <is>
          <t>Estimated</t>
        </is>
      </c>
      <c r="CG29" s="149" t="inlineStr">
        <is>
          <t>Confirm on formal OEM quote. EDU or enterprise packages may differ.</t>
        </is>
      </c>
      <c r="CH29" s="145" t="inlineStr">
        <is>
          <t>10%</t>
        </is>
      </c>
      <c r="CI29" s="145" t="inlineStr">
        <is>
          <t>17%</t>
        </is>
      </c>
      <c r="CJ29" s="145" t="inlineStr">
        <is>
          <t>24%</t>
        </is>
      </c>
      <c r="CK29" s="149" t="inlineStr">
        <is>
          <t>+1yr ≈10% | +2yr ≈17% | +3yr ≈24% of selected configuration price (parts &amp; labor beyond manufacturer standard).</t>
        </is>
      </c>
      <c r="CL2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9" s="145" t="inlineStr">
        <is>
          <t>12 months manufacturer standard (typical research/commercial humanoid)</t>
        </is>
      </c>
      <c r="CO29" s="203" t="inlineStr">
        <is>
          <t>https://theresanaiforthat.com/robots/</t>
        </is>
      </c>
      <c r="CP29" s="203" t="inlineStr">
        <is>
          <t>Cross-checked against TAAFT Robots directory (669 entries) 28 Aug 2026 — individual TAAFT permalinks are JS/Cloudflare gated.</t>
        </is>
      </c>
      <c r="CQ29" s="101" t="inlineStr">
        <is>
          <t>Height: 5 ft 5 in | Weight: 132.3 | Degrees of Freedom: 14 | Payload: 22 | Max Speed: 1.86 | Battery / Runtime: ≈ 2 hours</t>
        </is>
      </c>
    </row>
    <row r="30" ht="31.5" customHeight="1" s="102">
      <c r="A30" s="152" t="inlineStr">
        <is>
          <t>artificial_intelligence_dynamic_organism_lab_aid</t>
        </is>
      </c>
      <c r="B30" s="153" t="inlineStr">
        <is>
          <t>Humanoid.guide</t>
        </is>
      </c>
      <c r="C30" s="152" t="inlineStr">
        <is>
          <t>Artificial Intelligence Dynamic Organism Lab</t>
        </is>
      </c>
      <c r="D30" s="152" t="inlineStr">
        <is>
          <t>AIDOL</t>
        </is>
      </c>
      <c r="E30" s="152" t="inlineStr">
        <is>
          <t>[Artificial Intelligence Dynamic Organism Lab] AIDOL (2026)</t>
        </is>
      </c>
      <c r="F30" s="146" t="inlineStr">
        <is>
          <t>humanoid</t>
        </is>
      </c>
      <c r="G30" s="152" t="inlineStr">
        <is>
          <t>Russia</t>
        </is>
      </c>
      <c r="H30" s="152" t="n"/>
      <c r="I30" s="155" t="n">
        <v>60000</v>
      </c>
      <c r="J30" s="152" t="inlineStr">
        <is>
          <t>Humanoid.guide list</t>
        </is>
      </c>
      <c r="K30" s="156" t="inlineStr">
        <is>
          <t>AIDOL is a Russian humanoid robot designed for industrial and service work, best known for its dramatic on-stage fall but built to walk, carry loads and interact with people using expressive, AI-driven dialogue.</t>
        </is>
      </c>
      <c r="L30" s="101" t="inlineStr">
        <is>
          <t>AIDOL is a Russian humanoid robot designed for industrial and service work, best known for its dramatic on-stage fall but built to walk, carry loads and interact with people using expressive, AI-driven dialogue.</t>
        </is>
      </c>
      <c r="M30" s="101" t="inlineStr">
        <is>
          <t>AIDOL is a Russian humanoid robot designed for industrial and service work, best known for its dramatic on-stage fall but built to walk, carry loads and interact with people using expressive, AI-driven dialogue. Public status is listed as prototype, and it is positioned for industrial automation; logistics.</t>
        </is>
      </c>
      <c r="N30" s="157" t="inlineStr">
        <is>
          <t>https://humanoid.guide/product/aidol/</t>
        </is>
      </c>
      <c r="O30" s="157" t="inlineStr">
        <is>
          <t>https://aidoltech.ru/</t>
        </is>
      </c>
      <c r="P30" s="152" t="inlineStr">
        <is>
          <t>6 ft 1 in</t>
        </is>
      </c>
      <c r="Q30" s="152" t="n">
        <v>186</v>
      </c>
      <c r="R30" s="152" t="n">
        <v>209.4</v>
      </c>
      <c r="S30" s="152" t="n">
        <v>95</v>
      </c>
      <c r="T30" s="156" t="inlineStr">
        <is>
          <t>Not disclosed</t>
        </is>
      </c>
      <c r="U30" s="152" t="n"/>
      <c r="V30" s="152" t="inlineStr">
        <is>
          <t>67</t>
        </is>
      </c>
      <c r="W30" s="156" t="inlineStr">
        <is>
          <t>Not disclosed</t>
        </is>
      </c>
      <c r="X30" s="152" t="n">
        <v>22</v>
      </c>
      <c r="Y30" s="152" t="n">
        <v>10</v>
      </c>
      <c r="Z30" s="152" t="n">
        <v>3.73</v>
      </c>
      <c r="AA30" s="152" t="n">
        <v>6</v>
      </c>
      <c r="AB30" s="152" t="n">
        <v>6</v>
      </c>
      <c r="AC30" s="156" t="inlineStr">
        <is>
          <t>≈ 6 hours</t>
        </is>
      </c>
      <c r="AD30" s="156" t="inlineStr">
        <is>
          <t>6</t>
        </is>
      </c>
      <c r="AE30" s="152" t="n"/>
      <c r="AF30" s="152" t="inlineStr">
        <is>
          <t>Not disclosed</t>
        </is>
      </c>
      <c r="AG30" s="156" t="inlineStr">
        <is>
          <t>10</t>
        </is>
      </c>
      <c r="AH30" s="152" t="inlineStr">
        <is>
          <t>10</t>
        </is>
      </c>
      <c r="AI30" s="158" t="n">
        <v>2</v>
      </c>
      <c r="AJ30" s="156" t="inlineStr">
        <is>
          <t>Not disclosed</t>
        </is>
      </c>
      <c r="AK30" s="156" t="inlineStr">
        <is>
          <t>Not specified</t>
        </is>
      </c>
      <c r="AL30" s="152" t="inlineStr">
        <is>
          <t>Not disclosed</t>
        </is>
      </c>
      <c r="AM30" s="152" t="n"/>
      <c r="AN30" s="152" t="inlineStr">
        <is>
          <t>Not disclosed</t>
        </is>
      </c>
      <c r="AO30" s="152" t="inlineStr">
        <is>
          <t>Not disclosed</t>
        </is>
      </c>
      <c r="AP30" s="152" t="inlineStr">
        <is>
          <t>Not disclosed</t>
        </is>
      </c>
      <c r="AQ30" s="152" t="inlineStr">
        <is>
          <t>Not disclosed</t>
        </is>
      </c>
      <c r="AR30" s="152" t="n"/>
      <c r="AS30" s="152" t="n"/>
      <c r="AT30" s="156" t="inlineStr">
        <is>
          <t>Computing module based on a graphics processor</t>
        </is>
      </c>
      <c r="AU30" s="156" t="inlineStr">
        <is>
          <t>Not disclosed</t>
        </is>
      </c>
      <c r="AV30" s="152" t="inlineStr">
        <is>
          <t>Not disclosed</t>
        </is>
      </c>
      <c r="AW30" s="156" t="inlineStr">
        <is>
          <t>Not disclosed</t>
        </is>
      </c>
      <c r="AX30" s="158" t="n">
        <v>2</v>
      </c>
      <c r="AY30" s="156" t="inlineStr">
        <is>
          <t>Not disclosed</t>
        </is>
      </c>
      <c r="AZ30" s="156" t="inlineStr">
        <is>
          <t>Local, context-aware dialogue; proprietary system, no named LLM announced</t>
        </is>
      </c>
      <c r="BA30" s="156" t="inlineStr">
        <is>
          <t>Not specified</t>
        </is>
      </c>
      <c r="BB30" s="156" t="inlineStr">
        <is>
          <t>Not disclosed</t>
        </is>
      </c>
      <c r="BC30" s="156" t="inlineStr">
        <is>
          <t>Not disclosed</t>
        </is>
      </c>
      <c r="BD30" s="152" t="inlineStr">
        <is>
          <t>Metal frame with plastic/composite outer shells</t>
        </is>
      </c>
      <c r="BE30" s="152" t="inlineStr">
        <is>
          <t>Not disclosed</t>
        </is>
      </c>
      <c r="BF30" s="152" t="inlineStr">
        <is>
          <t>Not specified</t>
        </is>
      </c>
      <c r="BG30" s="152" t="n"/>
      <c r="BH30" s="152" t="n"/>
      <c r="BI30" s="152" t="n"/>
      <c r="BJ30" s="152" t="n"/>
      <c r="BK30" s="152" t="n"/>
      <c r="BL30" s="152" t="n"/>
      <c r="BM30" s="152" t="inlineStr">
        <is>
          <t>No formal safety rating</t>
        </is>
      </c>
      <c r="BN30" s="152" t="inlineStr">
        <is>
          <t>Not disclosed</t>
        </is>
      </c>
      <c r="BO30" s="156" t="inlineStr">
        <is>
          <t>Market: Industrial automation; logistics · Manipulation 2/4 · Navigation 2/4 · Human-safe: No formal safety rating · AI: Local, context-aware dialogue; proprietary system, no named LLM announced · Actuation: Not specified · Peak 6 km/h · Walk 6 km/h · Runtime 6</t>
        </is>
      </c>
      <c r="BP30" s="152" t="n"/>
      <c r="BQ30" s="156" t="inlineStr">
        <is>
          <t>Industrial automation; logistics</t>
        </is>
      </c>
      <c r="BR30" s="156" t="inlineStr">
        <is>
          <t>Prototype</t>
        </is>
      </c>
      <c r="BS30" s="156" t="inlineStr">
        <is>
          <t>Prototype</t>
        </is>
      </c>
      <c r="BT30" s="152" t="n"/>
      <c r="BU30" s="152" t="inlineStr">
        <is>
          <t>Not verified</t>
        </is>
      </c>
      <c r="BV30" s="156" t="n"/>
      <c r="BW30" s="156" t="inlineStr">
        <is>
          <t>Origin &amp; status — Russia · Prototype · 2026 | Manipulation — 10 · 10 fingers · Payload 22 lb | Sensing &amp; software — Local, context-aware dialogue; proprietary system, no named LLM announced | Buying notes — From $60,000 · 12 months manufacturer standard (typical research/commercial humanoid) · Best fit: Industrial automation</t>
        </is>
      </c>
      <c r="BX30" s="156" t="inlineStr">
        <is>
          <t>as_shipped|AIDOL|60000|As shipped</t>
        </is>
      </c>
      <c r="BY30" s="152" t="inlineStr">
        <is>
          <t>aidol|Manufacturer finish|#e2e8f0|0</t>
        </is>
      </c>
      <c r="BZ30" s="152" t="inlineStr"/>
      <c r="CA30" s="156" t="n"/>
      <c r="CB30" s="156" t="inlineStr">
        <is>
          <t>12 months manufacturer standard (typical research/commercial humanoid)</t>
        </is>
      </c>
      <c r="CC30" s="154" t="n">
        <v>12</v>
      </c>
      <c r="CD30" s="156" t="inlineStr">
        <is>
          <t>+3 Year Extended ≈24% of configuration (default in configurator)</t>
        </is>
      </c>
      <c r="CE30" s="152" t="inlineStr">
        <is>
          <t>Humanoid category norm 2025–2026</t>
        </is>
      </c>
      <c r="CF30" s="152" t="inlineStr">
        <is>
          <t>Estimated</t>
        </is>
      </c>
      <c r="CG30" s="156" t="inlineStr">
        <is>
          <t>Confirm on formal OEM quote. EDU or enterprise packages may differ.</t>
        </is>
      </c>
      <c r="CH30" s="152" t="inlineStr">
        <is>
          <t>10%</t>
        </is>
      </c>
      <c r="CI30" s="152" t="inlineStr">
        <is>
          <t>17%</t>
        </is>
      </c>
      <c r="CJ30" s="152" t="inlineStr">
        <is>
          <t>24%</t>
        </is>
      </c>
      <c r="CK30" s="156" t="inlineStr">
        <is>
          <t>+1yr ≈10% | +2yr ≈17% | +3yr ≈24% of selected configuration price (parts &amp; labor beyond manufacturer standard).</t>
        </is>
      </c>
      <c r="CL30"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0" s="152" t="inlineStr">
        <is>
          <t>12 months manufacturer standard (typical research/commercial humanoid)</t>
        </is>
      </c>
      <c r="CQ30" s="101" t="inlineStr">
        <is>
          <t>Height: 6 ft 1 in | Weight: 209.4 | Degrees of Freedom: 67 | Payload: 22 | Max Speed: 3.73 | Battery / Runtime: ≈ 6 hours</t>
        </is>
      </c>
    </row>
    <row r="31" ht="31.5" customHeight="1" s="102">
      <c r="A31" s="143" t="inlineStr">
        <is>
          <t>astribot_s1</t>
        </is>
      </c>
      <c r="B31" s="144" t="inlineStr">
        <is>
          <t>Both</t>
        </is>
      </c>
      <c r="C31" s="145" t="inlineStr">
        <is>
          <t>Astribot</t>
        </is>
      </c>
      <c r="D31" s="145" t="inlineStr">
        <is>
          <t>Astribot S1</t>
        </is>
      </c>
      <c r="E31" s="145" t="inlineStr">
        <is>
          <t>[Astribot] S1 (2025)</t>
        </is>
      </c>
      <c r="F31" s="146" t="inlineStr">
        <is>
          <t>humanoid</t>
        </is>
      </c>
      <c r="G31" s="145" t="inlineStr">
        <is>
          <t>China</t>
        </is>
      </c>
      <c r="H31" s="147" t="n">
        <v>2025</v>
      </c>
      <c r="I31" s="148" t="n">
        <v>50000</v>
      </c>
      <c r="J31" s="145" t="inlineStr">
        <is>
          <t>Robot Price Index Aug 2026 · enterprise entry</t>
        </is>
      </c>
      <c r="K31" s="149" t="inlineStr">
        <is>
          <t>A humanoid robot designed for real-world environments, combining dexterous dual-arm manipulation, advanced perception, and human-like interaction for service and industrial tasks.</t>
        </is>
      </c>
      <c r="L31" s="101" t="inlineStr">
        <is>
          <t>A humanoid robot designed for real-world environments, combining dexterous dual-arm manipulation, advanced perception, and human-like interaction for service and industrial tasks.</t>
        </is>
      </c>
      <c r="M31" s="101" t="inlineStr">
        <is>
          <t>S1 is Astribot's humanoid, introduced around 2025 in China. A humanoid robot designed for real-world environments, combining dexterous dual-arm manipulation, advanced perception, and human-like interaction for service and industrial tasks. Public status is listed as enterprise only.</t>
        </is>
      </c>
      <c r="N31" s="150" t="inlineStr">
        <is>
          <t>https://humanoid.guide/product/astribot-s1/</t>
        </is>
      </c>
      <c r="O31" s="150" t="inlineStr">
        <is>
          <t>https://www.astribot.com</t>
        </is>
      </c>
      <c r="P31" s="145" t="inlineStr">
        <is>
          <t>5 ft 7 in</t>
        </is>
      </c>
      <c r="Q31" s="145" t="n">
        <v>170</v>
      </c>
      <c r="R31" s="145" t="n">
        <v>176.4</v>
      </c>
      <c r="S31" s="145" t="n">
        <v>80</v>
      </c>
      <c r="T31" s="149" t="inlineStr">
        <is>
          <t>Not disclosed</t>
        </is>
      </c>
      <c r="U31" s="145" t="n"/>
      <c r="V31" s="145" t="inlineStr">
        <is>
          <t>23</t>
        </is>
      </c>
      <c r="W31" s="149" t="inlineStr">
        <is>
          <t>14</t>
        </is>
      </c>
      <c r="X31" s="145" t="n">
        <v>22</v>
      </c>
      <c r="Y31" s="145" t="n">
        <v>10</v>
      </c>
      <c r="Z31" s="145" t="n">
        <v>3.73</v>
      </c>
      <c r="AA31" s="145" t="n">
        <v>6</v>
      </c>
      <c r="AB31" s="145" t="n">
        <v>4</v>
      </c>
      <c r="AC31" s="149" t="inlineStr">
        <is>
          <t>4-6</t>
        </is>
      </c>
      <c r="AD31" s="149" t="inlineStr">
        <is>
          <t>4-6</t>
        </is>
      </c>
      <c r="AE31" s="145" t="n"/>
      <c r="AF31" s="145" t="inlineStr">
        <is>
          <t>Not disclosed</t>
        </is>
      </c>
      <c r="AG31" s="149" t="inlineStr">
        <is>
          <t>High-speed dual-arm manipulation emphasis</t>
        </is>
      </c>
      <c r="AH31" s="145" t="inlineStr">
        <is>
          <t>2-finger gripping claws</t>
        </is>
      </c>
      <c r="AI31" s="145" t="n"/>
      <c r="AJ31" s="149" t="inlineStr">
        <is>
          <t>Manipulation-focused vision</t>
        </is>
      </c>
      <c r="AK31" s="149" t="inlineStr">
        <is>
          <t>RGB-D camera / Stereo vision camera / LiDAR</t>
        </is>
      </c>
      <c r="AL31" s="145" t="inlineStr">
        <is>
          <t>Not disclosed</t>
        </is>
      </c>
      <c r="AM31" s="145" t="n"/>
      <c r="AN31" s="145" t="inlineStr">
        <is>
          <t>Not disclosed</t>
        </is>
      </c>
      <c r="AO31" s="145" t="inlineStr">
        <is>
          <t>Not disclosed</t>
        </is>
      </c>
      <c r="AP31" s="145" t="inlineStr">
        <is>
          <t>Not disclosed</t>
        </is>
      </c>
      <c r="AQ31" s="145" t="inlineStr">
        <is>
          <t>Not disclosed</t>
        </is>
      </c>
      <c r="AR31" s="145" t="n"/>
      <c r="AS31" s="145" t="n"/>
      <c r="AT31" s="149" t="inlineStr">
        <is>
          <t>Not disclosed</t>
        </is>
      </c>
      <c r="AU31" s="149" t="inlineStr">
        <is>
          <t>Ethernet; Wi‑Fi</t>
        </is>
      </c>
      <c r="AV31" s="145" t="inlineStr">
        <is>
          <t>Astribot control software</t>
        </is>
      </c>
      <c r="AW31" s="149" t="inlineStr">
        <is>
          <t>Not disclosed</t>
        </is>
      </c>
      <c r="AX31" s="145" t="n"/>
      <c r="AY31" s="149" t="inlineStr">
        <is>
          <t>Not disclosed</t>
        </is>
      </c>
      <c r="AZ31" s="149" t="inlineStr">
        <is>
          <t>likely compatible with AI/LLM systems</t>
        </is>
      </c>
      <c r="BA31" s="149" t="n"/>
      <c r="BB31" s="149" t="inlineStr">
        <is>
          <t>Electric motors (high-speed servo actuators)</t>
        </is>
      </c>
      <c r="BC31" s="149" t="inlineStr">
        <is>
          <t>Cable-driven + motor-driven hybrid system</t>
        </is>
      </c>
      <c r="BD31" s="145" t="inlineStr">
        <is>
          <t>Likely aluminum alloy + composite materials</t>
        </is>
      </c>
      <c r="BE31" s="145" t="inlineStr">
        <is>
          <t>indoor use, low IP rating</t>
        </is>
      </c>
      <c r="BF31" s="145" t="inlineStr">
        <is>
          <t>indoor use, low IP rating</t>
        </is>
      </c>
      <c r="BG31" s="145" t="n"/>
      <c r="BH31" s="145" t="n"/>
      <c r="BI31" s="145" t="n"/>
      <c r="BJ31" s="145" t="n"/>
      <c r="BK31" s="145" t="n"/>
      <c r="BL31" s="145" t="n"/>
      <c r="BM31" s="145" t="inlineStr">
        <is>
          <t>Yes</t>
        </is>
      </c>
      <c r="BN31" s="145" t="inlineStr">
        <is>
          <t>Not disclosed</t>
        </is>
      </c>
      <c r="BO31" s="149" t="inlineStr">
        <is>
          <t>Market: Industrial · Human-safe: Yes · AI: likely compatible with AI/LLM systems · Actuation: Electric motors (high-speed servo actuators) · Peak 6 km/h · Walk 4 km/h · Runtime 4-6</t>
        </is>
      </c>
      <c r="BP31" s="145" t="n"/>
      <c r="BQ31" s="149" t="inlineStr">
        <is>
          <t>Industrial</t>
        </is>
      </c>
      <c r="BR31" s="149" t="inlineStr">
        <is>
          <t>Enterprise only</t>
        </is>
      </c>
      <c r="BS31" s="149" t="inlineStr">
        <is>
          <t>In production</t>
        </is>
      </c>
      <c r="BT31" s="145" t="inlineStr">
        <is>
          <t>White</t>
        </is>
      </c>
      <c r="BU31" s="145" t="inlineStr">
        <is>
          <t>Not verified</t>
        </is>
      </c>
      <c r="BV31" s="149" t="inlineStr">
        <is>
          <t>Humanoid.guide listed price $99,000.</t>
        </is>
      </c>
      <c r="BW31" s="149" t="inlineStr">
        <is>
          <t>Origin &amp; status — China · Enterprise only · 2025 | Manipulation — High-speed dual-arm manipulation emphasis · 2-finger gripping claws · Hand DOF 14 · Payload 22 lb (10 kg) | Sensing &amp; software — Manipulation-focused vision · likely compatible with AI/LLM systems · Astribot control software | Buying notes — From $50,000 · 12 months manufacturer standard (typical research/commercial humanoid) · Best fit: Industrial</t>
        </is>
      </c>
      <c r="BX31" s="149" t="inlineStr">
        <is>
          <t>as_shipped|S1|50000|As shipped</t>
        </is>
      </c>
      <c r="BY31" s="145" t="inlineStr">
        <is>
          <t>white|White|#f8fafc|0</t>
        </is>
      </c>
      <c r="BZ31" s="145" t="inlineStr"/>
      <c r="CA31" s="149" t="inlineStr">
        <is>
          <t>Add-ons: case; 2 color options; Multi-year extended warranty available</t>
        </is>
      </c>
      <c r="CB31" s="149" t="inlineStr">
        <is>
          <t>12 months manufacturer standard (typical research/commercial humanoid)</t>
        </is>
      </c>
      <c r="CC31" s="147" t="n">
        <v>12</v>
      </c>
      <c r="CD31" s="149" t="inlineStr">
        <is>
          <t>+3 Year Extended ≈24% of configuration (default in configurator)</t>
        </is>
      </c>
      <c r="CE31" s="145" t="inlineStr">
        <is>
          <t>Humanoid category norm 2025–2026</t>
        </is>
      </c>
      <c r="CF31" s="145" t="inlineStr">
        <is>
          <t>Estimated</t>
        </is>
      </c>
      <c r="CG31" s="149" t="inlineStr">
        <is>
          <t>EDU or enterprise packages may differ; confirm on formal quote.</t>
        </is>
      </c>
      <c r="CH31" s="145" t="inlineStr">
        <is>
          <t>10%</t>
        </is>
      </c>
      <c r="CI31" s="145" t="inlineStr">
        <is>
          <t>17%</t>
        </is>
      </c>
      <c r="CJ31" s="145" t="inlineStr">
        <is>
          <t>24%</t>
        </is>
      </c>
      <c r="CK3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3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1" s="145" t="inlineStr">
        <is>
          <t>12 months manufacturer standard (typical research/commercial humanoid)</t>
        </is>
      </c>
      <c r="CN31" s="203" t="inlineStr">
        <is>
          <t>https://aixzd.com/robot/astribot-s1</t>
        </is>
      </c>
      <c r="CQ31" s="101" t="inlineStr">
        <is>
          <t>Height: 5 ft 7 in | Weight: 176.4 | Degrees of Freedom: 23 | Payload: 22 | Max Speed: 3.73 | Battery / Runtime: 4-6</t>
        </is>
      </c>
    </row>
    <row r="32" ht="31.5" customHeight="1" s="102">
      <c r="A32" s="152" t="inlineStr">
        <is>
          <t>astribot_astribot_t1</t>
        </is>
      </c>
      <c r="B32" s="153" t="inlineStr">
        <is>
          <t>Humanoid.guide</t>
        </is>
      </c>
      <c r="C32" s="152" t="inlineStr">
        <is>
          <t>Astribot</t>
        </is>
      </c>
      <c r="D32" s="152" t="inlineStr">
        <is>
          <t>Astribot T1</t>
        </is>
      </c>
      <c r="E32" s="152" t="inlineStr">
        <is>
          <t>[Astribot] Astribot T1 (2026)</t>
        </is>
      </c>
      <c r="F32" s="146" t="inlineStr">
        <is>
          <t>humanoid</t>
        </is>
      </c>
      <c r="G32" s="152" t="inlineStr">
        <is>
          <t>China</t>
        </is>
      </c>
      <c r="H32" s="152" t="n"/>
      <c r="I32" s="155" t="n">
        <v>13500</v>
      </c>
      <c r="J32" s="152" t="inlineStr">
        <is>
          <t>Humanoid.guide list</t>
        </is>
      </c>
      <c r="K32" s="156" t="inlineStr">
        <is>
          <t>A humanoid robot designed for real-world environments, combining dexterous dual-arm manipulation, advanced perception, and human-like interaction for service and industrial tasks.</t>
        </is>
      </c>
      <c r="L32" s="101" t="inlineStr">
        <is>
          <t>A humanoid robot designed for real-world environments, combining dexterous dual-arm manipulation, advanced perception, and human-like interaction for service and industrial tasks.</t>
        </is>
      </c>
      <c r="M32" s="101" t="inlineStr">
        <is>
          <t>Astribot T1 is Astribot's humanoid, introduced around 2026 in China. A humanoid robot designed for real-world environments, combining dexterous dual-arm manipulation, advanced perception, and human-like interaction for service and industrial tasks. Public status is listed as in production, and it is positioned for commercial Service; Education &amp; research; Home service; Industrial.</t>
        </is>
      </c>
      <c r="N32" s="157" t="inlineStr">
        <is>
          <t>https://humanoid.guide/product/astribot-t1/</t>
        </is>
      </c>
      <c r="O32" s="157" t="inlineStr">
        <is>
          <t>https://www.astribot.com</t>
        </is>
      </c>
      <c r="P32" s="152" t="inlineStr">
        <is>
          <t>5 ft 1 in</t>
        </is>
      </c>
      <c r="Q32" s="152" t="n">
        <v>155</v>
      </c>
      <c r="R32" s="152" t="n">
        <v>145.5</v>
      </c>
      <c r="S32" s="152" t="n">
        <v>66</v>
      </c>
      <c r="T32" s="156" t="inlineStr">
        <is>
          <t>Not disclosed</t>
        </is>
      </c>
      <c r="U32" s="152" t="n"/>
      <c r="V32" s="152" t="inlineStr">
        <is>
          <t>23</t>
        </is>
      </c>
      <c r="W32" s="156" t="inlineStr">
        <is>
          <t>16</t>
        </is>
      </c>
      <c r="X32" s="152" t="n">
        <v>22</v>
      </c>
      <c r="Y32" s="152" t="n">
        <v>10</v>
      </c>
      <c r="Z32" s="152" t="n">
        <v>3.11</v>
      </c>
      <c r="AA32" s="152" t="n">
        <v>5</v>
      </c>
      <c r="AB32" s="152" t="n"/>
      <c r="AC32" s="156" t="inlineStr">
        <is>
          <t>4-6</t>
        </is>
      </c>
      <c r="AD32" s="156" t="inlineStr">
        <is>
          <t>4-6</t>
        </is>
      </c>
      <c r="AE32" s="152" t="n"/>
      <c r="AF32" s="152" t="inlineStr">
        <is>
          <t>Not disclosed</t>
        </is>
      </c>
      <c r="AG32" s="156" t="inlineStr">
        <is>
          <t>5 per hand</t>
        </is>
      </c>
      <c r="AH32" s="152" t="inlineStr">
        <is>
          <t>5 per hand</t>
        </is>
      </c>
      <c r="AI32" s="152" t="n"/>
      <c r="AJ32" s="156" t="inlineStr">
        <is>
          <t>Not disclosed</t>
        </is>
      </c>
      <c r="AK32" s="156" t="n"/>
      <c r="AL32" s="152" t="inlineStr">
        <is>
          <t>Not disclosed</t>
        </is>
      </c>
      <c r="AM32" s="152" t="n"/>
      <c r="AN32" s="152" t="inlineStr">
        <is>
          <t>Not disclosed</t>
        </is>
      </c>
      <c r="AO32" s="152" t="inlineStr">
        <is>
          <t>Not disclosed</t>
        </is>
      </c>
      <c r="AP32" s="152" t="inlineStr">
        <is>
          <t>Not disclosed</t>
        </is>
      </c>
      <c r="AQ32" s="152" t="inlineStr">
        <is>
          <t>Not disclosed</t>
        </is>
      </c>
      <c r="AR32" s="152" t="n"/>
      <c r="AS32" s="152" t="n"/>
      <c r="AT32" s="156" t="inlineStr">
        <is>
          <t>Not disclosed</t>
        </is>
      </c>
      <c r="AU32" s="156" t="inlineStr">
        <is>
          <t>Ethernet; Wi‑Fi</t>
        </is>
      </c>
      <c r="AV32" s="152" t="inlineStr">
        <is>
          <t>Not disclosed</t>
        </is>
      </c>
      <c r="AW32" s="156" t="inlineStr">
        <is>
          <t>Not disclosed</t>
        </is>
      </c>
      <c r="AX32" s="152" t="n"/>
      <c r="AY32" s="156" t="inlineStr">
        <is>
          <t>Not disclosed</t>
        </is>
      </c>
      <c r="AZ32" s="156" t="inlineStr">
        <is>
          <t>Not disclosed</t>
        </is>
      </c>
      <c r="BA32" s="156" t="n"/>
      <c r="BB32" s="156" t="inlineStr">
        <is>
          <t>Cable-driven architecture</t>
        </is>
      </c>
      <c r="BC32" s="156" t="inlineStr">
        <is>
          <t>Not disclosed</t>
        </is>
      </c>
      <c r="BD32" s="152" t="inlineStr">
        <is>
          <t>Aluminum alloy frame with polymer covers</t>
        </is>
      </c>
      <c r="BE32" s="152" t="inlineStr">
        <is>
          <t>indoor use, low IP rating</t>
        </is>
      </c>
      <c r="BF32" s="152" t="inlineStr">
        <is>
          <t>indoor use, low IP rating</t>
        </is>
      </c>
      <c r="BG32" s="152" t="n"/>
      <c r="BH32" s="152" t="n"/>
      <c r="BI32" s="152" t="n"/>
      <c r="BJ32" s="152" t="n"/>
      <c r="BK32" s="152" t="n"/>
      <c r="BL32" s="152" t="n"/>
      <c r="BM32" s="152" t="inlineStr">
        <is>
          <t>Yes</t>
        </is>
      </c>
      <c r="BN32" s="152" t="inlineStr">
        <is>
          <t>Not disclosed</t>
        </is>
      </c>
      <c r="BO32" s="156" t="inlineStr">
        <is>
          <t>Market: Commercial Service; Education &amp; research; Home service; Industrial · Human-safe: Yes · Actuation: Cable-driven architecture · Peak 5 km/h · Runtime 4-6</t>
        </is>
      </c>
      <c r="BP32" s="152" t="n"/>
      <c r="BQ32" s="156" t="inlineStr">
        <is>
          <t>Commercial Service; Education &amp; research; Home service; Industrial</t>
        </is>
      </c>
      <c r="BR32" s="156" t="inlineStr">
        <is>
          <t>In production</t>
        </is>
      </c>
      <c r="BS32" s="156" t="inlineStr">
        <is>
          <t>In production</t>
        </is>
      </c>
      <c r="BT32" s="152" t="inlineStr">
        <is>
          <t>White</t>
        </is>
      </c>
      <c r="BU32" s="152" t="inlineStr">
        <is>
          <t>Not verified</t>
        </is>
      </c>
      <c r="BV32" s="156" t="n"/>
      <c r="BW32" s="156" t="inlineStr">
        <is>
          <t>Origin &amp; status — China · In production · 2026 | Manipulation — 5 per hand · 5 per hand fingers · Hand DOF 16 · Payload 22 lb | Sensing &amp; software — Sensor and compute package confirmed on formal quote | Buying notes — From $13,500 · 12 months manufacturer standard (typical research/commercial humanoid) · Best fit: Commercial Service</t>
        </is>
      </c>
      <c r="BX32" s="156" t="inlineStr">
        <is>
          <t>as_shipped|Astribot T1|13500|As shipped</t>
        </is>
      </c>
      <c r="BY32" s="152" t="inlineStr">
        <is>
          <t>white|White|#e2e8f0|0</t>
        </is>
      </c>
      <c r="BZ32" s="152" t="inlineStr"/>
      <c r="CA32" s="156" t="n"/>
      <c r="CB32" s="156" t="inlineStr">
        <is>
          <t>12 months manufacturer standard (typical research/commercial humanoid)</t>
        </is>
      </c>
      <c r="CC32" s="154" t="n">
        <v>12</v>
      </c>
      <c r="CD32" s="156" t="inlineStr">
        <is>
          <t>+3 Year Extended ≈24% of configuration (default in configurator)</t>
        </is>
      </c>
      <c r="CE32" s="152" t="inlineStr">
        <is>
          <t>Humanoid category norm 2025–2026</t>
        </is>
      </c>
      <c r="CF32" s="152" t="inlineStr">
        <is>
          <t>Estimated</t>
        </is>
      </c>
      <c r="CG32" s="156" t="inlineStr">
        <is>
          <t>Confirm on formal OEM quote. EDU or enterprise packages may differ.</t>
        </is>
      </c>
      <c r="CH32" s="152" t="inlineStr">
        <is>
          <t>10%</t>
        </is>
      </c>
      <c r="CI32" s="152" t="inlineStr">
        <is>
          <t>17%</t>
        </is>
      </c>
      <c r="CJ32" s="152" t="inlineStr">
        <is>
          <t>24%</t>
        </is>
      </c>
      <c r="CK32" s="156" t="inlineStr">
        <is>
          <t>+1yr ≈10% | +2yr ≈17% | +3yr ≈24% of selected configuration price (parts &amp; labor beyond manufacturer standard).</t>
        </is>
      </c>
      <c r="CL32"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2" s="152" t="inlineStr">
        <is>
          <t>12 months manufacturer standard (typical research/commercial humanoid)</t>
        </is>
      </c>
      <c r="CQ32" s="101" t="inlineStr">
        <is>
          <t>Height: 5 ft 1 in | Weight: 145.5 | Degrees of Freedom: 23 | Payload: 22 | Max Speed: 3.11 | Battery / Runtime: 4-6</t>
        </is>
      </c>
    </row>
    <row r="33" ht="31.5" customHeight="1" s="102">
      <c r="A33" s="145" t="inlineStr">
        <is>
          <t>beijing_galbot_ai_co_ltd_galbot_et1</t>
        </is>
      </c>
      <c r="B33" s="153" t="inlineStr">
        <is>
          <t>Humanoid.guide</t>
        </is>
      </c>
      <c r="C33" s="145" t="inlineStr">
        <is>
          <t>Beijing Galbot AI Co., Ltd.</t>
        </is>
      </c>
      <c r="D33" s="145" t="inlineStr">
        <is>
          <t>Galbot ET1</t>
        </is>
      </c>
      <c r="E33" s="145" t="inlineStr">
        <is>
          <t>[Beijing Galbot AI Co., Ltd.] Galbot ET1 (2026)</t>
        </is>
      </c>
      <c r="F33" s="146" t="inlineStr">
        <is>
          <t>humanoid</t>
        </is>
      </c>
      <c r="G33" s="145" t="inlineStr">
        <is>
          <t>China</t>
        </is>
      </c>
      <c r="H33" s="147" t="n">
        <v>2026</v>
      </c>
      <c r="I33" s="148" t="n">
        <v>95000</v>
      </c>
      <c r="J33" s="145" t="inlineStr">
        <is>
          <t>Humanoid.guide list</t>
        </is>
      </c>
      <c r="K33" s="149" t="inlineStr">
        <is>
          <t>Galbot’s first bipedal humanoid, revealed in August 2026 with tennis-ready athletic agility and the company’s AstraBrain embodied AI.</t>
        </is>
      </c>
      <c r="L33" s="101" t="inlineStr">
        <is>
          <t>Galbot’s first bipedal humanoid, revealed in August 2026 with tennis-ready athletic agility and the company’s AstraBrain embodied AI.</t>
        </is>
      </c>
      <c r="M33" s="101" t="inlineStr">
        <is>
          <t>Galbot ET1 is Beijing Galbot AI Co., Ltd.'s humanoid, introduced around 2026 in China. Galbot’s first bipedal humanoid, revealed in August 2026 with tennis-ready athletic agility and the company’s AstraBrain embodied AI. Public status is listed as prototype, and it is positioned for automotive Industries; Industrial automation; Manufacturing.</t>
        </is>
      </c>
      <c r="N33" s="150" t="inlineStr">
        <is>
          <t>https://humanoid.guide/product/galbot-et1/</t>
        </is>
      </c>
      <c r="O33" s="150" t="inlineStr">
        <is>
          <t>https://www.galbot.com</t>
        </is>
      </c>
      <c r="P33" s="145" t="inlineStr">
        <is>
          <t>5 ft 8 in</t>
        </is>
      </c>
      <c r="Q33" s="145" t="n">
        <v>173</v>
      </c>
      <c r="R33" s="145" t="n">
        <v>143.3</v>
      </c>
      <c r="S33" s="145" t="n">
        <v>65</v>
      </c>
      <c r="T33" s="149" t="inlineStr">
        <is>
          <t>Not disclosed</t>
        </is>
      </c>
      <c r="U33" s="145" t="n"/>
      <c r="V33" s="145" t="inlineStr">
        <is>
          <t>48</t>
        </is>
      </c>
      <c r="W33" s="149" t="inlineStr">
        <is>
          <t>24</t>
        </is>
      </c>
      <c r="X33" s="145" t="n">
        <v>33.1</v>
      </c>
      <c r="Y33" s="145" t="n">
        <v>15</v>
      </c>
      <c r="Z33" s="145" t="n">
        <v>12.43</v>
      </c>
      <c r="AA33" s="145" t="n">
        <v>20</v>
      </c>
      <c r="AB33" s="145" t="n">
        <v>4</v>
      </c>
      <c r="AC33" s="149" t="inlineStr">
        <is>
          <t>≈ 2 hours</t>
        </is>
      </c>
      <c r="AD33" s="149" t="inlineStr">
        <is>
          <t>2</t>
        </is>
      </c>
      <c r="AE33" s="145" t="n"/>
      <c r="AF33" s="145" t="inlineStr">
        <is>
          <t>Not disclosed</t>
        </is>
      </c>
      <c r="AG33" s="149" t="inlineStr">
        <is>
          <t>5 per hand</t>
        </is>
      </c>
      <c r="AH33" s="145" t="inlineStr">
        <is>
          <t>5 per hand</t>
        </is>
      </c>
      <c r="AI33" s="145" t="n"/>
      <c r="AJ33" s="149" t="inlineStr">
        <is>
          <t>Not disclosed</t>
        </is>
      </c>
      <c r="AK33" s="149" t="n"/>
      <c r="AL33" s="145" t="inlineStr">
        <is>
          <t>Not disclosed</t>
        </is>
      </c>
      <c r="AM33" s="145" t="n"/>
      <c r="AN33" s="145" t="inlineStr">
        <is>
          <t>Not disclosed</t>
        </is>
      </c>
      <c r="AO33" s="145" t="inlineStr">
        <is>
          <t>Not disclosed</t>
        </is>
      </c>
      <c r="AP33" s="145" t="inlineStr">
        <is>
          <t>Not disclosed</t>
        </is>
      </c>
      <c r="AQ33" s="145" t="inlineStr">
        <is>
          <t>Not disclosed</t>
        </is>
      </c>
      <c r="AR33" s="145" t="n"/>
      <c r="AS33" s="145" t="n"/>
      <c r="AT33" s="149" t="inlineStr">
        <is>
          <t>NVIDIA Jetson Thor</t>
        </is>
      </c>
      <c r="AU33" s="149" t="inlineStr">
        <is>
          <t>WiFi 2.4/5GHz, Bluetooth 5.2</t>
        </is>
      </c>
      <c r="AV33" s="145" t="inlineStr">
        <is>
          <t>Not disclosed</t>
        </is>
      </c>
      <c r="AW33" s="149" t="inlineStr">
        <is>
          <t>Not disclosed</t>
        </is>
      </c>
      <c r="AX33" s="145" t="n"/>
      <c r="AY33" s="149" t="inlineStr">
        <is>
          <t>Linux-based, ROS 2-compatible, OTA-updatable</t>
        </is>
      </c>
      <c r="AZ33" s="149" t="inlineStr">
        <is>
          <t>Yes — Galbot AstraBrain (vision-language-action embodied model)</t>
        </is>
      </c>
      <c r="BA33" s="149" t="inlineStr">
        <is>
          <t>&amp;lt;100 ms</t>
        </is>
      </c>
      <c r="BB33" s="149" t="inlineStr">
        <is>
          <t>Quasi-direct-drive brushless servomotors</t>
        </is>
      </c>
      <c r="BC33" s="149" t="inlineStr">
        <is>
          <t>Planetary + harmonic (strain-wave) gearboxes</t>
        </is>
      </c>
      <c r="BD33" s="145" t="inlineStr">
        <is>
          <t>Aluminum-alloy skeleton, polymer (ABS/PC) outer shell</t>
        </is>
      </c>
      <c r="BE33" s="145" t="inlineStr">
        <is>
          <t>IP54</t>
        </is>
      </c>
      <c r="BF33" s="145" t="inlineStr">
        <is>
          <t>IP54</t>
        </is>
      </c>
      <c r="BG33" s="145" t="n"/>
      <c r="BH33" s="145" t="n"/>
      <c r="BI33" s="145" t="n"/>
      <c r="BJ33" s="145" t="n"/>
      <c r="BK33" s="145" t="n"/>
      <c r="BL33" s="145" t="n"/>
      <c r="BM33" s="145" t="inlineStr">
        <is>
          <t>Yes</t>
        </is>
      </c>
      <c r="BN33" s="145" t="inlineStr">
        <is>
          <t>Not disclosed</t>
        </is>
      </c>
      <c r="BO33" s="149" t="inlineStr">
        <is>
          <t>Market: Automotive Industries; Industrial automation; Manufacturing · Human-safe: Yes · AI: Yes — Galbot AstraBrain (vision-language-action embodied model) · Actuation: Quasi-direct-drive brushless servomotors · Peak 20 km/h · Walk 4 km/h · Runtime 2</t>
        </is>
      </c>
      <c r="BP33" s="145" t="n"/>
      <c r="BQ33" s="149" t="inlineStr">
        <is>
          <t>Automotive Industries; Industrial automation; Manufacturing</t>
        </is>
      </c>
      <c r="BR33" s="149" t="inlineStr">
        <is>
          <t>Prototype</t>
        </is>
      </c>
      <c r="BS33" s="149" t="inlineStr">
        <is>
          <t>Prototype</t>
        </is>
      </c>
      <c r="BT33" s="145" t="n"/>
      <c r="BU33" s="145" t="inlineStr">
        <is>
          <t>Not verified</t>
        </is>
      </c>
      <c r="BV33" s="149" t="n"/>
      <c r="BW33" s="149" t="inlineStr">
        <is>
          <t>Origin &amp; status — China · Prototype · 2026 | Manipulation — 5 per hand · 5 per hand fingers · Hand DOF 24 · Payload 33.1 lb | Sensing &amp; software — Yes — Galbot AstraBrain (vision-language-action embodied model) · Linux-based, ROS 2-compatible, OTA-updatable | Buying notes — From $95,000 · 12 months manufacturer standard (typical research/commercial humanoid) · Best fit: Automotive Industries</t>
        </is>
      </c>
      <c r="BX33" s="149" t="inlineStr">
        <is>
          <t>as_shipped|Galbot ET1|95000|As shipped</t>
        </is>
      </c>
      <c r="BY33" s="145" t="inlineStr">
        <is>
          <t>galbot_et1|Manufacturer finish|#e2e8f0|0</t>
        </is>
      </c>
      <c r="BZ33" s="145" t="inlineStr"/>
      <c r="CA33" s="149" t="n"/>
      <c r="CB33" s="149" t="inlineStr">
        <is>
          <t>12 months manufacturer standard (typical research/commercial humanoid)</t>
        </is>
      </c>
      <c r="CC33" s="147" t="n">
        <v>12</v>
      </c>
      <c r="CD33" s="149" t="inlineStr">
        <is>
          <t>+3 Year Extended ≈24% of configuration (default in configurator)</t>
        </is>
      </c>
      <c r="CE33" s="145" t="inlineStr">
        <is>
          <t>Humanoid category norm 2025–2026</t>
        </is>
      </c>
      <c r="CF33" s="145" t="inlineStr">
        <is>
          <t>Estimated</t>
        </is>
      </c>
      <c r="CG33" s="149" t="inlineStr">
        <is>
          <t>Confirm on formal OEM quote. EDU or enterprise packages may differ.</t>
        </is>
      </c>
      <c r="CH33" s="145" t="inlineStr">
        <is>
          <t>10%</t>
        </is>
      </c>
      <c r="CI33" s="145" t="inlineStr">
        <is>
          <t>17%</t>
        </is>
      </c>
      <c r="CJ33" s="145" t="inlineStr">
        <is>
          <t>24%</t>
        </is>
      </c>
      <c r="CK33" s="149" t="inlineStr">
        <is>
          <t>+1yr ≈10% | +2yr ≈17% | +3yr ≈24% of selected configuration price (parts &amp; labor beyond manufacturer standard).</t>
        </is>
      </c>
      <c r="CL33"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3" s="145" t="inlineStr">
        <is>
          <t>12 months manufacturer standard (typical research/commercial humanoid)</t>
        </is>
      </c>
      <c r="CQ33" s="101" t="inlineStr">
        <is>
          <t>Height: 5 ft 8 in | Weight: 143.3 | Degrees of Freedom: 48 | Payload: 33.1 | Max Speed: 12.43 | Battery / Runtime: ≈ 2 hours</t>
        </is>
      </c>
    </row>
    <row r="34" ht="31.5" customHeight="1" s="102">
      <c r="A34" s="152" t="inlineStr">
        <is>
          <t>beijing_galbot_ai_co_ltd_galbot_s1</t>
        </is>
      </c>
      <c r="B34" s="153" t="inlineStr">
        <is>
          <t>Humanoid.guide</t>
        </is>
      </c>
      <c r="C34" s="152" t="inlineStr">
        <is>
          <t>Beijing Galbot AI Co., Ltd.</t>
        </is>
      </c>
      <c r="D34" s="152" t="inlineStr">
        <is>
          <t>Galbot S1</t>
        </is>
      </c>
      <c r="E34" s="152" t="inlineStr">
        <is>
          <t>[Beijing Galbot AI Co., Ltd.] Galbot S1 (2026)</t>
        </is>
      </c>
      <c r="F34" s="146" t="inlineStr">
        <is>
          <t>humanoid</t>
        </is>
      </c>
      <c r="G34" s="152" t="inlineStr">
        <is>
          <t>China</t>
        </is>
      </c>
      <c r="H34" s="152" t="n"/>
      <c r="I34" s="155" t="n">
        <v>55000</v>
      </c>
      <c r="J34" s="152" t="inlineStr">
        <is>
          <t>Humanoid.guide list</t>
        </is>
      </c>
      <c r="K34" s="156" t="inlineStr">
        <is>
          <t>The Galbot S1 is a powerful industrial humanoid robot built for heavy duty work and real-world factory use.</t>
        </is>
      </c>
      <c r="L34" s="101" t="inlineStr">
        <is>
          <t>The Galbot S1 is a powerful industrial humanoid robot built for heavy duty work and real-world factory use.</t>
        </is>
      </c>
      <c r="M34" s="101" t="inlineStr">
        <is>
          <t>The Galbot S1 is a powerful industrial humanoid robot built for heavy duty work and real-world factory use. Public status is listed as in production, and it is positioned for industrial automation; Manufacturing.</t>
        </is>
      </c>
      <c r="N34" s="157" t="inlineStr">
        <is>
          <t>https://humanoid.guide/product/galbot-s1/</t>
        </is>
      </c>
      <c r="O34" s="157" t="inlineStr">
        <is>
          <t>https://www.galbot.com</t>
        </is>
      </c>
      <c r="P34" s="152" t="inlineStr">
        <is>
          <t>5 ft 10 in</t>
        </is>
      </c>
      <c r="Q34" s="152" t="n">
        <v>179</v>
      </c>
      <c r="R34" s="152" t="n">
        <v>705.5</v>
      </c>
      <c r="S34" s="152" t="n">
        <v>320</v>
      </c>
      <c r="T34" s="156" t="inlineStr">
        <is>
          <t>Not disclosed</t>
        </is>
      </c>
      <c r="U34" s="152" t="n"/>
      <c r="V34" s="152" t="inlineStr">
        <is>
          <t>Not disclosed</t>
        </is>
      </c>
      <c r="W34" s="156" t="inlineStr">
        <is>
          <t>6</t>
        </is>
      </c>
      <c r="X34" s="152" t="n">
        <v>66.09999999999999</v>
      </c>
      <c r="Y34" s="152" t="n">
        <v>30</v>
      </c>
      <c r="Z34" s="152" t="n">
        <v>3.36</v>
      </c>
      <c r="AA34" s="152" t="n">
        <v>5.4</v>
      </c>
      <c r="AB34" s="152" t="n">
        <v>4</v>
      </c>
      <c r="AC34" s="156" t="inlineStr">
        <is>
          <t>≈ 8 hours</t>
        </is>
      </c>
      <c r="AD34" s="156" t="inlineStr">
        <is>
          <t>8</t>
        </is>
      </c>
      <c r="AE34" s="152" t="n"/>
      <c r="AF34" s="152" t="inlineStr">
        <is>
          <t>Not disclosed</t>
        </is>
      </c>
      <c r="AG34" s="156" t="inlineStr">
        <is>
          <t>2-finger gripping claws</t>
        </is>
      </c>
      <c r="AH34" s="152" t="inlineStr">
        <is>
          <t>2-finger gripping claws</t>
        </is>
      </c>
      <c r="AI34" s="152" t="n"/>
      <c r="AJ34" s="156" t="inlineStr">
        <is>
          <t>Dual RGB Cameras x1 / 3D Radar x2</t>
        </is>
      </c>
      <c r="AK34" s="156" t="inlineStr">
        <is>
          <t>Dual RGB Cameras x1 / 3D Radar x2</t>
        </is>
      </c>
      <c r="AL34" s="152" t="inlineStr">
        <is>
          <t>Not disclosed</t>
        </is>
      </c>
      <c r="AM34" s="152" t="n"/>
      <c r="AN34" s="152" t="inlineStr">
        <is>
          <t>Not disclosed</t>
        </is>
      </c>
      <c r="AO34" s="152" t="inlineStr">
        <is>
          <t>Not disclosed</t>
        </is>
      </c>
      <c r="AP34" s="152" t="inlineStr">
        <is>
          <t>Not disclosed</t>
        </is>
      </c>
      <c r="AQ34" s="152" t="inlineStr">
        <is>
          <t>Not disclosed</t>
        </is>
      </c>
      <c r="AR34" s="152" t="n"/>
      <c r="AS34" s="152" t="n"/>
      <c r="AT34" s="156" t="inlineStr">
        <is>
          <t>NVIDIA AGX Orin 64GB 275TOPS</t>
        </is>
      </c>
      <c r="AU34" s="156" t="inlineStr">
        <is>
          <t>WiFi 2.4/5GHz, Bluetooth 5.2</t>
        </is>
      </c>
      <c r="AV34" s="152" t="inlineStr">
        <is>
          <t>Not disclosed</t>
        </is>
      </c>
      <c r="AW34" s="156" t="inlineStr">
        <is>
          <t>Not disclosed</t>
        </is>
      </c>
      <c r="AX34" s="152" t="n"/>
      <c r="AY34" s="156" t="inlineStr">
        <is>
          <t>Not disclosed</t>
        </is>
      </c>
      <c r="AZ34" s="156" t="inlineStr">
        <is>
          <t>Not disclosed</t>
        </is>
      </c>
      <c r="BA34" s="156" t="n"/>
      <c r="BB34" s="156" t="inlineStr">
        <is>
          <t>Compliant motors with software torque limits</t>
        </is>
      </c>
      <c r="BC34" s="156" t="inlineStr">
        <is>
          <t>Not disclosed</t>
        </is>
      </c>
      <c r="BD34" s="152" t="inlineStr">
        <is>
          <t>Industrial-grade materials</t>
        </is>
      </c>
      <c r="BE34" s="152" t="inlineStr">
        <is>
          <t>Not disclosed</t>
        </is>
      </c>
      <c r="BF34" s="152" t="n"/>
      <c r="BG34" s="152" t="n"/>
      <c r="BH34" s="152" t="n"/>
      <c r="BI34" s="152" t="n"/>
      <c r="BJ34" s="152" t="n"/>
      <c r="BK34" s="152" t="n"/>
      <c r="BL34" s="152" t="n"/>
      <c r="BM34" s="152" t="inlineStr">
        <is>
          <t>Yes</t>
        </is>
      </c>
      <c r="BN34" s="152" t="inlineStr">
        <is>
          <t>Not disclosed</t>
        </is>
      </c>
      <c r="BO34" s="156" t="inlineStr">
        <is>
          <t>Market: Industrial automation; Manufacturing · Human-safe: Yes · Actuation: Compliant motors with software torque limits · Peak 5.4 km/h · Walk 4 km/h · Runtime 8</t>
        </is>
      </c>
      <c r="BP34" s="152" t="n"/>
      <c r="BQ34" s="156" t="inlineStr">
        <is>
          <t>Industrial automation; Manufacturing</t>
        </is>
      </c>
      <c r="BR34" s="156" t="inlineStr">
        <is>
          <t>In production</t>
        </is>
      </c>
      <c r="BS34" s="156" t="inlineStr">
        <is>
          <t>In production</t>
        </is>
      </c>
      <c r="BT34" s="152" t="n"/>
      <c r="BU34" s="152" t="inlineStr">
        <is>
          <t>Not verified</t>
        </is>
      </c>
      <c r="BV34" s="156" t="n"/>
      <c r="BW34" s="156" t="inlineStr">
        <is>
          <t>Origin &amp; status — China · In production · 2026 | Manipulation — 2-finger gripping claws · Hand DOF 6 · Payload 66.1 lb | Sensing &amp; software — Dual RGB Cameras x1 / 3D Radar x2 | Buying notes — From $55,000 · 12 months manufacturer standard (typical research/commercial humanoid) · Best fit: Industrial automation</t>
        </is>
      </c>
      <c r="BX34" s="156" t="inlineStr">
        <is>
          <t>as_shipped|Galbot S1|55000|As shipped</t>
        </is>
      </c>
      <c r="BY34" s="152" t="inlineStr">
        <is>
          <t>galbot_s1|Manufacturer finish|#e2e8f0|0</t>
        </is>
      </c>
      <c r="BZ34" s="152" t="inlineStr"/>
      <c r="CA34" s="156" t="n"/>
      <c r="CB34" s="156" t="inlineStr">
        <is>
          <t>12 months manufacturer standard (typical research/commercial humanoid)</t>
        </is>
      </c>
      <c r="CC34" s="154" t="n">
        <v>12</v>
      </c>
      <c r="CD34" s="156" t="inlineStr">
        <is>
          <t>+3 Year Extended ≈24% of configuration (default in configurator)</t>
        </is>
      </c>
      <c r="CE34" s="152" t="inlineStr">
        <is>
          <t>Humanoid category norm 2025–2026</t>
        </is>
      </c>
      <c r="CF34" s="152" t="inlineStr">
        <is>
          <t>Estimated</t>
        </is>
      </c>
      <c r="CG34" s="156" t="inlineStr">
        <is>
          <t>Confirm on formal OEM quote. EDU or enterprise packages may differ.</t>
        </is>
      </c>
      <c r="CH34" s="152" t="inlineStr">
        <is>
          <t>10%</t>
        </is>
      </c>
      <c r="CI34" s="152" t="inlineStr">
        <is>
          <t>17%</t>
        </is>
      </c>
      <c r="CJ34" s="152" t="inlineStr">
        <is>
          <t>24%</t>
        </is>
      </c>
      <c r="CK34" s="156" t="inlineStr">
        <is>
          <t>+1yr ≈10% | +2yr ≈17% | +3yr ≈24% of selected configuration price (parts &amp; labor beyond manufacturer standard).</t>
        </is>
      </c>
      <c r="CL34"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4" s="152" t="inlineStr">
        <is>
          <t>12 months manufacturer standard (typical research/commercial humanoid)</t>
        </is>
      </c>
      <c r="CN34" s="203" t="inlineStr">
        <is>
          <t>https://aixzd.com/robot/galbot-s1</t>
        </is>
      </c>
      <c r="CQ34" s="101" t="inlineStr">
        <is>
          <t>Height: 5 ft 10 in | Weight: 705.5 | Degrees of Freedom: Not disclosed | Payload: 66.1 | Max Speed: 3.36 | Battery / Runtime: ≈ 8 hours</t>
        </is>
      </c>
    </row>
    <row r="35" ht="31.5" customHeight="1" s="102">
      <c r="A35" s="145" t="inlineStr">
        <is>
          <t>booster_robotics_booster_t1</t>
        </is>
      </c>
      <c r="B35" s="153" t="inlineStr">
        <is>
          <t>Humanoid.guide</t>
        </is>
      </c>
      <c r="C35" s="145" t="inlineStr">
        <is>
          <t>Booster Robotics</t>
        </is>
      </c>
      <c r="D35" s="145" t="inlineStr">
        <is>
          <t>Booster T1</t>
        </is>
      </c>
      <c r="E35" s="145" t="inlineStr">
        <is>
          <t>[Booster Robotics] Booster T1 (2026)</t>
        </is>
      </c>
      <c r="F35" s="146" t="inlineStr">
        <is>
          <t>humanoid</t>
        </is>
      </c>
      <c r="G35" s="145" t="inlineStr">
        <is>
          <t>China</t>
        </is>
      </c>
      <c r="H35" s="145" t="n"/>
      <c r="I35" s="148" t="n">
        <v>22000</v>
      </c>
      <c r="J35" s="145" t="inlineStr">
        <is>
          <t>Robot Price Index Aug 2026 · entry</t>
        </is>
      </c>
      <c r="K35" s="149" t="inlineStr">
        <is>
          <t>The Booster T1 is a versatile, open-source humanoid robot developed by Booster Robotics, aimed at developers and researchers.</t>
        </is>
      </c>
      <c r="L35" s="101" t="inlineStr">
        <is>
          <t>The Booster T1 is a versatile, open-source humanoid robot developed by Booster Robotics, aimed at developers and researchers.</t>
        </is>
      </c>
      <c r="M35" s="101" t="inlineStr">
        <is>
          <t>The Booster T1 is a versatile, open-source humanoid robot developed by Booster Robotics, aimed at developers and researchers. Public status is listed as prototype.</t>
        </is>
      </c>
      <c r="N35" s="150" t="inlineStr">
        <is>
          <t>https://humanoid.guide/product/booster-t1/</t>
        </is>
      </c>
      <c r="O35" s="150" t="inlineStr">
        <is>
          <t>https://www.boosterobotics.com</t>
        </is>
      </c>
      <c r="P35" s="145" t="inlineStr">
        <is>
          <t>3 ft 10 in</t>
        </is>
      </c>
      <c r="Q35" s="145" t="n">
        <v>118</v>
      </c>
      <c r="R35" s="145" t="n">
        <v>66.09999999999999</v>
      </c>
      <c r="S35" s="145" t="n">
        <v>30</v>
      </c>
      <c r="T35" s="149" t="inlineStr">
        <is>
          <t>Not disclosed</t>
        </is>
      </c>
      <c r="U35" s="145" t="n"/>
      <c r="V35" s="145" t="inlineStr">
        <is>
          <t>23</t>
        </is>
      </c>
      <c r="W35" s="149" t="inlineStr">
        <is>
          <t>Not disclosed</t>
        </is>
      </c>
      <c r="X35" s="145" t="n">
        <v>11</v>
      </c>
      <c r="Y35" s="145" t="n">
        <v>5</v>
      </c>
      <c r="Z35" s="145" t="n">
        <v>2.17</v>
      </c>
      <c r="AA35" s="145" t="n">
        <v>3.5</v>
      </c>
      <c r="AB35" s="145" t="n">
        <v>3.5</v>
      </c>
      <c r="AC35" s="149" t="inlineStr">
        <is>
          <t>≈ 1.5 hours</t>
        </is>
      </c>
      <c r="AD35" s="149" t="inlineStr">
        <is>
          <t>1.5</t>
        </is>
      </c>
      <c r="AE35" s="145" t="n"/>
      <c r="AF35" s="145" t="inlineStr">
        <is>
          <t>Not disclosed</t>
        </is>
      </c>
      <c r="AG35" s="149" t="inlineStr">
        <is>
          <t>Not disclosed</t>
        </is>
      </c>
      <c r="AH35" s="145" t="inlineStr">
        <is>
          <t>Not disclosed</t>
        </is>
      </c>
      <c r="AI35" s="158" t="n">
        <v>2</v>
      </c>
      <c r="AJ35" s="149" t="inlineStr">
        <is>
          <t>Not disclosed</t>
        </is>
      </c>
      <c r="AK35" s="149" t="n"/>
      <c r="AL35" s="145" t="inlineStr">
        <is>
          <t>Not disclosed</t>
        </is>
      </c>
      <c r="AM35" s="145" t="n"/>
      <c r="AN35" s="145" t="inlineStr">
        <is>
          <t>Not disclosed</t>
        </is>
      </c>
      <c r="AO35" s="145" t="inlineStr">
        <is>
          <t>Not disclosed</t>
        </is>
      </c>
      <c r="AP35" s="145" t="inlineStr">
        <is>
          <t>Not disclosed</t>
        </is>
      </c>
      <c r="AQ35" s="145" t="inlineStr">
        <is>
          <t>Not disclosed</t>
        </is>
      </c>
      <c r="AR35" s="145" t="n"/>
      <c r="AS35" s="145" t="n"/>
      <c r="AT35" s="149" t="inlineStr">
        <is>
          <t>Not disclosed</t>
        </is>
      </c>
      <c r="AU35" s="149" t="inlineStr">
        <is>
          <t>Not disclosed</t>
        </is>
      </c>
      <c r="AV35" s="145" t="inlineStr">
        <is>
          <t>Not disclosed</t>
        </is>
      </c>
      <c r="AW35" s="149" t="inlineStr">
        <is>
          <t>Not disclosed</t>
        </is>
      </c>
      <c r="AX35" s="158" t="n">
        <v>2</v>
      </c>
      <c r="AY35" s="149" t="inlineStr">
        <is>
          <t>Not disclosed</t>
        </is>
      </c>
      <c r="AZ35" s="149" t="inlineStr">
        <is>
          <t>Not disclosed</t>
        </is>
      </c>
      <c r="BA35" s="149" t="n"/>
      <c r="BB35" s="149" t="inlineStr">
        <is>
          <t>Not disclosed</t>
        </is>
      </c>
      <c r="BC35" s="149" t="inlineStr">
        <is>
          <t>Not disclosed</t>
        </is>
      </c>
      <c r="BD35" s="145" t="inlineStr">
        <is>
          <t>Not disclosed</t>
        </is>
      </c>
      <c r="BE35" s="145" t="inlineStr">
        <is>
          <t>Not disclosed</t>
        </is>
      </c>
      <c r="BF35" s="145" t="n"/>
      <c r="BG35" s="145" t="n"/>
      <c r="BH35" s="145" t="n"/>
      <c r="BI35" s="145" t="n"/>
      <c r="BJ35" s="145" t="n"/>
      <c r="BK35" s="145" t="n"/>
      <c r="BL35" s="145" t="n"/>
      <c r="BM35" s="145" t="inlineStr">
        <is>
          <t>Not disclosed</t>
        </is>
      </c>
      <c r="BN35" s="145" t="inlineStr">
        <is>
          <t>Not disclosed</t>
        </is>
      </c>
      <c r="BO35" s="149" t="inlineStr">
        <is>
          <t>Manipulation 2/4 · Navigation 2/4 · Peak 3.5 km/h · Walk 3.5 km/h · Runtime 1.5</t>
        </is>
      </c>
      <c r="BP35" s="145" t="n"/>
      <c r="BQ35" s="149" t="inlineStr">
        <is>
          <t>Research labs, commercial pilots, and education programs evaluating a humanoid from Booster Robotics (China) now listed as prototype.</t>
        </is>
      </c>
      <c r="BR35" s="149" t="inlineStr">
        <is>
          <t>Prototype</t>
        </is>
      </c>
      <c r="BS35" s="149" t="inlineStr">
        <is>
          <t>Prototype</t>
        </is>
      </c>
      <c r="BT35" s="145" t="n"/>
      <c r="BU35" s="145" t="inlineStr">
        <is>
          <t>Not verified</t>
        </is>
      </c>
      <c r="BV35" s="149" t="n"/>
      <c r="BW35" s="149" t="inlineStr">
        <is>
          <t>Origin &amp; status — China · Prototype · 2026 | Manipulation — Payload 11 lb | Sensing &amp; software — Sensor and compute package confirmed on formal quote | Buying notes — From $22,000 · 12 months manufacturer standard (typical research/commercial humanoid)</t>
        </is>
      </c>
      <c r="BX35" s="149" t="inlineStr">
        <is>
          <t>as_shipped|Booster T1|22000|As shipped</t>
        </is>
      </c>
      <c r="BY35" s="145" t="inlineStr">
        <is>
          <t>booster_t1|Manufacturer finish|#e2e8f0|0</t>
        </is>
      </c>
      <c r="BZ35" s="145" t="inlineStr"/>
      <c r="CA35" s="149" t="n"/>
      <c r="CB35" s="149" t="inlineStr">
        <is>
          <t>12 months manufacturer standard (typical research/commercial humanoid)</t>
        </is>
      </c>
      <c r="CC35" s="147" t="n">
        <v>12</v>
      </c>
      <c r="CD35" s="149" t="inlineStr">
        <is>
          <t>+3 Year Extended ≈24% of configuration (default in configurator)</t>
        </is>
      </c>
      <c r="CE35" s="145" t="inlineStr">
        <is>
          <t>Humanoid category norm 2025–2026</t>
        </is>
      </c>
      <c r="CF35" s="145" t="inlineStr">
        <is>
          <t>Estimated</t>
        </is>
      </c>
      <c r="CG35" s="149" t="inlineStr">
        <is>
          <t>Confirm on formal OEM quote. EDU or enterprise packages may differ.</t>
        </is>
      </c>
      <c r="CH35" s="145" t="inlineStr">
        <is>
          <t>10%</t>
        </is>
      </c>
      <c r="CI35" s="145" t="inlineStr">
        <is>
          <t>17%</t>
        </is>
      </c>
      <c r="CJ35" s="145" t="inlineStr">
        <is>
          <t>24%</t>
        </is>
      </c>
      <c r="CK35" s="149" t="inlineStr">
        <is>
          <t>+1yr ≈10% | +2yr ≈17% | +3yr ≈24% of selected configuration price (parts &amp; labor beyond manufacturer standard).</t>
        </is>
      </c>
      <c r="CL3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5" s="145" t="inlineStr">
        <is>
          <t>12 months manufacturer standard (typical research/commercial humanoid)</t>
        </is>
      </c>
      <c r="CN35" s="203" t="inlineStr">
        <is>
          <t>https://aixzd.com/robot/booster-t1</t>
        </is>
      </c>
      <c r="CQ35" s="101" t="inlineStr">
        <is>
          <t>Height: 3 ft 10 in | Weight: 66.1 | Degrees of Freedom: 23 | Payload: 11 | Max Speed: 2.17 | Battery / Runtime: ≈ 1.5 hours</t>
        </is>
      </c>
    </row>
    <row r="36" ht="31.5" customHeight="1" s="102">
      <c r="A36" s="159" t="inlineStr">
        <is>
          <t>booster_robotics_t1_t2</t>
        </is>
      </c>
      <c r="B36" s="144" t="inlineStr">
        <is>
          <t>Both</t>
        </is>
      </c>
      <c r="C36" s="152" t="inlineStr">
        <is>
          <t>Booster Robotics</t>
        </is>
      </c>
      <c r="D36" s="152" t="inlineStr">
        <is>
          <t>Booster T2</t>
        </is>
      </c>
      <c r="E36" s="152" t="inlineStr">
        <is>
          <t>[Booster] T2 (2024)</t>
        </is>
      </c>
      <c r="F36" s="146" t="inlineStr">
        <is>
          <t>humanoid</t>
        </is>
      </c>
      <c r="G36" s="152" t="inlineStr">
        <is>
          <t>China</t>
        </is>
      </c>
      <c r="H36" s="154" t="n">
        <v>2024</v>
      </c>
      <c r="I36" s="155" t="n">
        <v>35000</v>
      </c>
      <c r="J36" s="152" t="inlineStr">
        <is>
          <t>Estimate vs T1 published band</t>
        </is>
      </c>
      <c r="K36" s="156" t="inlineStr">
        <is>
          <t>Booster T2 is Booster Robotics’ flagship embodied-AI development platform, built for researchers and developers who need strong compute, agile motion, and configurable end effectors.</t>
        </is>
      </c>
      <c r="L36" s="101" t="inlineStr">
        <is>
          <t>Booster T2 is Booster Robotics’ flagship embodied-AI development platform, built for researchers and developers who need strong compute, agile motion, and configurable end effectors.</t>
        </is>
      </c>
      <c r="M36" s="101" t="inlineStr">
        <is>
          <t>Booster T2 is Booster Robotics’ flagship embodied-AI development platform, built for researchers and developers who need strong compute, agile motion, and configurable end effectors. Public status is listed as orderable, and it is positioned for research / Competition / Formation.</t>
        </is>
      </c>
      <c r="N36" s="157" t="inlineStr">
        <is>
          <t>https://humanoid.guide/product/booster-t2/</t>
        </is>
      </c>
      <c r="O36" s="157" t="inlineStr">
        <is>
          <t>https://www.boosterobotics.com</t>
        </is>
      </c>
      <c r="P36" s="152" t="inlineStr">
        <is>
          <t>3 ft 10 in</t>
        </is>
      </c>
      <c r="Q36" s="152" t="n">
        <v>140</v>
      </c>
      <c r="R36" s="152" t="n">
        <v>94.8</v>
      </c>
      <c r="S36" s="152" t="n">
        <v>43</v>
      </c>
      <c r="T36" s="156" t="inlineStr">
        <is>
          <t>Not disclosed</t>
        </is>
      </c>
      <c r="U36" s="152" t="n"/>
      <c r="V36" s="152" t="inlineStr">
        <is>
          <t>23–41</t>
        </is>
      </c>
      <c r="W36" s="156" t="inlineStr">
        <is>
          <t>12</t>
        </is>
      </c>
      <c r="X36" s="152" t="inlineStr">
        <is>
          <t>5 lb</t>
        </is>
      </c>
      <c r="Y36" s="152" t="n">
        <v>10</v>
      </c>
      <c r="Z36" s="152" t="n">
        <v>4.35</v>
      </c>
      <c r="AA36" s="152" t="n">
        <v>7</v>
      </c>
      <c r="AB36" s="152" t="n">
        <v>5</v>
      </c>
      <c r="AC36" s="156" t="inlineStr">
        <is>
          <t>≈ 2 hours</t>
        </is>
      </c>
      <c r="AD36" s="156" t="inlineStr">
        <is>
          <t>2</t>
        </is>
      </c>
      <c r="AE36" s="152" t="n"/>
      <c r="AF36" s="152" t="inlineStr">
        <is>
          <t>Not disclosed</t>
        </is>
      </c>
      <c r="AG36" s="156" t="inlineStr">
        <is>
          <t>5 per hand</t>
        </is>
      </c>
      <c r="AH36" s="152" t="inlineStr">
        <is>
          <t>5 per hand</t>
        </is>
      </c>
      <c r="AI36" s="152" t="n"/>
      <c r="AJ36" s="156" t="inlineStr">
        <is>
          <t>Education/research cameras</t>
        </is>
      </c>
      <c r="AK36" s="156" t="n"/>
      <c r="AL36" s="152" t="inlineStr">
        <is>
          <t>Not disclosed</t>
        </is>
      </c>
      <c r="AM36" s="152" t="n"/>
      <c r="AN36" s="152" t="inlineStr">
        <is>
          <t>Not disclosed</t>
        </is>
      </c>
      <c r="AO36" s="152" t="inlineStr">
        <is>
          <t>Not disclosed</t>
        </is>
      </c>
      <c r="AP36" s="152" t="inlineStr">
        <is>
          <t>Not disclosed</t>
        </is>
      </c>
      <c r="AQ36" s="152" t="inlineStr">
        <is>
          <t>Not disclosed</t>
        </is>
      </c>
      <c r="AR36" s="152" t="n"/>
      <c r="AS36" s="152" t="n"/>
      <c r="AT36" s="156" t="inlineStr">
        <is>
          <t>Thor T5000 compute platform</t>
        </is>
      </c>
      <c r="AU36" s="156" t="inlineStr">
        <is>
          <t>Bluetooth 5.2; Ethernet; Type-C; USB; Wi-Fi 6</t>
        </is>
      </c>
      <c r="AV36" s="152" t="inlineStr">
        <is>
          <t>Booster education and research tools</t>
        </is>
      </c>
      <c r="AW36" s="156" t="inlineStr">
        <is>
          <t>Not disclosed</t>
        </is>
      </c>
      <c r="AX36" s="152" t="n"/>
      <c r="AY36" s="156" t="inlineStr">
        <is>
          <t>Not disclosed</t>
        </is>
      </c>
      <c r="AZ36" s="156" t="inlineStr">
        <is>
          <t>Not disclosed</t>
        </is>
      </c>
      <c r="BA36" s="156" t="n"/>
      <c r="BB36" s="156" t="inlineStr">
        <is>
          <t>High-speed internal-rotor PMSM</t>
        </is>
      </c>
      <c r="BC36" s="156" t="inlineStr">
        <is>
          <t>Not disclosed</t>
        </is>
      </c>
      <c r="BD36" s="152" t="inlineStr">
        <is>
          <t>Not disclosed</t>
        </is>
      </c>
      <c r="BE36" s="152" t="inlineStr">
        <is>
          <t>Not disclosed</t>
        </is>
      </c>
      <c r="BF36" s="152" t="n"/>
      <c r="BG36" s="152" t="n"/>
      <c r="BH36" s="152" t="n"/>
      <c r="BI36" s="152" t="n"/>
      <c r="BJ36" s="152" t="n"/>
      <c r="BK36" s="152" t="n"/>
      <c r="BL36" s="152" t="n"/>
      <c r="BM36" s="152" t="inlineStr">
        <is>
          <t>Yes</t>
        </is>
      </c>
      <c r="BN36" s="152" t="inlineStr">
        <is>
          <t>Not disclosed</t>
        </is>
      </c>
      <c r="BO36" s="156" t="inlineStr">
        <is>
          <t>Market: Research / Competition / Formation · Human-safe: Yes · Actuation: High-speed internal-rotor PMSM · Peak 7 km/h · Walk 5 km/h · Runtime 2</t>
        </is>
      </c>
      <c r="BP36" s="152" t="n"/>
      <c r="BQ36" s="156" t="inlineStr">
        <is>
          <t>Research / Competition / Formation</t>
        </is>
      </c>
      <c r="BR36" s="156" t="inlineStr">
        <is>
          <t>Orderable</t>
        </is>
      </c>
      <c r="BS36" s="156" t="inlineStr">
        <is>
          <t>In production</t>
        </is>
      </c>
      <c r="BT36" s="152" t="n"/>
      <c r="BU36" s="152" t="n"/>
      <c r="BV36" s="156" t="inlineStr">
        <is>
          <t>Strong WHRG 2026 formations (~80 units); RoboCup pedigree Humanoid.guide listed price $45,000.</t>
        </is>
      </c>
      <c r="BW36" s="156" t="inlineStr">
        <is>
          <t>Origin &amp; status — China · Orderable · 2024 | Manipulation — 5 per hand · 5 per hand fingers · Hand DOF 12 · Payload 5 lb | Sensing &amp; software — Education/research cameras · Booster education and research tools | Buying notes — From $35,000 · 12 months manufacturer standard (typical research/commercial humanoid) · Best fit: Research</t>
        </is>
      </c>
      <c r="BX36" s="156" t="inlineStr">
        <is>
          <t>as_shipped|T2|35000|As shipped</t>
        </is>
      </c>
      <c r="BY36" s="152" t="inlineStr">
        <is>
          <t>t2|Manufacturer finish|#e2e8f0|0</t>
        </is>
      </c>
      <c r="BZ36" s="152" t="inlineStr"/>
      <c r="CA36" s="156" t="inlineStr">
        <is>
          <t>Add-ons: case; 2 color options; Multi-year extended warranty available</t>
        </is>
      </c>
      <c r="CB36" s="156" t="inlineStr">
        <is>
          <t>12 months manufacturer standard (typical research/commercial humanoid)</t>
        </is>
      </c>
      <c r="CC36" s="154" t="n">
        <v>12</v>
      </c>
      <c r="CD36" s="156" t="inlineStr">
        <is>
          <t>+3 Year Extended ≈24% of configuration (default in configurator)</t>
        </is>
      </c>
      <c r="CE36" s="152" t="inlineStr">
        <is>
          <t>Humanoid category norm 2025–2026</t>
        </is>
      </c>
      <c r="CF36" s="152" t="inlineStr">
        <is>
          <t>Estimated</t>
        </is>
      </c>
      <c r="CG36" s="156" t="inlineStr">
        <is>
          <t>EDU or enterprise packages may differ; confirm on formal quote.</t>
        </is>
      </c>
      <c r="CH36" s="152" t="inlineStr">
        <is>
          <t>10%</t>
        </is>
      </c>
      <c r="CI36" s="152" t="inlineStr">
        <is>
          <t>17%</t>
        </is>
      </c>
      <c r="CJ36" s="152" t="inlineStr">
        <is>
          <t>24%</t>
        </is>
      </c>
      <c r="CK36"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36"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6" s="152" t="inlineStr">
        <is>
          <t>12 months manufacturer standard (typical research/commercial humanoid)</t>
        </is>
      </c>
      <c r="CN36" s="203" t="inlineStr">
        <is>
          <t>https://aixzd.com/robot/booster-t2</t>
        </is>
      </c>
      <c r="CQ36" s="101" t="inlineStr">
        <is>
          <t>Height: 3 ft 10 in | Weight: 94.8 | Degrees of Freedom: 23–41 | Payload: 5 lb | Max Speed: 4.35 | Battery / Runtime: ≈ 2 hours</t>
        </is>
      </c>
    </row>
    <row r="37" ht="31.5" customHeight="1" s="102">
      <c r="A37" s="143" t="inlineStr">
        <is>
          <t>k1</t>
        </is>
      </c>
      <c r="B37" s="144" t="inlineStr">
        <is>
          <t>Both</t>
        </is>
      </c>
      <c r="C37" s="145" t="inlineStr">
        <is>
          <t>Booster Robotics</t>
        </is>
      </c>
      <c r="D37" s="145" t="inlineStr">
        <is>
          <t>K1</t>
        </is>
      </c>
      <c r="E37" s="145" t="inlineStr">
        <is>
          <t>[Booster] K1 (2025)</t>
        </is>
      </c>
      <c r="F37" s="146" t="inlineStr">
        <is>
          <t>humanoid</t>
        </is>
      </c>
      <c r="G37" s="145" t="inlineStr">
        <is>
          <t>China</t>
        </is>
      </c>
      <c r="H37" s="147" t="n">
        <v>2025</v>
      </c>
      <c r="I37" s="148" t="n">
        <v>5999</v>
      </c>
      <c r="J37" s="145" t="inlineStr">
        <is>
          <t>Robot Price Index Aug 2026</t>
        </is>
      </c>
      <c r="K37" s="149" t="inlineStr">
        <is>
          <t>K1 is Booster Robotics's humanoid — ≈ 3 ft 1 in class, ≈ 22 (excl. end-effectors) DOF, Light educational payload class (confirm configuration) lb payload.</t>
        </is>
      </c>
      <c r="L37" s="101" t="inlineStr">
        <is>
          <t>K1 is Booster Robotics's humanoid — ≈ 3 ft 1 in class, ≈ 22 (excl. end-effectors) DOF, Light educational payload class (confirm configuration) lb payload.</t>
        </is>
      </c>
      <c r="M37" s="101" t="inlineStr">
        <is>
          <t>K1 is Booster Robotics's humanoid — ≈ 3 ft 1 in class, ≈ 22 (excl. end-effectors) DOF, Light educational payload class (confirm configuration) lb payload. Public status is listed as in production, and it is positioned for education, research labs, competitive robotics.</t>
        </is>
      </c>
      <c r="N37" s="150" t="inlineStr">
        <is>
          <t>https://humanoid.guide/product/k1/</t>
        </is>
      </c>
      <c r="O37" s="150" t="inlineStr">
        <is>
          <t>https://www.boosterobotics.com</t>
        </is>
      </c>
      <c r="P37" s="145" t="inlineStr">
        <is>
          <t>≈ 3 ft 1 in</t>
        </is>
      </c>
      <c r="Q37" s="145" t="n">
        <v>95</v>
      </c>
      <c r="R37" s="145" t="n">
        <v>43</v>
      </c>
      <c r="S37" s="145" t="n">
        <v>19.5</v>
      </c>
      <c r="T37" s="149" t="inlineStr">
        <is>
          <t>Not disclosed</t>
        </is>
      </c>
      <c r="U37" s="145" t="n"/>
      <c r="V37" s="145" t="inlineStr">
        <is>
          <t>≈ 22 (excl. end-effectors)</t>
        </is>
      </c>
      <c r="W37" s="149" t="inlineStr">
        <is>
          <t>4 per arm</t>
        </is>
      </c>
      <c r="X37" s="145" t="n">
        <v>6.6</v>
      </c>
      <c r="Y37" s="145" t="n">
        <v>3</v>
      </c>
      <c r="Z37" s="145" t="n">
        <v>0.87</v>
      </c>
      <c r="AA37" s="145" t="n">
        <v>1.4</v>
      </c>
      <c r="AB37" s="145" t="n">
        <v>1.4</v>
      </c>
      <c r="AC37" s="149" t="inlineStr">
        <is>
          <t>30–80 min depending on pack</t>
        </is>
      </c>
      <c r="AD37" s="149" t="inlineStr">
        <is>
          <t>2</t>
        </is>
      </c>
      <c r="AE37" s="145" t="n"/>
      <c r="AF37" s="145" t="inlineStr">
        <is>
          <t>Not disclosed</t>
        </is>
      </c>
      <c r="AG37" s="149" t="inlineStr">
        <is>
          <t>No fingers</t>
        </is>
      </c>
      <c r="AH37" s="145" t="inlineStr">
        <is>
          <t>No fingers</t>
        </is>
      </c>
      <c r="AI37" s="145" t="n"/>
      <c r="AJ37" s="149" t="inlineStr">
        <is>
          <t>Head/body cameras for education and demo use</t>
        </is>
      </c>
      <c r="AK37" s="149" t="inlineStr">
        <is>
          <t>Stereo Depth Camera</t>
        </is>
      </c>
      <c r="AL37" s="145" t="inlineStr">
        <is>
          <t>Demo and classroom capture paths</t>
        </is>
      </c>
      <c r="AM37" s="145" t="n"/>
      <c r="AN37" s="145" t="inlineStr">
        <is>
          <t>Not disclosed</t>
        </is>
      </c>
      <c r="AO37" s="145" t="inlineStr">
        <is>
          <t>Microphone support on education tiers</t>
        </is>
      </c>
      <c r="AP37" s="145" t="inlineStr">
        <is>
          <t>Not disclosed</t>
        </is>
      </c>
      <c r="AQ37" s="145" t="inlineStr">
        <is>
          <t>Not disclosed</t>
        </is>
      </c>
      <c r="AR37" s="145" t="n"/>
      <c r="AS37" s="145" t="n"/>
      <c r="AT37" s="149" t="inlineStr">
        <is>
          <t>48(Dense)/117/200 TOPS</t>
        </is>
      </c>
      <c r="AU37" s="149" t="inlineStr">
        <is>
          <t>Bluetooth; Ethernet; Wi-Fi 6</t>
        </is>
      </c>
      <c r="AV37" s="145" t="inlineStr">
        <is>
          <t>Education SDK and app tiers (Seek / Education / Professional)</t>
        </is>
      </c>
      <c r="AW37" s="149" t="inlineStr">
        <is>
          <t>Compact bipedal walking for indoor spaces</t>
        </is>
      </c>
      <c r="AX37" s="145" t="n"/>
      <c r="AY37" s="149" t="inlineStr">
        <is>
          <t>Linux-based robotics framework (likely ROS/ROS2)</t>
        </is>
      </c>
      <c r="AZ37" s="149" t="inlineStr">
        <is>
          <t>Doubao LLM</t>
        </is>
      </c>
      <c r="BA37" s="149" t="inlineStr">
        <is>
          <t>Estimated &amp;lt;100 ms (edge compute, real-time control)</t>
        </is>
      </c>
      <c r="BB37" s="149" t="inlineStr">
        <is>
          <t>60N·m Dual Encoder</t>
        </is>
      </c>
      <c r="BC37" s="149" t="inlineStr">
        <is>
          <t>Not disclosed</t>
        </is>
      </c>
      <c r="BD37" s="145" t="inlineStr">
        <is>
          <t>Aluminum alloy and engineering plastics</t>
        </is>
      </c>
      <c r="BE37" s="145" t="inlineStr">
        <is>
          <t>Not disclosed</t>
        </is>
      </c>
      <c r="BF37" s="145" t="n"/>
      <c r="BG37" s="145" t="n"/>
      <c r="BH37" s="145" t="n"/>
      <c r="BI37" s="145" t="n"/>
      <c r="BJ37" s="145" t="n"/>
      <c r="BK37" s="145" t="n"/>
      <c r="BL37" s="145" t="n"/>
      <c r="BM37" s="145" t="inlineStr">
        <is>
          <t>Yes</t>
        </is>
      </c>
      <c r="BN37" s="145" t="inlineStr">
        <is>
          <t>Not disclosed</t>
        </is>
      </c>
      <c r="BO37" s="149" t="inlineStr">
        <is>
          <t>Market: Education, research labs, competitive robotics · Human-safe: Yes · AI: Doubao LLM · Actuation: 60N·m Dual Encoder · Peak 1.4 km/h · Walk 1.4 km/h · Runtime 2</t>
        </is>
      </c>
      <c r="BP37" s="145" t="n"/>
      <c r="BQ37" s="149" t="inlineStr">
        <is>
          <t>Education, research labs, competitive robotics</t>
        </is>
      </c>
      <c r="BR37" s="149" t="inlineStr">
        <is>
          <t>In production</t>
        </is>
      </c>
      <c r="BS37" s="149" t="inlineStr">
        <is>
          <t>In production</t>
        </is>
      </c>
      <c r="BT37" s="145" t="inlineStr">
        <is>
          <t>Black; Silver</t>
        </is>
      </c>
      <c r="BU37" s="145" t="inlineStr">
        <is>
          <t>Not verified</t>
        </is>
      </c>
      <c r="BV37" s="149" t="inlineStr">
        <is>
          <t>Humanoid.guide listed price $6,000.</t>
        </is>
      </c>
      <c r="BW37" s="149" t="inlineStr">
        <is>
          <t>Origin &amp; status — China · In production · 2025 | Manipulation — No fingers · Hand DOF 4 per arm · Payload Light educational payload class (confirm configuration) lb | Sensing &amp; software — Head/body cameras for education and demo use · Doubao LLM · Linux-based robotics framework (likely ROS/ROS2) · Education SDK and app tiers (Seek / Education… | Buying notes — From $5,999 · 12 months manufacturer standard (typical research/commercial humanoid) · Best fit: Education, research labs, competitive robotics</t>
        </is>
      </c>
      <c r="BX37" s="149" t="inlineStr">
        <is>
          <t>geek|K1 Geek|5999|Entry / maker tier || edu|K1 Education|12500|Classroom &amp; lab standard || pro|K1 Professional|16000|Research compute</t>
        </is>
      </c>
      <c r="BY37" s="145" t="inlineStr">
        <is>
          <t>white|Lab White|#f8fafc|0 || black|Demo Black|#1a1a1a|0</t>
        </is>
      </c>
      <c r="BZ37" s="145" t="inlineStr">
        <is>
          <t>battery_k1, case, compute, warranty_k1</t>
        </is>
      </c>
      <c r="CA37" s="149" t="inlineStr">
        <is>
          <t>3 configuration tiers; Add-ons: battery_k1, case, compute; 2 color options; Multi-year extended warranty available</t>
        </is>
      </c>
      <c r="CB37" s="149" t="inlineStr">
        <is>
          <t>12 months manufacturer standard (typical research/commercial humanoid)</t>
        </is>
      </c>
      <c r="CC37" s="147" t="n">
        <v>12</v>
      </c>
      <c r="CD37" s="149" t="inlineStr">
        <is>
          <t>+3 Year Extended ≈24% of configuration (default in configurator)</t>
        </is>
      </c>
      <c r="CE37" s="145" t="inlineStr">
        <is>
          <t>Humanoid category norm 2025–2026</t>
        </is>
      </c>
      <c r="CF37" s="145" t="inlineStr">
        <is>
          <t>Estimated</t>
        </is>
      </c>
      <c r="CG37" s="149" t="inlineStr">
        <is>
          <t>EDU or enterprise packages may differ; confirm on formal quote.</t>
        </is>
      </c>
      <c r="CH37" s="145" t="inlineStr">
        <is>
          <t>10%</t>
        </is>
      </c>
      <c r="CI37" s="145" t="inlineStr">
        <is>
          <t>17%</t>
        </is>
      </c>
      <c r="CJ37" s="145" t="inlineStr">
        <is>
          <t>24%</t>
        </is>
      </c>
      <c r="CK37"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37"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7" s="145" t="inlineStr">
        <is>
          <t>12 months manufacturer standard (typical research/commercial humanoid)</t>
        </is>
      </c>
      <c r="CN37" s="203" t="inlineStr">
        <is>
          <t>https://aixzd.com/robot/booster-k1</t>
        </is>
      </c>
      <c r="CQ37" s="101" t="inlineStr">
        <is>
          <t>Height: ≈ 3 ft 1 in | Weight: 43 | Degrees of Freedom: ≈ 22 (excl. end-effectors) | Payload: 6.6 | Max Speed: 0.87 | Battery / Runtime: 30–80 min depending on pack</t>
        </is>
      </c>
    </row>
    <row r="38" ht="31.5" customHeight="1" s="102">
      <c r="A38" s="152" t="inlineStr">
        <is>
          <t>borg_robotics_borg_01</t>
        </is>
      </c>
      <c r="B38" s="153" t="inlineStr">
        <is>
          <t>Humanoid.guide</t>
        </is>
      </c>
      <c r="C38" s="152" t="inlineStr">
        <is>
          <t>Borg Robotics</t>
        </is>
      </c>
      <c r="D38" s="152" t="inlineStr">
        <is>
          <t>Borg 01</t>
        </is>
      </c>
      <c r="E38" s="152" t="inlineStr">
        <is>
          <t>[Borg Robotics] Borg 01 (2026)</t>
        </is>
      </c>
      <c r="F38" s="146" t="inlineStr">
        <is>
          <t>humanoid</t>
        </is>
      </c>
      <c r="G38" s="152" t="inlineStr">
        <is>
          <t>USA</t>
        </is>
      </c>
      <c r="H38" s="152" t="n"/>
      <c r="I38" s="155" t="n">
        <v>100000</v>
      </c>
      <c r="J38" s="152" t="inlineStr">
        <is>
          <t>Humanoid.guide list</t>
        </is>
      </c>
      <c r="K38" s="156" t="inlineStr">
        <is>
          <t>Borg 01 is a Detroit-built, modular humanoid robot designed to address the challenges of repetitive and labor-intensive tasks in manufacturing and warehouses.</t>
        </is>
      </c>
      <c r="L38" s="101" t="inlineStr">
        <is>
          <t>Borg 01 is a Detroit-built, modular humanoid robot designed to address the challenges of repetitive and labor-intensive tasks in manufacturing and warehouses.</t>
        </is>
      </c>
      <c r="M38" s="101" t="inlineStr">
        <is>
          <t>Borg 01 is a Detroit-built, modular humanoid robot designed to address the challenges of repetitive and labor-intensive tasks in manufacturing and warehouses. Public status is listed as prototype.</t>
        </is>
      </c>
      <c r="N38" s="157" t="inlineStr">
        <is>
          <t>https://humanoid.guide/product/borg-01/</t>
        </is>
      </c>
      <c r="O38" s="157" t="inlineStr">
        <is>
          <t>https://www.borgrobotic.com/</t>
        </is>
      </c>
      <c r="P38" s="152" t="inlineStr">
        <is>
          <t>5 ft 8 in</t>
        </is>
      </c>
      <c r="Q38" s="152" t="n">
        <v>173</v>
      </c>
      <c r="R38" s="152" t="n">
        <v>136.7</v>
      </c>
      <c r="S38" s="152" t="n">
        <v>62</v>
      </c>
      <c r="T38" s="156" t="inlineStr">
        <is>
          <t>Not disclosed</t>
        </is>
      </c>
      <c r="U38" s="152" t="n"/>
      <c r="V38" s="152" t="inlineStr">
        <is>
          <t>23</t>
        </is>
      </c>
      <c r="W38" s="156" t="inlineStr">
        <is>
          <t>Not disclosed</t>
        </is>
      </c>
      <c r="X38" s="152" t="n">
        <v>26.5</v>
      </c>
      <c r="Y38" s="152" t="n">
        <v>12</v>
      </c>
      <c r="Z38" s="152" t="n">
        <v>1.86</v>
      </c>
      <c r="AA38" s="152" t="n">
        <v>3</v>
      </c>
      <c r="AB38" s="152" t="n"/>
      <c r="AC38" s="156" t="inlineStr">
        <is>
          <t>≈ 6 hours</t>
        </is>
      </c>
      <c r="AD38" s="156" t="inlineStr">
        <is>
          <t>6</t>
        </is>
      </c>
      <c r="AE38" s="152" t="n"/>
      <c r="AF38" s="152" t="inlineStr">
        <is>
          <t>Not disclosed</t>
        </is>
      </c>
      <c r="AG38" s="156" t="inlineStr">
        <is>
          <t>Not disclosed</t>
        </is>
      </c>
      <c r="AH38" s="152" t="inlineStr">
        <is>
          <t>Not disclosed</t>
        </is>
      </c>
      <c r="AI38" s="158" t="n">
        <v>2</v>
      </c>
      <c r="AJ38" s="156" t="inlineStr">
        <is>
          <t>Not disclosed</t>
        </is>
      </c>
      <c r="AK38" s="156" t="n"/>
      <c r="AL38" s="152" t="inlineStr">
        <is>
          <t>Not disclosed</t>
        </is>
      </c>
      <c r="AM38" s="152" t="n"/>
      <c r="AN38" s="152" t="inlineStr">
        <is>
          <t>Not disclosed</t>
        </is>
      </c>
      <c r="AO38" s="152" t="inlineStr">
        <is>
          <t>Not disclosed</t>
        </is>
      </c>
      <c r="AP38" s="152" t="inlineStr">
        <is>
          <t>Not disclosed</t>
        </is>
      </c>
      <c r="AQ38" s="152" t="inlineStr">
        <is>
          <t>Not disclosed</t>
        </is>
      </c>
      <c r="AR38" s="152" t="n"/>
      <c r="AS38" s="152" t="n"/>
      <c r="AT38" s="156" t="inlineStr">
        <is>
          <t>Not disclosed</t>
        </is>
      </c>
      <c r="AU38" s="156" t="inlineStr">
        <is>
          <t>Not disclosed</t>
        </is>
      </c>
      <c r="AV38" s="152" t="inlineStr">
        <is>
          <t>Not disclosed</t>
        </is>
      </c>
      <c r="AW38" s="156" t="inlineStr">
        <is>
          <t>Not disclosed</t>
        </is>
      </c>
      <c r="AX38" s="158" t="n">
        <v>2</v>
      </c>
      <c r="AY38" s="156" t="inlineStr">
        <is>
          <t>Not disclosed</t>
        </is>
      </c>
      <c r="AZ38" s="156" t="inlineStr">
        <is>
          <t>Not disclosed</t>
        </is>
      </c>
      <c r="BA38" s="156" t="n"/>
      <c r="BB38" s="156" t="inlineStr">
        <is>
          <t>Not disclosed</t>
        </is>
      </c>
      <c r="BC38" s="156" t="inlineStr">
        <is>
          <t>Not disclosed</t>
        </is>
      </c>
      <c r="BD38" s="152" t="inlineStr">
        <is>
          <t>Not disclosed</t>
        </is>
      </c>
      <c r="BE38" s="152" t="inlineStr">
        <is>
          <t>Not disclosed</t>
        </is>
      </c>
      <c r="BF38" s="152" t="n"/>
      <c r="BG38" s="152" t="n"/>
      <c r="BH38" s="152" t="n"/>
      <c r="BI38" s="152" t="n"/>
      <c r="BJ38" s="152" t="n"/>
      <c r="BK38" s="152" t="n"/>
      <c r="BL38" s="152" t="n"/>
      <c r="BM38" s="152" t="inlineStr">
        <is>
          <t>Not disclosed</t>
        </is>
      </c>
      <c r="BN38" s="152" t="inlineStr">
        <is>
          <t>Not disclosed</t>
        </is>
      </c>
      <c r="BO38" s="156" t="inlineStr">
        <is>
          <t>Manipulation 2/4 · Navigation 2/4 · Peak 3 km/h · Runtime 6</t>
        </is>
      </c>
      <c r="BP38" s="152" t="n"/>
      <c r="BQ38" s="156" t="inlineStr">
        <is>
          <t>Research labs, commercial pilots, and education programs evaluating a humanoid from Borg Robotics (USA) now listed as prototype.</t>
        </is>
      </c>
      <c r="BR38" s="156" t="inlineStr">
        <is>
          <t>Prototype</t>
        </is>
      </c>
      <c r="BS38" s="156" t="inlineStr">
        <is>
          <t>Prototype</t>
        </is>
      </c>
      <c r="BT38" s="152" t="n"/>
      <c r="BU38" s="152" t="inlineStr">
        <is>
          <t>Not verified</t>
        </is>
      </c>
      <c r="BV38" s="156" t="n"/>
      <c r="BW38" s="156" t="inlineStr">
        <is>
          <t>Origin &amp; status — USA · Prototype · 2026 | Manipulation — Payload 26.5 lb | Sensing &amp; software — Sensor and compute package confirmed on formal quote | Buying notes — From $100,000 · 12 months manufacturer standard (typical research/commercial humanoid)</t>
        </is>
      </c>
      <c r="BX38" s="156" t="inlineStr">
        <is>
          <t>as_shipped|Borg 01|100000|As shipped</t>
        </is>
      </c>
      <c r="BY38" s="152" t="inlineStr">
        <is>
          <t>borg_01|Manufacturer finish|#e2e8f0|0</t>
        </is>
      </c>
      <c r="BZ38" s="152" t="inlineStr"/>
      <c r="CA38" s="156" t="n"/>
      <c r="CB38" s="156" t="inlineStr">
        <is>
          <t>12 months manufacturer standard (typical research/commercial humanoid)</t>
        </is>
      </c>
      <c r="CC38" s="154" t="n">
        <v>12</v>
      </c>
      <c r="CD38" s="156" t="inlineStr">
        <is>
          <t>+3 Year Extended ≈24% of configuration (default in configurator)</t>
        </is>
      </c>
      <c r="CE38" s="152" t="inlineStr">
        <is>
          <t>Humanoid category norm 2025–2026</t>
        </is>
      </c>
      <c r="CF38" s="152" t="inlineStr">
        <is>
          <t>Estimated</t>
        </is>
      </c>
      <c r="CG38" s="156" t="inlineStr">
        <is>
          <t>Confirm on formal OEM quote. EDU or enterprise packages may differ.</t>
        </is>
      </c>
      <c r="CH38" s="152" t="inlineStr">
        <is>
          <t>10%</t>
        </is>
      </c>
      <c r="CI38" s="152" t="inlineStr">
        <is>
          <t>17%</t>
        </is>
      </c>
      <c r="CJ38" s="152" t="inlineStr">
        <is>
          <t>24%</t>
        </is>
      </c>
      <c r="CK38" s="156" t="inlineStr">
        <is>
          <t>+1yr ≈10% | +2yr ≈17% | +3yr ≈24% of selected configuration price (parts &amp; labor beyond manufacturer standard).</t>
        </is>
      </c>
      <c r="CL38"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8" s="152" t="inlineStr">
        <is>
          <t>12 months manufacturer standard (typical research/commercial humanoid)</t>
        </is>
      </c>
      <c r="CN38" s="203" t="inlineStr">
        <is>
          <t>https://aixzd.com/robot/borg-01</t>
        </is>
      </c>
      <c r="CQ38" s="101" t="inlineStr">
        <is>
          <t>Height: 5 ft 8 in | Weight: 136.7 | Degrees of Freedom: 23 | Payload: 26.5 | Max Speed: 1.86 | Battery / Runtime: ≈ 6 hours</t>
        </is>
      </c>
    </row>
    <row r="39" ht="31.5" customHeight="1" s="102">
      <c r="A39" s="145" t="inlineStr">
        <is>
          <t>boshiac_harbin_china_dexbot</t>
        </is>
      </c>
      <c r="B39" s="153" t="inlineStr">
        <is>
          <t>Humanoid.guide</t>
        </is>
      </c>
      <c r="C39" s="145" t="inlineStr">
        <is>
          <t>BOSHIAC (Harbin, China)</t>
        </is>
      </c>
      <c r="D39" s="145" t="inlineStr">
        <is>
          <t>DexBot</t>
        </is>
      </c>
      <c r="E39" s="145" t="inlineStr">
        <is>
          <t>[BOSHIAC] DexBot (2026)</t>
        </is>
      </c>
      <c r="F39" s="146" t="inlineStr">
        <is>
          <t>humanoid</t>
        </is>
      </c>
      <c r="G39" s="145" t="inlineStr">
        <is>
          <t>China</t>
        </is>
      </c>
      <c r="H39" s="145" t="n"/>
      <c r="I39" s="148" t="n">
        <v>120000</v>
      </c>
      <c r="J39" s="145" t="inlineStr">
        <is>
          <t>Humanoid.guide list</t>
        </is>
      </c>
      <c r="K39" s="149" t="inlineStr">
        <is>
          <t>DexBot is a hybrid humanoid robotics platform developed by BOSHIAC and Harbin Institute of Technology.</t>
        </is>
      </c>
      <c r="L39" s="101" t="inlineStr">
        <is>
          <t>DexBot is a hybrid humanoid robotics platform developed by BOSHIAC and Harbin Institute of Technology.</t>
        </is>
      </c>
      <c r="M39" s="101" t="inlineStr">
        <is>
          <t>DexBot is a hybrid humanoid robotics platform developed by BOSHIAC and Harbin Institute of Technology. Public status is listed as prototype, and it is positioned for industrial automation; Industrial logistics; Manufacturing.</t>
        </is>
      </c>
      <c r="N39" s="150" t="inlineStr">
        <is>
          <t>https://humanoid.guide/product/dexbot/</t>
        </is>
      </c>
      <c r="O39" s="150" t="inlineStr">
        <is>
          <t>https://en.boshi.cn/</t>
        </is>
      </c>
      <c r="P39" s="145" t="inlineStr">
        <is>
          <t>5 ft 3 in</t>
        </is>
      </c>
      <c r="Q39" s="145" t="n">
        <v>160</v>
      </c>
      <c r="R39" s="145" t="n">
        <v>176.4</v>
      </c>
      <c r="S39" s="145" t="n">
        <v>80</v>
      </c>
      <c r="T39" s="149" t="inlineStr">
        <is>
          <t>Not disclosed</t>
        </is>
      </c>
      <c r="U39" s="145" t="n"/>
      <c r="V39" s="145" t="inlineStr">
        <is>
          <t>Assumed ~30–50</t>
        </is>
      </c>
      <c r="W39" s="149" t="inlineStr">
        <is>
          <t>Assumed 15–20 DoF</t>
        </is>
      </c>
      <c r="X39" s="145" t="n">
        <v>33.1</v>
      </c>
      <c r="Y39" s="145" t="n">
        <v>15</v>
      </c>
      <c r="Z39" s="145" t="n">
        <v>1.86</v>
      </c>
      <c r="AA39" s="145" t="n">
        <v>3</v>
      </c>
      <c r="AB39" s="145" t="n">
        <v>3</v>
      </c>
      <c r="AC39" s="149" t="inlineStr">
        <is>
          <t>≈ 3 hours</t>
        </is>
      </c>
      <c r="AD39" s="149" t="inlineStr">
        <is>
          <t>3</t>
        </is>
      </c>
      <c r="AE39" s="145" t="n"/>
      <c r="AF39" s="145" t="inlineStr">
        <is>
          <t>Not disclosed</t>
        </is>
      </c>
      <c r="AG39" s="149" t="inlineStr">
        <is>
          <t>5 per hand</t>
        </is>
      </c>
      <c r="AH39" s="145" t="inlineStr">
        <is>
          <t>5 per hand</t>
        </is>
      </c>
      <c r="AI39" s="145" t="n"/>
      <c r="AJ39" s="149" t="inlineStr">
        <is>
          <t>RGB + depth, ~1080p</t>
        </is>
      </c>
      <c r="AK39" s="149" t="inlineStr">
        <is>
          <t>RGB + depth, ~1080p</t>
        </is>
      </c>
      <c r="AL39" s="145" t="inlineStr">
        <is>
          <t>Not disclosed</t>
        </is>
      </c>
      <c r="AM39" s="145" t="n"/>
      <c r="AN39" s="145" t="inlineStr">
        <is>
          <t>Not disclosed</t>
        </is>
      </c>
      <c r="AO39" s="145" t="inlineStr">
        <is>
          <t>Not disclosed</t>
        </is>
      </c>
      <c r="AP39" s="145" t="inlineStr">
        <is>
          <t>Not disclosed</t>
        </is>
      </c>
      <c r="AQ39" s="145" t="inlineStr">
        <is>
          <t>Not disclosed</t>
        </is>
      </c>
      <c r="AR39" s="145" t="n"/>
      <c r="AS39" s="145" t="n"/>
      <c r="AT39" s="149" t="inlineStr">
        <is>
          <t>Assumed onboard compute + optional edge AI</t>
        </is>
      </c>
      <c r="AU39" s="149" t="inlineStr">
        <is>
          <t>Ethernet; Wi‑Fi</t>
        </is>
      </c>
      <c r="AV39" s="145" t="inlineStr">
        <is>
          <t>Not disclosed</t>
        </is>
      </c>
      <c r="AW39" s="149" t="inlineStr">
        <is>
          <t>Not disclosed</t>
        </is>
      </c>
      <c r="AX39" s="145" t="n"/>
      <c r="AY39" s="149" t="inlineStr">
        <is>
          <t>Linux-based industrial OS / ROS</t>
        </is>
      </c>
      <c r="AZ39" s="149" t="inlineStr">
        <is>
          <t>Possible via external system integration</t>
        </is>
      </c>
      <c r="BA39" s="149" t="n"/>
      <c r="BB39" s="149" t="inlineStr">
        <is>
          <t>Electric servo actuators</t>
        </is>
      </c>
      <c r="BC39" s="149" t="inlineStr">
        <is>
          <t>High-ratio industrial gears</t>
        </is>
      </c>
      <c r="BD39" s="145" t="inlineStr">
        <is>
          <t>Metal alloys + composites</t>
        </is>
      </c>
      <c r="BE39" s="145" t="inlineStr">
        <is>
          <t>IP20</t>
        </is>
      </c>
      <c r="BF39" s="145" t="inlineStr">
        <is>
          <t>IP20</t>
        </is>
      </c>
      <c r="BG39" s="145" t="n"/>
      <c r="BH39" s="145" t="n"/>
      <c r="BI39" s="145" t="n"/>
      <c r="BJ39" s="145" t="n"/>
      <c r="BK39" s="145" t="n"/>
      <c r="BL39" s="145" t="n"/>
      <c r="BM39" s="145" t="inlineStr">
        <is>
          <t>Yes</t>
        </is>
      </c>
      <c r="BN39" s="145" t="inlineStr">
        <is>
          <t>Not disclosed</t>
        </is>
      </c>
      <c r="BO39" s="149" t="inlineStr">
        <is>
          <t>Market: Industrial automation; Industrial logistics; Manufacturing · Human-safe: Yes · AI: Possible via external system integration · Actuation: Electric servo actuators · Peak 3 km/h · Walk 3 km/h · Runtime 3</t>
        </is>
      </c>
      <c r="BP39" s="145" t="n"/>
      <c r="BQ39" s="149" t="inlineStr">
        <is>
          <t>Industrial automation; Industrial logistics; Manufacturing</t>
        </is>
      </c>
      <c r="BR39" s="149" t="inlineStr">
        <is>
          <t>Prototype</t>
        </is>
      </c>
      <c r="BS39" s="149" t="inlineStr">
        <is>
          <t>Prototype</t>
        </is>
      </c>
      <c r="BT39" s="145" t="inlineStr">
        <is>
          <t>Black; Grey</t>
        </is>
      </c>
      <c r="BU39" s="145" t="inlineStr">
        <is>
          <t>Not verified</t>
        </is>
      </c>
      <c r="BV39" s="149" t="n"/>
      <c r="BW39" s="149" t="inlineStr">
        <is>
          <t>Origin &amp; status — China · Prototype · 2026 | Manipulation — 5 per hand · 5 per hand fingers · Hand DOF Assumed 15–20 DoF · Payload 33.1 lb | Sensing &amp; software — RGB + depth, ~1080p · Possible via external system integration · Linux-based industrial OS / ROS | Buying notes — From $120,000 · 12 months manufacturer standard (typical research/commercial humanoid) · Best fit: Industrial automation</t>
        </is>
      </c>
      <c r="BX39" s="149" t="inlineStr">
        <is>
          <t>as_shipped|DexBot|120000|As shipped</t>
        </is>
      </c>
      <c r="BY39" s="145" t="inlineStr">
        <is>
          <t>black|Black|#e2e8f0|0 || grey|Grey|#1e293b|0</t>
        </is>
      </c>
      <c r="BZ39" s="145" t="inlineStr"/>
      <c r="CA39" s="149" t="n"/>
      <c r="CB39" s="149" t="inlineStr">
        <is>
          <t>12 months manufacturer standard (typical research/commercial humanoid)</t>
        </is>
      </c>
      <c r="CC39" s="147" t="n">
        <v>12</v>
      </c>
      <c r="CD39" s="149" t="inlineStr">
        <is>
          <t>+3 Year Extended ≈24% of configuration (default in configurator)</t>
        </is>
      </c>
      <c r="CE39" s="145" t="inlineStr">
        <is>
          <t>Humanoid category norm 2025–2026</t>
        </is>
      </c>
      <c r="CF39" s="145" t="inlineStr">
        <is>
          <t>Estimated</t>
        </is>
      </c>
      <c r="CG39" s="149" t="inlineStr">
        <is>
          <t>Confirm on formal OEM quote. EDU or enterprise packages may differ.</t>
        </is>
      </c>
      <c r="CH39" s="145" t="inlineStr">
        <is>
          <t>10%</t>
        </is>
      </c>
      <c r="CI39" s="145" t="inlineStr">
        <is>
          <t>17%</t>
        </is>
      </c>
      <c r="CJ39" s="145" t="inlineStr">
        <is>
          <t>24%</t>
        </is>
      </c>
      <c r="CK39" s="149" t="inlineStr">
        <is>
          <t>+1yr ≈10% | +2yr ≈17% | +3yr ≈24% of selected configuration price (parts &amp; labor beyond manufacturer standard).</t>
        </is>
      </c>
      <c r="CL3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9" s="145" t="inlineStr">
        <is>
          <t>12 months manufacturer standard (typical research/commercial humanoid)</t>
        </is>
      </c>
      <c r="CN39" s="203" t="inlineStr">
        <is>
          <t>https://aixzd.com/robot/dexbot</t>
        </is>
      </c>
      <c r="CQ39" s="101" t="inlineStr">
        <is>
          <t>Height: 5 ft 3 in | Weight: 176.4 | Degrees of Freedom: Assumed ~30–50 | Payload: 33.1 | Max Speed: 1.86 | Battery / Runtime: ≈ 3 hours</t>
        </is>
      </c>
    </row>
    <row r="40" ht="31.5" customHeight="1" s="102">
      <c r="A40" s="159" t="inlineStr">
        <is>
          <t>atlas</t>
        </is>
      </c>
      <c r="B40" s="144" t="inlineStr">
        <is>
          <t>Major-player brief 11 Sep 2026</t>
        </is>
      </c>
      <c r="C40" s="152" t="inlineStr">
        <is>
          <t>Boston Dynamics</t>
        </is>
      </c>
      <c r="D40" s="152" t="inlineStr">
        <is>
          <t>Atlas</t>
        </is>
      </c>
      <c r="E40" s="152" t="inlineStr">
        <is>
          <t>[Boston Dynamics] Atlas (2024)</t>
        </is>
      </c>
      <c r="F40" s="146" t="inlineStr">
        <is>
          <t>humanoid</t>
        </is>
      </c>
      <c r="G40" s="152" t="inlineStr">
        <is>
          <t>USA</t>
        </is>
      </c>
      <c r="H40" s="154" t="n">
        <v>2024</v>
      </c>
      <c r="I40" s="155" t="n">
        <v>250000</v>
      </c>
      <c r="J40" s="152" t="inlineStr">
        <is>
          <t>Website store</t>
        </is>
      </c>
      <c r="K40" s="156" t="inlineStr">
        <is>
          <t>Atlas builds on years of research into dynamic robot movement and is now being developed for practical industrial and manufacturing work.</t>
        </is>
      </c>
      <c r="L40" s="101" t="inlineStr">
        <is>
          <t>Atlas builds on years of research into dynamic robot movement and is now being developed for practical industrial and manufacturing work.</t>
        </is>
      </c>
      <c r="M40" s="101" t="inlineStr">
        <is>
          <t>Atlas began as Boston Dynamics’ hydraulic research gymnast and was rebuilt as a fully electric industrial humanoid in 2024. The current Atlas is no longer a parkour showpiece; it is being developed for practical manufacturing and factory work after decades of dynamic-locomotion research.</t>
        </is>
      </c>
      <c r="N40" s="157" t="inlineStr">
        <is>
          <t>https://humanoid.guide/product/atlas/</t>
        </is>
      </c>
      <c r="O40" s="157" t="inlineStr">
        <is>
          <t>https://www.bostondynamics.com</t>
        </is>
      </c>
      <c r="P40" s="152" t="inlineStr">
        <is>
          <t>≈ 6 ft 3 in</t>
        </is>
      </c>
      <c r="Q40" s="152" t="n">
        <v>190</v>
      </c>
      <c r="R40" s="152" t="n">
        <v>198.4</v>
      </c>
      <c r="S40" s="152" t="n">
        <v>90</v>
      </c>
      <c r="T40" s="156" t="inlineStr">
        <is>
          <t>Not disclosed</t>
        </is>
      </c>
      <c r="U40" s="152" t="n"/>
      <c r="V40" s="152" t="inlineStr">
        <is>
          <t>56</t>
        </is>
      </c>
      <c r="W40" s="156" t="inlineStr">
        <is>
          <t>Part of overall 56 (exact split not published; tactile hands)</t>
        </is>
      </c>
      <c r="X40" s="152" t="n">
        <v>66.09999999999999</v>
      </c>
      <c r="Y40" s="152" t="n">
        <v>30</v>
      </c>
      <c r="Z40" s="152" t="n">
        <v>4.97</v>
      </c>
      <c r="AA40" s="152" t="n">
        <v>8</v>
      </c>
      <c r="AB40" s="152" t="n">
        <v>9</v>
      </c>
      <c r="AC40" s="156" t="inlineStr">
        <is>
          <t>≈ 4 h typical · ≈ 2 h with heavy lifting · autonomous battery swap ≈ 3 min</t>
        </is>
      </c>
      <c r="AD40" s="156" t="inlineStr">
        <is>
          <t>~4 hours typical; ~2 hrs heavy use</t>
        </is>
      </c>
      <c r="AE40" s="152" t="n"/>
      <c r="AF40" s="152" t="inlineStr">
        <is>
          <t>Not disclosed</t>
        </is>
      </c>
      <c r="AG40" s="156" t="inlineStr">
        <is>
          <t>High-DOF hands with tactile fingers and palm</t>
        </is>
      </c>
      <c r="AH40" s="152" t="inlineStr">
        <is>
          <t>3 per hand</t>
        </is>
      </c>
      <c r="AI40" s="152" t="n"/>
      <c r="AJ40" s="156" t="inlineStr">
        <is>
          <t>360° camera view + tactile fingers and palm sensing</t>
        </is>
      </c>
      <c r="AK40" s="156" t="inlineStr">
        <is>
          <t>Not officially detailed; 360° vision system</t>
        </is>
      </c>
      <c r="AL40" s="152" t="inlineStr">
        <is>
          <t>Research and demo multi-view capture</t>
        </is>
      </c>
      <c r="AM40" s="152" t="n"/>
      <c r="AN40" s="152" t="inlineStr">
        <is>
          <t>Not disclosed</t>
        </is>
      </c>
      <c r="AO40" s="152" t="inlineStr">
        <is>
          <t>Not disclosed</t>
        </is>
      </c>
      <c r="AP40" s="152" t="inlineStr">
        <is>
          <t>Not disclosed</t>
        </is>
      </c>
      <c r="AQ40" s="152" t="inlineStr">
        <is>
          <t>Not disclosed</t>
        </is>
      </c>
      <c r="AR40" s="152" t="n"/>
      <c r="AS40" s="152" t="n"/>
      <c r="AT40" s="156" t="inlineStr">
        <is>
          <t>Not publicly specified (custom robot compute likely). Assumed advanced embedded robotics processors.</t>
        </is>
      </c>
      <c r="AU40" s="156" t="inlineStr">
        <is>
          <t>enterprise integration (Orbit software); Wi‑Fi</t>
        </is>
      </c>
      <c r="AV40" s="152" t="inlineStr">
        <is>
          <t>Boston Dynamics research and demo control stack</t>
        </is>
      </c>
      <c r="AW40" s="156" t="inlineStr">
        <is>
          <t>Dynamic bipedal athletics, parkour-class behaviors in controlled settings</t>
        </is>
      </c>
      <c r="AX40" s="152" t="n"/>
      <c r="AY40" s="156" t="inlineStr">
        <is>
          <t>Custom robotics OS with integration support</t>
        </is>
      </c>
      <c r="AZ40" s="156" t="inlineStr">
        <is>
          <t>Not officially confirmed; partnerships with DeepMind suggest future AI integration</t>
        </is>
      </c>
      <c r="BA40" s="156" t="inlineStr">
        <is>
          <t>Not publicly available; robotics systems optimized for real-time motion</t>
        </is>
      </c>
      <c r="BB40" s="156" t="inlineStr">
        <is>
          <t>Fully electric actuators</t>
        </is>
      </c>
      <c r="BC40" s="156" t="inlineStr">
        <is>
          <t>Unspecified (likely harmonic or precision gear systems in joints)</t>
        </is>
      </c>
      <c r="BD40" s="152" t="inlineStr">
        <is>
          <t>Titanium, aluminum components</t>
        </is>
      </c>
      <c r="BE40" s="152" t="inlineStr">
        <is>
          <t>IP67</t>
        </is>
      </c>
      <c r="BF40" s="152" t="inlineStr">
        <is>
          <t>IP67</t>
        </is>
      </c>
      <c r="BG40" s="152" t="n"/>
      <c r="BH40" s="152" t="n"/>
      <c r="BI40" s="152" t="n"/>
      <c r="BJ40" s="152" t="n"/>
      <c r="BK40" s="152" t="n"/>
      <c r="BL40" s="152" t="n"/>
      <c r="BM40" s="152" t="inlineStr">
        <is>
          <t>Yes</t>
        </is>
      </c>
      <c r="BN40" s="152" t="inlineStr">
        <is>
          <t>Not disclosed</t>
        </is>
      </c>
      <c r="BO40" s="156" t="inlineStr">
        <is>
          <t>Market: Industrial automation; logistics; Manufacturing · Human-safe: Yes · AI: Not officially confirmed; partnerships with DeepMind suggest future AI integration · Actuation: Fully electric actuators · Peak 8 km/h · Walk 9 km/h · Runtime ~4 hours typical; ~2 hrs heavy use</t>
        </is>
      </c>
      <c r="BP40" s="152" t="inlineStr">
        <is>
          <t>−4°F to 104°F · industrial workspaces</t>
        </is>
      </c>
      <c r="BQ40" s="156" t="inlineStr">
        <is>
          <t>Industrial and manufacturing work</t>
        </is>
      </c>
      <c r="BR40" s="156" t="inlineStr">
        <is>
          <t>Early production / limited release</t>
        </is>
      </c>
      <c r="BS40" s="156" t="inlineStr">
        <is>
          <t>Early production / limited release</t>
        </is>
      </c>
      <c r="BT40" s="152" t="inlineStr">
        <is>
          <t>Blue; White</t>
        </is>
      </c>
      <c r="BU40" s="152" t="inlineStr">
        <is>
          <t>Verified</t>
        </is>
      </c>
      <c r="BV40" s="156" t="inlineStr">
        <is>
          <t>Humanoid.guide listed price $120,000.</t>
        </is>
      </c>
      <c r="BW40" s="156" t="inlineStr">
        <is>
          <t>Origin &amp; status — USA · Early production / limited release · 2024 | Manipulation — High-DOF hands with tactile fingers and palm · 3 per hand fingers · Hand DOF Part of overall 56 (exact split not published; tactile hands) · Payload ≈ 66 lb susta… | Sensing &amp; software — 360° camera view + tactile fingers and palm sensing · Not officially confirmed; partnerships with DeepMind suggest future AI integration · Custom robotics O… | Buying notes — From $250,000 · 12 months / program- and contract-dependent · Best fit: Industrial automation</t>
        </is>
      </c>
      <c r="BX40" s="156" t="inlineStr">
        <is>
          <t>production|Atlas Production (illustrative)|250000|Partner allocation estimate || research|Atlas Research / Partner|320000|Higher support package</t>
        </is>
      </c>
      <c r="BY40" s="152" t="inlineStr">
        <is>
          <t>black|BD Black|#0f172a|0</t>
        </is>
      </c>
      <c r="BZ40" s="152" t="inlineStr">
        <is>
          <t>warranty_atlas</t>
        </is>
      </c>
      <c r="CA40" s="156" t="inlineStr">
        <is>
          <t>2 configuration tiers; Multi-year extended warranty available</t>
        </is>
      </c>
      <c r="CB40" s="156" t="inlineStr">
        <is>
          <t>12 months / program- and contract-dependent</t>
        </is>
      </c>
      <c r="CC40" s="154" t="n">
        <v>12</v>
      </c>
      <c r="CD40" s="156" t="inlineStr">
        <is>
          <t>+3 Year Extended ≈24% of configuration (default in configurator)</t>
        </is>
      </c>
      <c r="CE40" s="152" t="inlineStr">
        <is>
          <t>Enterprise program norms; no public consumer warranty sheet</t>
        </is>
      </c>
      <c r="CF40" s="152" t="inlineStr">
        <is>
          <t>Estimated</t>
        </is>
      </c>
      <c r="CG40" s="156" t="inlineStr">
        <is>
          <t>Atlas deployments are program-based; warranty is contractual.</t>
        </is>
      </c>
      <c r="CH40" s="152" t="inlineStr">
        <is>
          <t>10%</t>
        </is>
      </c>
      <c r="CI40" s="152" t="inlineStr">
        <is>
          <t>17%</t>
        </is>
      </c>
      <c r="CJ40" s="152" t="inlineStr">
        <is>
          <t>24%</t>
        </is>
      </c>
      <c r="CK40"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40"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40" s="152" t="inlineStr">
        <is>
          <t>12 months / program- and contract-dependent</t>
        </is>
      </c>
      <c r="CN40" s="203" t="inlineStr">
        <is>
          <t>https://aixzd.com/robot/atlas</t>
        </is>
      </c>
      <c r="CO40" s="203" t="inlineStr">
        <is>
          <t>https://theresanaiforthat.com/robots/</t>
        </is>
      </c>
      <c r="CP40" s="203" t="inlineStr">
        <is>
          <t>Cross-checked against TAAFT Robots directory (669 entries) 28 Aug 2026 — individual TAAFT permalinks are JS/Cloudflare gated.</t>
        </is>
      </c>
      <c r="CQ40" s="101" t="inlineStr">
        <is>
          <t>Height: ≈ 6 ft 3 in | Weight: 198.4 | Degrees of Freedom: 56 | Payload: 66.1 | Max Speed: 4.97 | Battery / Runtime: ≈ 4 h typical · ≈ 2 h with heavy lifting · autonomous battery swap ≈ 3 min</t>
        </is>
      </c>
    </row>
    <row r="41" ht="31.5" customHeight="1" s="102">
      <c r="A41" s="145" t="inlineStr">
        <is>
          <t>boston_dynamics_atlas_old</t>
        </is>
      </c>
      <c r="B41" s="153" t="inlineStr">
        <is>
          <t>Humanoid.guide</t>
        </is>
      </c>
      <c r="C41" s="145" t="inlineStr">
        <is>
          <t>Boston Dynamics</t>
        </is>
      </c>
      <c r="D41" s="145" t="inlineStr">
        <is>
          <t>Atlas (old)</t>
        </is>
      </c>
      <c r="E41" s="145" t="inlineStr">
        <is>
          <t>[Boston Dynamics] Atlas Hydraulic (2016)</t>
        </is>
      </c>
      <c r="F41" s="146" t="inlineStr">
        <is>
          <t>humanoid</t>
        </is>
      </c>
      <c r="G41" s="145" t="inlineStr">
        <is>
          <t>USA</t>
        </is>
      </c>
      <c r="H41" s="145" t="n"/>
      <c r="I41" s="148" t="n">
        <v>39000</v>
      </c>
      <c r="J41" s="145" t="inlineStr">
        <is>
          <t>Humanoid.guide list</t>
        </is>
      </c>
      <c r="K41" s="149" t="inlineStr">
        <is>
          <t>Atlas is an advanced humanoid robot developed by Boston Dynamics, a leading robotics company based in the United States.</t>
        </is>
      </c>
      <c r="L41" s="101" t="inlineStr">
        <is>
          <t>Atlas is an advanced humanoid robot developed by Boston Dynamics, a leading robotics company based in the United States.</t>
        </is>
      </c>
      <c r="M41" s="101" t="inlineStr">
        <is>
          <t>The hydraulic Atlas (2013–2023) was Boston Dynamics’ public research humanoid, famous for parkour, backflips, and rough-terrain walking. It is the ancestor of the 2024 electric Atlas now aimed at factory work.</t>
        </is>
      </c>
      <c r="N41" s="150" t="inlineStr">
        <is>
          <t>https://humanoid.guide/product/atlas-2013/</t>
        </is>
      </c>
      <c r="O41" s="150" t="inlineStr">
        <is>
          <t>https://www.bostondynamics.com</t>
        </is>
      </c>
      <c r="P41" s="145" t="inlineStr">
        <is>
          <t>4 ft 11 in</t>
        </is>
      </c>
      <c r="Q41" s="145" t="n">
        <v>150</v>
      </c>
      <c r="R41" s="145" t="n">
        <v>196.2</v>
      </c>
      <c r="S41" s="145" t="n">
        <v>89</v>
      </c>
      <c r="T41" s="149" t="inlineStr">
        <is>
          <t>Not disclosed</t>
        </is>
      </c>
      <c r="U41" s="145" t="n"/>
      <c r="V41" s="145" t="inlineStr">
        <is>
          <t>50</t>
        </is>
      </c>
      <c r="W41" s="149" t="inlineStr">
        <is>
          <t>Not disclosed</t>
        </is>
      </c>
      <c r="X41" s="145" t="n">
        <v>39.7</v>
      </c>
      <c r="Y41" s="145" t="n">
        <v>18</v>
      </c>
      <c r="Z41" s="145" t="n">
        <v>5.59</v>
      </c>
      <c r="AA41" s="145" t="n">
        <v>9</v>
      </c>
      <c r="AB41" s="145" t="n">
        <v>6</v>
      </c>
      <c r="AC41" s="149" t="inlineStr">
        <is>
          <t>≈ 3 hours</t>
        </is>
      </c>
      <c r="AD41" s="149" t="inlineStr">
        <is>
          <t>3</t>
        </is>
      </c>
      <c r="AE41" s="145" t="n"/>
      <c r="AF41" s="145" t="inlineStr">
        <is>
          <t>Not disclosed</t>
        </is>
      </c>
      <c r="AG41" s="149" t="inlineStr">
        <is>
          <t>Not disclosed</t>
        </is>
      </c>
      <c r="AH41" s="145" t="inlineStr">
        <is>
          <t>Not disclosed</t>
        </is>
      </c>
      <c r="AI41" s="151" t="n">
        <v>3</v>
      </c>
      <c r="AJ41" s="149" t="inlineStr">
        <is>
          <t>Not disclosed</t>
        </is>
      </c>
      <c r="AK41" s="149" t="n"/>
      <c r="AL41" s="145" t="inlineStr">
        <is>
          <t>Not disclosed</t>
        </is>
      </c>
      <c r="AM41" s="145" t="n"/>
      <c r="AN41" s="145" t="inlineStr">
        <is>
          <t>Not disclosed</t>
        </is>
      </c>
      <c r="AO41" s="145" t="inlineStr">
        <is>
          <t>Not disclosed</t>
        </is>
      </c>
      <c r="AP41" s="145" t="inlineStr">
        <is>
          <t>Not disclosed</t>
        </is>
      </c>
      <c r="AQ41" s="145" t="inlineStr">
        <is>
          <t>Not disclosed</t>
        </is>
      </c>
      <c r="AR41" s="145" t="n"/>
      <c r="AS41" s="145" t="n"/>
      <c r="AT41" s="149" t="inlineStr">
        <is>
          <t>Not disclosed</t>
        </is>
      </c>
      <c r="AU41" s="149" t="inlineStr">
        <is>
          <t>Not disclosed</t>
        </is>
      </c>
      <c r="AV41" s="145" t="inlineStr">
        <is>
          <t>Not disclosed</t>
        </is>
      </c>
      <c r="AW41" s="149" t="inlineStr">
        <is>
          <t>Not disclosed</t>
        </is>
      </c>
      <c r="AX41" s="151" t="n">
        <v>3</v>
      </c>
      <c r="AY41" s="149" t="inlineStr">
        <is>
          <t>Not disclosed</t>
        </is>
      </c>
      <c r="AZ41" s="149" t="inlineStr">
        <is>
          <t>Not disclosed</t>
        </is>
      </c>
      <c r="BA41" s="149" t="n"/>
      <c r="BB41" s="149" t="inlineStr">
        <is>
          <t>Not disclosed</t>
        </is>
      </c>
      <c r="BC41" s="149" t="inlineStr">
        <is>
          <t>Not disclosed</t>
        </is>
      </c>
      <c r="BD41" s="145" t="inlineStr">
        <is>
          <t>Not disclosed</t>
        </is>
      </c>
      <c r="BE41" s="145" t="inlineStr">
        <is>
          <t>Not disclosed</t>
        </is>
      </c>
      <c r="BF41" s="145" t="n"/>
      <c r="BG41" s="145" t="n"/>
      <c r="BH41" s="145" t="n"/>
      <c r="BI41" s="145" t="n"/>
      <c r="BJ41" s="145" t="n"/>
      <c r="BK41" s="145" t="n"/>
      <c r="BL41" s="145" t="n"/>
      <c r="BM41" s="145" t="inlineStr">
        <is>
          <t>Not disclosed</t>
        </is>
      </c>
      <c r="BN41" s="145" t="inlineStr">
        <is>
          <t>Not disclosed</t>
        </is>
      </c>
      <c r="BO41" s="149" t="inlineStr">
        <is>
          <t>Manipulation 3/4 · Navigation 3/4 · Peak 9 km/h · Walk 6 km/h · Runtime 3</t>
        </is>
      </c>
      <c r="BP41" s="145" t="n"/>
      <c r="BQ41" s="149" t="inlineStr">
        <is>
          <t>Research labs, commercial pilots, and education programs evaluating a humanoid from Boston Dynamics (USA) now listed as prototype.</t>
        </is>
      </c>
      <c r="BR41" s="149" t="inlineStr">
        <is>
          <t>Prototype</t>
        </is>
      </c>
      <c r="BS41" s="149" t="inlineStr">
        <is>
          <t>Prototype</t>
        </is>
      </c>
      <c r="BT41" s="145" t="n"/>
      <c r="BU41" s="145" t="inlineStr">
        <is>
          <t>Not verified</t>
        </is>
      </c>
      <c r="BV41" s="149" t="n"/>
      <c r="BW41" s="149" t="inlineStr">
        <is>
          <t>Origin &amp; status — USA · Prototype · 2026 | Manipulation — Payload 39.7 lb | Sensing &amp; software — Sensor and compute package confirmed on formal quote | Buying notes — From $39,000 · 12 months manufacturer standard (typical research/commercial humanoid)</t>
        </is>
      </c>
      <c r="BX41" s="149" t="inlineStr">
        <is>
          <t>as_shipped|Atlas Hydraulic|39000|As shipped</t>
        </is>
      </c>
      <c r="BY41" s="145" t="inlineStr">
        <is>
          <t>atlas_hydraulic|Manufacturer finish|#e2e8f0|0</t>
        </is>
      </c>
      <c r="BZ41" s="145" t="inlineStr"/>
      <c r="CA41" s="149" t="n"/>
      <c r="CB41" s="149" t="inlineStr">
        <is>
          <t>12 months manufacturer standard (typical research/commercial humanoid)</t>
        </is>
      </c>
      <c r="CC41" s="147" t="n">
        <v>12</v>
      </c>
      <c r="CD41" s="149" t="inlineStr">
        <is>
          <t>+3 Year Extended ≈24% of configuration (default in configurator)</t>
        </is>
      </c>
      <c r="CE41" s="145" t="inlineStr">
        <is>
          <t>Humanoid category norm 2025–2026</t>
        </is>
      </c>
      <c r="CF41" s="145" t="inlineStr">
        <is>
          <t>Estimated</t>
        </is>
      </c>
      <c r="CG41" s="149" t="inlineStr">
        <is>
          <t>Confirm on formal OEM quote. EDU or enterprise packages may differ.</t>
        </is>
      </c>
      <c r="CH41" s="145" t="inlineStr">
        <is>
          <t>10%</t>
        </is>
      </c>
      <c r="CI41" s="145" t="inlineStr">
        <is>
          <t>17%</t>
        </is>
      </c>
      <c r="CJ41" s="145" t="inlineStr">
        <is>
          <t>24%</t>
        </is>
      </c>
      <c r="CK41" s="149" t="inlineStr">
        <is>
          <t>+1yr ≈10% | +2yr ≈17% | +3yr ≈24% of selected configuration price (parts &amp; labor beyond manufacturer standard).</t>
        </is>
      </c>
      <c r="CL4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41" s="145" t="inlineStr">
        <is>
          <t>12 months manufacturer standard (typical research/commercial humanoid)</t>
        </is>
      </c>
      <c r="CN41" s="203" t="inlineStr">
        <is>
          <t>https://aixzd.com/robot/atlas</t>
        </is>
      </c>
      <c r="CO41" s="203" t="inlineStr">
        <is>
          <t>https://theresanaiforthat.com/robots/</t>
        </is>
      </c>
      <c r="CP41" s="203" t="inlineStr">
        <is>
          <t>Cross-checked against TAAFT Robots directory (669 entries) 28 Aug 2026 — individual TAAFT permalinks are JS/Cloudflare gated.</t>
        </is>
      </c>
      <c r="CQ41" s="101" t="inlineStr">
        <is>
          <t>Height: 4 ft 11 in | Weight: 196.2 | Degrees of Freedom: 50 | Payload: 39.7 | Max Speed: 5.59 | Battery / Runtime: ≈ 3 hours</t>
        </is>
      </c>
    </row>
    <row r="42" ht="31.5" customHeight="1" s="102">
      <c r="A42" s="152" t="inlineStr">
        <is>
          <t>cartwheel_robotics_yogi</t>
        </is>
      </c>
      <c r="B42" s="153" t="inlineStr">
        <is>
          <t>Humanoid.guide</t>
        </is>
      </c>
      <c r="C42" s="152" t="inlineStr">
        <is>
          <t>Cartwheel Robotics</t>
        </is>
      </c>
      <c r="D42" s="152" t="inlineStr">
        <is>
          <t>Yogi</t>
        </is>
      </c>
      <c r="E42" s="152" t="inlineStr">
        <is>
          <t>[Cartwheel Robotics] Yogi (2026)</t>
        </is>
      </c>
      <c r="F42" s="146" t="inlineStr">
        <is>
          <t>humanoid</t>
        </is>
      </c>
      <c r="G42" s="152" t="inlineStr">
        <is>
          <t>USA</t>
        </is>
      </c>
      <c r="H42" s="152" t="n"/>
      <c r="I42" s="155" t="n">
        <v>85000</v>
      </c>
      <c r="J42" s="152" t="inlineStr">
        <is>
          <t>Humanoid.guide list</t>
        </is>
      </c>
      <c r="K42" s="156" t="inlineStr">
        <is>
          <t>Yogi is a versatile humanoid robot built for safe, practical assistance in workplaces, offering smooth mobility, adaptive navigation, and friendly interaction.</t>
        </is>
      </c>
      <c r="L42" s="101" t="inlineStr">
        <is>
          <t>Yogi is a versatile humanoid robot built for safe, practical assistance in workplaces, offering smooth mobility, adaptive navigation, and friendly interaction.</t>
        </is>
      </c>
      <c r="M42" s="101" t="inlineStr">
        <is>
          <t>Yogi is a versatile humanoid robot built for safe, practical assistance in workplaces, offering smooth mobility, adaptive navigation, and friendly interaction. Public status is listed as prototype, and it is positioned for workplace assistance, light logistics, education.</t>
        </is>
      </c>
      <c r="N42" s="157" t="inlineStr">
        <is>
          <t>https://humanoid.guide/product/yogi/</t>
        </is>
      </c>
      <c r="O42" s="157" t="inlineStr">
        <is>
          <t>https://www.cartwheelrobotics.com/</t>
        </is>
      </c>
      <c r="P42" s="152" t="inlineStr">
        <is>
          <t>4 ft 11 in</t>
        </is>
      </c>
      <c r="Q42" s="152" t="n">
        <v>150</v>
      </c>
      <c r="R42" s="152" t="n">
        <v>103.6</v>
      </c>
      <c r="S42" s="152" t="n">
        <v>47</v>
      </c>
      <c r="T42" s="156" t="inlineStr">
        <is>
          <t>Not disclosed</t>
        </is>
      </c>
      <c r="U42" s="152" t="inlineStr">
        <is>
          <t>160×60×50 cm</t>
        </is>
      </c>
      <c r="V42" s="152" t="inlineStr">
        <is>
          <t>36</t>
        </is>
      </c>
      <c r="W42" s="156" t="inlineStr">
        <is>
          <t>10</t>
        </is>
      </c>
      <c r="X42" s="152" t="n">
        <v>33.1</v>
      </c>
      <c r="Y42" s="152" t="n">
        <v>15</v>
      </c>
      <c r="Z42" s="152" t="n">
        <v>3.73</v>
      </c>
      <c r="AA42" s="152" t="n">
        <v>6</v>
      </c>
      <c r="AB42" s="152" t="n">
        <v>4</v>
      </c>
      <c r="AC42" s="156" t="inlineStr">
        <is>
          <t>≈ 3 hours</t>
        </is>
      </c>
      <c r="AD42" s="156" t="inlineStr">
        <is>
          <t>3</t>
        </is>
      </c>
      <c r="AE42" s="152" t="n"/>
      <c r="AF42" s="152" t="inlineStr">
        <is>
          <t>Not disclosed</t>
        </is>
      </c>
      <c r="AG42" s="156" t="inlineStr">
        <is>
          <t>5 per hand</t>
        </is>
      </c>
      <c r="AH42" s="152" t="inlineStr">
        <is>
          <t>5 per hand</t>
        </is>
      </c>
      <c r="AI42" s="151" t="n">
        <v>3</v>
      </c>
      <c r="AJ42" s="156" t="inlineStr">
        <is>
          <t>4K depth + stereo vision</t>
        </is>
      </c>
      <c r="AK42" s="156" t="inlineStr">
        <is>
          <t>4K depth + stereo vision</t>
        </is>
      </c>
      <c r="AL42" s="152" t="inlineStr">
        <is>
          <t>Not disclosed</t>
        </is>
      </c>
      <c r="AM42" s="152" t="n"/>
      <c r="AN42" s="152" t="inlineStr">
        <is>
          <t>Not disclosed</t>
        </is>
      </c>
      <c r="AO42" s="152" t="inlineStr">
        <is>
          <t>Not disclosed</t>
        </is>
      </c>
      <c r="AP42" s="152" t="inlineStr">
        <is>
          <t>Not disclosed</t>
        </is>
      </c>
      <c r="AQ42" s="152" t="inlineStr">
        <is>
          <t>Not disclosed</t>
        </is>
      </c>
      <c r="AR42" s="152" t="n"/>
      <c r="AS42" s="152" t="n"/>
      <c r="AT42" s="156" t="inlineStr">
        <is>
          <t>Edge AI module with NVIDIA Jetson-class GPU</t>
        </is>
      </c>
      <c r="AU42" s="156" t="inlineStr">
        <is>
          <t>Wi-Fi, Bluetooth, 5G</t>
        </is>
      </c>
      <c r="AV42" s="152" t="inlineStr">
        <is>
          <t>Not disclosed</t>
        </is>
      </c>
      <c r="AW42" s="156" t="inlineStr">
        <is>
          <t>Not disclosed</t>
        </is>
      </c>
      <c r="AX42" s="161" t="n">
        <v>4</v>
      </c>
      <c r="AY42" s="156" t="inlineStr">
        <is>
          <t>Linux (ROS2-based)</t>
        </is>
      </c>
      <c r="AZ42" s="156" t="inlineStr">
        <is>
          <t>Yes</t>
        </is>
      </c>
      <c r="BA42" s="156" t="inlineStr">
        <is>
          <t>350 ms</t>
        </is>
      </c>
      <c r="BB42" s="156" t="inlineStr">
        <is>
          <t>Brushless servo motors</t>
        </is>
      </c>
      <c r="BC42" s="156" t="inlineStr">
        <is>
          <t>Harmonic Drive</t>
        </is>
      </c>
      <c r="BD42" s="152" t="inlineStr">
        <is>
          <t>Aluminum + polymer shell</t>
        </is>
      </c>
      <c r="BE42" s="152" t="inlineStr">
        <is>
          <t>IP42</t>
        </is>
      </c>
      <c r="BF42" s="152" t="inlineStr">
        <is>
          <t>IP42</t>
        </is>
      </c>
      <c r="BG42" s="152" t="n"/>
      <c r="BH42" s="152" t="n"/>
      <c r="BI42" s="152" t="n"/>
      <c r="BJ42" s="152" t="n"/>
      <c r="BK42" s="152" t="n"/>
      <c r="BL42" s="152" t="n"/>
      <c r="BM42" s="152" t="inlineStr">
        <is>
          <t>Yes</t>
        </is>
      </c>
      <c r="BN42" s="152" t="inlineStr">
        <is>
          <t>Not disclosed</t>
        </is>
      </c>
      <c r="BO42" s="156" t="inlineStr">
        <is>
          <t>Market: Workplace assistance, light logistics, education · Manipulation 3/4 · Navigation 4/4 · Human-safe: Yes · AI: Yes · Actuation: Brushless servo motors · Peak 6 km/h · Walk 4 km/h · Runtime 3</t>
        </is>
      </c>
      <c r="BP42" s="152" t="n"/>
      <c r="BQ42" s="156" t="inlineStr">
        <is>
          <t>Workplace assistance, light logistics, education</t>
        </is>
      </c>
      <c r="BR42" s="156" t="inlineStr">
        <is>
          <t>Prototype</t>
        </is>
      </c>
      <c r="BS42" s="156" t="inlineStr">
        <is>
          <t>Prototype</t>
        </is>
      </c>
      <c r="BT42" s="152" t="inlineStr">
        <is>
          <t>White</t>
        </is>
      </c>
      <c r="BU42" s="152" t="inlineStr">
        <is>
          <t>Not verified</t>
        </is>
      </c>
      <c r="BV42" s="156" t="n"/>
      <c r="BW42" s="156" t="inlineStr">
        <is>
          <t>Origin &amp; status — USA · Prototype · 2026 | Manipulation — 5 per hand · 5 per hand fingers · Hand DOF 10 · Payload 33.1 lb | Sensing &amp; software — 4K depth + stereo vision · Yes · Linux (ROS2-based) | Buying notes — From $85,000 · 12 months manufacturer standard (typical research/commercial humanoid) · Best fit: Workplace assistance, light logistics, education</t>
        </is>
      </c>
      <c r="BX42" s="156" t="inlineStr">
        <is>
          <t>as_shipped|Yogi|85000|As shipped</t>
        </is>
      </c>
      <c r="BY42" s="152" t="inlineStr">
        <is>
          <t>white|White|#e2e8f0|0</t>
        </is>
      </c>
      <c r="BZ42" s="152" t="inlineStr"/>
      <c r="CA42" s="156" t="n"/>
      <c r="CB42" s="156" t="inlineStr">
        <is>
          <t>12 months manufacturer standard (typical research/commercial humanoid)</t>
        </is>
      </c>
      <c r="CC42" s="154" t="n">
        <v>12</v>
      </c>
      <c r="CD42" s="156" t="inlineStr">
        <is>
          <t>+3 Year Extended ≈24% of configuration (default in configurator)</t>
        </is>
      </c>
      <c r="CE42" s="152" t="inlineStr">
        <is>
          <t>Humanoid category norm 2025–2026</t>
        </is>
      </c>
      <c r="CF42" s="152" t="inlineStr">
        <is>
          <t>Estimated</t>
        </is>
      </c>
      <c r="CG42" s="156" t="inlineStr">
        <is>
          <t>Confirm on formal OEM quote. EDU or enterprise packages may differ.</t>
        </is>
      </c>
      <c r="CH42" s="152" t="inlineStr">
        <is>
          <t>10%</t>
        </is>
      </c>
      <c r="CI42" s="152" t="inlineStr">
        <is>
          <t>17%</t>
        </is>
      </c>
      <c r="CJ42" s="152" t="inlineStr">
        <is>
          <t>24%</t>
        </is>
      </c>
      <c r="CK42" s="156" t="inlineStr">
        <is>
          <t>+1yr ≈10% | +2yr ≈17% | +3yr ≈24% of selected configuration price (parts &amp; labor beyond manufacturer standard).</t>
        </is>
      </c>
      <c r="CL42"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42" s="152" t="inlineStr">
        <is>
          <t>12 months manufacturer standard (typical research/commercial humanoid)</t>
        </is>
      </c>
      <c r="CQ42" s="101" t="inlineStr">
        <is>
          <t>Height: 4 ft 11 in | Weight: 103.6 | Degrees of Freedom: 36 | Payload: 33.1 | Max Speed: 3.73 | Battery / Runtime: ≈ 3 hours</t>
        </is>
      </c>
    </row>
    <row r="43" ht="31.5" customHeight="1" s="102">
      <c r="A43" s="145" t="inlineStr">
        <is>
          <t>casbot_beijing_zhongke_huiling_robotics_technolo</t>
        </is>
      </c>
      <c r="B43" s="153" t="inlineStr">
        <is>
          <t>Humanoid.guide</t>
        </is>
      </c>
      <c r="C43" s="145" t="inlineStr">
        <is>
          <t>CASBOT / Beijing Zhongke Huiling Robotics Technology Co., Ltd.</t>
        </is>
      </c>
      <c r="D43" s="145" t="inlineStr">
        <is>
          <t>CASBOT 02</t>
        </is>
      </c>
      <c r="E43" s="145" t="inlineStr">
        <is>
          <t>[CASBOT / Beijing Zhongke Huiling Robotics Technology Co., Ltd.] CASBOT 02 (2026)</t>
        </is>
      </c>
      <c r="F43" s="146" t="inlineStr">
        <is>
          <t>humanoid</t>
        </is>
      </c>
      <c r="G43" s="145" t="inlineStr">
        <is>
          <t>China</t>
        </is>
      </c>
      <c r="H43" s="145" t="n"/>
      <c r="I43" s="148" t="n">
        <v>63500</v>
      </c>
      <c r="J43" s="145" t="inlineStr">
        <is>
          <t>Humanoid.guide list</t>
        </is>
      </c>
      <c r="K43" s="149" t="inlineStr">
        <is>
          <t>CASBOT 02 is a full-size bipedal humanoid robot designed for interactive service and human-robot engagement in public and commercial spaces.</t>
        </is>
      </c>
      <c r="L43" s="101" t="inlineStr">
        <is>
          <t>CASBOT 02 is a full-size bipedal humanoid robot designed for interactive service and human-robot engagement in public and commercial spaces.</t>
        </is>
      </c>
      <c r="M43" s="101" t="inlineStr">
        <is>
          <t>CASBOT 02 is a full-size bipedal humanoid robot designed for interactive service and human-robot engagement in public and commercial spaces. Public status is listed as early commercial / production with lead times (subject to availability), and it is positioned for education; exhibitions; Interactive service; retail.</t>
        </is>
      </c>
      <c r="N43" s="150" t="inlineStr">
        <is>
          <t>https://humanoid.guide/product/casbot-02/</t>
        </is>
      </c>
      <c r="O43" s="150" t="inlineStr">
        <is>
          <t>https://www.casbot.com</t>
        </is>
      </c>
      <c r="P43" s="145" t="inlineStr">
        <is>
          <t>5 ft 4 in</t>
        </is>
      </c>
      <c r="Q43" s="145" t="n">
        <v>163</v>
      </c>
      <c r="R43" s="145" t="n">
        <v>110.2</v>
      </c>
      <c r="S43" s="145" t="n">
        <v>50</v>
      </c>
      <c r="T43" s="149" t="inlineStr">
        <is>
          <t>Not disclosed</t>
        </is>
      </c>
      <c r="U43" s="145" t="n"/>
      <c r="V43" s="145" t="inlineStr">
        <is>
          <t>25</t>
        </is>
      </c>
      <c r="W43" s="149" t="inlineStr">
        <is>
          <t>11 DOF per hand (6 active) with dexterous hand option</t>
        </is>
      </c>
      <c r="X43" s="145" t="n">
        <v>8.800000000000001</v>
      </c>
      <c r="Y43" s="145" t="n">
        <v>4</v>
      </c>
      <c r="Z43" s="145" t="n">
        <v>3.73</v>
      </c>
      <c r="AA43" s="145" t="n">
        <v>6</v>
      </c>
      <c r="AB43" s="145" t="n">
        <v>4</v>
      </c>
      <c r="AC43" s="149" t="inlineStr">
        <is>
          <t>~1.5–2</t>
        </is>
      </c>
      <c r="AD43" s="149" t="inlineStr">
        <is>
          <t>~1.5–2</t>
        </is>
      </c>
      <c r="AE43" s="145" t="n"/>
      <c r="AF43" s="145" t="inlineStr">
        <is>
          <t>Not disclosed</t>
        </is>
      </c>
      <c r="AG43" s="149" t="inlineStr">
        <is>
          <t>5 per hand</t>
        </is>
      </c>
      <c r="AH43" s="145" t="inlineStr">
        <is>
          <t>5 per hand</t>
        </is>
      </c>
      <c r="AI43" s="145" t="n"/>
      <c r="AJ43" s="149" t="inlineStr">
        <is>
          <t>RGB-D + stereo + fisheye camera combos (multi-sensor suite)</t>
        </is>
      </c>
      <c r="AK43" s="149" t="inlineStr">
        <is>
          <t>RGB-D + stereo + fisheye camera combos (multi-sensor suite)</t>
        </is>
      </c>
      <c r="AL43" s="145" t="inlineStr">
        <is>
          <t>Not disclosed</t>
        </is>
      </c>
      <c r="AM43" s="145" t="n"/>
      <c r="AN43" s="145" t="inlineStr">
        <is>
          <t>Not disclosed</t>
        </is>
      </c>
      <c r="AO43" s="145" t="inlineStr">
        <is>
          <t>Not disclosed</t>
        </is>
      </c>
      <c r="AP43" s="145" t="inlineStr">
        <is>
          <t>Not disclosed</t>
        </is>
      </c>
      <c r="AQ43" s="145" t="inlineStr">
        <is>
          <t>Not disclosed</t>
        </is>
      </c>
      <c r="AR43" s="145" t="n"/>
      <c r="AS43" s="145" t="n"/>
      <c r="AT43" s="149" t="inlineStr">
        <is>
          <t>NVIDIA Orin AGX + RK3588 (275 TOPS compute)</t>
        </is>
      </c>
      <c r="AU43" s="149" t="inlineStr">
        <is>
          <t>4G; Bluetooth 5.2; Wi-Fi 6</t>
        </is>
      </c>
      <c r="AV43" s="145" t="inlineStr">
        <is>
          <t>Not disclosed</t>
        </is>
      </c>
      <c r="AW43" s="149" t="inlineStr">
        <is>
          <t>Not disclosed</t>
        </is>
      </c>
      <c r="AX43" s="145" t="n"/>
      <c r="AY43" s="149" t="inlineStr">
        <is>
          <t>ROS compatible with proprietary control stack</t>
        </is>
      </c>
      <c r="AZ43" s="149" t="inlineStr">
        <is>
          <t>Possible via ROS and external AI</t>
        </is>
      </c>
      <c r="BA43" s="149" t="inlineStr">
        <is>
          <t>Estimated &amp;lt;100 ms</t>
        </is>
      </c>
      <c r="BB43" s="149" t="inlineStr">
        <is>
          <t>Electric actuators</t>
        </is>
      </c>
      <c r="BC43" s="149" t="inlineStr">
        <is>
          <t>High-precision humanoid joints</t>
        </is>
      </c>
      <c r="BD43" s="145" t="inlineStr">
        <is>
          <t>Lightweight metal frame + composites</t>
        </is>
      </c>
      <c r="BE43" s="145" t="inlineStr">
        <is>
          <t>IP20</t>
        </is>
      </c>
      <c r="BF43" s="145" t="inlineStr">
        <is>
          <t>Indoor class (assumed IP20–IP54)</t>
        </is>
      </c>
      <c r="BG43" s="145" t="n"/>
      <c r="BH43" s="145" t="n"/>
      <c r="BI43" s="145" t="n"/>
      <c r="BJ43" s="145" t="n"/>
      <c r="BK43" s="145" t="n"/>
      <c r="BL43" s="145" t="n"/>
      <c r="BM43" s="145" t="inlineStr">
        <is>
          <t>Yes</t>
        </is>
      </c>
      <c r="BN43" s="145" t="inlineStr">
        <is>
          <t>Not disclosed</t>
        </is>
      </c>
      <c r="BO43" s="149" t="inlineStr">
        <is>
          <t>Market: education; exhibitions; Interactive service; retail · Human-safe: Yes · AI: Possible via ROS and external AI · Actuation: Electric actuators · Peak 6 km/h · Walk 4 km/h · Runtime ~1.5–2</t>
        </is>
      </c>
      <c r="BP43" s="145" t="n"/>
      <c r="BQ43" s="149" t="inlineStr">
        <is>
          <t>education; exhibitions; Interactive service; retail</t>
        </is>
      </c>
      <c r="BR43" s="149" t="inlineStr">
        <is>
          <t>Early commercial / production with lead times (subject to availability)</t>
        </is>
      </c>
      <c r="BS43" s="149" t="inlineStr">
        <is>
          <t>Early commercial / production with lead times (subject to availability)</t>
        </is>
      </c>
      <c r="BT43" s="145" t="inlineStr">
        <is>
          <t>Silver</t>
        </is>
      </c>
      <c r="BU43" s="145" t="inlineStr">
        <is>
          <t>Not verified</t>
        </is>
      </c>
      <c r="BV43" s="149" t="n"/>
      <c r="BW43" s="149" t="inlineStr">
        <is>
          <t>Origin &amp; status — China · Early commercial / production with lead times (subject to availability) · 2026 | Manipulation — 5 per hand · 5 per hand fingers · Hand DOF 11 DOF per hand (6 active) with dexterous hand option · Payload 8.8 lb | Sensing &amp; software — RGB-D + stereo + fisheye camera combos (multi-sensor suite) · Possible via ROS and external AI · ROS compatible with proprietary control stack | Buying notes — From $63,500 · 12 months manufacturer standard (typical research/commercial humanoid) · Best fit: education</t>
        </is>
      </c>
      <c r="BX43" s="149" t="inlineStr">
        <is>
          <t>as_shipped|CASBOT 02|63500|As shipped</t>
        </is>
      </c>
      <c r="BY43" s="145" t="inlineStr">
        <is>
          <t>silver|Silver|#e2e8f0|0</t>
        </is>
      </c>
      <c r="BZ43" s="145" t="inlineStr"/>
      <c r="CA43" s="149" t="n"/>
      <c r="CB43" s="149" t="inlineStr">
        <is>
          <t>12 months manufacturer standard (typical research/commercial humanoid)</t>
        </is>
      </c>
      <c r="CC43" s="147" t="n">
        <v>12</v>
      </c>
      <c r="CD43" s="149" t="inlineStr">
        <is>
          <t>+3 Year Extended ≈24% of configuration (default in configurator)</t>
        </is>
      </c>
      <c r="CE43" s="145" t="inlineStr">
        <is>
          <t>Humanoid category norm 2025–2026</t>
        </is>
      </c>
      <c r="CF43" s="145" t="inlineStr">
        <is>
          <t>Estimated</t>
        </is>
      </c>
      <c r="CG43" s="149" t="inlineStr">
        <is>
          <t>Confirm on formal OEM quote. EDU or enterprise packages may differ.</t>
        </is>
      </c>
      <c r="CH43" s="145" t="inlineStr">
        <is>
          <t>10%</t>
        </is>
      </c>
      <c r="CI43" s="145" t="inlineStr">
        <is>
          <t>17%</t>
        </is>
      </c>
      <c r="CJ43" s="145" t="inlineStr">
        <is>
          <t>24%</t>
        </is>
      </c>
      <c r="CK43" s="149" t="inlineStr">
        <is>
          <t>+1yr ≈10% | +2yr ≈17% | +3yr ≈24% of selected configuration price (parts &amp; labor beyond manufacturer standard).</t>
        </is>
      </c>
      <c r="CL43"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43" s="145" t="inlineStr">
        <is>
          <t>12 months manufacturer standard (typical research/commercial humanoid)</t>
        </is>
      </c>
      <c r="CN43" s="203" t="inlineStr">
        <is>
          <t>https://aixzd.com/robot/casbot-02</t>
        </is>
      </c>
      <c r="CQ43" s="101" t="inlineStr">
        <is>
          <t>Height: 5 ft 4 in | Weight: 110.2 | Degrees of Freedom: 25 | Payload: 8.8 | Max Speed: 3.73 | Battery / Runtime: ~1.5–2</t>
        </is>
      </c>
    </row>
    <row r="44" ht="31.5" customHeight="1" s="102">
      <c r="A44" s="152" t="inlineStr">
        <is>
          <t>casbot_beijing_zhongke_huiling_robotics_technolo_2</t>
        </is>
      </c>
      <c r="B44" s="153" t="inlineStr">
        <is>
          <t>Humanoid.guide</t>
        </is>
      </c>
      <c r="C44" s="152" t="inlineStr">
        <is>
          <t>CASBOT / Beijing Zhongke Huiling Robotics Technology Co., Ltd.</t>
        </is>
      </c>
      <c r="D44" s="152" t="inlineStr">
        <is>
          <t>CASBOT W1</t>
        </is>
      </c>
      <c r="E44" s="152" t="inlineStr">
        <is>
          <t>[CASBOT / Beijing Zhongke Huiling Robotics Technology Co., Ltd.] CASBOT W1 (2026)</t>
        </is>
      </c>
      <c r="F44" s="146" t="inlineStr">
        <is>
          <t>humanoid</t>
        </is>
      </c>
      <c r="G44" s="152" t="inlineStr">
        <is>
          <t>China</t>
        </is>
      </c>
      <c r="H44" s="152" t="n"/>
      <c r="I44" s="155" t="n">
        <v>67700</v>
      </c>
      <c r="J44" s="152" t="inlineStr">
        <is>
          <t>Humanoid.guide list</t>
        </is>
      </c>
      <c r="K44" s="156" t="inlineStr">
        <is>
          <t>CASBOT W1 is a wheeled humanoid robot platform that blends mobile navigation with dual-arm manipulation for embodied AI tasks in logistics, retail, and manufacturing workflows.</t>
        </is>
      </c>
      <c r="L44" s="101" t="inlineStr">
        <is>
          <t>CASBOT W1 is a wheeled humanoid robot platform that blends mobile navigation with dual-arm manipulation for embodied AI tasks in logistics, retail, and manufacturing workflows.</t>
        </is>
      </c>
      <c r="M44" s="101" t="inlineStr">
        <is>
          <t>CASBOT W1 is a wheeled humanoid robot platform that blends mobile navigation with dual-arm manipulation for embodied AI tasks in logistics, retail, and manufacturing workflows. Public status is listed as in production, and it is positioned for industrial automation; logistics; Research; retail.</t>
        </is>
      </c>
      <c r="N44" s="157" t="inlineStr">
        <is>
          <t>https://humanoid.guide/product/casbot-w1/</t>
        </is>
      </c>
      <c r="O44" s="157" t="inlineStr">
        <is>
          <t>https://www.casbot.com</t>
        </is>
      </c>
      <c r="P44" s="152" t="inlineStr">
        <is>
          <t>3 ft 8 in</t>
        </is>
      </c>
      <c r="Q44" s="152" t="n">
        <v>112</v>
      </c>
      <c r="R44" s="152" t="n">
        <v>573.2</v>
      </c>
      <c r="S44" s="152" t="n">
        <v>260</v>
      </c>
      <c r="T44" s="156" t="inlineStr">
        <is>
          <t>Not disclosed</t>
        </is>
      </c>
      <c r="U44" s="152" t="n"/>
      <c r="V44" s="152" t="inlineStr">
        <is>
          <t>20</t>
        </is>
      </c>
      <c r="W44" s="156" t="inlineStr">
        <is>
          <t>7 per arm</t>
        </is>
      </c>
      <c r="X44" s="152" t="n">
        <v>22</v>
      </c>
      <c r="Y44" s="152" t="n">
        <v>10</v>
      </c>
      <c r="Z44" s="152" t="n">
        <v>2.67</v>
      </c>
      <c r="AA44" s="152" t="n">
        <v>4.3</v>
      </c>
      <c r="AB44" s="152" t="n"/>
      <c r="AC44" s="156" t="inlineStr">
        <is>
          <t>~4–5</t>
        </is>
      </c>
      <c r="AD44" s="156" t="inlineStr">
        <is>
          <t>~4–5</t>
        </is>
      </c>
      <c r="AE44" s="152" t="n"/>
      <c r="AF44" s="152" t="inlineStr">
        <is>
          <t>Not disclosed</t>
        </is>
      </c>
      <c r="AG44" s="156" t="inlineStr">
        <is>
          <t>3-finger grippers</t>
        </is>
      </c>
      <c r="AH44" s="152" t="inlineStr">
        <is>
          <t>3-finger grippers</t>
        </is>
      </c>
      <c r="AI44" s="152" t="n"/>
      <c r="AJ44" s="156" t="inlineStr">
        <is>
          <t>RGB-D structured light units + stereo vision</t>
        </is>
      </c>
      <c r="AK44" s="156" t="inlineStr">
        <is>
          <t>RGB-D structured light units + stereo vision</t>
        </is>
      </c>
      <c r="AL44" s="152" t="inlineStr">
        <is>
          <t>Not disclosed</t>
        </is>
      </c>
      <c r="AM44" s="152" t="n"/>
      <c r="AN44" s="152" t="inlineStr">
        <is>
          <t>Not disclosed</t>
        </is>
      </c>
      <c r="AO44" s="152" t="inlineStr">
        <is>
          <t>Not disclosed</t>
        </is>
      </c>
      <c r="AP44" s="152" t="inlineStr">
        <is>
          <t>Not disclosed</t>
        </is>
      </c>
      <c r="AQ44" s="152" t="inlineStr">
        <is>
          <t>Not disclosed</t>
        </is>
      </c>
      <c r="AR44" s="152" t="n"/>
      <c r="AS44" s="152" t="n"/>
      <c r="AT44" s="156" t="inlineStr">
        <is>
          <t>Industrial PC (i9 CPU + NVIDIA 4060 GPU)</t>
        </is>
      </c>
      <c r="AU44" s="156" t="inlineStr">
        <is>
          <t>4G; Bluetooth 5.2; Ethernet; Wi-Fi 6</t>
        </is>
      </c>
      <c r="AV44" s="152" t="inlineStr">
        <is>
          <t>Not disclosed</t>
        </is>
      </c>
      <c r="AW44" s="156" t="inlineStr">
        <is>
          <t>Not disclosed</t>
        </is>
      </c>
      <c r="AX44" s="152" t="n"/>
      <c r="AY44" s="156" t="inlineStr">
        <is>
          <t>ROS-compatible with proprietary robotics stack</t>
        </is>
      </c>
      <c r="AZ44" s="156" t="inlineStr">
        <is>
          <t>Not explicitly published, but VLA-style instruction models are referenced in coverage</t>
        </is>
      </c>
      <c r="BA44" s="156" t="inlineStr">
        <is>
          <t>Estimated &amp;lt;100 ms</t>
        </is>
      </c>
      <c r="BB44" s="156" t="inlineStr">
        <is>
          <t>Industrial electric servos</t>
        </is>
      </c>
      <c r="BC44" s="156" t="inlineStr">
        <is>
          <t>High-precision reduction gears</t>
        </is>
      </c>
      <c r="BD44" s="152" t="inlineStr">
        <is>
          <t>Alloy + engineering plastics</t>
        </is>
      </c>
      <c r="BE44" s="152" t="inlineStr">
        <is>
          <t>IP20</t>
        </is>
      </c>
      <c r="BF44" s="152" t="inlineStr">
        <is>
          <t>Indoor class (assumed IP20–IP54)</t>
        </is>
      </c>
      <c r="BG44" s="152" t="n"/>
      <c r="BH44" s="152" t="n"/>
      <c r="BI44" s="152" t="n"/>
      <c r="BJ44" s="152" t="n"/>
      <c r="BK44" s="152" t="n"/>
      <c r="BL44" s="152" t="n"/>
      <c r="BM44" s="152" t="inlineStr">
        <is>
          <t>Yes</t>
        </is>
      </c>
      <c r="BN44" s="152" t="inlineStr">
        <is>
          <t>Not disclosed</t>
        </is>
      </c>
      <c r="BO44" s="156" t="inlineStr">
        <is>
          <t>Market: Industrial automation; logistics; Research; retail · Human-safe: Yes · AI: Not explicitly published, but VLA-style instruction models are referenced in coverage · Actuation: Industrial electric servos · Peak 4.3 km/h · Runtime ~4–5</t>
        </is>
      </c>
      <c r="BP44" s="152" t="n"/>
      <c r="BQ44" s="156" t="inlineStr">
        <is>
          <t>Industrial automation; logistics; Research; retail</t>
        </is>
      </c>
      <c r="BR44" s="156" t="inlineStr">
        <is>
          <t>In production</t>
        </is>
      </c>
      <c r="BS44" s="156" t="inlineStr">
        <is>
          <t>In production</t>
        </is>
      </c>
      <c r="BT44" s="152" t="inlineStr">
        <is>
          <t>Industrial gray/white</t>
        </is>
      </c>
      <c r="BU44" s="152" t="inlineStr">
        <is>
          <t>Not verified</t>
        </is>
      </c>
      <c r="BV44" s="156" t="n"/>
      <c r="BW44" s="156" t="inlineStr">
        <is>
          <t>Origin &amp; status — China · In production · 2026 | Manipulation — 3-finger grippers · Hand DOF 7 per arm · Payload 22 lb | Sensing &amp; software — RGB-D structured light units + stereo vision · Not explicitly published, but VLA-style instruction models are referenced in coverage · ROS-compatible with p… | Buying notes — From $67,700 · 12 months manufacturer standard (typical research/commercial humanoid) · Best fit: Industrial automation</t>
        </is>
      </c>
      <c r="BX44" s="156" t="inlineStr">
        <is>
          <t>as_shipped|CASBOT W1|67700|As shipped</t>
        </is>
      </c>
      <c r="BY44" s="152" t="inlineStr">
        <is>
          <t>industrial_gray|Industrial gray|#e2e8f0|0 || white|white|#1e293b|0</t>
        </is>
      </c>
      <c r="BZ44" s="152" t="inlineStr"/>
      <c r="CA44" s="156" t="n"/>
      <c r="CB44" s="156" t="inlineStr">
        <is>
          <t>12 months manufacturer standard (typical research/commercial humanoid)</t>
        </is>
      </c>
      <c r="CC44" s="154" t="n">
        <v>12</v>
      </c>
      <c r="CD44" s="156" t="inlineStr">
        <is>
          <t>+3 Year Extended ≈24% of configuration (default in configurator)</t>
        </is>
      </c>
      <c r="CE44" s="152" t="inlineStr">
        <is>
          <t>Humanoid category norm 2025–2026</t>
        </is>
      </c>
      <c r="CF44" s="152" t="inlineStr">
        <is>
          <t>Estimated</t>
        </is>
      </c>
      <c r="CG44" s="156" t="inlineStr">
        <is>
          <t>Confirm on formal OEM quote. EDU or enterprise packages may differ.</t>
        </is>
      </c>
      <c r="CH44" s="152" t="inlineStr">
        <is>
          <t>10%</t>
        </is>
      </c>
      <c r="CI44" s="152" t="inlineStr">
        <is>
          <t>17%</t>
        </is>
      </c>
      <c r="CJ44" s="152" t="inlineStr">
        <is>
          <t>24%</t>
        </is>
      </c>
      <c r="CK44" s="156" t="inlineStr">
        <is>
          <t>+1yr ≈10% | +2yr ≈17% | +3yr ≈24% of selected configuration price (parts &amp; labor beyond manufacturer standard).</t>
        </is>
      </c>
      <c r="CL44"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44" s="152" t="inlineStr">
        <is>
          <t>12 months manufacturer standard (typical research/commercial humanoid)</t>
        </is>
      </c>
      <c r="CN44" s="203" t="inlineStr">
        <is>
          <t>https://aixzd.com/robot/casbot-w1</t>
        </is>
      </c>
      <c r="CQ44" s="101" t="inlineStr">
        <is>
          <t>Height: 3 ft 8 in | Weight: 573.2 | Degrees of Freedom: 20 | Payload: 22 | Max Speed: 2.67 | Battery / Runtime: ~4–5</t>
        </is>
      </c>
    </row>
    <row r="45" ht="31.5" customHeight="1" s="102">
      <c r="A45" s="145" t="inlineStr">
        <is>
          <t>casivision_casivibot</t>
        </is>
      </c>
      <c r="B45" s="153" t="inlineStr">
        <is>
          <t>Humanoid.guide</t>
        </is>
      </c>
      <c r="C45" s="145" t="inlineStr">
        <is>
          <t>CasiVision</t>
        </is>
      </c>
      <c r="D45" s="145" t="inlineStr">
        <is>
          <t>CASIVIBOT</t>
        </is>
      </c>
      <c r="E45" s="145" t="inlineStr">
        <is>
          <t>[CasiVision] CASIVIBOT (2026)</t>
        </is>
      </c>
      <c r="F45" s="146" t="inlineStr">
        <is>
          <t>humanoid</t>
        </is>
      </c>
      <c r="G45" s="145" t="inlineStr">
        <is>
          <t>China</t>
        </is>
      </c>
      <c r="H45" s="145" t="n"/>
      <c r="I45" s="148" t="n">
        <v>29000</v>
      </c>
      <c r="J45" s="145" t="inlineStr">
        <is>
          <t>Humanoid.guide list</t>
        </is>
      </c>
      <c r="K45" s="149" t="inlineStr">
        <is>
          <t>CASIVIBOT is a compact humanoid service robot designed for smooth interaction, reliable support tasks, and safe operation in indoor environments.</t>
        </is>
      </c>
      <c r="L45" s="101" t="inlineStr">
        <is>
          <t>CASIVIBOT is a compact humanoid service robot designed for smooth interaction, reliable support tasks, and safe operation in indoor environments.</t>
        </is>
      </c>
      <c r="M45" s="101" t="inlineStr">
        <is>
          <t>CASIVIBOT is a compact humanoid service robot designed for smooth interaction, reliable support tasks, and safe operation in indoor environments. Public status is listed as in production, and it is positioned for healthcare; Hospitality; Industrial &amp; commercial service; research labs.</t>
        </is>
      </c>
      <c r="N45" s="150" t="inlineStr">
        <is>
          <t>https://humanoid.guide/product/casivibot/</t>
        </is>
      </c>
      <c r="O45" s="150" t="inlineStr">
        <is>
          <t>https://en.zhongkehuiyuan.com/</t>
        </is>
      </c>
      <c r="P45" s="145" t="inlineStr">
        <is>
          <t>4 ft 7 in</t>
        </is>
      </c>
      <c r="Q45" s="145" t="n">
        <v>140</v>
      </c>
      <c r="R45" s="145" t="n">
        <v>121.3</v>
      </c>
      <c r="S45" s="145" t="n">
        <v>55</v>
      </c>
      <c r="T45" s="149" t="inlineStr">
        <is>
          <t>Not disclosed</t>
        </is>
      </c>
      <c r="U45" s="145" t="n"/>
      <c r="V45" s="145" t="inlineStr">
        <is>
          <t>14</t>
        </is>
      </c>
      <c r="W45" s="149" t="inlineStr">
        <is>
          <t>2–3 per gripper</t>
        </is>
      </c>
      <c r="X45" s="145" t="n">
        <v>22</v>
      </c>
      <c r="Y45" s="145" t="n">
        <v>10</v>
      </c>
      <c r="Z45" s="145" t="n">
        <v>2.17</v>
      </c>
      <c r="AA45" s="145" t="n">
        <v>3.5</v>
      </c>
      <c r="AB45" s="145" t="n"/>
      <c r="AC45" s="149" t="inlineStr">
        <is>
          <t>≈ 8 hours</t>
        </is>
      </c>
      <c r="AD45" s="149" t="inlineStr">
        <is>
          <t>8</t>
        </is>
      </c>
      <c r="AE45" s="145" t="n"/>
      <c r="AF45" s="145" t="inlineStr">
        <is>
          <t>Not disclosed</t>
        </is>
      </c>
      <c r="AG45" s="149" t="inlineStr">
        <is>
          <t>2-finger gripping claws</t>
        </is>
      </c>
      <c r="AH45" s="145" t="inlineStr">
        <is>
          <t>2-finger gripping claws</t>
        </is>
      </c>
      <c r="AI45" s="151" t="n">
        <v>3</v>
      </c>
      <c r="AJ45" s="149" t="inlineStr">
        <is>
          <t>Likely 1080p RGB + depth sensors</t>
        </is>
      </c>
      <c r="AK45" s="149" t="inlineStr">
        <is>
          <t>Likely 1080p RGB + depth sensors</t>
        </is>
      </c>
      <c r="AL45" s="145" t="inlineStr">
        <is>
          <t>Not disclosed</t>
        </is>
      </c>
      <c r="AM45" s="145" t="n"/>
      <c r="AN45" s="145" t="inlineStr">
        <is>
          <t>Not disclosed</t>
        </is>
      </c>
      <c r="AO45" s="145" t="inlineStr">
        <is>
          <t>Not disclosed</t>
        </is>
      </c>
      <c r="AP45" s="145" t="inlineStr">
        <is>
          <t>Not disclosed</t>
        </is>
      </c>
      <c r="AQ45" s="145" t="inlineStr">
        <is>
          <t>Not disclosed</t>
        </is>
      </c>
      <c r="AR45" s="145" t="n"/>
      <c r="AS45" s="145" t="n"/>
      <c r="AT45" s="149" t="inlineStr">
        <is>
          <t>Industrial CPU + embedded GPU (likely NVIDIA Jetson class)</t>
        </is>
      </c>
      <c r="AU45" s="149" t="inlineStr">
        <is>
          <t>Bluetooth; Ethernet; Wi‑Fi</t>
        </is>
      </c>
      <c r="AV45" s="145" t="inlineStr">
        <is>
          <t>Not disclosed</t>
        </is>
      </c>
      <c r="AW45" s="149" t="inlineStr">
        <is>
          <t>Not disclosed</t>
        </is>
      </c>
      <c r="AX45" s="151" t="n">
        <v>3</v>
      </c>
      <c r="AY45" s="149" t="inlineStr">
        <is>
          <t>Linux-based ROS environment</t>
        </is>
      </c>
      <c r="AZ45" s="149" t="inlineStr">
        <is>
          <t>Not disclosed</t>
        </is>
      </c>
      <c r="BA45" s="149" t="inlineStr">
        <is>
          <t>150–250 ms</t>
        </is>
      </c>
      <c r="BB45" s="149" t="inlineStr">
        <is>
          <t>Electric servo motors</t>
        </is>
      </c>
      <c r="BC45" s="149" t="inlineStr">
        <is>
          <t>Harmonic or planetary gears</t>
        </is>
      </c>
      <c r="BD45" s="145" t="inlineStr">
        <is>
          <t>ABS composite + light metal frame</t>
        </is>
      </c>
      <c r="BE45" s="145" t="inlineStr">
        <is>
          <t>IP20</t>
        </is>
      </c>
      <c r="BF45" s="145" t="inlineStr">
        <is>
          <t>IP20</t>
        </is>
      </c>
      <c r="BG45" s="145" t="n"/>
      <c r="BH45" s="145" t="n"/>
      <c r="BI45" s="145" t="n"/>
      <c r="BJ45" s="145" t="n"/>
      <c r="BK45" s="145" t="n"/>
      <c r="BL45" s="145" t="n"/>
      <c r="BM45" s="145" t="inlineStr">
        <is>
          <t>Yes</t>
        </is>
      </c>
      <c r="BN45" s="145" t="inlineStr">
        <is>
          <t>Not disclosed</t>
        </is>
      </c>
      <c r="BO45" s="149" t="inlineStr">
        <is>
          <t>Market: healthcare; Hospitality; Industrial &amp; commercial service; research labs · Manipulation 3/4 · Navigation 3/4 · Human-safe: Yes · AI: Not specified · Actuation: Electric servo motors · Peak 3.5 km/h · Runtime 8</t>
        </is>
      </c>
      <c r="BP45" s="145" t="n"/>
      <c r="BQ45" s="149" t="inlineStr">
        <is>
          <t>healthcare; Hospitality; Industrial &amp; commercial service; research labs</t>
        </is>
      </c>
      <c r="BR45" s="149" t="inlineStr">
        <is>
          <t>In production</t>
        </is>
      </c>
      <c r="BS45" s="149" t="inlineStr">
        <is>
          <t>In production</t>
        </is>
      </c>
      <c r="BT45" s="145" t="inlineStr">
        <is>
          <t>White, grey, and navy blue</t>
        </is>
      </c>
      <c r="BU45" s="145" t="inlineStr">
        <is>
          <t>Not verified</t>
        </is>
      </c>
      <c r="BV45" s="149" t="n"/>
      <c r="BW45" s="149" t="inlineStr">
        <is>
          <t>Origin &amp; status — China · In production · 2026 | Manipulation — 2-finger gripping claws · Hand DOF 2–3 per gripper · Payload 22 lb | Sensing &amp; software — Likely 1080p RGB + depth sensors · Linux-based ROS environment | Buying notes — From $29,000 · 12 months manufacturer standard (typical research/commercial humanoid) · Best fit: healthcare</t>
        </is>
      </c>
      <c r="BX45" s="149" t="inlineStr">
        <is>
          <t>as_shipped|CASIVIBOT|29000|As shipped</t>
        </is>
      </c>
      <c r="BY45" s="145" t="inlineStr">
        <is>
          <t>white|White|#e2e8f0|0 || grey|grey|#1e293b|0 || and_navy_blue|and navy blue|#0891b2|0</t>
        </is>
      </c>
      <c r="BZ45" s="145" t="inlineStr"/>
      <c r="CA45" s="149" t="n"/>
      <c r="CB45" s="149" t="inlineStr">
        <is>
          <t>12 months manufacturer standard (typical research/commercial humanoid)</t>
        </is>
      </c>
      <c r="CC45" s="147" t="n">
        <v>12</v>
      </c>
      <c r="CD45" s="149" t="inlineStr">
        <is>
          <t>+3 Year Extended ≈24% of configuration (default in configurator)</t>
        </is>
      </c>
      <c r="CE45" s="145" t="inlineStr">
        <is>
          <t>Humanoid category norm 2025–2026</t>
        </is>
      </c>
      <c r="CF45" s="145" t="inlineStr">
        <is>
          <t>Estimated</t>
        </is>
      </c>
      <c r="CG45" s="149" t="inlineStr">
        <is>
          <t>Confirm on formal OEM quote. EDU or enterprise packages may differ.</t>
        </is>
      </c>
      <c r="CH45" s="145" t="inlineStr">
        <is>
          <t>10%</t>
        </is>
      </c>
      <c r="CI45" s="145" t="inlineStr">
        <is>
          <t>17%</t>
        </is>
      </c>
      <c r="CJ45" s="145" t="inlineStr">
        <is>
          <t>24%</t>
        </is>
      </c>
      <c r="CK45" s="149" t="inlineStr">
        <is>
          <t>+1yr ≈10% | +2yr ≈17% | +3yr ≈24% of selected configuration price (parts &amp; labor beyond manufacturer standard).</t>
        </is>
      </c>
      <c r="CL4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45" s="145" t="inlineStr">
        <is>
          <t>12 months manufacturer standard (typical research/commercial humanoid)</t>
        </is>
      </c>
      <c r="CQ45" s="101" t="inlineStr">
        <is>
          <t>Height: 4 ft 7 in | Weight: 121.3 | Degrees of Freedom: 14 | Payload: 22 | Max Speed: 2.17 | Battery / Runtime: ≈ 8 hours</t>
        </is>
      </c>
    </row>
    <row r="46" ht="31.5" customHeight="1" s="102">
      <c r="A46" s="152" t="inlineStr">
        <is>
          <t>clone_robotics_clone_alpha</t>
        </is>
      </c>
      <c r="B46" s="153" t="inlineStr">
        <is>
          <t>Humanoid.guide</t>
        </is>
      </c>
      <c r="C46" s="152" t="inlineStr">
        <is>
          <t>Clone Robotics</t>
        </is>
      </c>
      <c r="D46" s="152" t="inlineStr">
        <is>
          <t>Clone Alpha</t>
        </is>
      </c>
      <c r="E46" s="152" t="inlineStr">
        <is>
          <t>[Clone Robotics] Clone Alpha (2026)</t>
        </is>
      </c>
      <c r="F46" s="146" t="inlineStr">
        <is>
          <t>humanoid</t>
        </is>
      </c>
      <c r="G46" s="152" t="inlineStr">
        <is>
          <t>Poland</t>
        </is>
      </c>
      <c r="H46" s="152" t="n"/>
      <c r="I46" s="155" t="n">
        <v>100000</v>
      </c>
      <c r="J46" s="152" t="inlineStr">
        <is>
          <t>Humanoid.guide list</t>
        </is>
      </c>
      <c r="K46" s="156" t="inlineStr">
        <is>
          <t>Clone Alpha is Clone Robotics's humanoid — 5 ft 7 in class, 164 DOF, 44.1 lb payload. Aimed at research, commercial pilots, education, and professional deployment.</t>
        </is>
      </c>
      <c r="L46" s="101" t="inlineStr">
        <is>
          <t>Clone Alpha is Clone Robotics's humanoid — 5 ft 7 in class, 164 DOF, 44.1 lb payload. Aimed at research, commercial pilots, education, and professional deployment.</t>
        </is>
      </c>
      <c r="M46" s="101" t="inlineStr">
        <is>
          <t>Clone Alpha is Clone Robotics's humanoid — 5 ft 7 in class, 164 DOF, 44.1 lb payload. Aimed at research, commercial pilots, education, and professional deployment. Public status is listed as prototype.</t>
        </is>
      </c>
      <c r="N46" s="157" t="inlineStr">
        <is>
          <t>https://humanoid.guide/product/clone-alpha/</t>
        </is>
      </c>
      <c r="O46" s="152" t="inlineStr">
        <is>
          <t>https://clonerobotics.com</t>
        </is>
      </c>
      <c r="P46" s="152" t="inlineStr">
        <is>
          <t>5 ft 7 in</t>
        </is>
      </c>
      <c r="Q46" s="152" t="n">
        <v>170</v>
      </c>
      <c r="R46" s="152" t="n">
        <v>132.3</v>
      </c>
      <c r="S46" s="152" t="n">
        <v>60</v>
      </c>
      <c r="T46" s="156" t="inlineStr">
        <is>
          <t>Not disclosed</t>
        </is>
      </c>
      <c r="U46" s="152" t="n"/>
      <c r="V46" s="152" t="inlineStr">
        <is>
          <t>164</t>
        </is>
      </c>
      <c r="W46" s="156" t="inlineStr">
        <is>
          <t>Not disclosed</t>
        </is>
      </c>
      <c r="X46" s="152" t="n">
        <v>44.1</v>
      </c>
      <c r="Y46" s="152" t="n">
        <v>20</v>
      </c>
      <c r="Z46" s="152" t="n">
        <v>3.11</v>
      </c>
      <c r="AA46" s="152" t="n">
        <v>5</v>
      </c>
      <c r="AB46" s="152" t="n"/>
      <c r="AC46" s="156" t="inlineStr">
        <is>
          <t>≈ 1.5 hours</t>
        </is>
      </c>
      <c r="AD46" s="156" t="inlineStr">
        <is>
          <t>1.5</t>
        </is>
      </c>
      <c r="AE46" s="152" t="n"/>
      <c r="AF46" s="152" t="inlineStr">
        <is>
          <t>Not disclosed</t>
        </is>
      </c>
      <c r="AG46" s="156" t="inlineStr">
        <is>
          <t>Not disclosed</t>
        </is>
      </c>
      <c r="AH46" s="152" t="inlineStr">
        <is>
          <t>Not disclosed</t>
        </is>
      </c>
      <c r="AI46" s="158" t="n">
        <v>2</v>
      </c>
      <c r="AJ46" s="156" t="inlineStr">
        <is>
          <t>Not disclosed</t>
        </is>
      </c>
      <c r="AK46" s="156" t="n"/>
      <c r="AL46" s="152" t="inlineStr">
        <is>
          <t>Not disclosed</t>
        </is>
      </c>
      <c r="AM46" s="152" t="n"/>
      <c r="AN46" s="152" t="inlineStr">
        <is>
          <t>Not disclosed</t>
        </is>
      </c>
      <c r="AO46" s="152" t="inlineStr">
        <is>
          <t>Not disclosed</t>
        </is>
      </c>
      <c r="AP46" s="152" t="inlineStr">
        <is>
          <t>Not disclosed</t>
        </is>
      </c>
      <c r="AQ46" s="152" t="inlineStr">
        <is>
          <t>Not disclosed</t>
        </is>
      </c>
      <c r="AR46" s="152" t="n"/>
      <c r="AS46" s="152" t="n"/>
      <c r="AT46" s="156" t="inlineStr">
        <is>
          <t>Not disclosed</t>
        </is>
      </c>
      <c r="AU46" s="156" t="inlineStr">
        <is>
          <t>Not disclosed</t>
        </is>
      </c>
      <c r="AV46" s="152" t="inlineStr">
        <is>
          <t>Not disclosed</t>
        </is>
      </c>
      <c r="AW46" s="156" t="inlineStr">
        <is>
          <t>Not disclosed</t>
        </is>
      </c>
      <c r="AX46" s="158" t="n">
        <v>2</v>
      </c>
      <c r="AY46" s="156" t="inlineStr">
        <is>
          <t>Not disclosed</t>
        </is>
      </c>
      <c r="AZ46" s="156" t="inlineStr">
        <is>
          <t>Not disclosed</t>
        </is>
      </c>
      <c r="BA46" s="156" t="n"/>
      <c r="BB46" s="156" t="inlineStr">
        <is>
          <t>Not disclosed</t>
        </is>
      </c>
      <c r="BC46" s="156" t="inlineStr">
        <is>
          <t>Not disclosed</t>
        </is>
      </c>
      <c r="BD46" s="152" t="inlineStr">
        <is>
          <t>Not disclosed</t>
        </is>
      </c>
      <c r="BE46" s="152" t="inlineStr">
        <is>
          <t>Not disclosed</t>
        </is>
      </c>
      <c r="BF46" s="152" t="n"/>
      <c r="BG46" s="152" t="n"/>
      <c r="BH46" s="152" t="n"/>
      <c r="BI46" s="152" t="n"/>
      <c r="BJ46" s="152" t="n"/>
      <c r="BK46" s="152" t="n"/>
      <c r="BL46" s="152" t="n"/>
      <c r="BM46" s="152" t="inlineStr">
        <is>
          <t>Not disclosed</t>
        </is>
      </c>
      <c r="BN46" s="152" t="inlineStr">
        <is>
          <t>Not disclosed</t>
        </is>
      </c>
      <c r="BO46" s="156" t="inlineStr">
        <is>
          <t>Manipulation 2/4 · Navigation 2/4 · Peak 5 km/h · Runtime 1.5</t>
        </is>
      </c>
      <c r="BP46" s="152" t="n"/>
      <c r="BQ46" s="156" t="inlineStr">
        <is>
          <t>Research labs, commercial pilots, and education programs evaluating a humanoid from Clone Robotics (Poland) now listed as prototype.</t>
        </is>
      </c>
      <c r="BR46" s="156" t="inlineStr">
        <is>
          <t>Prototype</t>
        </is>
      </c>
      <c r="BS46" s="156" t="inlineStr">
        <is>
          <t>Prototype</t>
        </is>
      </c>
      <c r="BT46" s="152" t="n"/>
      <c r="BU46" s="152" t="inlineStr">
        <is>
          <t>Not verified</t>
        </is>
      </c>
      <c r="BV46" s="156" t="n"/>
      <c r="BW46" s="156" t="inlineStr">
        <is>
          <t>Origin &amp; status — Poland · Prototype · 2026 | Manipulation — Payload 44.1 lb | Sensing &amp; software — Sensor and compute package confirmed on formal quote | Buying notes — From $100,000 · 12 months manufacturer standard (typical research/commercial humanoid)</t>
        </is>
      </c>
      <c r="BX46" s="156" t="inlineStr">
        <is>
          <t>as_shipped|Clone Alpha|100000|As shipped</t>
        </is>
      </c>
      <c r="BY46" s="152" t="inlineStr">
        <is>
          <t>clone_alpha|Manufacturer finish|#e2e8f0|0</t>
        </is>
      </c>
      <c r="BZ46" s="152" t="inlineStr"/>
      <c r="CA46" s="156" t="n"/>
      <c r="CB46" s="156" t="inlineStr">
        <is>
          <t>12 months manufacturer standard (typical research/commercial humanoid)</t>
        </is>
      </c>
      <c r="CC46" s="154" t="n">
        <v>12</v>
      </c>
      <c r="CD46" s="156" t="inlineStr">
        <is>
          <t>+3 Year Extended ≈24% of configuration (default in configurator)</t>
        </is>
      </c>
      <c r="CE46" s="152" t="inlineStr">
        <is>
          <t>Humanoid category norm 2025–2026</t>
        </is>
      </c>
      <c r="CF46" s="152" t="inlineStr">
        <is>
          <t>Estimated</t>
        </is>
      </c>
      <c r="CG46" s="156" t="inlineStr">
        <is>
          <t>Confirm on formal OEM quote. EDU or enterprise packages may differ.</t>
        </is>
      </c>
      <c r="CH46" s="152" t="inlineStr">
        <is>
          <t>10%</t>
        </is>
      </c>
      <c r="CI46" s="152" t="inlineStr">
        <is>
          <t>17%</t>
        </is>
      </c>
      <c r="CJ46" s="152" t="inlineStr">
        <is>
          <t>24%</t>
        </is>
      </c>
      <c r="CK46" s="156" t="inlineStr">
        <is>
          <t>+1yr ≈10% | +2yr ≈17% | +3yr ≈24% of selected configuration price (parts &amp; labor beyond manufacturer standard).</t>
        </is>
      </c>
      <c r="CL46"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46" s="152" t="inlineStr">
        <is>
          <t>12 months manufacturer standard (typical research/commercial humanoid)</t>
        </is>
      </c>
      <c r="CQ46" s="101" t="inlineStr">
        <is>
          <t>Height: 5 ft 7 in | Weight: 132.3 | Degrees of Freedom: 164 | Payload: 44.1 | Max Speed: 3.11 | Battery / Runtime: ≈ 1.5 hours</t>
        </is>
      </c>
    </row>
    <row r="47" ht="31.5" customHeight="1" s="102">
      <c r="A47" s="145" t="inlineStr">
        <is>
          <t>cyan_robotics_orca</t>
        </is>
      </c>
      <c r="B47" s="153" t="inlineStr">
        <is>
          <t>Humanoid.guide</t>
        </is>
      </c>
      <c r="C47" s="145" t="inlineStr">
        <is>
          <t>Cyan Robotics</t>
        </is>
      </c>
      <c r="D47" s="145" t="inlineStr">
        <is>
          <t>Orca</t>
        </is>
      </c>
      <c r="E47" s="145" t="inlineStr">
        <is>
          <t>[Cyan Robotics] Orca (2026)</t>
        </is>
      </c>
      <c r="F47" s="146" t="inlineStr">
        <is>
          <t>humanoid</t>
        </is>
      </c>
      <c r="G47" s="145" t="inlineStr">
        <is>
          <t>China</t>
        </is>
      </c>
      <c r="H47" s="145" t="n"/>
      <c r="I47" s="148" t="n">
        <v>34000</v>
      </c>
      <c r="J47" s="145" t="inlineStr">
        <is>
          <t>Humanoid.guide list</t>
        </is>
      </c>
      <c r="K47" s="149" t="inlineStr">
        <is>
          <t>Orca is a versatile humanoid robot by Cyan Robotics that offers stable locomotion, reliable perception, and flexible manipulation for research, training, and early industrial applications.</t>
        </is>
      </c>
      <c r="L47" s="101" t="inlineStr">
        <is>
          <t>Orca is a versatile humanoid robot by Cyan Robotics that offers stable locomotion, reliable perception, and flexible manipulation for research, training, and early industrial applications.</t>
        </is>
      </c>
      <c r="M47" s="101" t="inlineStr">
        <is>
          <t>Orca is a versatile humanoid robot by Cyan Robotics that offers stable locomotion, reliable perception, and flexible manipulation for research, training, and early industrial applications. Public status is listed as prototype, and it is positioned for automation R&amp;D; education; exhibitions; research labs; universities.</t>
        </is>
      </c>
      <c r="N47" s="150" t="inlineStr">
        <is>
          <t>https://humanoid.guide/product/orca/</t>
        </is>
      </c>
      <c r="O47" s="145" t="inlineStr">
        <is>
          <t>https://www.cyanrobotics.com</t>
        </is>
      </c>
      <c r="P47" s="145" t="inlineStr">
        <is>
          <t>5 ft 3 in</t>
        </is>
      </c>
      <c r="Q47" s="145" t="n">
        <v>160</v>
      </c>
      <c r="R47" s="145" t="n">
        <v>110.2</v>
      </c>
      <c r="S47" s="145" t="n">
        <v>50</v>
      </c>
      <c r="T47" s="149" t="inlineStr">
        <is>
          <t>Not disclosed</t>
        </is>
      </c>
      <c r="U47" s="145" t="inlineStr">
        <is>
          <t>170 × 60 × 50 cm</t>
        </is>
      </c>
      <c r="V47" s="145" t="inlineStr">
        <is>
          <t>40</t>
        </is>
      </c>
      <c r="W47" s="149" t="inlineStr">
        <is>
          <t>10</t>
        </is>
      </c>
      <c r="X47" s="145" t="n">
        <v>19.8</v>
      </c>
      <c r="Y47" s="145" t="n">
        <v>9</v>
      </c>
      <c r="Z47" s="145" t="n">
        <v>1.86</v>
      </c>
      <c r="AA47" s="145" t="n">
        <v>3</v>
      </c>
      <c r="AB47" s="145" t="n">
        <v>2.5</v>
      </c>
      <c r="AC47" s="149" t="inlineStr">
        <is>
          <t>≈ 2 hours</t>
        </is>
      </c>
      <c r="AD47" s="149" t="inlineStr">
        <is>
          <t>2</t>
        </is>
      </c>
      <c r="AE47" s="145" t="n"/>
      <c r="AF47" s="145" t="inlineStr">
        <is>
          <t>Not disclosed</t>
        </is>
      </c>
      <c r="AG47" s="149" t="inlineStr">
        <is>
          <t>5 per hand</t>
        </is>
      </c>
      <c r="AH47" s="145" t="inlineStr">
        <is>
          <t>5 per hand</t>
        </is>
      </c>
      <c r="AI47" s="151" t="n">
        <v>3</v>
      </c>
      <c r="AJ47" s="149" t="inlineStr">
        <is>
          <t>1080p binocular + depth</t>
        </is>
      </c>
      <c r="AK47" s="149" t="inlineStr">
        <is>
          <t>1080p binocular + depth</t>
        </is>
      </c>
      <c r="AL47" s="145" t="inlineStr">
        <is>
          <t>Not disclosed</t>
        </is>
      </c>
      <c r="AM47" s="145" t="n"/>
      <c r="AN47" s="145" t="inlineStr">
        <is>
          <t>Not disclosed</t>
        </is>
      </c>
      <c r="AO47" s="145" t="inlineStr">
        <is>
          <t>Not disclosed</t>
        </is>
      </c>
      <c r="AP47" s="145" t="inlineStr">
        <is>
          <t>Not disclosed</t>
        </is>
      </c>
      <c r="AQ47" s="145" t="inlineStr">
        <is>
          <t>Not disclosed</t>
        </is>
      </c>
      <c r="AR47" s="145" t="n"/>
      <c r="AS47" s="145" t="n"/>
      <c r="AT47" s="149" t="inlineStr">
        <is>
          <t>Industrial ARM CPU + onboard GPU module</t>
        </is>
      </c>
      <c r="AU47" s="149" t="inlineStr">
        <is>
          <t>Bluetooth; Ethernet; USB; Wi‑Fi</t>
        </is>
      </c>
      <c r="AV47" s="145" t="inlineStr">
        <is>
          <t>Not disclosed</t>
        </is>
      </c>
      <c r="AW47" s="149" t="inlineStr">
        <is>
          <t>Not disclosed</t>
        </is>
      </c>
      <c r="AX47" s="151" t="n">
        <v>3</v>
      </c>
      <c r="AY47" s="149" t="inlineStr">
        <is>
          <t>Linux (ROS2-based)</t>
        </is>
      </c>
      <c r="AZ47" s="149" t="inlineStr">
        <is>
          <t>External cloud connection possible; not native</t>
        </is>
      </c>
      <c r="BA47" s="149" t="inlineStr">
        <is>
          <t>&amp;lt;200ms (End-to-End)</t>
        </is>
      </c>
      <c r="BB47" s="149" t="inlineStr">
        <is>
          <t>Electric servo motors</t>
        </is>
      </c>
      <c r="BC47" s="149" t="inlineStr">
        <is>
          <t>Harmonic/planetary mixed reducers</t>
        </is>
      </c>
      <c r="BD47" s="145" t="inlineStr">
        <is>
          <t>Aluminum + polymer shell</t>
        </is>
      </c>
      <c r="BE47" s="145" t="inlineStr">
        <is>
          <t>IP20</t>
        </is>
      </c>
      <c r="BF47" s="145" t="inlineStr">
        <is>
          <t>IP20</t>
        </is>
      </c>
      <c r="BG47" s="145" t="n"/>
      <c r="BH47" s="145" t="n"/>
      <c r="BI47" s="145" t="n"/>
      <c r="BJ47" s="145" t="n"/>
      <c r="BK47" s="145" t="n"/>
      <c r="BL47" s="145" t="n"/>
      <c r="BM47" s="145" t="inlineStr">
        <is>
          <t>Yes</t>
        </is>
      </c>
      <c r="BN47" s="145" t="inlineStr">
        <is>
          <t>Not disclosed</t>
        </is>
      </c>
      <c r="BO47" s="149" t="inlineStr">
        <is>
          <t>Market: automation R&amp;D; education; exhibitions; research labs; universities · Manipulation 3/4 · Navigation 3/4 · Human-safe: Yes · AI: External cloud connection possible; not native · Actuation: Electric servo motors · Peak 3 km/h · Walk 2.5 km/h · Runtime 2</t>
        </is>
      </c>
      <c r="BP47" s="145" t="n"/>
      <c r="BQ47" s="149" t="inlineStr">
        <is>
          <t>automation R&amp;D; education; exhibitions; research labs; universities</t>
        </is>
      </c>
      <c r="BR47" s="149" t="inlineStr">
        <is>
          <t>Prototype</t>
        </is>
      </c>
      <c r="BS47" s="149" t="inlineStr">
        <is>
          <t>Prototype</t>
        </is>
      </c>
      <c r="BT47" s="145" t="inlineStr">
        <is>
          <t>White</t>
        </is>
      </c>
      <c r="BU47" s="145" t="inlineStr">
        <is>
          <t>Not verified</t>
        </is>
      </c>
      <c r="BV47" s="149" t="n"/>
      <c r="BW47" s="149" t="inlineStr">
        <is>
          <t>Origin &amp; status — China · Prototype · 2026 | Manipulation — 5 per hand · 5 per hand fingers · Hand DOF 10 · Payload 19.8 lb | Sensing &amp; software — 1080p binocular + depth · External cloud connection possible; not native · Linux (ROS2-based) | Buying notes — From $34,000 · 12 months manufacturer standard (typical research/commercial humanoid) · Best fit: automation R&amp;D</t>
        </is>
      </c>
      <c r="BX47" s="149" t="inlineStr">
        <is>
          <t>as_shipped|Orca|34000|As shipped</t>
        </is>
      </c>
      <c r="BY47" s="145" t="inlineStr">
        <is>
          <t>white|White|#e2e8f0|0</t>
        </is>
      </c>
      <c r="BZ47" s="145" t="inlineStr"/>
      <c r="CA47" s="149" t="n"/>
      <c r="CB47" s="149" t="inlineStr">
        <is>
          <t>12 months manufacturer standard (typical research/commercial humanoid)</t>
        </is>
      </c>
      <c r="CC47" s="147" t="n">
        <v>12</v>
      </c>
      <c r="CD47" s="149" t="inlineStr">
        <is>
          <t>+3 Year Extended ≈24% of configuration (default in configurator)</t>
        </is>
      </c>
      <c r="CE47" s="145" t="inlineStr">
        <is>
          <t>Humanoid category norm 2025–2026</t>
        </is>
      </c>
      <c r="CF47" s="145" t="inlineStr">
        <is>
          <t>Estimated</t>
        </is>
      </c>
      <c r="CG47" s="149" t="inlineStr">
        <is>
          <t>Confirm on formal OEM quote. EDU or enterprise packages may differ.</t>
        </is>
      </c>
      <c r="CH47" s="145" t="inlineStr">
        <is>
          <t>10%</t>
        </is>
      </c>
      <c r="CI47" s="145" t="inlineStr">
        <is>
          <t>17%</t>
        </is>
      </c>
      <c r="CJ47" s="145" t="inlineStr">
        <is>
          <t>24%</t>
        </is>
      </c>
      <c r="CK47" s="149" t="inlineStr">
        <is>
          <t>+1yr ≈10% | +2yr ≈17% | +3yr ≈24% of selected configuration price (parts &amp; labor beyond manufacturer standard).</t>
        </is>
      </c>
      <c r="CL47"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47" s="145" t="inlineStr">
        <is>
          <t>12 months manufacturer standard (typical research/commercial humanoid)</t>
        </is>
      </c>
      <c r="CQ47" s="101" t="inlineStr">
        <is>
          <t>Height: 5 ft 3 in | Weight: 110.2 | Degrees of Freedom: 40 | Payload: 19.8 | Max Speed: 1.86 | Battery / Runtime: ≈ 2 hours</t>
        </is>
      </c>
    </row>
    <row r="48" ht="31.5" customHeight="1" s="102">
      <c r="A48" s="159" t="inlineStr">
        <is>
          <t>daxai_robotics_qiji_x1</t>
        </is>
      </c>
      <c r="B48" s="160" t="inlineStr">
        <is>
          <t>Website</t>
        </is>
      </c>
      <c r="C48" s="152" t="inlineStr">
        <is>
          <t>DaxAI Robotics</t>
        </is>
      </c>
      <c r="D48" s="152" t="inlineStr">
        <is>
          <t>Qiji X1</t>
        </is>
      </c>
      <c r="E48" s="152" t="inlineStr">
        <is>
          <t>[DaxAI] Qiji X1 (2025)</t>
        </is>
      </c>
      <c r="F48" s="146" t="inlineStr">
        <is>
          <t>humanoid</t>
        </is>
      </c>
      <c r="G48" s="152" t="inlineStr">
        <is>
          <t>China</t>
        </is>
      </c>
      <c r="H48" s="154" t="n">
        <v>2025</v>
      </c>
      <c r="I48" s="155" t="n">
        <v>50000</v>
      </c>
      <c r="J48" s="152" t="inlineStr">
        <is>
          <t>Website store</t>
        </is>
      </c>
      <c r="K48" s="156" t="inlineStr">
        <is>
          <t>Qiji X1 is DaxAI Robotics's humanoid — — (rideable) class, Not disclosed DOF, High torque (~1400 Nm) lb payload. Grippers or dexterous hands depending on configuration; RGB and/or depth cameras for navigation and manipulation (configuration specific).</t>
        </is>
      </c>
      <c r="L48" s="101" t="inlineStr">
        <is>
          <t>Qiji X1 is DaxAI Robotics's humanoid — — (rideable) class, Not disclosed DOF, High torque (~1400 Nm) lb payload. Grippers or dexterous hands depending on configuration; RGB and/or depth cameras for navigation and manipulation (configuration specific).</t>
        </is>
      </c>
      <c r="M48" s="101" t="inlineStr">
        <is>
          <t>Qiji X1 is DaxAI Robotics's humanoid — — (rideable) class, Not disclosed DOF, High torque (~1400 Nm) lb payload. Grippers or dexterous hands depending on configuration; RGB and/or depth cameras for navigation and manipulation (configuration specific). Public status is listed as noted at/around WHRG 2026, and it is positioned for exhibition / Rideable platform.</t>
        </is>
      </c>
      <c r="N48" s="152" t="n"/>
      <c r="O48" s="152" t="inlineStr">
        <is>
          <t>https://www.daxai.com</t>
        </is>
      </c>
      <c r="P48" s="152" t="inlineStr">
        <is>
          <t>— (rideable)</t>
        </is>
      </c>
      <c r="Q48" s="152" t="n"/>
      <c r="R48" s="152" t="n"/>
      <c r="S48" s="152" t="n"/>
      <c r="T48" s="156" t="inlineStr">
        <is>
          <t>Not disclosed</t>
        </is>
      </c>
      <c r="U48" s="152" t="n"/>
      <c r="V48" s="152" t="inlineStr">
        <is>
          <t>Not disclosed</t>
        </is>
      </c>
      <c r="W48" s="156" t="inlineStr">
        <is>
          <t>Not disclosed</t>
        </is>
      </c>
      <c r="X48" s="152" t="inlineStr">
        <is>
          <t>High torque (~1400 Nm)</t>
        </is>
      </c>
      <c r="Y48" s="152" t="n"/>
      <c r="Z48" s="152" t="n"/>
      <c r="AA48" s="152" t="n"/>
      <c r="AB48" s="152" t="n"/>
      <c r="AC48" s="156" t="inlineStr">
        <is>
          <t>Not disclosed</t>
        </is>
      </c>
      <c r="AD48" s="156" t="n"/>
      <c r="AE48" s="152" t="n"/>
      <c r="AF48" s="152" t="inlineStr">
        <is>
          <t>Not disclosed</t>
        </is>
      </c>
      <c r="AG48" s="156" t="inlineStr">
        <is>
          <t>Grippers or dexterous hands depending on configuration</t>
        </is>
      </c>
      <c r="AH48" s="152" t="inlineStr">
        <is>
          <t>Not disclosed</t>
        </is>
      </c>
      <c r="AI48" s="152" t="n"/>
      <c r="AJ48" s="156" t="inlineStr">
        <is>
          <t>RGB and/or depth cameras for navigation and manipulation (configuration specific)</t>
        </is>
      </c>
      <c r="AK48" s="156" t="n"/>
      <c r="AL48" s="152" t="inlineStr">
        <is>
          <t>Onboard streams for teleoperation and logging when equipped</t>
        </is>
      </c>
      <c r="AM48" s="152" t="n"/>
      <c r="AN48" s="152" t="inlineStr">
        <is>
          <t>Not disclosed</t>
        </is>
      </c>
      <c r="AO48" s="152" t="inlineStr">
        <is>
          <t>Microphone array on interaction-oriented builds</t>
        </is>
      </c>
      <c r="AP48" s="152" t="inlineStr">
        <is>
          <t>Not disclosed</t>
        </is>
      </c>
      <c r="AQ48" s="152" t="inlineStr">
        <is>
          <t>Not disclosed</t>
        </is>
      </c>
      <c r="AR48" s="152" t="n"/>
      <c r="AS48" s="152" t="n"/>
      <c r="AT48" s="156" t="inlineStr">
        <is>
          <t>Not disclosed</t>
        </is>
      </c>
      <c r="AU48" s="156" t="inlineStr">
        <is>
          <t>Not disclosed</t>
        </is>
      </c>
      <c r="AV48" s="152" t="inlineStr">
        <is>
          <t>Manufacturer app and/or SDK</t>
        </is>
      </c>
      <c r="AW48" s="156" t="inlineStr">
        <is>
          <t>Bipedal balance and walking controllers</t>
        </is>
      </c>
      <c r="AX48" s="152" t="n"/>
      <c r="AY48" s="156" t="inlineStr">
        <is>
          <t>Not disclosed</t>
        </is>
      </c>
      <c r="AZ48" s="156" t="inlineStr">
        <is>
          <t>Not disclosed</t>
        </is>
      </c>
      <c r="BA48" s="156" t="n"/>
      <c r="BB48" s="156" t="inlineStr">
        <is>
          <t>Not disclosed</t>
        </is>
      </c>
      <c r="BC48" s="156" t="inlineStr">
        <is>
          <t>Not disclosed</t>
        </is>
      </c>
      <c r="BD48" s="152" t="inlineStr">
        <is>
          <t>Not disclosed</t>
        </is>
      </c>
      <c r="BE48" s="152" t="inlineStr">
        <is>
          <t>Not disclosed</t>
        </is>
      </c>
      <c r="BF48" s="152" t="n"/>
      <c r="BG48" s="152" t="n"/>
      <c r="BH48" s="152" t="n"/>
      <c r="BI48" s="152" t="n"/>
      <c r="BJ48" s="152" t="n"/>
      <c r="BK48" s="152" t="n"/>
      <c r="BL48" s="152" t="n"/>
      <c r="BM48" s="152" t="inlineStr">
        <is>
          <t>Not disclosed</t>
        </is>
      </c>
      <c r="BN48" s="152" t="inlineStr">
        <is>
          <t>Not disclosed</t>
        </is>
      </c>
      <c r="BO48" s="156" t="inlineStr">
        <is>
          <t>Market: Exhibition / Rideable platform · The Qiji X1 is a bipedal humanoid robot from DaxAI Robotics, associated with development and availability timelines around 2025.</t>
        </is>
      </c>
      <c r="BP48" s="152" t="n"/>
      <c r="BQ48" s="156" t="inlineStr">
        <is>
          <t>Exhibition / Rideable platform</t>
        </is>
      </c>
      <c r="BR48" s="156" t="inlineStr">
        <is>
          <t>Noted at/around WHRG 2026</t>
        </is>
      </c>
      <c r="BS48" s="156" t="n"/>
      <c r="BT48" s="152" t="n"/>
      <c r="BU48" s="152" t="n"/>
      <c r="BV48" s="156" t="inlineStr">
        <is>
          <t>Rideable robot horse/dog form; high-torque joints</t>
        </is>
      </c>
      <c r="BW48" s="156" t="inlineStr">
        <is>
          <t>Origin &amp; status — China · Noted at/around WHRG 2026 · 2025 | Manipulation — Grippers or dexterous hands depending on configuration · Payload High torque (~1400 Nm) lb | Sensing &amp; software — RGB and/or depth cameras for navigation and manipulation (configuration specific) · Manufacturer app and/or SDK | Buying notes — From $50,000 · 12 months manufacturer standard (typical research/commercial humanoid) · Best fit: Exhibition</t>
        </is>
      </c>
      <c r="BX48" s="156" t="inlineStr">
        <is>
          <t>as_shipped|Qiji X1|50000|As shipped</t>
        </is>
      </c>
      <c r="BY48" s="152" t="inlineStr">
        <is>
          <t>qiji_x1|Manufacturer finish|#e2e8f0|0</t>
        </is>
      </c>
      <c r="BZ48" s="152" t="inlineStr"/>
      <c r="CA48" s="156" t="inlineStr">
        <is>
          <t>Add-ons: case; 2 color options; Multi-year extended warranty available</t>
        </is>
      </c>
      <c r="CB48" s="156" t="inlineStr">
        <is>
          <t>12 months manufacturer standard (typical research/commercial humanoid)</t>
        </is>
      </c>
      <c r="CC48" s="154" t="n">
        <v>12</v>
      </c>
      <c r="CD48" s="156" t="inlineStr">
        <is>
          <t>+3 Year Extended ≈24% of configuration (default in configurator)</t>
        </is>
      </c>
      <c r="CE48" s="152" t="inlineStr">
        <is>
          <t>Humanoid category norm 2025–2026</t>
        </is>
      </c>
      <c r="CF48" s="152" t="inlineStr">
        <is>
          <t>Estimated</t>
        </is>
      </c>
      <c r="CG48" s="156" t="inlineStr">
        <is>
          <t>EDU or enterprise packages may differ; confirm on formal quote.</t>
        </is>
      </c>
      <c r="CH48" s="152" t="inlineStr">
        <is>
          <t>10%</t>
        </is>
      </c>
      <c r="CI48" s="152" t="inlineStr">
        <is>
          <t>17%</t>
        </is>
      </c>
      <c r="CJ48" s="152" t="inlineStr">
        <is>
          <t>24%</t>
        </is>
      </c>
      <c r="CK48"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48"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48" s="152" t="inlineStr">
        <is>
          <t>12 months manufacturer standard (typical research/commercial humanoid)</t>
        </is>
      </c>
      <c r="CQ48" s="101" t="inlineStr">
        <is>
          <t>Height: — (rideable) | Weight: Not disclosed | Degrees of Freedom: Not disclosed | Payload: High torque (~1400 Nm) | Max Speed: Not disclosed | Battery / Runtime: Not disclosed</t>
        </is>
      </c>
    </row>
    <row r="49" ht="31.5" customHeight="1" s="102">
      <c r="A49" s="145" t="inlineStr">
        <is>
          <t>deep_robotics_dr01</t>
        </is>
      </c>
      <c r="B49" s="153" t="inlineStr">
        <is>
          <t>Humanoid.guide</t>
        </is>
      </c>
      <c r="C49" s="145" t="inlineStr">
        <is>
          <t>Deep Robotics</t>
        </is>
      </c>
      <c r="D49" s="145" t="inlineStr">
        <is>
          <t>DR01</t>
        </is>
      </c>
      <c r="E49" s="145" t="inlineStr">
        <is>
          <t>[Deep Robotics] DR01 (2026)</t>
        </is>
      </c>
      <c r="F49" s="146" t="inlineStr">
        <is>
          <t>humanoid</t>
        </is>
      </c>
      <c r="G49" s="145" t="inlineStr">
        <is>
          <t>China</t>
        </is>
      </c>
      <c r="H49" s="145" t="n"/>
      <c r="I49" s="148" t="n">
        <v>200000</v>
      </c>
      <c r="J49" s="145" t="inlineStr">
        <is>
          <t>Humanoid.guide list</t>
        </is>
      </c>
      <c r="K49" s="149" t="inlineStr">
        <is>
          <t>The DR01 humanoid robot by DEEP Robotics is designed to enhance AI through adaptive learning and complex data integration.</t>
        </is>
      </c>
      <c r="L49" s="101" t="inlineStr">
        <is>
          <t>The DR01 humanoid robot by DEEP Robotics is designed to enhance AI through adaptive learning and complex data integration.</t>
        </is>
      </c>
      <c r="M49" s="101" t="inlineStr">
        <is>
          <t>The DR01 humanoid robot by DEEP Robotics is designed to enhance AI through adaptive learning and complex data integration. Public status is listed as prototype.</t>
        </is>
      </c>
      <c r="N49" s="150" t="inlineStr">
        <is>
          <t>https://humanoid.guide/product/dr01/</t>
        </is>
      </c>
      <c r="O49" s="150" t="inlineStr">
        <is>
          <t>https://www.deeprobotics.cn</t>
        </is>
      </c>
      <c r="P49" s="145" t="inlineStr">
        <is>
          <t>5 ft 7 in</t>
        </is>
      </c>
      <c r="Q49" s="145" t="n">
        <v>170</v>
      </c>
      <c r="R49" s="145" t="n">
        <v>176.4</v>
      </c>
      <c r="S49" s="145" t="n">
        <v>80</v>
      </c>
      <c r="T49" s="149" t="inlineStr">
        <is>
          <t>Not disclosed</t>
        </is>
      </c>
      <c r="U49" s="145" t="n"/>
      <c r="V49" s="145" t="inlineStr">
        <is>
          <t>12</t>
        </is>
      </c>
      <c r="W49" s="149" t="inlineStr">
        <is>
          <t>Not disclosed</t>
        </is>
      </c>
      <c r="X49" s="145" t="n">
        <v>33.1</v>
      </c>
      <c r="Y49" s="145" t="n">
        <v>15</v>
      </c>
      <c r="Z49" s="145" t="n">
        <v>3.6</v>
      </c>
      <c r="AA49" s="145" t="n">
        <v>5.8</v>
      </c>
      <c r="AB49" s="145" t="n">
        <v>5.8</v>
      </c>
      <c r="AC49" s="149" t="inlineStr">
        <is>
          <t>≈ 2 hours</t>
        </is>
      </c>
      <c r="AD49" s="149" t="inlineStr">
        <is>
          <t>2</t>
        </is>
      </c>
      <c r="AE49" s="145" t="n"/>
      <c r="AF49" s="145" t="inlineStr">
        <is>
          <t>Not disclosed</t>
        </is>
      </c>
      <c r="AG49" s="149" t="inlineStr">
        <is>
          <t>Not disclosed</t>
        </is>
      </c>
      <c r="AH49" s="145" t="inlineStr">
        <is>
          <t>Not disclosed</t>
        </is>
      </c>
      <c r="AI49" s="158" t="n">
        <v>2</v>
      </c>
      <c r="AJ49" s="149" t="inlineStr">
        <is>
          <t>Not disclosed</t>
        </is>
      </c>
      <c r="AK49" s="149" t="n"/>
      <c r="AL49" s="145" t="inlineStr">
        <is>
          <t>Not disclosed</t>
        </is>
      </c>
      <c r="AM49" s="145" t="n"/>
      <c r="AN49" s="145" t="inlineStr">
        <is>
          <t>Not disclosed</t>
        </is>
      </c>
      <c r="AO49" s="145" t="inlineStr">
        <is>
          <t>Not disclosed</t>
        </is>
      </c>
      <c r="AP49" s="145" t="inlineStr">
        <is>
          <t>Not disclosed</t>
        </is>
      </c>
      <c r="AQ49" s="145" t="inlineStr">
        <is>
          <t>Not disclosed</t>
        </is>
      </c>
      <c r="AR49" s="145" t="n"/>
      <c r="AS49" s="145" t="n"/>
      <c r="AT49" s="149" t="inlineStr">
        <is>
          <t>Not disclosed</t>
        </is>
      </c>
      <c r="AU49" s="149" t="inlineStr">
        <is>
          <t>Not disclosed</t>
        </is>
      </c>
      <c r="AV49" s="145" t="inlineStr">
        <is>
          <t>Not disclosed</t>
        </is>
      </c>
      <c r="AW49" s="149" t="inlineStr">
        <is>
          <t>Not disclosed</t>
        </is>
      </c>
      <c r="AX49" s="158" t="n">
        <v>2</v>
      </c>
      <c r="AY49" s="149" t="inlineStr">
        <is>
          <t>Not disclosed</t>
        </is>
      </c>
      <c r="AZ49" s="149" t="inlineStr">
        <is>
          <t>Not disclosed</t>
        </is>
      </c>
      <c r="BA49" s="149" t="n"/>
      <c r="BB49" s="149" t="inlineStr">
        <is>
          <t>Not disclosed</t>
        </is>
      </c>
      <c r="BC49" s="149" t="inlineStr">
        <is>
          <t>Not disclosed</t>
        </is>
      </c>
      <c r="BD49" s="145" t="inlineStr">
        <is>
          <t>Not disclosed</t>
        </is>
      </c>
      <c r="BE49" s="145" t="inlineStr">
        <is>
          <t>Not disclosed</t>
        </is>
      </c>
      <c r="BF49" s="145" t="n"/>
      <c r="BG49" s="145" t="n"/>
      <c r="BH49" s="145" t="n"/>
      <c r="BI49" s="145" t="n"/>
      <c r="BJ49" s="145" t="n"/>
      <c r="BK49" s="145" t="n"/>
      <c r="BL49" s="145" t="n"/>
      <c r="BM49" s="145" t="inlineStr">
        <is>
          <t>Not disclosed</t>
        </is>
      </c>
      <c r="BN49" s="145" t="inlineStr">
        <is>
          <t>Not disclosed</t>
        </is>
      </c>
      <c r="BO49" s="149" t="inlineStr">
        <is>
          <t>Manipulation 2/4 · Navigation 2/4 · Peak 5.8 km/h · Walk 5.8 km/h · Runtime 2</t>
        </is>
      </c>
      <c r="BP49" s="145" t="n"/>
      <c r="BQ49" s="149" t="inlineStr">
        <is>
          <t>Research labs, commercial pilots, and education programs evaluating a humanoid from Deep Robotics (China) now listed as prototype.</t>
        </is>
      </c>
      <c r="BR49" s="149" t="inlineStr">
        <is>
          <t>Prototype</t>
        </is>
      </c>
      <c r="BS49" s="149" t="inlineStr">
        <is>
          <t>Prototype</t>
        </is>
      </c>
      <c r="BT49" s="145" t="n"/>
      <c r="BU49" s="145" t="inlineStr">
        <is>
          <t>Not verified</t>
        </is>
      </c>
      <c r="BV49" s="149" t="n"/>
      <c r="BW49" s="149" t="inlineStr">
        <is>
          <t>Origin &amp; status — China · Prototype · 2026 | Manipulation — Payload 33.1 lb | Sensing &amp; software — Sensor and compute package confirmed on formal quote | Buying notes — From $200,000 · 12 months manufacturer standard (typical research/commercial humanoid)</t>
        </is>
      </c>
      <c r="BX49" s="149" t="inlineStr">
        <is>
          <t>as_shipped|DR01|200000|As shipped</t>
        </is>
      </c>
      <c r="BY49" s="145" t="inlineStr">
        <is>
          <t>dr01|Manufacturer finish|#e2e8f0|0</t>
        </is>
      </c>
      <c r="BZ49" s="145" t="inlineStr"/>
      <c r="CA49" s="149" t="n"/>
      <c r="CB49" s="149" t="inlineStr">
        <is>
          <t>12 months manufacturer standard (typical research/commercial humanoid)</t>
        </is>
      </c>
      <c r="CC49" s="147" t="n">
        <v>12</v>
      </c>
      <c r="CD49" s="149" t="inlineStr">
        <is>
          <t>+3 Year Extended ≈24% of configuration (default in configurator)</t>
        </is>
      </c>
      <c r="CE49" s="145" t="inlineStr">
        <is>
          <t>Humanoid category norm 2025–2026</t>
        </is>
      </c>
      <c r="CF49" s="145" t="inlineStr">
        <is>
          <t>Estimated</t>
        </is>
      </c>
      <c r="CG49" s="149" t="inlineStr">
        <is>
          <t>Confirm on formal OEM quote. EDU or enterprise packages may differ.</t>
        </is>
      </c>
      <c r="CH49" s="145" t="inlineStr">
        <is>
          <t>10%</t>
        </is>
      </c>
      <c r="CI49" s="145" t="inlineStr">
        <is>
          <t>17%</t>
        </is>
      </c>
      <c r="CJ49" s="145" t="inlineStr">
        <is>
          <t>24%</t>
        </is>
      </c>
      <c r="CK49" s="149" t="inlineStr">
        <is>
          <t>+1yr ≈10% | +2yr ≈17% | +3yr ≈24% of selected configuration price (parts &amp; labor beyond manufacturer standard).</t>
        </is>
      </c>
      <c r="CL4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49" s="145" t="inlineStr">
        <is>
          <t>12 months manufacturer standard (typical research/commercial humanoid)</t>
        </is>
      </c>
      <c r="CN49" s="203" t="inlineStr">
        <is>
          <t>https://aixzd.com/robot/dr01</t>
        </is>
      </c>
      <c r="CQ49" s="101" t="inlineStr">
        <is>
          <t>Height: 5 ft 7 in | Weight: 176.4 | Degrees of Freedom: 12 | Payload: 33.1 | Max Speed: 3.6 | Battery / Runtime: ≈ 2 hours</t>
        </is>
      </c>
    </row>
    <row r="50" ht="31.5" customHeight="1" s="102">
      <c r="A50" s="159" t="inlineStr">
        <is>
          <t>dr02</t>
        </is>
      </c>
      <c r="B50" s="144" t="inlineStr">
        <is>
          <t>Both</t>
        </is>
      </c>
      <c r="C50" s="152" t="inlineStr">
        <is>
          <t>Deep Robotics</t>
        </is>
      </c>
      <c r="D50" s="152" t="inlineStr">
        <is>
          <t>DR02</t>
        </is>
      </c>
      <c r="E50" s="152" t="inlineStr">
        <is>
          <t>[Deep Robotics] DR02 (2025)</t>
        </is>
      </c>
      <c r="F50" s="146" t="inlineStr">
        <is>
          <t>humanoid</t>
        </is>
      </c>
      <c r="G50" s="152" t="inlineStr">
        <is>
          <t>China</t>
        </is>
      </c>
      <c r="H50" s="154" t="n">
        <v>2025</v>
      </c>
      <c r="I50" s="155" t="n">
        <v>75600</v>
      </c>
      <c r="J50" s="152" t="inlineStr">
        <is>
          <t>Website store</t>
        </is>
      </c>
      <c r="K50" s="156" t="inlineStr">
        <is>
          <t>The DEEP Robotics DR02 is an industrial-grade, full-size humanoid robot — the first claimed with IP66 all-weather waterproof and dustproof protection.</t>
        </is>
      </c>
      <c r="L50" s="101" t="inlineStr">
        <is>
          <t>The DEEP Robotics DR02 is an industrial-grade, full-size humanoid robot — the first claimed with IP66 all-weather waterproof and dustproof protection.</t>
        </is>
      </c>
      <c r="M50" s="101" t="inlineStr">
        <is>
          <t>DR02 is Deep Robotics's humanoid, introduced around 2025 in China. The DEEP Robotics DR02 is an industrial-grade, full-size humanoid robot — the first claimed with IP66 all-weather waterproof and dustproof protection. Public status is listed as in production, and it is positioned for industries; inspection; logistics; Research &amp; education.</t>
        </is>
      </c>
      <c r="N50" s="157" t="inlineStr">
        <is>
          <t>https://humanoid.guide/product/dr02/</t>
        </is>
      </c>
      <c r="O50" s="157" t="inlineStr">
        <is>
          <t>https://www.deeprobotics.cn</t>
        </is>
      </c>
      <c r="P50" s="152" t="inlineStr">
        <is>
          <t>≈ 5 ft 9 in class</t>
        </is>
      </c>
      <c r="Q50" s="152" t="n">
        <v>175</v>
      </c>
      <c r="R50" s="152" t="n">
        <v>143.3</v>
      </c>
      <c r="S50" s="152" t="n">
        <v>65</v>
      </c>
      <c r="T50" s="156" t="inlineStr">
        <is>
          <t>Not disclosed</t>
        </is>
      </c>
      <c r="U50" s="152" t="n"/>
      <c r="V50" s="152" t="inlineStr">
        <is>
          <t>Humanoid DOF class (confirm configuration)</t>
        </is>
      </c>
      <c r="W50" s="156" t="inlineStr">
        <is>
          <t>18</t>
        </is>
      </c>
      <c r="X50" s="152" t="n">
        <v>44.1</v>
      </c>
      <c r="Y50" s="152" t="n">
        <v>20</v>
      </c>
      <c r="Z50" s="152" t="n">
        <v>8.949999999999999</v>
      </c>
      <c r="AA50" s="152" t="n">
        <v>14.4</v>
      </c>
      <c r="AB50" s="152" t="n">
        <v>5.4</v>
      </c>
      <c r="AC50" s="156" t="inlineStr">
        <is>
          <t>≈ 2 hours</t>
        </is>
      </c>
      <c r="AD50" s="156" t="inlineStr">
        <is>
          <t>2</t>
        </is>
      </c>
      <c r="AE50" s="152" t="n"/>
      <c r="AF50" s="152" t="inlineStr">
        <is>
          <t>Not disclosed</t>
        </is>
      </c>
      <c r="AG50" s="156" t="inlineStr">
        <is>
          <t>Arm and gripper options for light industrial work</t>
        </is>
      </c>
      <c r="AH50" s="152" t="inlineStr">
        <is>
          <t>5 per hand</t>
        </is>
      </c>
      <c r="AI50" s="152" t="n"/>
      <c r="AJ50" s="156" t="inlineStr">
        <is>
          <t>Humanoid vision suite for industrial tasks</t>
        </is>
      </c>
      <c r="AK50" s="156" t="n"/>
      <c r="AL50" s="152" t="inlineStr">
        <is>
          <t>Not disclosed</t>
        </is>
      </c>
      <c r="AM50" s="152" t="n"/>
      <c r="AN50" s="152" t="inlineStr">
        <is>
          <t>Not disclosed</t>
        </is>
      </c>
      <c r="AO50" s="152" t="inlineStr">
        <is>
          <t>Not disclosed</t>
        </is>
      </c>
      <c r="AP50" s="152" t="inlineStr">
        <is>
          <t>Not disclosed</t>
        </is>
      </c>
      <c r="AQ50" s="152" t="inlineStr">
        <is>
          <t>Not disclosed</t>
        </is>
      </c>
      <c r="AR50" s="152" t="n"/>
      <c r="AS50" s="152" t="n"/>
      <c r="AT50" s="156" t="inlineStr">
        <is>
          <t>NVIDIA Jetson AGX Orin class, 275 TOPS</t>
        </is>
      </c>
      <c r="AU50" s="156" t="inlineStr">
        <is>
          <t>5G; Bluetooth; Wi-Fi</t>
        </is>
      </c>
      <c r="AV50" s="152" t="inlineStr">
        <is>
          <t>Deep Robotics humanoid software path</t>
        </is>
      </c>
      <c r="AW50" s="156" t="inlineStr">
        <is>
          <t>Bipedal walking; all-weather design notes</t>
        </is>
      </c>
      <c r="AX50" s="152" t="n"/>
      <c r="AY50" s="156" t="inlineStr">
        <is>
          <t>Not disclosed</t>
        </is>
      </c>
      <c r="AZ50" s="156" t="inlineStr">
        <is>
          <t>Yes</t>
        </is>
      </c>
      <c r="BA50" s="156" t="n"/>
      <c r="BB50" s="156" t="inlineStr">
        <is>
          <t>Electric servo actuators</t>
        </is>
      </c>
      <c r="BC50" s="156" t="inlineStr">
        <is>
          <t>Harmonic / Planetary reducers</t>
        </is>
      </c>
      <c r="BD50" s="152" t="inlineStr">
        <is>
          <t>Aluminum alloy with sealed polymer shell</t>
        </is>
      </c>
      <c r="BE50" s="152" t="inlineStr">
        <is>
          <t>IP66</t>
        </is>
      </c>
      <c r="BF50" s="152" t="inlineStr">
        <is>
          <t>IP66</t>
        </is>
      </c>
      <c r="BG50" s="152" t="n"/>
      <c r="BH50" s="152" t="n"/>
      <c r="BI50" s="152" t="n"/>
      <c r="BJ50" s="152" t="n"/>
      <c r="BK50" s="152" t="n"/>
      <c r="BL50" s="152" t="n"/>
      <c r="BM50" s="152" t="inlineStr">
        <is>
          <t>Yes</t>
        </is>
      </c>
      <c r="BN50" s="152" t="inlineStr">
        <is>
          <t>Not disclosed</t>
        </is>
      </c>
      <c r="BO50" s="156" t="inlineStr">
        <is>
          <t>Market: Industries; inspection; logistics; Research &amp; education · Human-safe: Yes · AI: Yes · Actuation: Electric servo actuators · Peak 14.4 km/h · Walk 5.4 km/h · Runtime 2</t>
        </is>
      </c>
      <c r="BP50" s="152" t="inlineStr">
        <is>
          <t>All-weather oriented industrial settings</t>
        </is>
      </c>
      <c r="BQ50" s="156" t="inlineStr">
        <is>
          <t>Industries; inspection; logistics; Research &amp; education</t>
        </is>
      </c>
      <c r="BR50" s="156" t="inlineStr">
        <is>
          <t>In production</t>
        </is>
      </c>
      <c r="BS50" s="156" t="inlineStr">
        <is>
          <t>In production</t>
        </is>
      </c>
      <c r="BT50" s="152" t="inlineStr">
        <is>
          <t>Black / dark grey</t>
        </is>
      </c>
      <c r="BU50" s="152" t="n"/>
      <c r="BV50" s="156" t="n"/>
      <c r="BW50" s="156" t="inlineStr">
        <is>
          <t>Origin &amp; status — China · In production · 2025 | Manipulation — Arm and gripper options for light industrial work · 5 per hand fingers · Hand DOF 18 · Payload ≈ 22–44 lb class | Sensing &amp; software — Humanoid vision suite for industrial tasks · Yes · Deep Robotics humanoid software path | Buying notes — From $75,600 · 12 months manufacturer standard (typical industrial quadruped/humanoid) · Best fit: Industries</t>
        </is>
      </c>
      <c r="BX50" s="156" t="inlineStr">
        <is>
          <t>dr02|DR02|75600|Industrial humanoid || dr02pro|DR02 Pro|95000|Higher package</t>
        </is>
      </c>
      <c r="BY50" s="152" t="inlineStr">
        <is>
          <t>orange|Industrial Orange|#ea580c|0 || black|All-weather Black|#1a1a1a|0</t>
        </is>
      </c>
      <c r="BZ50" s="152" t="inlineStr">
        <is>
          <t>case, warranty_dr02</t>
        </is>
      </c>
      <c r="CA50" s="156" t="inlineStr">
        <is>
          <t>2 configuration tiers; Add-ons: case; 2 color options; Multi-year extended warranty available</t>
        </is>
      </c>
      <c r="CB50" s="156" t="inlineStr">
        <is>
          <t>12 months manufacturer standard (typical industrial quadruped/humanoid)</t>
        </is>
      </c>
      <c r="CC50" s="154" t="n">
        <v>12</v>
      </c>
      <c r="CD50" s="156" t="inlineStr">
        <is>
          <t>+3 Year Extended ≈24% of configuration (default in configurator)</t>
        </is>
      </c>
      <c r="CE50" s="152" t="inlineStr">
        <is>
          <t>Industry norm for Deep Robotics class platforms</t>
        </is>
      </c>
      <c r="CF50" s="152" t="inlineStr">
        <is>
          <t>Estimated</t>
        </is>
      </c>
      <c r="CG50" s="156" t="inlineStr">
        <is>
          <t>Confirm exact term with authorized channel on quote.</t>
        </is>
      </c>
      <c r="CH50" s="152" t="inlineStr">
        <is>
          <t>10%</t>
        </is>
      </c>
      <c r="CI50" s="152" t="inlineStr">
        <is>
          <t>17%</t>
        </is>
      </c>
      <c r="CJ50" s="152" t="inlineStr">
        <is>
          <t>24%</t>
        </is>
      </c>
      <c r="CK50"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50"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50" s="152" t="inlineStr">
        <is>
          <t>12 months manufacturer standard (typical industrial quadruped/humanoid)</t>
        </is>
      </c>
      <c r="CN50" s="203" t="inlineStr">
        <is>
          <t>https://aixzd.com/robot/dr02</t>
        </is>
      </c>
      <c r="CQ50" s="101" t="inlineStr">
        <is>
          <t>Height: ≈ 5 ft 9 in class | Weight: 143.3 | Degrees of Freedom: Humanoid DOF class (confirm configuration) | Payload: 44.1 | Max Speed: 8.95 | Battery / Runtime: ≈ 2 hours</t>
        </is>
      </c>
    </row>
    <row r="51" ht="31.5" customHeight="1" s="102">
      <c r="A51" s="145" t="inlineStr">
        <is>
          <t>dexforce_technology_co_ltd_w1_pro</t>
        </is>
      </c>
      <c r="B51" s="153" t="inlineStr">
        <is>
          <t>Humanoid.guide</t>
        </is>
      </c>
      <c r="C51" s="145" t="inlineStr">
        <is>
          <t>DexForce Technology Co., Ltd.</t>
        </is>
      </c>
      <c r="D51" s="145" t="inlineStr">
        <is>
          <t>W1 Pro</t>
        </is>
      </c>
      <c r="E51" s="145" t="inlineStr">
        <is>
          <t>[DexForce Technology Co., Ltd.] W1 Pro (2026)</t>
        </is>
      </c>
      <c r="F51" s="146" t="inlineStr">
        <is>
          <t>humanoid</t>
        </is>
      </c>
      <c r="G51" s="145" t="inlineStr">
        <is>
          <t>China</t>
        </is>
      </c>
      <c r="H51" s="145" t="n"/>
      <c r="I51" s="148" t="n">
        <v>78000</v>
      </c>
      <c r="J51" s="145" t="inlineStr">
        <is>
          <t>Humanoid.guide list</t>
        </is>
      </c>
      <c r="K51" s="149" t="inlineStr">
        <is>
          <t>DexForce W1 Pro is an advanced wheeled humanoid robot platform that blends mobility, AI perception, and high-precision manipulation for industrial, service, and research applications.</t>
        </is>
      </c>
      <c r="L51" s="101" t="inlineStr">
        <is>
          <t>DexForce W1 Pro is an advanced wheeled humanoid robot platform that blends mobility, AI perception, and high-precision manipulation for industrial, service, and research applications.</t>
        </is>
      </c>
      <c r="M51" s="101" t="inlineStr">
        <is>
          <t>W1 Pro is DexForce Technology Co., Ltd.'s humanoid, introduced around 2026 in China. DexForce W1 Pro is an advanced wheeled humanoid robot platform that blends mobility, AI perception, and high-precision manipulation for industrial, service, and research applications. Public status is listed as production / business-ready (offered with delivery lead time), and it is positioned for industrial automation; logistics; manufacturing inspection; Service.</t>
        </is>
      </c>
      <c r="N51" s="150" t="inlineStr">
        <is>
          <t>https://humanoid.guide/product/w1-pro/</t>
        </is>
      </c>
      <c r="O51" s="150" t="inlineStr">
        <is>
          <t>https://en.dexforce.com/</t>
        </is>
      </c>
      <c r="P51" s="145" t="inlineStr">
        <is>
          <t>5 ft 4 in</t>
        </is>
      </c>
      <c r="Q51" s="145" t="n">
        <v>163</v>
      </c>
      <c r="R51" s="145" t="n">
        <v>242.5</v>
      </c>
      <c r="S51" s="145" t="n">
        <v>110</v>
      </c>
      <c r="T51" s="149" t="inlineStr">
        <is>
          <t>Not disclosed</t>
        </is>
      </c>
      <c r="U51" s="145" t="inlineStr">
        <is>
          <t>~170 × 90 × 75 cm</t>
        </is>
      </c>
      <c r="V51" s="145" t="inlineStr">
        <is>
          <t>34</t>
        </is>
      </c>
      <c r="W51" s="149" t="inlineStr">
        <is>
          <t>6 Active DOF and Humanoid 5 Fingers</t>
        </is>
      </c>
      <c r="X51" s="145" t="n">
        <v>22</v>
      </c>
      <c r="Y51" s="145" t="n">
        <v>10</v>
      </c>
      <c r="Z51" s="145" t="n">
        <v>3.36</v>
      </c>
      <c r="AA51" s="145" t="n">
        <v>5.4</v>
      </c>
      <c r="AB51" s="145" t="n"/>
      <c r="AC51" s="149" t="inlineStr">
        <is>
          <t>≈ 8 hours</t>
        </is>
      </c>
      <c r="AD51" s="149" t="inlineStr">
        <is>
          <t>8</t>
        </is>
      </c>
      <c r="AE51" s="145" t="n"/>
      <c r="AF51" s="145" t="inlineStr">
        <is>
          <t>Not disclosed</t>
        </is>
      </c>
      <c r="AG51" s="149" t="inlineStr">
        <is>
          <t>5 per hand</t>
        </is>
      </c>
      <c r="AH51" s="145" t="inlineStr">
        <is>
          <t>5 per hand</t>
        </is>
      </c>
      <c r="AI51" s="145" t="n"/>
      <c r="AJ51" s="149" t="inlineStr">
        <is>
          <t>Stereo Depth Camera</t>
        </is>
      </c>
      <c r="AK51" s="149" t="inlineStr">
        <is>
          <t>Stereo Depth Camera</t>
        </is>
      </c>
      <c r="AL51" s="145" t="inlineStr">
        <is>
          <t>Not disclosed</t>
        </is>
      </c>
      <c r="AM51" s="145" t="n"/>
      <c r="AN51" s="145" t="inlineStr">
        <is>
          <t>Not disclosed</t>
        </is>
      </c>
      <c r="AO51" s="145" t="inlineStr">
        <is>
          <t>Not disclosed</t>
        </is>
      </c>
      <c r="AP51" s="145" t="inlineStr">
        <is>
          <t>Not disclosed</t>
        </is>
      </c>
      <c r="AQ51" s="145" t="inlineStr">
        <is>
          <t>Not disclosed</t>
        </is>
      </c>
      <c r="AR51" s="145" t="n"/>
      <c r="AS51" s="145" t="n"/>
      <c r="AT51" s="149" t="inlineStr">
        <is>
          <t>≥ 300 TOPS dual-PC/AI processing architecture</t>
        </is>
      </c>
      <c r="AU51" s="149" t="inlineStr">
        <is>
          <t>Bluetooth; Ethernet; Wi-Fi 6</t>
        </is>
      </c>
      <c r="AV51" s="145" t="inlineStr">
        <is>
          <t>Not disclosed</t>
        </is>
      </c>
      <c r="AW51" s="149" t="inlineStr">
        <is>
          <t>Not disclosed</t>
        </is>
      </c>
      <c r="AX51" s="145" t="n"/>
      <c r="AY51" s="149" t="inlineStr">
        <is>
          <t>ROS-compatible + proprietary DexVerse/Sim2Real AI stack</t>
        </is>
      </c>
      <c r="AZ51" s="149" t="inlineStr">
        <is>
          <t>Possible via ROS and cloud teleop</t>
        </is>
      </c>
      <c r="BA51" s="149" t="inlineStr">
        <is>
          <t>Estimated below 100 ms (real-time control, EtherCAT)</t>
        </is>
      </c>
      <c r="BB51" s="149" t="inlineStr">
        <is>
          <t>Electric actuation with high-frequency (1000 Hz) control</t>
        </is>
      </c>
      <c r="BC51" s="149" t="inlineStr">
        <is>
          <t>High-precision transmission (industrial servos + EtherCAT feedback)</t>
        </is>
      </c>
      <c r="BD51" s="145" t="inlineStr">
        <is>
          <t>Industrial aluminum + engineering plastics</t>
        </is>
      </c>
      <c r="BE51" s="145" t="inlineStr">
        <is>
          <t>Not disclosed</t>
        </is>
      </c>
      <c r="BF51" s="145" t="n"/>
      <c r="BG51" s="145" t="n"/>
      <c r="BH51" s="145" t="n"/>
      <c r="BI51" s="145" t="n"/>
      <c r="BJ51" s="145" t="n"/>
      <c r="BK51" s="145" t="n"/>
      <c r="BL51" s="145" t="n"/>
      <c r="BM51" s="145" t="inlineStr">
        <is>
          <t>Yes</t>
        </is>
      </c>
      <c r="BN51" s="145" t="inlineStr">
        <is>
          <t>Not disclosed</t>
        </is>
      </c>
      <c r="BO51" s="149" t="inlineStr">
        <is>
          <t>Market: Industrial automation; logistics; manufacturing inspection; Service · Human-safe: Yes · AI: Possible via ROS and cloud teleop · Actuation: Electric actuation with high-frequency (1000 Hz) control · Peak 5.4 km/h · Runtime 8</t>
        </is>
      </c>
      <c r="BP51" s="145" t="n"/>
      <c r="BQ51" s="149" t="inlineStr">
        <is>
          <t>Industrial automation; logistics; manufacturing inspection; Service</t>
        </is>
      </c>
      <c r="BR51" s="149" t="inlineStr">
        <is>
          <t>Production / business-ready (offered with delivery lead time)</t>
        </is>
      </c>
      <c r="BS51" s="149" t="inlineStr">
        <is>
          <t>Production / business-ready (offered with delivery lead time)</t>
        </is>
      </c>
      <c r="BT51" s="145" t="inlineStr">
        <is>
          <t>Yellow/Black</t>
        </is>
      </c>
      <c r="BU51" s="145" t="inlineStr">
        <is>
          <t>Verified</t>
        </is>
      </c>
      <c r="BV51" s="149" t="n"/>
      <c r="BW51" s="149" t="inlineStr">
        <is>
          <t>Origin &amp; status — China · Production / business-ready (offered with delivery lead time) · 2026 | Manipulation — 5 per hand · 5 per hand fingers · Hand DOF 6 Active DOF and Humanoid 5 Fingers · Payload 22 lb | Sensing &amp; software — Stereo Depth Camera · Possible via ROS and cloud teleop · ROS-compatible + proprietary DexVerse/Sim2Real AI stack | Buying notes — From $78,000 · 12 months manufacturer standard (typical research/commercial humanoid) · Best fit: Industrial automation</t>
        </is>
      </c>
      <c r="BX51" s="149" t="inlineStr">
        <is>
          <t>as_shipped|W1 Pro|78000|As shipped</t>
        </is>
      </c>
      <c r="BY51" s="145" t="inlineStr">
        <is>
          <t>yellow|Yellow|#e2e8f0|0 || black|Black|#1e293b|0</t>
        </is>
      </c>
      <c r="BZ51" s="145" t="inlineStr"/>
      <c r="CA51" s="149" t="n"/>
      <c r="CB51" s="149" t="inlineStr">
        <is>
          <t>12 months manufacturer standard (typical research/commercial humanoid)</t>
        </is>
      </c>
      <c r="CC51" s="147" t="n">
        <v>12</v>
      </c>
      <c r="CD51" s="149" t="inlineStr">
        <is>
          <t>+3 Year Extended ≈24% of configuration (default in configurator)</t>
        </is>
      </c>
      <c r="CE51" s="145" t="inlineStr">
        <is>
          <t>Humanoid category norm 2025–2026</t>
        </is>
      </c>
      <c r="CF51" s="145" t="inlineStr">
        <is>
          <t>Estimated</t>
        </is>
      </c>
      <c r="CG51" s="149" t="inlineStr">
        <is>
          <t>Confirm on formal OEM quote. EDU or enterprise packages may differ.</t>
        </is>
      </c>
      <c r="CH51" s="145" t="inlineStr">
        <is>
          <t>10%</t>
        </is>
      </c>
      <c r="CI51" s="145" t="inlineStr">
        <is>
          <t>17%</t>
        </is>
      </c>
      <c r="CJ51" s="145" t="inlineStr">
        <is>
          <t>24%</t>
        </is>
      </c>
      <c r="CK51" s="149" t="inlineStr">
        <is>
          <t>+1yr ≈10% | +2yr ≈17% | +3yr ≈24% of selected configuration price (parts &amp; labor beyond manufacturer standard).</t>
        </is>
      </c>
      <c r="CL5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51" s="145" t="inlineStr">
        <is>
          <t>12 months manufacturer standard (typical research/commercial humanoid)</t>
        </is>
      </c>
      <c r="CQ51" s="101" t="inlineStr">
        <is>
          <t>Height: 5 ft 4 in | Weight: 242.5 | Degrees of Freedom: 34 | Payload: 22 | Max Speed: 3.36 | Battery / Runtime: ≈ 8 hours</t>
        </is>
      </c>
    </row>
    <row r="52" ht="31.5" customHeight="1" s="102">
      <c r="A52" s="159" t="inlineStr">
        <is>
          <t>dexmate_vega</t>
        </is>
      </c>
      <c r="B52" s="144" t="inlineStr">
        <is>
          <t>Both</t>
        </is>
      </c>
      <c r="C52" s="152" t="inlineStr">
        <is>
          <t>Dexmate</t>
        </is>
      </c>
      <c r="D52" s="152" t="inlineStr">
        <is>
          <t>Vega</t>
        </is>
      </c>
      <c r="E52" s="152" t="inlineStr">
        <is>
          <t>[Dexmate] Vega (2023)</t>
        </is>
      </c>
      <c r="F52" s="146" t="inlineStr">
        <is>
          <t>humanoid</t>
        </is>
      </c>
      <c r="G52" s="152" t="inlineStr">
        <is>
          <t>USA</t>
        </is>
      </c>
      <c r="H52" s="154" t="n">
        <v>2023</v>
      </c>
      <c r="I52" s="155" t="n">
        <v>50000</v>
      </c>
      <c r="J52" s="152" t="inlineStr">
        <is>
          <t>Website store</t>
        </is>
      </c>
      <c r="K52" s="156" t="inlineStr">
        <is>
          <t>Production-ready humanoid with 36 DOF, 15 kg-payload arms and 20 h runtime—powered by Intel x86 + Jetson Orin and an open ROS/Python stack.</t>
        </is>
      </c>
      <c r="L52" s="101" t="inlineStr">
        <is>
          <t>Production-ready humanoid with 36 DOF, 15 kg-payload arms and 20 h runtime—powered by Intel x86 + Jetson Orin and an open ROS/Python stack.</t>
        </is>
      </c>
      <c r="M52" s="101" t="inlineStr">
        <is>
          <t>Vega is Dexmate's humanoid, introduced around 2023 in USA. Production-ready humanoid with 36 DOF, 15 kg-payload arms and 20 h runtime—powered by Intel x86 + Jetson Orin and an open ROS/Python stack. Public status is listed as limited availability, and it is positioned for commercial (limited details).</t>
        </is>
      </c>
      <c r="N52" s="157" t="inlineStr">
        <is>
          <t>https://humanoid.guide/product/vega/</t>
        </is>
      </c>
      <c r="O52" s="152" t="inlineStr">
        <is>
          <t>https://www.dexmate.ai</t>
        </is>
      </c>
      <c r="P52" s="152" t="inlineStr">
        <is>
          <t>5 ft 7 in</t>
        </is>
      </c>
      <c r="Q52" s="152" t="n">
        <v>171</v>
      </c>
      <c r="R52" s="152" t="n">
        <v>297.6</v>
      </c>
      <c r="S52" s="152" t="n">
        <v>135</v>
      </c>
      <c r="T52" s="156" t="inlineStr">
        <is>
          <t>Not disclosed</t>
        </is>
      </c>
      <c r="U52" s="152" t="n"/>
      <c r="V52" s="152" t="inlineStr">
        <is>
          <t>36</t>
        </is>
      </c>
      <c r="W52" s="156" t="inlineStr">
        <is>
          <t>12</t>
        </is>
      </c>
      <c r="X52" s="152" t="n">
        <v>33.1</v>
      </c>
      <c r="Y52" s="152" t="n">
        <v>15</v>
      </c>
      <c r="Z52" s="152" t="n">
        <v>2.49</v>
      </c>
      <c r="AA52" s="152" t="n">
        <v>4</v>
      </c>
      <c r="AB52" s="152" t="n"/>
      <c r="AC52" s="156" t="inlineStr">
        <is>
          <t>≈ 20 hours</t>
        </is>
      </c>
      <c r="AD52" s="156" t="inlineStr">
        <is>
          <t>20</t>
        </is>
      </c>
      <c r="AE52" s="152" t="n"/>
      <c r="AF52" s="152" t="inlineStr">
        <is>
          <t>Not disclosed</t>
        </is>
      </c>
      <c r="AG52" s="156" t="inlineStr">
        <is>
          <t>Grippers or dexterous hands depending on configuration</t>
        </is>
      </c>
      <c r="AH52" s="152" t="inlineStr">
        <is>
          <t>10</t>
        </is>
      </c>
      <c r="AI52" s="158" t="n">
        <v>2</v>
      </c>
      <c r="AJ52" s="156" t="inlineStr">
        <is>
          <t>RGB and/or depth cameras for navigation and manipulation (configuration specific)</t>
        </is>
      </c>
      <c r="AK52" s="156" t="inlineStr">
        <is>
          <t>Not specified</t>
        </is>
      </c>
      <c r="AL52" s="152" t="inlineStr">
        <is>
          <t>Onboard streams for teleoperation and logging when equipped</t>
        </is>
      </c>
      <c r="AM52" s="152" t="n"/>
      <c r="AN52" s="152" t="inlineStr">
        <is>
          <t>Not disclosed</t>
        </is>
      </c>
      <c r="AO52" s="152" t="inlineStr">
        <is>
          <t>Microphone array on interaction-oriented builds</t>
        </is>
      </c>
      <c r="AP52" s="152" t="inlineStr">
        <is>
          <t>Not disclosed</t>
        </is>
      </c>
      <c r="AQ52" s="152" t="inlineStr">
        <is>
          <t>Not disclosed</t>
        </is>
      </c>
      <c r="AR52" s="152" t="n"/>
      <c r="AS52" s="152" t="n"/>
      <c r="AT52" s="156" t="inlineStr">
        <is>
          <t>Intel x86; Nvidia Jetson</t>
        </is>
      </c>
      <c r="AU52" s="156" t="inlineStr">
        <is>
          <t>Bluetooth; Ethernet; USB; WiFi</t>
        </is>
      </c>
      <c r="AV52" s="152" t="inlineStr">
        <is>
          <t>Manufacturer app and/or SDK</t>
        </is>
      </c>
      <c r="AW52" s="156" t="inlineStr">
        <is>
          <t>Bipedal balance and walking controllers</t>
        </is>
      </c>
      <c r="AX52" s="158" t="n">
        <v>2</v>
      </c>
      <c r="AY52" s="156" t="inlineStr">
        <is>
          <t>Linux</t>
        </is>
      </c>
      <c r="AZ52" s="156" t="inlineStr">
        <is>
          <t>Yes</t>
        </is>
      </c>
      <c r="BA52" s="156" t="inlineStr">
        <is>
          <t>Not specified</t>
        </is>
      </c>
      <c r="BB52" s="156" t="inlineStr">
        <is>
          <t>Brushless Motor</t>
        </is>
      </c>
      <c r="BC52" s="156" t="inlineStr">
        <is>
          <t>Harmonic Gear reduction</t>
        </is>
      </c>
      <c r="BD52" s="152" t="inlineStr">
        <is>
          <t>Aluminium</t>
        </is>
      </c>
      <c r="BE52" s="152" t="inlineStr">
        <is>
          <t>Not disclosed</t>
        </is>
      </c>
      <c r="BF52" s="152" t="inlineStr">
        <is>
          <t>Not specified</t>
        </is>
      </c>
      <c r="BG52" s="152" t="n"/>
      <c r="BH52" s="152" t="n"/>
      <c r="BI52" s="152" t="n"/>
      <c r="BJ52" s="152" t="n"/>
      <c r="BK52" s="152" t="n"/>
      <c r="BL52" s="152" t="n"/>
      <c r="BM52" s="152" t="inlineStr">
        <is>
          <t>Yes</t>
        </is>
      </c>
      <c r="BN52" s="152" t="inlineStr">
        <is>
          <t>Not disclosed</t>
        </is>
      </c>
      <c r="BO52" s="156" t="inlineStr">
        <is>
          <t>Market: Commercial (limited details) · Manipulation 2/4 · Navigation 2/4 · Human-safe: Yes · AI: Yes · Actuation: Brushless Motor · Peak 4 km/h · Runtime 20</t>
        </is>
      </c>
      <c r="BP52" s="152" t="n"/>
      <c r="BQ52" s="156" t="inlineStr">
        <is>
          <t>Commercial (limited details)</t>
        </is>
      </c>
      <c r="BR52" s="156" t="inlineStr">
        <is>
          <t>Limited availability</t>
        </is>
      </c>
      <c r="BS52" s="156" t="inlineStr">
        <is>
          <t>In production</t>
        </is>
      </c>
      <c r="BT52" s="152" t="n"/>
      <c r="BU52" s="152" t="inlineStr">
        <is>
          <t>Not verified</t>
        </is>
      </c>
      <c r="BV52" s="156" t="inlineStr">
        <is>
          <t>Early-stage US platform Humanoid.guide listed price $80,000.</t>
        </is>
      </c>
      <c r="BW52" s="156" t="inlineStr">
        <is>
          <t>Origin &amp; status — USA · Limited availability · 2023 | Manipulation — Grippers or dexterous hands depending on configuration · 10 fingers · Hand DOF 12 · Payload 33.1 lb (15 kg) | Sensing &amp; software — RGB and/or depth cameras for navigation and manipulation (configuration specific) · Yes · Linux · Manufacturer app and/or SDK | Buying notes — From $50,000 · 12 months manufacturer standard (typical research/commercial humanoid) · Best fit: Commercial (limited details)</t>
        </is>
      </c>
      <c r="BX52" s="156" t="inlineStr">
        <is>
          <t>as_shipped|Vega|50000|As shipped</t>
        </is>
      </c>
      <c r="BY52" s="152" t="inlineStr">
        <is>
          <t>vega|Manufacturer finish|#e2e8f0|0</t>
        </is>
      </c>
      <c r="BZ52" s="152" t="inlineStr"/>
      <c r="CA52" s="156" t="inlineStr">
        <is>
          <t>Add-ons: case; 2 color options; Multi-year extended warranty available</t>
        </is>
      </c>
      <c r="CB52" s="156" t="inlineStr">
        <is>
          <t>12 months manufacturer standard (typical research/commercial humanoid)</t>
        </is>
      </c>
      <c r="CC52" s="154" t="n">
        <v>12</v>
      </c>
      <c r="CD52" s="156" t="inlineStr">
        <is>
          <t>+3 Year Extended ≈24% of configuration (default in configurator)</t>
        </is>
      </c>
      <c r="CE52" s="152" t="inlineStr">
        <is>
          <t>Humanoid category norm 2025–2026</t>
        </is>
      </c>
      <c r="CF52" s="152" t="inlineStr">
        <is>
          <t>Estimated</t>
        </is>
      </c>
      <c r="CG52" s="156" t="inlineStr">
        <is>
          <t>EDU or enterprise packages may differ; confirm on formal quote.</t>
        </is>
      </c>
      <c r="CH52" s="152" t="inlineStr">
        <is>
          <t>10%</t>
        </is>
      </c>
      <c r="CI52" s="152" t="inlineStr">
        <is>
          <t>17%</t>
        </is>
      </c>
      <c r="CJ52" s="152" t="inlineStr">
        <is>
          <t>24%</t>
        </is>
      </c>
      <c r="CK52"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52"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52" s="152" t="inlineStr">
        <is>
          <t>12 months manufacturer standard (typical research/commercial humanoid)</t>
        </is>
      </c>
      <c r="CQ52" s="101" t="inlineStr">
        <is>
          <t>Height: 5 ft 7 in | Weight: 297.6 | Degrees of Freedom: 36 | Payload: 33.1 | Max Speed: 2.49 | Battery / Runtime: ≈ 20 hours</t>
        </is>
      </c>
    </row>
    <row r="53" ht="31.5" customHeight="1" s="102">
      <c r="A53" s="145" t="inlineStr">
        <is>
          <t>digit_robotics_nezha_p01</t>
        </is>
      </c>
      <c r="B53" s="153" t="inlineStr">
        <is>
          <t>Humanoid.guide</t>
        </is>
      </c>
      <c r="C53" s="145" t="inlineStr">
        <is>
          <t>Digit Robotics</t>
        </is>
      </c>
      <c r="D53" s="145" t="inlineStr">
        <is>
          <t>Nezha P01</t>
        </is>
      </c>
      <c r="E53" s="145" t="inlineStr">
        <is>
          <t>[Digit Robotics] Nezha P01 (2026)</t>
        </is>
      </c>
      <c r="F53" s="146" t="inlineStr">
        <is>
          <t>humanoid</t>
        </is>
      </c>
      <c r="G53" s="145" t="inlineStr">
        <is>
          <t>China</t>
        </is>
      </c>
      <c r="H53" s="145" t="n"/>
      <c r="I53" s="148" t="n">
        <v>80000</v>
      </c>
      <c r="J53" s="145" t="inlineStr">
        <is>
          <t>Humanoid.guide list</t>
        </is>
      </c>
      <c r="K53" s="149" t="inlineStr">
        <is>
          <t>Nezha P01 is a full-size humanoid robot built for embodied AI research, dynamic mobility testing, and advanced human-like interaction experiments.</t>
        </is>
      </c>
      <c r="L53" s="101" t="inlineStr">
        <is>
          <t>Nezha P01 is a full-size humanoid robot built for embodied AI research, dynamic mobility testing, and advanced human-like interaction experiments.</t>
        </is>
      </c>
      <c r="M53" s="101" t="inlineStr">
        <is>
          <t>Nezha P01 is a full-size humanoid robot built for embodied AI research, dynamic mobility testing, and advanced human-like interaction experiments. Public status is listed as prototype, and it is positioned for research, education, AI labs.</t>
        </is>
      </c>
      <c r="N53" s="150" t="inlineStr">
        <is>
          <t>https://humanoid.guide/product/nezha-p01/</t>
        </is>
      </c>
      <c r="O53" s="150" t="inlineStr">
        <is>
          <t>https://www.digit.com.cn</t>
        </is>
      </c>
      <c r="P53" s="145" t="inlineStr">
        <is>
          <t>4 ft 9 in</t>
        </is>
      </c>
      <c r="Q53" s="145" t="n">
        <v>145</v>
      </c>
      <c r="R53" s="145" t="n">
        <v>143.3</v>
      </c>
      <c r="S53" s="145" t="n">
        <v>65</v>
      </c>
      <c r="T53" s="149" t="inlineStr">
        <is>
          <t>Not disclosed</t>
        </is>
      </c>
      <c r="U53" s="145" t="n"/>
      <c r="V53" s="145" t="inlineStr">
        <is>
          <t>54</t>
        </is>
      </c>
      <c r="W53" s="149" t="inlineStr">
        <is>
          <t>11 per hand</t>
        </is>
      </c>
      <c r="X53" s="145" t="n">
        <v>2.2</v>
      </c>
      <c r="Y53" s="145" t="n">
        <v>1</v>
      </c>
      <c r="Z53" s="145" t="n">
        <v>1.24</v>
      </c>
      <c r="AA53" s="145" t="n">
        <v>2</v>
      </c>
      <c r="AB53" s="145" t="n">
        <v>2</v>
      </c>
      <c r="AC53" s="149" t="inlineStr">
        <is>
          <t>≈ 10 hours</t>
        </is>
      </c>
      <c r="AD53" s="149" t="inlineStr">
        <is>
          <t>10</t>
        </is>
      </c>
      <c r="AE53" s="145" t="n"/>
      <c r="AF53" s="145" t="inlineStr">
        <is>
          <t>Not disclosed</t>
        </is>
      </c>
      <c r="AG53" s="149" t="inlineStr">
        <is>
          <t>5 per hand</t>
        </is>
      </c>
      <c r="AH53" s="145" t="inlineStr">
        <is>
          <t>5 per hand</t>
        </is>
      </c>
      <c r="AI53" s="145" t="n"/>
      <c r="AJ53" s="149" t="inlineStr">
        <is>
          <t>Not disclosed</t>
        </is>
      </c>
      <c r="AK53" s="149" t="n"/>
      <c r="AL53" s="145" t="inlineStr">
        <is>
          <t>Not disclosed</t>
        </is>
      </c>
      <c r="AM53" s="145" t="n"/>
      <c r="AN53" s="145" t="inlineStr">
        <is>
          <t>Not disclosed</t>
        </is>
      </c>
      <c r="AO53" s="145" t="inlineStr">
        <is>
          <t>Not disclosed</t>
        </is>
      </c>
      <c r="AP53" s="145" t="inlineStr">
        <is>
          <t>Not disclosed</t>
        </is>
      </c>
      <c r="AQ53" s="145" t="inlineStr">
        <is>
          <t>Not disclosed</t>
        </is>
      </c>
      <c r="AR53" s="145" t="n"/>
      <c r="AS53" s="145" t="n"/>
      <c r="AT53" s="149" t="inlineStr">
        <is>
          <t>Not disclosed</t>
        </is>
      </c>
      <c r="AU53" s="149" t="inlineStr">
        <is>
          <t>Ethernet; Wi‑Fi</t>
        </is>
      </c>
      <c r="AV53" s="145" t="inlineStr">
        <is>
          <t>Not disclosed</t>
        </is>
      </c>
      <c r="AW53" s="149" t="inlineStr">
        <is>
          <t>Not disclosed</t>
        </is>
      </c>
      <c r="AX53" s="145" t="n"/>
      <c r="AY53" s="149" t="inlineStr">
        <is>
          <t>Linux-based robotics framework (likely ROS/ROS2)</t>
        </is>
      </c>
      <c r="AZ53" s="149" t="inlineStr">
        <is>
          <t>Possible via external AI integration</t>
        </is>
      </c>
      <c r="BA53" s="149" t="n"/>
      <c r="BB53" s="149" t="inlineStr">
        <is>
          <t>High-torque electric servo actuators</t>
        </is>
      </c>
      <c r="BC53" s="149" t="inlineStr">
        <is>
          <t>Harmonic or precision planetary gear drives</t>
        </is>
      </c>
      <c r="BD53" s="145" t="inlineStr">
        <is>
          <t>Aluminum alloy frame with lightweight composite panels</t>
        </is>
      </c>
      <c r="BE53" s="145" t="inlineStr">
        <is>
          <t>Not disclosed</t>
        </is>
      </c>
      <c r="BF53" s="145" t="n"/>
      <c r="BG53" s="145" t="n"/>
      <c r="BH53" s="145" t="n"/>
      <c r="BI53" s="145" t="n"/>
      <c r="BJ53" s="145" t="n"/>
      <c r="BK53" s="145" t="n"/>
      <c r="BL53" s="145" t="n"/>
      <c r="BM53" s="145" t="inlineStr">
        <is>
          <t>Yes</t>
        </is>
      </c>
      <c r="BN53" s="145" t="inlineStr">
        <is>
          <t>Not disclosed</t>
        </is>
      </c>
      <c r="BO53" s="149" t="inlineStr">
        <is>
          <t>Market: Research, education, AI labs · Human-safe: Yes · AI: Possible via external AI integration · Actuation: High-torque electric servo actuators · Peak 2 km/h · Walk 2 km/h · Runtime 10</t>
        </is>
      </c>
      <c r="BP53" s="145" t="n"/>
      <c r="BQ53" s="149" t="inlineStr">
        <is>
          <t>Research, education, AI labs</t>
        </is>
      </c>
      <c r="BR53" s="149" t="inlineStr">
        <is>
          <t>Prototype</t>
        </is>
      </c>
      <c r="BS53" s="149" t="inlineStr">
        <is>
          <t>Prototype</t>
        </is>
      </c>
      <c r="BT53" s="145" t="inlineStr">
        <is>
          <t>Red / Silver / Pink / Blue / Orange</t>
        </is>
      </c>
      <c r="BU53" s="145" t="inlineStr">
        <is>
          <t>Not verified</t>
        </is>
      </c>
      <c r="BV53" s="149" t="n"/>
      <c r="BW53" s="149" t="inlineStr">
        <is>
          <t>Origin &amp; status — China · Prototype · 2026 | Manipulation — 5 per hand · 5 per hand fingers · Hand DOF 11 per hand · Payload 2.2 lb | Sensing &amp; software — Possible via external AI integration · Linux-based robotics framework (likely ROS/ROS2) | Buying notes — From $80,000 · 12 months manufacturer standard (typical research/commercial humanoid) · Best fit: Research, education, AI labs</t>
        </is>
      </c>
      <c r="BX53" s="149" t="inlineStr">
        <is>
          <t>as_shipped|Nezha P01|80000|As shipped</t>
        </is>
      </c>
      <c r="BY53" s="145" t="inlineStr">
        <is>
          <t>red|Red|#e2e8f0|0 || silver|Silver|#1e293b|0 || pink|Pink|#0891b2|0 || blue|Blue|#f8fafc|0 || orange|Orange|#7c3aed|0</t>
        </is>
      </c>
      <c r="BZ53" s="145" t="inlineStr"/>
      <c r="CA53" s="149" t="n"/>
      <c r="CB53" s="149" t="inlineStr">
        <is>
          <t>12 months manufacturer standard (typical research/commercial humanoid)</t>
        </is>
      </c>
      <c r="CC53" s="147" t="n">
        <v>12</v>
      </c>
      <c r="CD53" s="149" t="inlineStr">
        <is>
          <t>+3 Year Extended ≈24% of configuration (default in configurator)</t>
        </is>
      </c>
      <c r="CE53" s="145" t="inlineStr">
        <is>
          <t>Humanoid category norm 2025–2026</t>
        </is>
      </c>
      <c r="CF53" s="145" t="inlineStr">
        <is>
          <t>Estimated</t>
        </is>
      </c>
      <c r="CG53" s="149" t="inlineStr">
        <is>
          <t>Confirm on formal OEM quote. EDU or enterprise packages may differ.</t>
        </is>
      </c>
      <c r="CH53" s="145" t="inlineStr">
        <is>
          <t>10%</t>
        </is>
      </c>
      <c r="CI53" s="145" t="inlineStr">
        <is>
          <t>17%</t>
        </is>
      </c>
      <c r="CJ53" s="145" t="inlineStr">
        <is>
          <t>24%</t>
        </is>
      </c>
      <c r="CK53" s="149" t="inlineStr">
        <is>
          <t>+1yr ≈10% | +2yr ≈17% | +3yr ≈24% of selected configuration price (parts &amp; labor beyond manufacturer standard).</t>
        </is>
      </c>
      <c r="CL53"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53" s="145" t="inlineStr">
        <is>
          <t>12 months manufacturer standard (typical research/commercial humanoid)</t>
        </is>
      </c>
      <c r="CO53" s="203" t="inlineStr">
        <is>
          <t>https://theresanaiforthat.com/robots/</t>
        </is>
      </c>
      <c r="CP53" s="203" t="inlineStr">
        <is>
          <t>Cross-checked against TAAFT Robots directory (669 entries) 28 Aug 2026 — individual TAAFT permalinks are JS/Cloudflare gated.</t>
        </is>
      </c>
      <c r="CQ53" s="101" t="inlineStr">
        <is>
          <t>Height: 4 ft 9 in | Weight: 143.3 | Degrees of Freedom: 54 | Payload: 2.2 | Max Speed: 1.24 | Battery / Runtime: ≈ 10 hours</t>
        </is>
      </c>
    </row>
    <row r="54" ht="31.5" customHeight="1" s="102">
      <c r="A54" s="152" t="inlineStr">
        <is>
          <t>digit_robotics_xialan_s0</t>
        </is>
      </c>
      <c r="B54" s="153" t="inlineStr">
        <is>
          <t>Humanoid.guide</t>
        </is>
      </c>
      <c r="C54" s="152" t="inlineStr">
        <is>
          <t>Digit Robotics</t>
        </is>
      </c>
      <c r="D54" s="152" t="inlineStr">
        <is>
          <t>Xialan S0</t>
        </is>
      </c>
      <c r="E54" s="152" t="inlineStr">
        <is>
          <t>[Digit Robotics] Xialan S0 (2026)</t>
        </is>
      </c>
      <c r="F54" s="146" t="inlineStr">
        <is>
          <t>humanoid</t>
        </is>
      </c>
      <c r="G54" s="152" t="inlineStr">
        <is>
          <t>China</t>
        </is>
      </c>
      <c r="H54" s="152" t="n"/>
      <c r="I54" s="155" t="n">
        <v>90000</v>
      </c>
      <c r="J54" s="152" t="inlineStr">
        <is>
          <t>Humanoid.guide list</t>
        </is>
      </c>
      <c r="K54" s="156" t="inlineStr">
        <is>
          <t>Xialan S0 is a 169 cm full-size humanoid robot with 40+ degrees of freedom, designed for embodied AI research and advanced motion control development.</t>
        </is>
      </c>
      <c r="L54" s="101" t="inlineStr">
        <is>
          <t>Xialan S0 is a 169 cm full-size humanoid robot with 40+ degrees of freedom, designed for embodied AI research and advanced motion control development.</t>
        </is>
      </c>
      <c r="M54" s="101" t="inlineStr">
        <is>
          <t>Xialan S0 is a 169 cm full-size humanoid robot with 40+ degrees of freedom, designed for embodied AI research and advanced motion control development. Public status is listed as prototype, and it is positioned for academic institutions; embodied AI development; Robotics research.</t>
        </is>
      </c>
      <c r="N54" s="157" t="inlineStr">
        <is>
          <t>https://humanoid.guide/product/xialan-s0/</t>
        </is>
      </c>
      <c r="O54" s="157" t="inlineStr">
        <is>
          <t>https://www.digit.com.cn</t>
        </is>
      </c>
      <c r="P54" s="152" t="inlineStr">
        <is>
          <t>5 ft 7 in</t>
        </is>
      </c>
      <c r="Q54" s="152" t="n">
        <v>169</v>
      </c>
      <c r="R54" s="152" t="n"/>
      <c r="S54" s="152" t="n"/>
      <c r="T54" s="156" t="inlineStr">
        <is>
          <t>Not disclosed</t>
        </is>
      </c>
      <c r="U54" s="152" t="n"/>
      <c r="V54" s="152" t="inlineStr">
        <is>
          <t>40+</t>
        </is>
      </c>
      <c r="W54" s="156" t="inlineStr">
        <is>
          <t>29+</t>
        </is>
      </c>
      <c r="X54" s="152" t="n">
        <v>17.6</v>
      </c>
      <c r="Y54" s="152" t="n">
        <v>8</v>
      </c>
      <c r="Z54" s="152" t="n">
        <v>2.8</v>
      </c>
      <c r="AA54" s="152" t="n">
        <v>4.5</v>
      </c>
      <c r="AB54" s="152" t="n">
        <v>4</v>
      </c>
      <c r="AC54" s="156" t="inlineStr">
        <is>
          <t>≈ 2 hours</t>
        </is>
      </c>
      <c r="AD54" s="156" t="inlineStr">
        <is>
          <t>2</t>
        </is>
      </c>
      <c r="AE54" s="152" t="n"/>
      <c r="AF54" s="152" t="inlineStr">
        <is>
          <t>Not disclosed</t>
        </is>
      </c>
      <c r="AG54" s="156" t="inlineStr">
        <is>
          <t>5 per hand</t>
        </is>
      </c>
      <c r="AH54" s="152" t="inlineStr">
        <is>
          <t>5 per hand</t>
        </is>
      </c>
      <c r="AI54" s="152" t="n"/>
      <c r="AJ54" s="156" t="inlineStr">
        <is>
          <t>Not disclosed</t>
        </is>
      </c>
      <c r="AK54" s="156" t="n"/>
      <c r="AL54" s="152" t="inlineStr">
        <is>
          <t>Not disclosed</t>
        </is>
      </c>
      <c r="AM54" s="152" t="n"/>
      <c r="AN54" s="152" t="inlineStr">
        <is>
          <t>Not disclosed</t>
        </is>
      </c>
      <c r="AO54" s="152" t="inlineStr">
        <is>
          <t>Not disclosed</t>
        </is>
      </c>
      <c r="AP54" s="152" t="inlineStr">
        <is>
          <t>Not disclosed</t>
        </is>
      </c>
      <c r="AQ54" s="152" t="inlineStr">
        <is>
          <t>Not disclosed</t>
        </is>
      </c>
      <c r="AR54" s="152" t="n"/>
      <c r="AS54" s="152" t="n"/>
      <c r="AT54" s="156" t="inlineStr">
        <is>
          <t>Not disclosed</t>
        </is>
      </c>
      <c r="AU54" s="156" t="inlineStr">
        <is>
          <t>Ethernet; Wi‑Fi</t>
        </is>
      </c>
      <c r="AV54" s="152" t="inlineStr">
        <is>
          <t>Not disclosed</t>
        </is>
      </c>
      <c r="AW54" s="156" t="inlineStr">
        <is>
          <t>Not disclosed</t>
        </is>
      </c>
      <c r="AX54" s="152" t="n"/>
      <c r="AY54" s="156" t="inlineStr">
        <is>
          <t>Linux-based robotics framework (likely ROS/ROS2)</t>
        </is>
      </c>
      <c r="AZ54" s="156" t="inlineStr">
        <is>
          <t>Possible via external AI integration</t>
        </is>
      </c>
      <c r="BA54" s="156" t="n"/>
      <c r="BB54" s="156" t="inlineStr">
        <is>
          <t>High-torque electric servo actuators</t>
        </is>
      </c>
      <c r="BC54" s="156" t="inlineStr">
        <is>
          <t>Harmonic drive systems</t>
        </is>
      </c>
      <c r="BD54" s="152" t="inlineStr">
        <is>
          <t>Aluminum alloy frame with composite outer panels</t>
        </is>
      </c>
      <c r="BE54" s="152" t="inlineStr">
        <is>
          <t>Not disclosed</t>
        </is>
      </c>
      <c r="BF54" s="152" t="n"/>
      <c r="BG54" s="152" t="n"/>
      <c r="BH54" s="152" t="n"/>
      <c r="BI54" s="152" t="n"/>
      <c r="BJ54" s="152" t="n"/>
      <c r="BK54" s="152" t="n"/>
      <c r="BL54" s="152" t="n"/>
      <c r="BM54" s="152" t="inlineStr">
        <is>
          <t>Yes</t>
        </is>
      </c>
      <c r="BN54" s="152" t="inlineStr">
        <is>
          <t>Not disclosed</t>
        </is>
      </c>
      <c r="BO54" s="156" t="inlineStr">
        <is>
          <t>Market: academic institutions; embodied AI development; Robotics research · Human-safe: Yes · AI: Possible via external AI integration · Actuation: High-torque electric servo actuators · Peak 4.5 km/h · Walk 4 km/h · Runtime 2</t>
        </is>
      </c>
      <c r="BP54" s="152" t="n"/>
      <c r="BQ54" s="156" t="inlineStr">
        <is>
          <t>academic institutions; embodied AI development; Robotics research</t>
        </is>
      </c>
      <c r="BR54" s="156" t="inlineStr">
        <is>
          <t>Prototype</t>
        </is>
      </c>
      <c r="BS54" s="156" t="inlineStr">
        <is>
          <t>Prototype</t>
        </is>
      </c>
      <c r="BT54" s="152" t="inlineStr">
        <is>
          <t>Red</t>
        </is>
      </c>
      <c r="BU54" s="152" t="inlineStr">
        <is>
          <t>Not verified</t>
        </is>
      </c>
      <c r="BV54" s="156" t="n"/>
      <c r="BW54" s="156" t="inlineStr">
        <is>
          <t>Origin &amp; status — China · Prototype · 2026 | Manipulation — 5 per hand · 5 per hand fingers · Hand DOF 29+ · Payload 17.6 lb | Sensing &amp; software — Possible via external AI integration · Linux-based robotics framework (likely ROS/ROS2) | Buying notes — From $90,000 · 12 months manufacturer standard (typical research/commercial humanoid) · Best fit: academic institutions</t>
        </is>
      </c>
      <c r="BX54" s="156" t="inlineStr">
        <is>
          <t>as_shipped|Xialan S0|90000|As shipped</t>
        </is>
      </c>
      <c r="BY54" s="152" t="inlineStr">
        <is>
          <t>red|Red|#e2e8f0|0</t>
        </is>
      </c>
      <c r="BZ54" s="152" t="inlineStr"/>
      <c r="CA54" s="156" t="n"/>
      <c r="CB54" s="156" t="inlineStr">
        <is>
          <t>12 months manufacturer standard (typical research/commercial humanoid)</t>
        </is>
      </c>
      <c r="CC54" s="154" t="n">
        <v>12</v>
      </c>
      <c r="CD54" s="156" t="inlineStr">
        <is>
          <t>+3 Year Extended ≈24% of configuration (default in configurator)</t>
        </is>
      </c>
      <c r="CE54" s="152" t="inlineStr">
        <is>
          <t>Humanoid category norm 2025–2026</t>
        </is>
      </c>
      <c r="CF54" s="152" t="inlineStr">
        <is>
          <t>Estimated</t>
        </is>
      </c>
      <c r="CG54" s="156" t="inlineStr">
        <is>
          <t>Confirm on formal OEM quote. EDU or enterprise packages may differ.</t>
        </is>
      </c>
      <c r="CH54" s="152" t="inlineStr">
        <is>
          <t>10%</t>
        </is>
      </c>
      <c r="CI54" s="152" t="inlineStr">
        <is>
          <t>17%</t>
        </is>
      </c>
      <c r="CJ54" s="152" t="inlineStr">
        <is>
          <t>24%</t>
        </is>
      </c>
      <c r="CK54" s="156" t="inlineStr">
        <is>
          <t>+1yr ≈10% | +2yr ≈17% | +3yr ≈24% of selected configuration price (parts &amp; labor beyond manufacturer standard).</t>
        </is>
      </c>
      <c r="CL54"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54" s="152" t="inlineStr">
        <is>
          <t>12 months manufacturer standard (typical research/commercial humanoid)</t>
        </is>
      </c>
      <c r="CO54" s="203" t="inlineStr">
        <is>
          <t>https://theresanaiforthat.com/robots/</t>
        </is>
      </c>
      <c r="CP54" s="203" t="inlineStr">
        <is>
          <t>Cross-checked against TAAFT Robots directory (669 entries) 28 Aug 2026 — individual TAAFT permalinks are JS/Cloudflare gated.</t>
        </is>
      </c>
      <c r="CQ54" s="101" t="inlineStr">
        <is>
          <t>Height: 5 ft 7 in | Weight: Not disclosed | Degrees of Freedom: 40+ | Payload: 17.6 | Max Speed: 2.8 | Battery / Runtime: ≈ 2 hours</t>
        </is>
      </c>
    </row>
    <row r="55" ht="31.5" customHeight="1" s="102">
      <c r="A55" s="145" t="inlineStr">
        <is>
          <t>digit_robotics_xiaqi</t>
        </is>
      </c>
      <c r="B55" s="153" t="inlineStr">
        <is>
          <t>Humanoid.guide</t>
        </is>
      </c>
      <c r="C55" s="145" t="inlineStr">
        <is>
          <t>Digit Robotics</t>
        </is>
      </c>
      <c r="D55" s="145" t="inlineStr">
        <is>
          <t>XiaQi</t>
        </is>
      </c>
      <c r="E55" s="145" t="inlineStr">
        <is>
          <t>[Digit Robotics] XiaQi (2026)</t>
        </is>
      </c>
      <c r="F55" s="146" t="inlineStr">
        <is>
          <t>humanoid</t>
        </is>
      </c>
      <c r="G55" s="145" t="inlineStr">
        <is>
          <t>China</t>
        </is>
      </c>
      <c r="H55" s="145" t="n"/>
      <c r="I55" s="148" t="n">
        <v>75000</v>
      </c>
      <c r="J55" s="145" t="inlineStr">
        <is>
          <t>Humanoid.guide list</t>
        </is>
      </c>
      <c r="K55" s="149" t="inlineStr">
        <is>
          <t>XiaQi is a 169 cm humanoid robot with 40+ degrees of freedom, built for intelligent interaction, guided services, and AI-driven public engagement.</t>
        </is>
      </c>
      <c r="L55" s="101" t="inlineStr">
        <is>
          <t>XiaQi is a 169 cm humanoid robot with 40+ degrees of freedom, built for intelligent interaction, guided services, and AI-driven public engagement.</t>
        </is>
      </c>
      <c r="M55" s="101" t="inlineStr">
        <is>
          <t>XiaQi is a 169 cm humanoid robot with 40+ degrees of freedom, built for intelligent interaction, guided services, and AI-driven public engagement. Public status is listed as production platform for commercial and exhibition deployment, and it is positioned for exhibition guidance; marketing service; public demonstrations; reception.</t>
        </is>
      </c>
      <c r="N55" s="150" t="inlineStr">
        <is>
          <t>https://humanoid.guide/product/xiaqi/</t>
        </is>
      </c>
      <c r="O55" s="150" t="inlineStr">
        <is>
          <t>https://www.digit.com.cn</t>
        </is>
      </c>
      <c r="P55" s="145" t="inlineStr">
        <is>
          <t>5 ft 7 in</t>
        </is>
      </c>
      <c r="Q55" s="145" t="n">
        <v>169</v>
      </c>
      <c r="R55" s="145" t="n">
        <v>152.1</v>
      </c>
      <c r="S55" s="145" t="n">
        <v>69</v>
      </c>
      <c r="T55" s="149" t="inlineStr">
        <is>
          <t>Not disclosed</t>
        </is>
      </c>
      <c r="U55" s="145" t="n"/>
      <c r="V55" s="145" t="inlineStr">
        <is>
          <t>40+</t>
        </is>
      </c>
      <c r="W55" s="149" t="inlineStr">
        <is>
          <t>29+</t>
        </is>
      </c>
      <c r="X55" s="145" t="n">
        <v>4.4</v>
      </c>
      <c r="Y55" s="145" t="n">
        <v>2</v>
      </c>
      <c r="Z55" s="145" t="n">
        <v>2.8</v>
      </c>
      <c r="AA55" s="145" t="n">
        <v>4.5</v>
      </c>
      <c r="AB55" s="145" t="n">
        <v>4</v>
      </c>
      <c r="AC55" s="149" t="inlineStr">
        <is>
          <t>≈ 2 hours</t>
        </is>
      </c>
      <c r="AD55" s="149" t="inlineStr">
        <is>
          <t>2</t>
        </is>
      </c>
      <c r="AE55" s="145" t="n"/>
      <c r="AF55" s="145" t="inlineStr">
        <is>
          <t>Not disclosed</t>
        </is>
      </c>
      <c r="AG55" s="149" t="inlineStr">
        <is>
          <t>5 per hand</t>
        </is>
      </c>
      <c r="AH55" s="145" t="inlineStr">
        <is>
          <t>5 per hand</t>
        </is>
      </c>
      <c r="AI55" s="145" t="n"/>
      <c r="AJ55" s="149" t="inlineStr">
        <is>
          <t>Not disclosed</t>
        </is>
      </c>
      <c r="AK55" s="149" t="n"/>
      <c r="AL55" s="145" t="inlineStr">
        <is>
          <t>Not disclosed</t>
        </is>
      </c>
      <c r="AM55" s="145" t="n"/>
      <c r="AN55" s="145" t="inlineStr">
        <is>
          <t>Not disclosed</t>
        </is>
      </c>
      <c r="AO55" s="145" t="inlineStr">
        <is>
          <t>Not disclosed</t>
        </is>
      </c>
      <c r="AP55" s="145" t="inlineStr">
        <is>
          <t>Not disclosed</t>
        </is>
      </c>
      <c r="AQ55" s="145" t="inlineStr">
        <is>
          <t>Not disclosed</t>
        </is>
      </c>
      <c r="AR55" s="145" t="n"/>
      <c r="AS55" s="145" t="n"/>
      <c r="AT55" s="149" t="inlineStr">
        <is>
          <t>Embedded high-performance AI compute platform</t>
        </is>
      </c>
      <c r="AU55" s="149" t="inlineStr">
        <is>
          <t>Ethernet; Wi‑Fi</t>
        </is>
      </c>
      <c r="AV55" s="145" t="inlineStr">
        <is>
          <t>Not disclosed</t>
        </is>
      </c>
      <c r="AW55" s="149" t="inlineStr">
        <is>
          <t>Not disclosed</t>
        </is>
      </c>
      <c r="AX55" s="145" t="n"/>
      <c r="AY55" s="149" t="inlineStr">
        <is>
          <t>Linux-based robotics framework (likely ROS/ROS2)</t>
        </is>
      </c>
      <c r="AZ55" s="149" t="inlineStr">
        <is>
          <t>Possible via external AI integration</t>
        </is>
      </c>
      <c r="BA55" s="149" t="n"/>
      <c r="BB55" s="149" t="inlineStr">
        <is>
          <t>High-performance electric servo motors</t>
        </is>
      </c>
      <c r="BC55" s="149" t="inlineStr">
        <is>
          <t>Precision harmonic drive systems</t>
        </is>
      </c>
      <c r="BD55" s="145" t="inlineStr">
        <is>
          <t>Aluminum alloy frame with composite outer shell</t>
        </is>
      </c>
      <c r="BE55" s="145" t="inlineStr">
        <is>
          <t>Not disclosed</t>
        </is>
      </c>
      <c r="BF55" s="145" t="n"/>
      <c r="BG55" s="145" t="n"/>
      <c r="BH55" s="145" t="n"/>
      <c r="BI55" s="145" t="n"/>
      <c r="BJ55" s="145" t="n"/>
      <c r="BK55" s="145" t="n"/>
      <c r="BL55" s="145" t="n"/>
      <c r="BM55" s="145" t="inlineStr">
        <is>
          <t>Yes</t>
        </is>
      </c>
      <c r="BN55" s="145" t="inlineStr">
        <is>
          <t>Not disclosed</t>
        </is>
      </c>
      <c r="BO55" s="149" t="inlineStr">
        <is>
          <t>Market: Exhibition guidance; marketing service; public demonstrations; reception · Human-safe: Yes · AI: Possible via external AI integration · Actuation: High-performance electric servo motors · Peak 4.5 km/h · Walk 4 km/h · Runtime 2</t>
        </is>
      </c>
      <c r="BP55" s="145" t="n"/>
      <c r="BQ55" s="149" t="inlineStr">
        <is>
          <t>Exhibition guidance; marketing service; public demonstrations; reception</t>
        </is>
      </c>
      <c r="BR55" s="149" t="inlineStr">
        <is>
          <t>Production platform for commercial and exhibition deployment</t>
        </is>
      </c>
      <c r="BS55" s="149" t="inlineStr">
        <is>
          <t>Production platform for commercial and exhibition deployment</t>
        </is>
      </c>
      <c r="BT55" s="145" t="inlineStr">
        <is>
          <t>Blue</t>
        </is>
      </c>
      <c r="BU55" s="145" t="inlineStr">
        <is>
          <t>Not verified</t>
        </is>
      </c>
      <c r="BV55" s="149" t="n"/>
      <c r="BW55" s="149" t="inlineStr">
        <is>
          <t>Origin &amp; status — China · Production platform for commercial and exhibition deployment · 2026 | Manipulation — 5 per hand · 5 per hand fingers · Hand DOF 29+ · Payload 4.4 lb | Sensing &amp; software — Possible via external AI integration · Linux-based robotics framework (likely ROS/ROS2) | Buying notes — From $75,000 · 12 months manufacturer standard (typical research/commercial humanoid) · Best fit: Exhibition guidance</t>
        </is>
      </c>
      <c r="BX55" s="149" t="inlineStr">
        <is>
          <t>as_shipped|XiaQi|75000|As shipped</t>
        </is>
      </c>
      <c r="BY55" s="145" t="inlineStr">
        <is>
          <t>blue|Blue|#e2e8f0|0</t>
        </is>
      </c>
      <c r="BZ55" s="145" t="inlineStr"/>
      <c r="CA55" s="149" t="n"/>
      <c r="CB55" s="149" t="inlineStr">
        <is>
          <t>12 months manufacturer standard (typical research/commercial humanoid)</t>
        </is>
      </c>
      <c r="CC55" s="147" t="n">
        <v>12</v>
      </c>
      <c r="CD55" s="149" t="inlineStr">
        <is>
          <t>+3 Year Extended ≈24% of configuration (default in configurator)</t>
        </is>
      </c>
      <c r="CE55" s="145" t="inlineStr">
        <is>
          <t>Humanoid category norm 2025–2026</t>
        </is>
      </c>
      <c r="CF55" s="145" t="inlineStr">
        <is>
          <t>Estimated</t>
        </is>
      </c>
      <c r="CG55" s="149" t="inlineStr">
        <is>
          <t>Confirm on formal OEM quote. EDU or enterprise packages may differ.</t>
        </is>
      </c>
      <c r="CH55" s="145" t="inlineStr">
        <is>
          <t>10%</t>
        </is>
      </c>
      <c r="CI55" s="145" t="inlineStr">
        <is>
          <t>17%</t>
        </is>
      </c>
      <c r="CJ55" s="145" t="inlineStr">
        <is>
          <t>24%</t>
        </is>
      </c>
      <c r="CK55" s="149" t="inlineStr">
        <is>
          <t>+1yr ≈10% | +2yr ≈17% | +3yr ≈24% of selected configuration price (parts &amp; labor beyond manufacturer standard).</t>
        </is>
      </c>
      <c r="CL5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55" s="145" t="inlineStr">
        <is>
          <t>12 months manufacturer standard (typical research/commercial humanoid)</t>
        </is>
      </c>
      <c r="CO55" s="203" t="inlineStr">
        <is>
          <t>https://theresanaiforthat.com/robots/</t>
        </is>
      </c>
      <c r="CP55" s="203" t="inlineStr">
        <is>
          <t>Cross-checked against TAAFT Robots directory (669 entries) 28 Aug 2026 — individual TAAFT permalinks are JS/Cloudflare gated.</t>
        </is>
      </c>
      <c r="CQ55" s="101" t="inlineStr">
        <is>
          <t>Height: 5 ft 7 in | Weight: 152.1 | Degrees of Freedom: 40+ | Payload: 4.4 | Max Speed: 2.8 | Battery / Runtime: ≈ 2 hours</t>
        </is>
      </c>
    </row>
    <row r="56" ht="31.5" customHeight="1" s="102">
      <c r="A56" s="152" t="inlineStr">
        <is>
          <t>dobot_robotics_atom</t>
        </is>
      </c>
      <c r="B56" s="153" t="inlineStr">
        <is>
          <t>Humanoid.guide</t>
        </is>
      </c>
      <c r="C56" s="152" t="inlineStr">
        <is>
          <t>DOBOT Robotics</t>
        </is>
      </c>
      <c r="D56" s="152" t="inlineStr">
        <is>
          <t>Atom</t>
        </is>
      </c>
      <c r="E56" s="152" t="inlineStr">
        <is>
          <t>[DOBOT Robotics] Atom (2026)</t>
        </is>
      </c>
      <c r="F56" s="146" t="inlineStr">
        <is>
          <t>humanoid</t>
        </is>
      </c>
      <c r="G56" s="152" t="inlineStr">
        <is>
          <t>China</t>
        </is>
      </c>
      <c r="H56" s="152" t="n"/>
      <c r="I56" s="155" t="n">
        <v>27500</v>
      </c>
      <c r="J56" s="152" t="inlineStr">
        <is>
          <t>Robot Price Index Aug 2026</t>
        </is>
      </c>
      <c r="K56" s="156" t="inlineStr">
        <is>
          <t>The Dobot Atom is a next-generation humanoid robot developed by Shenzhen-based Dobot Robotics.</t>
        </is>
      </c>
      <c r="L56" s="101" t="inlineStr">
        <is>
          <t>The Dobot Atom is a next-generation humanoid robot developed by Shenzhen-based Dobot Robotics.</t>
        </is>
      </c>
      <c r="M56" s="101" t="inlineStr">
        <is>
          <t>Atom is DOBOT Robotics's humanoid, introduced around 2026 in China. The Dobot Atom is a next-generation humanoid robot developed by Shenzhen-based Dobot Robotics. Public status is listed as prototype.</t>
        </is>
      </c>
      <c r="N56" s="157" t="inlineStr">
        <is>
          <t>https://humanoid.guide/product/atom-2/</t>
        </is>
      </c>
      <c r="O56" s="157" t="inlineStr">
        <is>
          <t>https://www.dobot-robots.com</t>
        </is>
      </c>
      <c r="P56" s="152" t="inlineStr">
        <is>
          <t>5 ft 0 in</t>
        </is>
      </c>
      <c r="Q56" s="152" t="n">
        <v>153</v>
      </c>
      <c r="R56" s="152" t="n">
        <v>136.7</v>
      </c>
      <c r="S56" s="152" t="n">
        <v>62</v>
      </c>
      <c r="T56" s="156" t="inlineStr">
        <is>
          <t>Not disclosed</t>
        </is>
      </c>
      <c r="U56" s="152" t="n"/>
      <c r="V56" s="152" t="inlineStr">
        <is>
          <t>41</t>
        </is>
      </c>
      <c r="W56" s="156" t="inlineStr">
        <is>
          <t>Not disclosed</t>
        </is>
      </c>
      <c r="X56" s="152" t="n">
        <v>13.2</v>
      </c>
      <c r="Y56" s="152" t="n">
        <v>6</v>
      </c>
      <c r="Z56" s="152" t="n">
        <v>1.86</v>
      </c>
      <c r="AA56" s="152" t="n">
        <v>3</v>
      </c>
      <c r="AB56" s="152" t="n"/>
      <c r="AC56" s="156" t="inlineStr">
        <is>
          <t>Not disclosed</t>
        </is>
      </c>
      <c r="AD56" s="156" t="n"/>
      <c r="AE56" s="152" t="n"/>
      <c r="AF56" s="152" t="inlineStr">
        <is>
          <t>Not disclosed</t>
        </is>
      </c>
      <c r="AG56" s="156" t="inlineStr">
        <is>
          <t>Not disclosed</t>
        </is>
      </c>
      <c r="AH56" s="152" t="inlineStr">
        <is>
          <t>Not disclosed</t>
        </is>
      </c>
      <c r="AI56" s="158" t="n">
        <v>2</v>
      </c>
      <c r="AJ56" s="156" t="inlineStr">
        <is>
          <t>Not disclosed</t>
        </is>
      </c>
      <c r="AK56" s="156" t="n"/>
      <c r="AL56" s="152" t="inlineStr">
        <is>
          <t>Not disclosed</t>
        </is>
      </c>
      <c r="AM56" s="152" t="n"/>
      <c r="AN56" s="152" t="inlineStr">
        <is>
          <t>Not disclosed</t>
        </is>
      </c>
      <c r="AO56" s="152" t="inlineStr">
        <is>
          <t>Not disclosed</t>
        </is>
      </c>
      <c r="AP56" s="152" t="inlineStr">
        <is>
          <t>Not disclosed</t>
        </is>
      </c>
      <c r="AQ56" s="152" t="inlineStr">
        <is>
          <t>Not disclosed</t>
        </is>
      </c>
      <c r="AR56" s="152" t="n"/>
      <c r="AS56" s="152" t="n"/>
      <c r="AT56" s="156" t="inlineStr">
        <is>
          <t>Not disclosed</t>
        </is>
      </c>
      <c r="AU56" s="156" t="inlineStr">
        <is>
          <t>Not disclosed</t>
        </is>
      </c>
      <c r="AV56" s="152" t="inlineStr">
        <is>
          <t>Not disclosed</t>
        </is>
      </c>
      <c r="AW56" s="156" t="inlineStr">
        <is>
          <t>Not disclosed</t>
        </is>
      </c>
      <c r="AX56" s="158" t="n">
        <v>2</v>
      </c>
      <c r="AY56" s="156" t="inlineStr">
        <is>
          <t>Not disclosed</t>
        </is>
      </c>
      <c r="AZ56" s="156" t="inlineStr">
        <is>
          <t>Not disclosed</t>
        </is>
      </c>
      <c r="BA56" s="156" t="n"/>
      <c r="BB56" s="156" t="inlineStr">
        <is>
          <t>Not disclosed</t>
        </is>
      </c>
      <c r="BC56" s="156" t="inlineStr">
        <is>
          <t>Not disclosed</t>
        </is>
      </c>
      <c r="BD56" s="152" t="inlineStr">
        <is>
          <t>Not disclosed</t>
        </is>
      </c>
      <c r="BE56" s="152" t="inlineStr">
        <is>
          <t>Not disclosed</t>
        </is>
      </c>
      <c r="BF56" s="152" t="n"/>
      <c r="BG56" s="152" t="n"/>
      <c r="BH56" s="152" t="n"/>
      <c r="BI56" s="152" t="n"/>
      <c r="BJ56" s="152" t="n"/>
      <c r="BK56" s="152" t="n"/>
      <c r="BL56" s="152" t="n"/>
      <c r="BM56" s="152" t="inlineStr">
        <is>
          <t>Not disclosed</t>
        </is>
      </c>
      <c r="BN56" s="152" t="inlineStr">
        <is>
          <t>Not disclosed</t>
        </is>
      </c>
      <c r="BO56" s="156" t="inlineStr">
        <is>
          <t>Manipulation 2/4 · Navigation 2/4 · Peak 3 km/h</t>
        </is>
      </c>
      <c r="BP56" s="152" t="n"/>
      <c r="BQ56" s="156" t="inlineStr">
        <is>
          <t>Research labs, commercial pilots, and education programs evaluating a humanoid from DOBOT Robotics (China) now listed as prototype.</t>
        </is>
      </c>
      <c r="BR56" s="156" t="inlineStr">
        <is>
          <t>Prototype</t>
        </is>
      </c>
      <c r="BS56" s="156" t="inlineStr">
        <is>
          <t>Prototype</t>
        </is>
      </c>
      <c r="BT56" s="152" t="n"/>
      <c r="BU56" s="152" t="inlineStr">
        <is>
          <t>Not verified</t>
        </is>
      </c>
      <c r="BV56" s="156" t="n"/>
      <c r="BW56" s="156" t="inlineStr">
        <is>
          <t>Origin &amp; status — China · Prototype · 2026 | Manipulation — Payload 13.2 lb | Sensing &amp; software — Sensor and compute package confirmed on formal quote | Buying notes — From $27,500 · 12 months manufacturer standard (typical research/commercial humanoid)</t>
        </is>
      </c>
      <c r="BX56" s="156" t="inlineStr">
        <is>
          <t>as_shipped|Atom|27500|As shipped</t>
        </is>
      </c>
      <c r="BY56" s="152" t="inlineStr">
        <is>
          <t>atom|Manufacturer finish|#e2e8f0|0</t>
        </is>
      </c>
      <c r="BZ56" s="152" t="inlineStr"/>
      <c r="CA56" s="156" t="n"/>
      <c r="CB56" s="156" t="inlineStr">
        <is>
          <t>12 months manufacturer standard (typical research/commercial humanoid)</t>
        </is>
      </c>
      <c r="CC56" s="154" t="n">
        <v>12</v>
      </c>
      <c r="CD56" s="156" t="inlineStr">
        <is>
          <t>+3 Year Extended ≈24% of configuration (default in configurator)</t>
        </is>
      </c>
      <c r="CE56" s="152" t="inlineStr">
        <is>
          <t>Humanoid category norm 2025–2026</t>
        </is>
      </c>
      <c r="CF56" s="152" t="inlineStr">
        <is>
          <t>Estimated</t>
        </is>
      </c>
      <c r="CG56" s="156" t="inlineStr">
        <is>
          <t>Confirm on formal OEM quote. EDU or enterprise packages may differ.</t>
        </is>
      </c>
      <c r="CH56" s="152" t="inlineStr">
        <is>
          <t>10%</t>
        </is>
      </c>
      <c r="CI56" s="152" t="inlineStr">
        <is>
          <t>17%</t>
        </is>
      </c>
      <c r="CJ56" s="152" t="inlineStr">
        <is>
          <t>24%</t>
        </is>
      </c>
      <c r="CK56" s="156" t="inlineStr">
        <is>
          <t>+1yr ≈10% | +2yr ≈17% | +3yr ≈24% of selected configuration price (parts &amp; labor beyond manufacturer standard).</t>
        </is>
      </c>
      <c r="CL56"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56" s="152" t="inlineStr">
        <is>
          <t>12 months manufacturer standard (typical research/commercial humanoid)</t>
        </is>
      </c>
      <c r="CQ56" s="101" t="inlineStr">
        <is>
          <t>Height: 5 ft 0 in | Weight: 136.7 | Degrees of Freedom: 41 | Payload: 13.2 | Max Speed: 1.86 | Battery / Runtime: Not disclosed</t>
        </is>
      </c>
    </row>
    <row r="57" ht="31.5" customHeight="1" s="102">
      <c r="A57" s="145" t="inlineStr">
        <is>
          <t>dobot_robotics_atom_max</t>
        </is>
      </c>
      <c r="B57" s="153" t="inlineStr">
        <is>
          <t>Humanoid.guide</t>
        </is>
      </c>
      <c r="C57" s="145" t="inlineStr">
        <is>
          <t>DOBOT Robotics</t>
        </is>
      </c>
      <c r="D57" s="145" t="inlineStr">
        <is>
          <t>Atom Max</t>
        </is>
      </c>
      <c r="E57" s="145" t="inlineStr">
        <is>
          <t>[DOBOT Robotics] Atom Max (2026)</t>
        </is>
      </c>
      <c r="F57" s="146" t="inlineStr">
        <is>
          <t>humanoid</t>
        </is>
      </c>
      <c r="G57" s="145" t="inlineStr">
        <is>
          <t>China</t>
        </is>
      </c>
      <c r="H57" s="145" t="n"/>
      <c r="I57" s="148" t="n">
        <v>27500</v>
      </c>
      <c r="J57" s="145" t="inlineStr">
        <is>
          <t>Estimate · Atom Max above Atom list</t>
        </is>
      </c>
      <c r="K57" s="149" t="inlineStr">
        <is>
          <t>ATOM MAX is Dobot Robotics’ advanced humanoid robot designed for natural walking, precise manipulation, and high-performance teleoperation in research, training, and AI-driven development environments.</t>
        </is>
      </c>
      <c r="L57" s="101" t="inlineStr">
        <is>
          <t>ATOM MAX is Dobot Robotics’ advanced humanoid robot designed for natural walking, precise manipulation, and high-performance teleoperation in research, training, and AI-driven development environments.</t>
        </is>
      </c>
      <c r="M57" s="101" t="inlineStr">
        <is>
          <t>ATOM MAX is Dobot Robotics’ advanced humanoid robot designed for natural walking, precise manipulation, and high-performance teleoperation in research, training, and AI-driven development environments. Public status is listed as prototype, and it is positioned for research labs, robotics education, teleoperation development, demonstration projects.</t>
        </is>
      </c>
      <c r="N57" s="150" t="inlineStr">
        <is>
          <t>https://humanoid.guide/product/atom-max/</t>
        </is>
      </c>
      <c r="O57" s="150" t="inlineStr">
        <is>
          <t>https://www.dobot-robots.com</t>
        </is>
      </c>
      <c r="P57" s="145" t="inlineStr">
        <is>
          <t>5 ft 7 in</t>
        </is>
      </c>
      <c r="Q57" s="145" t="n">
        <v>170</v>
      </c>
      <c r="R57" s="145" t="n">
        <v>121.3</v>
      </c>
      <c r="S57" s="145" t="n">
        <v>55</v>
      </c>
      <c r="T57" s="149" t="inlineStr">
        <is>
          <t>Not disclosed</t>
        </is>
      </c>
      <c r="U57" s="145" t="inlineStr">
        <is>
          <t>190 × 70 × 60 cm</t>
        </is>
      </c>
      <c r="V57" s="145" t="inlineStr">
        <is>
          <t>40–45 DoF (based on 7-DoF arms + typical biped DoF configuration)</t>
        </is>
      </c>
      <c r="W57" s="149" t="inlineStr">
        <is>
          <t>12</t>
        </is>
      </c>
      <c r="X57" s="145" t="n">
        <v>17.6</v>
      </c>
      <c r="Y57" s="145" t="n">
        <v>8</v>
      </c>
      <c r="Z57" s="145" t="n">
        <v>3.11</v>
      </c>
      <c r="AA57" s="145" t="n">
        <v>5</v>
      </c>
      <c r="AB57" s="145" t="n">
        <v>4</v>
      </c>
      <c r="AC57" s="149" t="inlineStr">
        <is>
          <t>≈ 3 hours</t>
        </is>
      </c>
      <c r="AD57" s="149" t="inlineStr">
        <is>
          <t>3</t>
        </is>
      </c>
      <c r="AE57" s="145" t="n"/>
      <c r="AF57" s="145" t="inlineStr">
        <is>
          <t>Not disclosed</t>
        </is>
      </c>
      <c r="AG57" s="149" t="inlineStr">
        <is>
          <t>5 per hand</t>
        </is>
      </c>
      <c r="AH57" s="145" t="inlineStr">
        <is>
          <t>5 per hand</t>
        </is>
      </c>
      <c r="AI57" s="161" t="n">
        <v>4</v>
      </c>
      <c r="AJ57" s="149" t="inlineStr">
        <is>
          <t>Binocular Full HD + Intel RealSense D455 RGB-D (1280×720 depth / 1920×1080 color)</t>
        </is>
      </c>
      <c r="AK57" s="149" t="inlineStr">
        <is>
          <t>Binocular Full HD + Intel RealSense D455 RGB-D (1280×720 depth / 1920×1080 color)</t>
        </is>
      </c>
      <c r="AL57" s="145" t="inlineStr">
        <is>
          <t>Not disclosed</t>
        </is>
      </c>
      <c r="AM57" s="145" t="n"/>
      <c r="AN57" s="145" t="inlineStr">
        <is>
          <t>Not disclosed</t>
        </is>
      </c>
      <c r="AO57" s="145" t="inlineStr">
        <is>
          <t>Not disclosed</t>
        </is>
      </c>
      <c r="AP57" s="145" t="inlineStr">
        <is>
          <t>Not disclosed</t>
        </is>
      </c>
      <c r="AQ57" s="145" t="inlineStr">
        <is>
          <t>Not disclosed</t>
        </is>
      </c>
      <c r="AR57" s="145" t="n"/>
      <c r="AS57" s="145" t="n"/>
      <c r="AT57" s="149" t="inlineStr">
        <is>
          <t>Intel i9 + Graphics card with 16GB 256-bit GDDR6</t>
        </is>
      </c>
      <c r="AU57" s="149" t="inlineStr">
        <is>
          <t>Ethernet; USB; Wi‑Fi</t>
        </is>
      </c>
      <c r="AV57" s="145" t="inlineStr">
        <is>
          <t>Not disclosed</t>
        </is>
      </c>
      <c r="AW57" s="149" t="inlineStr">
        <is>
          <t>Not disclosed</t>
        </is>
      </c>
      <c r="AX57" s="151" t="n">
        <v>3</v>
      </c>
      <c r="AY57" s="149" t="inlineStr">
        <is>
          <t>Linux-based control OS</t>
        </is>
      </c>
      <c r="AZ57" s="149" t="inlineStr">
        <is>
          <t>Not disclosed</t>
        </is>
      </c>
      <c r="BA57" s="149" t="inlineStr">
        <is>
          <t>&amp;lt;200ms (End-to-End)</t>
        </is>
      </c>
      <c r="BB57" s="149" t="inlineStr">
        <is>
          <t>High-precision servo motor system</t>
        </is>
      </c>
      <c r="BC57" s="149" t="inlineStr">
        <is>
          <t>High-precision harmonic / planetary drives</t>
        </is>
      </c>
      <c r="BD57" s="145" t="inlineStr">
        <is>
          <t>Lightweight aluminum + composite shell</t>
        </is>
      </c>
      <c r="BE57" s="145" t="inlineStr">
        <is>
          <t>IP20</t>
        </is>
      </c>
      <c r="BF57" s="145" t="inlineStr">
        <is>
          <t>IP20</t>
        </is>
      </c>
      <c r="BG57" s="145" t="n"/>
      <c r="BH57" s="145" t="n"/>
      <c r="BI57" s="145" t="n"/>
      <c r="BJ57" s="145" t="n"/>
      <c r="BK57" s="145" t="n"/>
      <c r="BL57" s="145" t="n"/>
      <c r="BM57" s="145" t="inlineStr">
        <is>
          <t>Yes</t>
        </is>
      </c>
      <c r="BN57" s="145" t="inlineStr">
        <is>
          <t>Not disclosed</t>
        </is>
      </c>
      <c r="BO57" s="149" t="inlineStr">
        <is>
          <t>Market: Research labs, robotics education, teleoperation development, demonstration projects · Manipulation 4/4 · Navigation 3/4 · Human-safe: Yes · Actuation: High-precision servo motor system · Peak 5 km/h · Walk 4 km/h · Runtime 3</t>
        </is>
      </c>
      <c r="BP57" s="145" t="n"/>
      <c r="BQ57" s="149" t="inlineStr">
        <is>
          <t>Research labs, robotics education, teleoperation development, demonstration projects</t>
        </is>
      </c>
      <c r="BR57" s="149" t="inlineStr">
        <is>
          <t>Prototype</t>
        </is>
      </c>
      <c r="BS57" s="149" t="inlineStr">
        <is>
          <t>Prototype</t>
        </is>
      </c>
      <c r="BT57" s="145" t="inlineStr">
        <is>
          <t>Silver</t>
        </is>
      </c>
      <c r="BU57" s="145" t="inlineStr">
        <is>
          <t>Not verified</t>
        </is>
      </c>
      <c r="BV57" s="149" t="n"/>
      <c r="BW57" s="149" t="inlineStr">
        <is>
          <t>Origin &amp; status — China · Prototype · 2026 | Manipulation — 5 per hand · 5 per hand fingers · Hand DOF 12 · Payload 17.6 lb | Sensing &amp; software — Binocular Full HD + Intel RealSense D455 RGB-D (1280×720 depth / 1920×1080 color) · Linux-based control OS | Buying notes — From $27,500 · 12 months manufacturer standard (typical research/commercial humanoid) · Best fit: Research labs, robotics education, teleoperation development, de…</t>
        </is>
      </c>
      <c r="BX57" s="149" t="inlineStr">
        <is>
          <t>as_shipped|Atom Max|27500|As shipped</t>
        </is>
      </c>
      <c r="BY57" s="145" t="inlineStr">
        <is>
          <t>silver|Silver|#e2e8f0|0</t>
        </is>
      </c>
      <c r="BZ57" s="145" t="inlineStr"/>
      <c r="CA57" s="149" t="n"/>
      <c r="CB57" s="149" t="inlineStr">
        <is>
          <t>12 months manufacturer standard (typical research/commercial humanoid)</t>
        </is>
      </c>
      <c r="CC57" s="147" t="n">
        <v>12</v>
      </c>
      <c r="CD57" s="149" t="inlineStr">
        <is>
          <t>+3 Year Extended ≈24% of configuration (default in configurator)</t>
        </is>
      </c>
      <c r="CE57" s="145" t="inlineStr">
        <is>
          <t>Humanoid category norm 2025–2026</t>
        </is>
      </c>
      <c r="CF57" s="145" t="inlineStr">
        <is>
          <t>Estimated</t>
        </is>
      </c>
      <c r="CG57" s="149" t="inlineStr">
        <is>
          <t>Confirm on formal OEM quote. EDU or enterprise packages may differ.</t>
        </is>
      </c>
      <c r="CH57" s="145" t="inlineStr">
        <is>
          <t>10%</t>
        </is>
      </c>
      <c r="CI57" s="145" t="inlineStr">
        <is>
          <t>17%</t>
        </is>
      </c>
      <c r="CJ57" s="145" t="inlineStr">
        <is>
          <t>24%</t>
        </is>
      </c>
      <c r="CK57" s="149" t="inlineStr">
        <is>
          <t>+1yr ≈10% | +2yr ≈17% | +3yr ≈24% of selected configuration price (parts &amp; labor beyond manufacturer standard).</t>
        </is>
      </c>
      <c r="CL57"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57" s="145" t="inlineStr">
        <is>
          <t>12 months manufacturer standard (typical research/commercial humanoid)</t>
        </is>
      </c>
      <c r="CQ57" s="101" t="inlineStr">
        <is>
          <t>Height: 5 ft 7 in | Weight: 121.3 | Degrees of Freedom: 40–45 DoF (based on 7-DoF arms + typical biped DoF configuration) | Payload: 17.6 | Max Speed: 3.11 | Battery / Runtime: ≈ 3 hours</t>
        </is>
      </c>
    </row>
    <row r="58" ht="31.5" customHeight="1" s="102">
      <c r="A58" s="152" t="inlineStr">
        <is>
          <t>donut_robotics_co_ltd_cinnamon_1</t>
        </is>
      </c>
      <c r="B58" s="153" t="inlineStr">
        <is>
          <t>Humanoid.guide</t>
        </is>
      </c>
      <c r="C58" s="152" t="inlineStr">
        <is>
          <t>Donut Robotics Co., Ltd.</t>
        </is>
      </c>
      <c r="D58" s="152" t="inlineStr">
        <is>
          <t>Cinnamon 1</t>
        </is>
      </c>
      <c r="E58" s="152" t="inlineStr">
        <is>
          <t>[Donut Robotics Co., Ltd.] Cinnamon 1 (2026)</t>
        </is>
      </c>
      <c r="F58" s="146" t="inlineStr">
        <is>
          <t>humanoid</t>
        </is>
      </c>
      <c r="G58" s="152" t="inlineStr">
        <is>
          <t>Japan</t>
        </is>
      </c>
      <c r="H58" s="152" t="n"/>
      <c r="I58" s="155" t="n">
        <v>165000</v>
      </c>
      <c r="J58" s="152" t="inlineStr">
        <is>
          <t>Humanoid.guide list</t>
        </is>
      </c>
      <c r="K58" s="156" t="inlineStr">
        <is>
          <t>Cinnamon 1 is Donut Robotics Co., Ltd.'s humanoid — 5 ft 3 in class, ~20–30+ DOF, 13.2 lb payload. 5 per hand; onboard AI: Likely AI language/vision integration for VLA system.</t>
        </is>
      </c>
      <c r="L58" s="101" t="inlineStr">
        <is>
          <t>Cinnamon 1 is Donut Robotics Co., Ltd.'s humanoid — 5 ft 3 in class, ~20–30+ DOF, 13.2 lb payload. 5 per hand; onboard AI: Likely AI language/vision integration for VLA system.</t>
        </is>
      </c>
      <c r="M58" s="101" t="inlineStr">
        <is>
          <t>Cinnamon 1 is Donut Robotics Co., Ltd.'s humanoid — 5 ft 3 in class, ~20–30+ DOF, 13.2 lb payload. 5 per hand; onboard AI: Likely AI language/vision integration for VLA system. Public status is listed as prototype, and it is positioned for construction; Industrial automation; Security; Service.</t>
        </is>
      </c>
      <c r="N58" s="157" t="inlineStr">
        <is>
          <t>https://humanoid.guide/product/cinnamon-1/</t>
        </is>
      </c>
      <c r="O58" s="157" t="inlineStr">
        <is>
          <t>https://www.donutrobotics.com/en</t>
        </is>
      </c>
      <c r="P58" s="152" t="inlineStr">
        <is>
          <t>5 ft 3 in</t>
        </is>
      </c>
      <c r="Q58" s="152" t="n">
        <v>160</v>
      </c>
      <c r="R58" s="152" t="n">
        <v>132.3</v>
      </c>
      <c r="S58" s="152" t="n">
        <v>60</v>
      </c>
      <c r="T58" s="156" t="inlineStr">
        <is>
          <t>Not disclosed</t>
        </is>
      </c>
      <c r="U58" s="152" t="n"/>
      <c r="V58" s="152" t="inlineStr">
        <is>
          <t>~20–30+</t>
        </is>
      </c>
      <c r="W58" s="156" t="inlineStr">
        <is>
          <t>~10+</t>
        </is>
      </c>
      <c r="X58" s="152" t="n">
        <v>13.2</v>
      </c>
      <c r="Y58" s="152" t="n">
        <v>6</v>
      </c>
      <c r="Z58" s="152" t="n">
        <v>2.17</v>
      </c>
      <c r="AA58" s="152" t="n">
        <v>3.5</v>
      </c>
      <c r="AB58" s="152" t="n"/>
      <c r="AC58" s="156" t="inlineStr">
        <is>
          <t>≈ 2 hours</t>
        </is>
      </c>
      <c r="AD58" s="156" t="inlineStr">
        <is>
          <t>2</t>
        </is>
      </c>
      <c r="AE58" s="152" t="n"/>
      <c r="AF58" s="152" t="inlineStr">
        <is>
          <t>Not disclosed</t>
        </is>
      </c>
      <c r="AG58" s="156" t="inlineStr">
        <is>
          <t>5 per hand</t>
        </is>
      </c>
      <c r="AH58" s="152" t="inlineStr">
        <is>
          <t>5 per hand</t>
        </is>
      </c>
      <c r="AI58" s="152" t="n"/>
      <c r="AJ58" s="156" t="inlineStr">
        <is>
          <t>Not disclosed</t>
        </is>
      </c>
      <c r="AK58" s="156" t="n"/>
      <c r="AL58" s="152" t="inlineStr">
        <is>
          <t>Not disclosed</t>
        </is>
      </c>
      <c r="AM58" s="152" t="n"/>
      <c r="AN58" s="152" t="inlineStr">
        <is>
          <t>Not disclosed</t>
        </is>
      </c>
      <c r="AO58" s="152" t="inlineStr">
        <is>
          <t>Not disclosed</t>
        </is>
      </c>
      <c r="AP58" s="152" t="inlineStr">
        <is>
          <t>Not disclosed</t>
        </is>
      </c>
      <c r="AQ58" s="152" t="inlineStr">
        <is>
          <t>Not disclosed</t>
        </is>
      </c>
      <c r="AR58" s="152" t="n"/>
      <c r="AS58" s="152" t="n"/>
      <c r="AT58" s="156" t="inlineStr">
        <is>
          <t>Advanced onboard AI computing</t>
        </is>
      </c>
      <c r="AU58" s="156" t="inlineStr">
        <is>
          <t>Not disclosed</t>
        </is>
      </c>
      <c r="AV58" s="152" t="inlineStr">
        <is>
          <t>Not disclosed</t>
        </is>
      </c>
      <c r="AW58" s="156" t="inlineStr">
        <is>
          <t>Not disclosed</t>
        </is>
      </c>
      <c r="AX58" s="152" t="n"/>
      <c r="AY58" s="156" t="inlineStr">
        <is>
          <t>Custom robot OS</t>
        </is>
      </c>
      <c r="AZ58" s="156" t="inlineStr">
        <is>
          <t>Likely AI language/vision integration for VLA system</t>
        </is>
      </c>
      <c r="BA58" s="156" t="n"/>
      <c r="BB58" s="156" t="inlineStr">
        <is>
          <t>Standard biped actuators</t>
        </is>
      </c>
      <c r="BC58" s="156" t="inlineStr">
        <is>
          <t>Not disclosed</t>
        </is>
      </c>
      <c r="BD58" s="152" t="inlineStr">
        <is>
          <t>Likely mixed metal and composite structure</t>
        </is>
      </c>
      <c r="BE58" s="152" t="inlineStr">
        <is>
          <t>Not disclosed</t>
        </is>
      </c>
      <c r="BF58" s="152" t="n"/>
      <c r="BG58" s="152" t="n"/>
      <c r="BH58" s="152" t="n"/>
      <c r="BI58" s="152" t="n"/>
      <c r="BJ58" s="152" t="n"/>
      <c r="BK58" s="152" t="n"/>
      <c r="BL58" s="152" t="n"/>
      <c r="BM58" s="152" t="inlineStr">
        <is>
          <t>Yes</t>
        </is>
      </c>
      <c r="BN58" s="152" t="inlineStr">
        <is>
          <t>Not disclosed</t>
        </is>
      </c>
      <c r="BO58" s="156" t="inlineStr">
        <is>
          <t>Market: Construction; Industrial automation; Security; Service · Human-safe: Yes · AI: Likely AI language/vision integration for VLA system · Actuation: Standard biped actuators · Peak 3.5 km/h · Runtime 2</t>
        </is>
      </c>
      <c r="BP58" s="152" t="n"/>
      <c r="BQ58" s="156" t="inlineStr">
        <is>
          <t>Construction; Industrial automation; Security; Service</t>
        </is>
      </c>
      <c r="BR58" s="156" t="inlineStr">
        <is>
          <t>Prototype</t>
        </is>
      </c>
      <c r="BS58" s="156" t="inlineStr">
        <is>
          <t>Prototype</t>
        </is>
      </c>
      <c r="BT58" s="152" t="n"/>
      <c r="BU58" s="152" t="inlineStr">
        <is>
          <t>Not verified</t>
        </is>
      </c>
      <c r="BV58" s="156" t="n"/>
      <c r="BW58" s="156" t="inlineStr">
        <is>
          <t>Origin &amp; status — Japan · Prototype · 2026 | Manipulation — 5 per hand · 5 per hand fingers · Hand DOF ~10+ · Payload 13.2 lb | Sensing &amp; software — Likely AI language/vision integration for VLA system · Custom robot OS | Buying notes — From $165,000 · 12 months manufacturer standard (typical research/commercial humanoid) · Best fit: Construction</t>
        </is>
      </c>
      <c r="BX58" s="156" t="inlineStr">
        <is>
          <t>as_shipped|Cinnamon 1|165000|As shipped</t>
        </is>
      </c>
      <c r="BY58" s="152" t="inlineStr">
        <is>
          <t>cinnamon_1|Manufacturer finish|#e2e8f0|0</t>
        </is>
      </c>
      <c r="BZ58" s="152" t="inlineStr"/>
      <c r="CA58" s="156" t="n"/>
      <c r="CB58" s="156" t="inlineStr">
        <is>
          <t>12 months manufacturer standard (typical research/commercial humanoid)</t>
        </is>
      </c>
      <c r="CC58" s="154" t="n">
        <v>12</v>
      </c>
      <c r="CD58" s="156" t="inlineStr">
        <is>
          <t>+3 Year Extended ≈24% of configuration (default in configurator)</t>
        </is>
      </c>
      <c r="CE58" s="152" t="inlineStr">
        <is>
          <t>Humanoid category norm 2025–2026</t>
        </is>
      </c>
      <c r="CF58" s="152" t="inlineStr">
        <is>
          <t>Estimated</t>
        </is>
      </c>
      <c r="CG58" s="156" t="inlineStr">
        <is>
          <t>Confirm on formal OEM quote. EDU or enterprise packages may differ.</t>
        </is>
      </c>
      <c r="CH58" s="152" t="inlineStr">
        <is>
          <t>10%</t>
        </is>
      </c>
      <c r="CI58" s="152" t="inlineStr">
        <is>
          <t>17%</t>
        </is>
      </c>
      <c r="CJ58" s="152" t="inlineStr">
        <is>
          <t>24%</t>
        </is>
      </c>
      <c r="CK58" s="156" t="inlineStr">
        <is>
          <t>+1yr ≈10% | +2yr ≈17% | +3yr ≈24% of selected configuration price (parts &amp; labor beyond manufacturer standard).</t>
        </is>
      </c>
      <c r="CL58"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58" s="152" t="inlineStr">
        <is>
          <t>12 months manufacturer standard (typical research/commercial humanoid)</t>
        </is>
      </c>
      <c r="CN58" s="203" t="inlineStr">
        <is>
          <t>https://aixzd.com/robot/cinnamon-1</t>
        </is>
      </c>
      <c r="CQ58" s="101" t="inlineStr">
        <is>
          <t>Height: 5 ft 3 in | Weight: 132.3 | Degrees of Freedom: ~20–30+ | Payload: 13.2 | Max Speed: 2.17 | Battery / Runtime: ≈ 2 hours</t>
        </is>
      </c>
    </row>
    <row r="59" ht="31.5" customHeight="1" s="102">
      <c r="A59" s="145" t="inlineStr">
        <is>
          <t>duatic_duatic_alpha</t>
        </is>
      </c>
      <c r="B59" s="153" t="inlineStr">
        <is>
          <t>Humanoid.guide</t>
        </is>
      </c>
      <c r="C59" s="145" t="inlineStr">
        <is>
          <t>Duatic</t>
        </is>
      </c>
      <c r="D59" s="145" t="inlineStr">
        <is>
          <t>Duatic Alpha</t>
        </is>
      </c>
      <c r="E59" s="145" t="inlineStr">
        <is>
          <t>[Duatic] Duatic Alpha (2026)</t>
        </is>
      </c>
      <c r="F59" s="146" t="inlineStr">
        <is>
          <t>humanoid</t>
        </is>
      </c>
      <c r="G59" s="145" t="inlineStr">
        <is>
          <t>Switzerland</t>
        </is>
      </c>
      <c r="H59" s="145" t="n"/>
      <c r="I59" s="148" t="n">
        <v>150000</v>
      </c>
      <c r="J59" s="145" t="inlineStr">
        <is>
          <t>Humanoid.guide list</t>
        </is>
      </c>
      <c r="K59" s="149" t="inlineStr">
        <is>
          <t>Duatic Alpha is a Swiss wheeled half-humanoid robot designed for logistics and industrial automation.</t>
        </is>
      </c>
      <c r="L59" s="101" t="inlineStr">
        <is>
          <t>Duatic Alpha is a Swiss wheeled half-humanoid robot designed for logistics and industrial automation.</t>
        </is>
      </c>
      <c r="M59" s="101" t="inlineStr">
        <is>
          <t>Duatic Alpha is a Swiss wheeled half-humanoid robot designed for logistics and industrial automation. Public status is listed as prototype.</t>
        </is>
      </c>
      <c r="N59" s="150" t="inlineStr">
        <is>
          <t>https://humanoid.guide/product/duatic-alpha/</t>
        </is>
      </c>
      <c r="O59" s="150" t="inlineStr">
        <is>
          <t>https://www.duatic.com/</t>
        </is>
      </c>
      <c r="P59" s="145" t="inlineStr">
        <is>
          <t>5 ft 9 in</t>
        </is>
      </c>
      <c r="Q59" s="145" t="n">
        <v>175</v>
      </c>
      <c r="R59" s="145" t="n">
        <v>198.4</v>
      </c>
      <c r="S59" s="145" t="n">
        <v>90</v>
      </c>
      <c r="T59" s="149" t="inlineStr">
        <is>
          <t>Not disclosed</t>
        </is>
      </c>
      <c r="U59" s="145" t="n"/>
      <c r="V59" s="145" t="inlineStr">
        <is>
          <t>19</t>
        </is>
      </c>
      <c r="W59" s="149" t="inlineStr">
        <is>
          <t>Not disclosed</t>
        </is>
      </c>
      <c r="X59" s="145" t="n">
        <v>66.09999999999999</v>
      </c>
      <c r="Y59" s="145" t="n">
        <v>30</v>
      </c>
      <c r="Z59" s="145" t="n">
        <v>3.42</v>
      </c>
      <c r="AA59" s="145" t="n">
        <v>5.5</v>
      </c>
      <c r="AB59" s="145" t="n"/>
      <c r="AC59" s="149" t="inlineStr">
        <is>
          <t>≈ 8 hours</t>
        </is>
      </c>
      <c r="AD59" s="149" t="inlineStr">
        <is>
          <t>8</t>
        </is>
      </c>
      <c r="AE59" s="145" t="n"/>
      <c r="AF59" s="145" t="inlineStr">
        <is>
          <t>Not disclosed</t>
        </is>
      </c>
      <c r="AG59" s="149" t="inlineStr">
        <is>
          <t>2</t>
        </is>
      </c>
      <c r="AH59" s="145" t="inlineStr">
        <is>
          <t>2</t>
        </is>
      </c>
      <c r="AI59" s="145" t="n"/>
      <c r="AJ59" s="149" t="inlineStr">
        <is>
          <t>Not disclosed</t>
        </is>
      </c>
      <c r="AK59" s="149" t="n"/>
      <c r="AL59" s="145" t="inlineStr">
        <is>
          <t>Not disclosed</t>
        </is>
      </c>
      <c r="AM59" s="145" t="n"/>
      <c r="AN59" s="145" t="inlineStr">
        <is>
          <t>Not disclosed</t>
        </is>
      </c>
      <c r="AO59" s="145" t="inlineStr">
        <is>
          <t>Not disclosed</t>
        </is>
      </c>
      <c r="AP59" s="145" t="inlineStr">
        <is>
          <t>Not disclosed</t>
        </is>
      </c>
      <c r="AQ59" s="145" t="inlineStr">
        <is>
          <t>Not disclosed</t>
        </is>
      </c>
      <c r="AR59" s="145" t="n"/>
      <c r="AS59" s="145" t="n"/>
      <c r="AT59" s="149" t="inlineStr">
        <is>
          <t>NVIDIA Jetson AGX</t>
        </is>
      </c>
      <c r="AU59" s="149" t="inlineStr">
        <is>
          <t>Wi‑Fi</t>
        </is>
      </c>
      <c r="AV59" s="145" t="inlineStr">
        <is>
          <t>Not disclosed</t>
        </is>
      </c>
      <c r="AW59" s="149" t="inlineStr">
        <is>
          <t>Not disclosed</t>
        </is>
      </c>
      <c r="AX59" s="145" t="n"/>
      <c r="AY59" s="149" t="inlineStr">
        <is>
          <t>ROS2</t>
        </is>
      </c>
      <c r="AZ59" s="149" t="inlineStr">
        <is>
          <t>No</t>
        </is>
      </c>
      <c r="BA59" s="149" t="n"/>
      <c r="BB59" s="149" t="inlineStr">
        <is>
          <t>QDD</t>
        </is>
      </c>
      <c r="BC59" s="149" t="inlineStr">
        <is>
          <t>Not disclosed</t>
        </is>
      </c>
      <c r="BD59" s="145" t="inlineStr">
        <is>
          <t>Aluminium</t>
        </is>
      </c>
      <c r="BE59" s="145" t="inlineStr">
        <is>
          <t>IP66</t>
        </is>
      </c>
      <c r="BF59" s="145" t="inlineStr">
        <is>
          <t>IP66</t>
        </is>
      </c>
      <c r="BG59" s="145" t="n"/>
      <c r="BH59" s="145" t="n"/>
      <c r="BI59" s="145" t="n"/>
      <c r="BJ59" s="145" t="n"/>
      <c r="BK59" s="145" t="n"/>
      <c r="BL59" s="145" t="n"/>
      <c r="BM59" s="145" t="inlineStr">
        <is>
          <t>Yes</t>
        </is>
      </c>
      <c r="BN59" s="145" t="inlineStr">
        <is>
          <t>Not disclosed</t>
        </is>
      </c>
      <c r="BO59" s="149" t="inlineStr">
        <is>
          <t>Market: Industrial · Human-safe: Yes · AI: No · Actuation: QDD · Peak 5.5 km/h · Runtime 8</t>
        </is>
      </c>
      <c r="BP59" s="145" t="n"/>
      <c r="BQ59" s="149" t="inlineStr">
        <is>
          <t>Industrial</t>
        </is>
      </c>
      <c r="BR59" s="149" t="inlineStr">
        <is>
          <t>Prototype</t>
        </is>
      </c>
      <c r="BS59" s="149" t="inlineStr">
        <is>
          <t>Prototype</t>
        </is>
      </c>
      <c r="BT59" s="145" t="inlineStr">
        <is>
          <t>Black; White</t>
        </is>
      </c>
      <c r="BU59" s="145" t="inlineStr">
        <is>
          <t>Verified</t>
        </is>
      </c>
      <c r="BV59" s="149" t="n"/>
      <c r="BW59" s="149" t="inlineStr">
        <is>
          <t>Origin &amp; status — Switzerland · Prototype · 2026 | Manipulation — 2 · 2 fingers · Payload 66.1 lb | Sensing &amp; software — No · ROS2 | Buying notes — From $150,000 · 12 months manufacturer standard (typical research/commercial humanoid) · Best fit: Industrial</t>
        </is>
      </c>
      <c r="BX59" s="149" t="inlineStr">
        <is>
          <t>as_shipped|Duatic Alpha|150000|As shipped</t>
        </is>
      </c>
      <c r="BY59" s="145" t="inlineStr">
        <is>
          <t>black|Black|#e2e8f0|0 || white|White|#1e293b|0</t>
        </is>
      </c>
      <c r="BZ59" s="145" t="inlineStr"/>
      <c r="CA59" s="149" t="n"/>
      <c r="CB59" s="149" t="inlineStr">
        <is>
          <t>12 months manufacturer standard (typical research/commercial humanoid)</t>
        </is>
      </c>
      <c r="CC59" s="147" t="n">
        <v>12</v>
      </c>
      <c r="CD59" s="149" t="inlineStr">
        <is>
          <t>+3 Year Extended ≈24% of configuration (default in configurator)</t>
        </is>
      </c>
      <c r="CE59" s="145" t="inlineStr">
        <is>
          <t>Humanoid category norm 2025–2026</t>
        </is>
      </c>
      <c r="CF59" s="145" t="inlineStr">
        <is>
          <t>Estimated</t>
        </is>
      </c>
      <c r="CG59" s="149" t="inlineStr">
        <is>
          <t>Confirm on formal OEM quote. EDU or enterprise packages may differ.</t>
        </is>
      </c>
      <c r="CH59" s="145" t="inlineStr">
        <is>
          <t>10%</t>
        </is>
      </c>
      <c r="CI59" s="145" t="inlineStr">
        <is>
          <t>17%</t>
        </is>
      </c>
      <c r="CJ59" s="145" t="inlineStr">
        <is>
          <t>24%</t>
        </is>
      </c>
      <c r="CK59" s="149" t="inlineStr">
        <is>
          <t>+1yr ≈10% | +2yr ≈17% | +3yr ≈24% of selected configuration price (parts &amp; labor beyond manufacturer standard).</t>
        </is>
      </c>
      <c r="CL5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59" s="145" t="inlineStr">
        <is>
          <t>12 months manufacturer standard (typical research/commercial humanoid)</t>
        </is>
      </c>
      <c r="CN59" s="203" t="inlineStr">
        <is>
          <t>https://aixzd.com/robot/duatic-alpha</t>
        </is>
      </c>
      <c r="CQ59" s="101" t="inlineStr">
        <is>
          <t>Height: 5 ft 9 in | Weight: 198.4 | Degrees of Freedom: 19 | Payload: 66.1 | Max Speed: 3.42 | Battery / Runtime: ≈ 8 hours</t>
        </is>
      </c>
    </row>
    <row r="60" ht="31.5" customHeight="1" s="102">
      <c r="A60" s="152" t="inlineStr">
        <is>
          <t>eir_technology_skywalker_2</t>
        </is>
      </c>
      <c r="B60" s="153" t="inlineStr">
        <is>
          <t>Humanoid.guide</t>
        </is>
      </c>
      <c r="C60" s="152" t="inlineStr">
        <is>
          <t>EIR Technology</t>
        </is>
      </c>
      <c r="D60" s="152" t="inlineStr">
        <is>
          <t>SkyWalker 2</t>
        </is>
      </c>
      <c r="E60" s="152" t="inlineStr">
        <is>
          <t>[EIR Technology] SkyWalker 2 (2026)</t>
        </is>
      </c>
      <c r="F60" s="146" t="inlineStr">
        <is>
          <t>humanoid</t>
        </is>
      </c>
      <c r="G60" s="152" t="inlineStr">
        <is>
          <t>China</t>
        </is>
      </c>
      <c r="H60" s="152" t="n"/>
      <c r="I60" s="155" t="n">
        <v>85000</v>
      </c>
      <c r="J60" s="152" t="inlineStr">
        <is>
          <t>Humanoid.guide list</t>
        </is>
      </c>
      <c r="K60" s="156" t="inlineStr">
        <is>
          <t>SkyWalker 2 is a 165 cm humanoid robot by EIR Technology, designed for agile motion, versatile task handling, and real-world deployment across manufacturing, care, and inspection.</t>
        </is>
      </c>
      <c r="L60" s="101" t="inlineStr">
        <is>
          <t>SkyWalker 2 is a 165 cm humanoid robot by EIR Technology, designed for agile motion, versatile task handling, and real-world deployment across manufacturing, care, and inspection.</t>
        </is>
      </c>
      <c r="M60" s="101" t="inlineStr">
        <is>
          <t>SkyWalker 2 is a 165 cm humanoid robot by EIR Technology, designed for agile motion, versatile task handling, and real-world deployment across manufacturing, care, and inspection. Public status is listed as production-ready prototype / early commercial units, and it is positioned for manufacturing, inspection, elder care, intelligent services.</t>
        </is>
      </c>
      <c r="N60" s="157" t="inlineStr">
        <is>
          <t>https://humanoid.guide/product/skywalker-2/</t>
        </is>
      </c>
      <c r="O60" s="157" t="inlineStr">
        <is>
          <t>https://www.eir.com.cn/</t>
        </is>
      </c>
      <c r="P60" s="152" t="inlineStr">
        <is>
          <t>5 ft 5 in</t>
        </is>
      </c>
      <c r="Q60" s="152" t="n">
        <v>165</v>
      </c>
      <c r="R60" s="152" t="n">
        <v>121.3</v>
      </c>
      <c r="S60" s="152" t="n">
        <v>55</v>
      </c>
      <c r="T60" s="156" t="inlineStr">
        <is>
          <t>Not disclosed</t>
        </is>
      </c>
      <c r="U60" s="152" t="inlineStr">
        <is>
          <t>180×60×50 cm</t>
        </is>
      </c>
      <c r="V60" s="152" t="inlineStr">
        <is>
          <t>55</t>
        </is>
      </c>
      <c r="W60" s="156" t="inlineStr">
        <is>
          <t>12</t>
        </is>
      </c>
      <c r="X60" s="152" t="n">
        <v>33.1</v>
      </c>
      <c r="Y60" s="152" t="n">
        <v>15</v>
      </c>
      <c r="Z60" s="152" t="n">
        <v>4.35</v>
      </c>
      <c r="AA60" s="152" t="n">
        <v>7</v>
      </c>
      <c r="AB60" s="152" t="n">
        <v>4</v>
      </c>
      <c r="AC60" s="156" t="inlineStr">
        <is>
          <t>≈ 3 hours</t>
        </is>
      </c>
      <c r="AD60" s="156" t="inlineStr">
        <is>
          <t>3</t>
        </is>
      </c>
      <c r="AE60" s="152" t="n"/>
      <c r="AF60" s="152" t="inlineStr">
        <is>
          <t>Not disclosed</t>
        </is>
      </c>
      <c r="AG60" s="156" t="inlineStr">
        <is>
          <t>5 per hand (anthropomorphic design implied)</t>
        </is>
      </c>
      <c r="AH60" s="152" t="inlineStr">
        <is>
          <t>5 per hand (anthropomorphic design implied)</t>
        </is>
      </c>
      <c r="AI60" s="151" t="n">
        <v>3</v>
      </c>
      <c r="AJ60" s="156" t="inlineStr">
        <is>
          <t>RGB + depth/stereo + environment sensors</t>
        </is>
      </c>
      <c r="AK60" s="156" t="inlineStr">
        <is>
          <t>RGB + depth/stereo + environment sensors</t>
        </is>
      </c>
      <c r="AL60" s="152" t="inlineStr">
        <is>
          <t>Not disclosed</t>
        </is>
      </c>
      <c r="AM60" s="152" t="n"/>
      <c r="AN60" s="152" t="inlineStr">
        <is>
          <t>Not disclosed</t>
        </is>
      </c>
      <c r="AO60" s="152" t="inlineStr">
        <is>
          <t>Not disclosed</t>
        </is>
      </c>
      <c r="AP60" s="152" t="inlineStr">
        <is>
          <t>Not disclosed</t>
        </is>
      </c>
      <c r="AQ60" s="152" t="inlineStr">
        <is>
          <t>Not disclosed</t>
        </is>
      </c>
      <c r="AR60" s="152" t="n"/>
      <c r="AS60" s="152" t="n"/>
      <c r="AT60" s="156" t="inlineStr">
        <is>
          <t>Likely onboard high-performance embedded compute + optional cloud compute</t>
        </is>
      </c>
      <c r="AU60" s="156" t="inlineStr">
        <is>
          <t>Ethernet; Wi‑Fi</t>
        </is>
      </c>
      <c r="AV60" s="152" t="inlineStr">
        <is>
          <t>Not disclosed</t>
        </is>
      </c>
      <c r="AW60" s="156" t="inlineStr">
        <is>
          <t>Not disclosed</t>
        </is>
      </c>
      <c r="AX60" s="161" t="n">
        <v>4</v>
      </c>
      <c r="AY60" s="156" t="inlineStr">
        <is>
          <t>Likely Linux + custom robot control stack</t>
        </is>
      </c>
      <c r="AZ60" s="156" t="inlineStr">
        <is>
          <t>Yes</t>
        </is>
      </c>
      <c r="BA60" s="156" t="inlineStr">
        <is>
          <t>350 ms</t>
        </is>
      </c>
      <c r="BB60" s="156" t="inlineStr">
        <is>
          <t>Lightweight servo + bionic waist joints</t>
        </is>
      </c>
      <c r="BC60" s="156" t="inlineStr">
        <is>
          <t>High-precision harmonic / planetary drives</t>
        </is>
      </c>
      <c r="BD60" s="152" t="inlineStr">
        <is>
          <t>Lightweight aluminum + composite shell</t>
        </is>
      </c>
      <c r="BE60" s="152" t="inlineStr">
        <is>
          <t>Not disclosed</t>
        </is>
      </c>
      <c r="BF60" s="152" t="n"/>
      <c r="BG60" s="152" t="n"/>
      <c r="BH60" s="152" t="n"/>
      <c r="BI60" s="152" t="n"/>
      <c r="BJ60" s="152" t="n"/>
      <c r="BK60" s="152" t="n"/>
      <c r="BL60" s="152" t="n"/>
      <c r="BM60" s="152" t="inlineStr">
        <is>
          <t>Yes</t>
        </is>
      </c>
      <c r="BN60" s="152" t="inlineStr">
        <is>
          <t>Not disclosed</t>
        </is>
      </c>
      <c r="BO60" s="156" t="inlineStr">
        <is>
          <t>Market: Manufacturing, inspection, elder care, intelligent services · Manipulation 3/4 · Navigation 4/4 · Human-safe: Yes · AI: Yes · Actuation: Lightweight servo + bionic waist joints · Peak 7 km/h · Walk 4 km/h · Runtime 3</t>
        </is>
      </c>
      <c r="BP60" s="152" t="n"/>
      <c r="BQ60" s="156" t="inlineStr">
        <is>
          <t>Manufacturing, inspection, elder care, intelligent services</t>
        </is>
      </c>
      <c r="BR60" s="156" t="inlineStr">
        <is>
          <t>Production-ready prototype / early commercial units</t>
        </is>
      </c>
      <c r="BS60" s="156" t="inlineStr">
        <is>
          <t>Production-ready prototype / early commercial units</t>
        </is>
      </c>
      <c r="BT60" s="152" t="inlineStr">
        <is>
          <t>Gray-black metallic</t>
        </is>
      </c>
      <c r="BU60" s="152" t="inlineStr">
        <is>
          <t>Not verified</t>
        </is>
      </c>
      <c r="BV60" s="156" t="n"/>
      <c r="BW60" s="156" t="inlineStr">
        <is>
          <t>Origin &amp; status — China · Production-ready prototype / early commercial units · 2026 | Manipulation — 5 per hand (anthropomorphic design implied) · 5 per hand (anthropomorphic design implied) fingers · Hand DOF 12 · Payload 33.1 lb | Sensing &amp; software — RGB + depth/stereo + environment sensors · Yes · Likely Linux + custom robot control stack | Buying notes — From $85,000 · 12 months manufacturer standard (typical research/commercial humanoid) · Best fit: Manufacturing, inspection, elder care, intelligent services</t>
        </is>
      </c>
      <c r="BX60" s="156" t="inlineStr">
        <is>
          <t>as_shipped|SkyWalker 2|85000|As shipped</t>
        </is>
      </c>
      <c r="BY60" s="152" t="inlineStr">
        <is>
          <t>gray_black_metallic|Gray-black metallic|#e2e8f0|0</t>
        </is>
      </c>
      <c r="BZ60" s="152" t="inlineStr"/>
      <c r="CA60" s="156" t="n"/>
      <c r="CB60" s="156" t="inlineStr">
        <is>
          <t>12 months manufacturer standard (typical research/commercial humanoid)</t>
        </is>
      </c>
      <c r="CC60" s="154" t="n">
        <v>12</v>
      </c>
      <c r="CD60" s="156" t="inlineStr">
        <is>
          <t>+3 Year Extended ≈24% of configuration (default in configurator)</t>
        </is>
      </c>
      <c r="CE60" s="152" t="inlineStr">
        <is>
          <t>Humanoid category norm 2025–2026</t>
        </is>
      </c>
      <c r="CF60" s="152" t="inlineStr">
        <is>
          <t>Estimated</t>
        </is>
      </c>
      <c r="CG60" s="156" t="inlineStr">
        <is>
          <t>Confirm on formal OEM quote. EDU or enterprise packages may differ.</t>
        </is>
      </c>
      <c r="CH60" s="152" t="inlineStr">
        <is>
          <t>10%</t>
        </is>
      </c>
      <c r="CI60" s="152" t="inlineStr">
        <is>
          <t>17%</t>
        </is>
      </c>
      <c r="CJ60" s="152" t="inlineStr">
        <is>
          <t>24%</t>
        </is>
      </c>
      <c r="CK60" s="156" t="inlineStr">
        <is>
          <t>+1yr ≈10% | +2yr ≈17% | +3yr ≈24% of selected configuration price (parts &amp; labor beyond manufacturer standard).</t>
        </is>
      </c>
      <c r="CL60"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60" s="152" t="inlineStr">
        <is>
          <t>12 months manufacturer standard (typical research/commercial humanoid)</t>
        </is>
      </c>
      <c r="CO60" s="203" t="inlineStr">
        <is>
          <t>https://theresanaiforthat.com/robots/</t>
        </is>
      </c>
      <c r="CP60" s="203" t="inlineStr">
        <is>
          <t>Cross-checked against TAAFT Robots directory (669 entries) 28 Aug 2026 — individual TAAFT permalinks are JS/Cloudflare gated.</t>
        </is>
      </c>
      <c r="CQ60" s="101" t="inlineStr">
        <is>
          <t>Height: 5 ft 5 in | Weight: 121.3 | Degrees of Freedom: 55 | Payload: 33.1 | Max Speed: 4.35 | Battery / Runtime: ≈ 3 hours</t>
        </is>
      </c>
    </row>
    <row r="61" ht="31.5" customHeight="1" s="102">
      <c r="A61" s="145" t="inlineStr">
        <is>
          <t>elu_ai_astrod_ad_01</t>
        </is>
      </c>
      <c r="B61" s="153" t="inlineStr">
        <is>
          <t>Humanoid.guide</t>
        </is>
      </c>
      <c r="C61" s="145" t="inlineStr">
        <is>
          <t>Elu.AI</t>
        </is>
      </c>
      <c r="D61" s="145" t="inlineStr">
        <is>
          <t>AstroD. AD-01</t>
        </is>
      </c>
      <c r="E61" s="145" t="inlineStr">
        <is>
          <t>[Elu.AI] AstroD. AD-01 (2026)</t>
        </is>
      </c>
      <c r="F61" s="146" t="inlineStr">
        <is>
          <t>humanoid</t>
        </is>
      </c>
      <c r="G61" s="145" t="inlineStr">
        <is>
          <t>China</t>
        </is>
      </c>
      <c r="H61" s="145" t="n"/>
      <c r="I61" s="148" t="n">
        <v>100000</v>
      </c>
      <c r="J61" s="145" t="inlineStr">
        <is>
          <t>Humanoid.guide list</t>
        </is>
      </c>
      <c r="K61" s="149" t="inlineStr">
        <is>
          <t>AstroDroid AD-01 brings embodied AI from concept to floor operations. Powered by Hyper‑VLA for ~200 ms end‑to‑end response, 11‑DOF dexterous hands, and a wheeled base that excels indoors.</t>
        </is>
      </c>
      <c r="L61" s="101" t="inlineStr">
        <is>
          <t>AstroDroid AD-01 brings embodied AI from concept to floor operations. Powered by Hyper‑VLA for ~200 ms end‑to‑end response, 11‑DOF dexterous hands, and a wheeled base that excels indoors.</t>
        </is>
      </c>
      <c r="M61" s="101" t="inlineStr">
        <is>
          <t>AstroD. AD-01 is Elu.AI's humanoid, introduced around 2026 in China. AstroDroid AD-01 brings embodied AI from concept to floor operations. Powered by Hyper‑VLA for ~200 ms end‑to‑end response, 11‑DOF dexterous hands, and a wheeled base that excels indoors. Public status is listed as prototype, and it is positioned for industries; logistics; Manufacturing; Research &amp; education.</t>
        </is>
      </c>
      <c r="N61" s="150" t="inlineStr">
        <is>
          <t>https://humanoid.guide/product/astrodroid-ad-01/</t>
        </is>
      </c>
      <c r="O61" s="150" t="inlineStr">
        <is>
          <t>http://www.elu-ai.com</t>
        </is>
      </c>
      <c r="P61" s="145" t="inlineStr">
        <is>
          <t>5 ft 7 in</t>
        </is>
      </c>
      <c r="Q61" s="145" t="n">
        <v>170</v>
      </c>
      <c r="R61" s="145" t="n">
        <v>264.6</v>
      </c>
      <c r="S61" s="145" t="n">
        <v>120</v>
      </c>
      <c r="T61" s="149" t="inlineStr">
        <is>
          <t>Not disclosed</t>
        </is>
      </c>
      <c r="U61" s="145" t="inlineStr">
        <is>
          <t>Not specified</t>
        </is>
      </c>
      <c r="V61" s="145" t="inlineStr">
        <is>
          <t>Not disclosed</t>
        </is>
      </c>
      <c r="W61" s="149" t="inlineStr">
        <is>
          <t>11</t>
        </is>
      </c>
      <c r="X61" s="145" t="n">
        <v>6.6</v>
      </c>
      <c r="Y61" s="145" t="n">
        <v>3</v>
      </c>
      <c r="Z61" s="145" t="n">
        <v>4.47</v>
      </c>
      <c r="AA61" s="145" t="n">
        <v>7.2</v>
      </c>
      <c r="AB61" s="145" t="n">
        <v>2</v>
      </c>
      <c r="AC61" s="149" t="inlineStr">
        <is>
          <t>≈ 2 hours</t>
        </is>
      </c>
      <c r="AD61" s="149" t="inlineStr">
        <is>
          <t>2</t>
        </is>
      </c>
      <c r="AE61" s="145" t="n"/>
      <c r="AF61" s="145" t="inlineStr">
        <is>
          <t>Not disclosed</t>
        </is>
      </c>
      <c r="AG61" s="149" t="inlineStr">
        <is>
          <t>10</t>
        </is>
      </c>
      <c r="AH61" s="145" t="inlineStr">
        <is>
          <t>10</t>
        </is>
      </c>
      <c r="AI61" s="151" t="n">
        <v>3</v>
      </c>
      <c r="AJ61" s="149" t="inlineStr">
        <is>
          <t>Not disclosed</t>
        </is>
      </c>
      <c r="AK61" s="149" t="inlineStr">
        <is>
          <t>Not specified</t>
        </is>
      </c>
      <c r="AL61" s="145" t="inlineStr">
        <is>
          <t>Not disclosed</t>
        </is>
      </c>
      <c r="AM61" s="145" t="n"/>
      <c r="AN61" s="145" t="inlineStr">
        <is>
          <t>Not disclosed</t>
        </is>
      </c>
      <c r="AO61" s="145" t="inlineStr">
        <is>
          <t>Not disclosed</t>
        </is>
      </c>
      <c r="AP61" s="145" t="inlineStr">
        <is>
          <t>Not disclosed</t>
        </is>
      </c>
      <c r="AQ61" s="145" t="inlineStr">
        <is>
          <t>Not disclosed</t>
        </is>
      </c>
      <c r="AR61" s="145" t="n"/>
      <c r="AS61" s="145" t="n"/>
      <c r="AT61" s="149" t="inlineStr">
        <is>
          <t>NVIDIA Jetson AGX Orin 64GB</t>
        </is>
      </c>
      <c r="AU61" s="149" t="inlineStr">
        <is>
          <t>- Wi-Fi 6 (802.11ax) - Ethernet (Gigabit) - 4G/5G Optional - Bluetooth 5.0 - ROS Compatible</t>
        </is>
      </c>
      <c r="AV61" s="145" t="inlineStr">
        <is>
          <t>Not disclosed</t>
        </is>
      </c>
      <c r="AW61" s="149" t="inlineStr">
        <is>
          <t>Not disclosed</t>
        </is>
      </c>
      <c r="AX61" s="158" t="n">
        <v>2</v>
      </c>
      <c r="AY61" s="149" t="inlineStr">
        <is>
          <t>Linux-based (Ubuntu 20.04/22.04) ROS 2 (Robot Operating System) Custom AI Runtime Environment</t>
        </is>
      </c>
      <c r="AZ61" s="149" t="inlineStr">
        <is>
          <t>Cloud-edge collaborative architecture; Integrated with Hyper-VLA Multimodal Model; Natural language understanding and instruction following; Proprietary vision-language-action model; Real-time multimodal reasoning; Yes</t>
        </is>
      </c>
      <c r="BA61" s="149" t="inlineStr">
        <is>
          <t>&amp;lt;200ms (End-to-End)</t>
        </is>
      </c>
      <c r="BB61" s="149" t="inlineStr">
        <is>
          <t>High-precision Brushless DC Motors (BLDC) Integrated Joint Actuators with Position/Torque Control</t>
        </is>
      </c>
      <c r="BC61" s="149" t="inlineStr">
        <is>
          <t>Harmonic Drive Reducers Planetary Gear Systems High-precision Transmission with Low Backlash</t>
        </is>
      </c>
      <c r="BD61" s="145" t="inlineStr">
        <is>
          <t>Aluminum Alloy Frame Carbon Fiber Composite Components Engineering Plastics for Housing</t>
        </is>
      </c>
      <c r="BE61" s="145" t="inlineStr">
        <is>
          <t>IP42</t>
        </is>
      </c>
      <c r="BF61" s="145" t="inlineStr">
        <is>
          <t>IP42</t>
        </is>
      </c>
      <c r="BG61" s="145" t="n"/>
      <c r="BH61" s="145" t="n"/>
      <c r="BI61" s="145" t="n"/>
      <c r="BJ61" s="145" t="n"/>
      <c r="BK61" s="145" t="n"/>
      <c r="BL61" s="145" t="n"/>
      <c r="BM61" s="145" t="inlineStr">
        <is>
          <t>Yes</t>
        </is>
      </c>
      <c r="BN61" s="145" t="inlineStr">
        <is>
          <t>Not disclosed</t>
        </is>
      </c>
      <c r="BO61" s="149" t="inlineStr">
        <is>
          <t>Market: Industries; logistics; Manufacturing; Research &amp; education · Manipulation 3/4 · Navigation 2/4 · Human-safe: Yes · AI: Cloud-edge collaborative architecture; Integrated with Hyper-VLA Multimodal Model; Natural language understanding and instruction followi… · Actuation: High-precision Brushless DC Motors (BLDC) Integrated Joint Actuators with Position/Torque Control · Peak 7.2 km/h · Walk 2 km/h · Runtime 2</t>
        </is>
      </c>
      <c r="BP61" s="145" t="n"/>
      <c r="BQ61" s="149" t="inlineStr">
        <is>
          <t>Industries; logistics; Manufacturing; Research &amp; education</t>
        </is>
      </c>
      <c r="BR61" s="149" t="inlineStr">
        <is>
          <t>Prototype</t>
        </is>
      </c>
      <c r="BS61" s="149" t="inlineStr">
        <is>
          <t>Prototype</t>
        </is>
      </c>
      <c r="BT61" s="145" t="inlineStr">
        <is>
          <t>Not specified</t>
        </is>
      </c>
      <c r="BU61" s="145" t="inlineStr">
        <is>
          <t>Not verified</t>
        </is>
      </c>
      <c r="BV61" s="149" t="n"/>
      <c r="BW61" s="149" t="inlineStr">
        <is>
          <t>Origin &amp; status — China · Prototype · 2026 | Manipulation — 10 · 10 fingers · Hand DOF 11 · Payload 6.6 lb | Sensing &amp; software — Cloud-edge collaborative architecture; Integrated with Hyper-VLA Multimodal Model; Natural language understanding and instruction following; Proprietary vis… | Buying notes — From $100,000 · 12 months manufacturer standard (typical research/commercial humanoid) · Best fit: Industries</t>
        </is>
      </c>
      <c r="BX61" s="149" t="inlineStr">
        <is>
          <t>as_shipped|AstroD. AD-01|100000|As shipped</t>
        </is>
      </c>
      <c r="BY61" s="145" t="inlineStr">
        <is>
          <t>not_specified|Not specified|#e2e8f0|0</t>
        </is>
      </c>
      <c r="BZ61" s="145" t="inlineStr"/>
      <c r="CA61" s="149" t="n"/>
      <c r="CB61" s="149" t="inlineStr">
        <is>
          <t>12 months manufacturer standard (typical research/commercial humanoid)</t>
        </is>
      </c>
      <c r="CC61" s="147" t="n">
        <v>12</v>
      </c>
      <c r="CD61" s="149" t="inlineStr">
        <is>
          <t>+3 Year Extended ≈24% of configuration (default in configurator)</t>
        </is>
      </c>
      <c r="CE61" s="145" t="inlineStr">
        <is>
          <t>Humanoid category norm 2025–2026</t>
        </is>
      </c>
      <c r="CF61" s="145" t="inlineStr">
        <is>
          <t>Estimated</t>
        </is>
      </c>
      <c r="CG61" s="149" t="inlineStr">
        <is>
          <t>Confirm on formal OEM quote. EDU or enterprise packages may differ.</t>
        </is>
      </c>
      <c r="CH61" s="145" t="inlineStr">
        <is>
          <t>10%</t>
        </is>
      </c>
      <c r="CI61" s="145" t="inlineStr">
        <is>
          <t>17%</t>
        </is>
      </c>
      <c r="CJ61" s="145" t="inlineStr">
        <is>
          <t>24%</t>
        </is>
      </c>
      <c r="CK61" s="149" t="inlineStr">
        <is>
          <t>+1yr ≈10% | +2yr ≈17% | +3yr ≈24% of selected configuration price (parts &amp; labor beyond manufacturer standard).</t>
        </is>
      </c>
      <c r="CL6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61" s="145" t="inlineStr">
        <is>
          <t>12 months manufacturer standard (typical research/commercial humanoid)</t>
        </is>
      </c>
      <c r="CQ61" s="101" t="inlineStr">
        <is>
          <t>Height: 5 ft 7 in | Weight: 264.6 | Degrees of Freedom: Not disclosed | Payload: 6.6 | Max Speed: 4.47 | Battery / Runtime: ≈ 2 hours</t>
        </is>
      </c>
    </row>
    <row r="62" ht="31.5" customHeight="1" s="102">
      <c r="A62" s="152" t="inlineStr">
        <is>
          <t>enchanted_tools_miroka</t>
        </is>
      </c>
      <c r="B62" s="153" t="inlineStr">
        <is>
          <t>Humanoid.guide</t>
        </is>
      </c>
      <c r="C62" s="152" t="inlineStr">
        <is>
          <t>Enchanted Tools</t>
        </is>
      </c>
      <c r="D62" s="152" t="inlineStr">
        <is>
          <t>Mirokaï</t>
        </is>
      </c>
      <c r="E62" s="152" t="inlineStr">
        <is>
          <t>[Enchanted Tools] Mirokaï (2026)</t>
        </is>
      </c>
      <c r="F62" s="146" t="inlineStr">
        <is>
          <t>humanoid</t>
        </is>
      </c>
      <c r="G62" s="152" t="inlineStr">
        <is>
          <t>France</t>
        </is>
      </c>
      <c r="H62" s="152" t="n"/>
      <c r="I62" s="155" t="n">
        <v>30000</v>
      </c>
      <c r="J62" s="152" t="inlineStr">
        <is>
          <t>Humanoid.guide list</t>
        </is>
      </c>
      <c r="K62" s="156" t="inlineStr">
        <is>
          <t>Mirokaï robots from Enchanted Tools combine advanced AI, imaginative design, and innovative movement to create user-friendly robots that are as functional as they are engaging.</t>
        </is>
      </c>
      <c r="L62" s="101" t="inlineStr">
        <is>
          <t>Mirokaï robots from Enchanted Tools combine advanced AI, imaginative design, and innovative movement to create user-friendly robots that are as functional as they are engaging.</t>
        </is>
      </c>
      <c r="M62" s="101" t="inlineStr">
        <is>
          <t>Mirokaï robots from Enchanted Tools combine advanced AI, imaginative design, and innovative movement to create user-friendly robots that are as functional as they are engaging. Public status is listed as prototype, and it is positioned for social environments.</t>
        </is>
      </c>
      <c r="N62" s="157" t="inlineStr">
        <is>
          <t>https://humanoid.guide/product/mirokai/</t>
        </is>
      </c>
      <c r="O62" s="157" t="inlineStr">
        <is>
          <t>https://enchanted.tools/</t>
        </is>
      </c>
      <c r="P62" s="152" t="inlineStr">
        <is>
          <t>4 ft 0 in</t>
        </is>
      </c>
      <c r="Q62" s="152" t="n">
        <v>123</v>
      </c>
      <c r="R62" s="152" t="n">
        <v>63.9</v>
      </c>
      <c r="S62" s="152" t="n">
        <v>29</v>
      </c>
      <c r="T62" s="156" t="inlineStr">
        <is>
          <t>Not disclosed</t>
        </is>
      </c>
      <c r="U62" s="152" t="n"/>
      <c r="V62" s="152" t="inlineStr">
        <is>
          <t>26</t>
        </is>
      </c>
      <c r="W62" s="156" t="inlineStr">
        <is>
          <t>2</t>
        </is>
      </c>
      <c r="X62" s="152" t="n">
        <v>3.3</v>
      </c>
      <c r="Y62" s="152" t="n">
        <v>1.5</v>
      </c>
      <c r="Z62" s="152" t="n">
        <v>1.86</v>
      </c>
      <c r="AA62" s="152" t="n">
        <v>3</v>
      </c>
      <c r="AB62" s="152" t="n"/>
      <c r="AC62" s="156" t="inlineStr">
        <is>
          <t>≈ 4 hours</t>
        </is>
      </c>
      <c r="AD62" s="156" t="inlineStr">
        <is>
          <t>4</t>
        </is>
      </c>
      <c r="AE62" s="152" t="n"/>
      <c r="AF62" s="152" t="inlineStr">
        <is>
          <t>Not disclosed</t>
        </is>
      </c>
      <c r="AG62" s="156" t="inlineStr">
        <is>
          <t>8</t>
        </is>
      </c>
      <c r="AH62" s="152" t="inlineStr">
        <is>
          <t>8</t>
        </is>
      </c>
      <c r="AI62" s="158" t="n">
        <v>2</v>
      </c>
      <c r="AJ62" s="156" t="inlineStr">
        <is>
          <t>1920x1080</t>
        </is>
      </c>
      <c r="AK62" s="156" t="inlineStr">
        <is>
          <t>1920x1080</t>
        </is>
      </c>
      <c r="AL62" s="152" t="inlineStr">
        <is>
          <t>Not disclosed</t>
        </is>
      </c>
      <c r="AM62" s="152" t="n"/>
      <c r="AN62" s="152" t="inlineStr">
        <is>
          <t>Not disclosed</t>
        </is>
      </c>
      <c r="AO62" s="152" t="inlineStr">
        <is>
          <t>Not disclosed</t>
        </is>
      </c>
      <c r="AP62" s="152" t="inlineStr">
        <is>
          <t>Not disclosed</t>
        </is>
      </c>
      <c r="AQ62" s="152" t="inlineStr">
        <is>
          <t>Not disclosed</t>
        </is>
      </c>
      <c r="AR62" s="152" t="n"/>
      <c r="AS62" s="152" t="n"/>
      <c r="AT62" s="156" t="inlineStr">
        <is>
          <t>2</t>
        </is>
      </c>
      <c r="AU62" s="156" t="inlineStr">
        <is>
          <t>Wifi 2,4 ghz &amp; 5ghz</t>
        </is>
      </c>
      <c r="AV62" s="152" t="inlineStr">
        <is>
          <t>Not disclosed</t>
        </is>
      </c>
      <c r="AW62" s="156" t="inlineStr">
        <is>
          <t>Not disclosed</t>
        </is>
      </c>
      <c r="AX62" s="158" t="n">
        <v>2</v>
      </c>
      <c r="AY62" s="156" t="inlineStr">
        <is>
          <t>Custom Linux</t>
        </is>
      </c>
      <c r="AZ62" s="156" t="inlineStr">
        <is>
          <t>Not disclosed</t>
        </is>
      </c>
      <c r="BA62" s="156" t="n"/>
      <c r="BB62" s="156" t="inlineStr">
        <is>
          <t>brushless</t>
        </is>
      </c>
      <c r="BC62" s="156" t="inlineStr">
        <is>
          <t>Not disclosed</t>
        </is>
      </c>
      <c r="BD62" s="152" t="inlineStr">
        <is>
          <t>Aluminium</t>
        </is>
      </c>
      <c r="BE62" s="152" t="inlineStr">
        <is>
          <t>Not disclosed</t>
        </is>
      </c>
      <c r="BF62" s="152" t="n"/>
      <c r="BG62" s="152" t="n"/>
      <c r="BH62" s="152" t="n"/>
      <c r="BI62" s="152" t="n"/>
      <c r="BJ62" s="152" t="n"/>
      <c r="BK62" s="152" t="n"/>
      <c r="BL62" s="152" t="n"/>
      <c r="BM62" s="152" t="inlineStr">
        <is>
          <t>Yes</t>
        </is>
      </c>
      <c r="BN62" s="152" t="inlineStr">
        <is>
          <t>Not disclosed</t>
        </is>
      </c>
      <c r="BO62" s="156" t="inlineStr">
        <is>
          <t>Market: Social environments · Manipulation 2/4 · Navigation 2/4 · Human-safe: Yes · Actuation: brushless · Peak 3 km/h · Runtime 4</t>
        </is>
      </c>
      <c r="BP62" s="152" t="n"/>
      <c r="BQ62" s="156" t="inlineStr">
        <is>
          <t>Social environments</t>
        </is>
      </c>
      <c r="BR62" s="156" t="inlineStr">
        <is>
          <t>Prototype</t>
        </is>
      </c>
      <c r="BS62" s="156" t="inlineStr">
        <is>
          <t>Prototype</t>
        </is>
      </c>
      <c r="BT62" s="152" t="n"/>
      <c r="BU62" s="152" t="inlineStr">
        <is>
          <t>Not verified</t>
        </is>
      </c>
      <c r="BV62" s="156" t="n"/>
      <c r="BW62" s="156" t="inlineStr">
        <is>
          <t>Origin &amp; status — France · Prototype · 2026 | Manipulation — 8 · 8 fingers · Hand DOF 2 · Payload 3.3 lb | Sensing &amp; software — 1920x1080 · Custom Linux | Buying notes — From $30,000 · 12 months manufacturer standard (typical research/commercial humanoid) · Best fit: Social environments</t>
        </is>
      </c>
      <c r="BX62" s="156" t="inlineStr">
        <is>
          <t>as_shipped|Mirokaï|30000|As shipped</t>
        </is>
      </c>
      <c r="BY62" s="152" t="inlineStr">
        <is>
          <t>miroka|Manufacturer finish|#e2e8f0|0</t>
        </is>
      </c>
      <c r="BZ62" s="152" t="inlineStr"/>
      <c r="CA62" s="156" t="n"/>
      <c r="CB62" s="156" t="inlineStr">
        <is>
          <t>12 months manufacturer standard (typical research/commercial humanoid)</t>
        </is>
      </c>
      <c r="CC62" s="154" t="n">
        <v>12</v>
      </c>
      <c r="CD62" s="156" t="inlineStr">
        <is>
          <t>+3 Year Extended ≈24% of configuration (default in configurator)</t>
        </is>
      </c>
      <c r="CE62" s="152" t="inlineStr">
        <is>
          <t>Humanoid category norm 2025–2026</t>
        </is>
      </c>
      <c r="CF62" s="152" t="inlineStr">
        <is>
          <t>Estimated</t>
        </is>
      </c>
      <c r="CG62" s="156" t="inlineStr">
        <is>
          <t>Confirm on formal OEM quote. EDU or enterprise packages may differ.</t>
        </is>
      </c>
      <c r="CH62" s="152" t="inlineStr">
        <is>
          <t>10%</t>
        </is>
      </c>
      <c r="CI62" s="152" t="inlineStr">
        <is>
          <t>17%</t>
        </is>
      </c>
      <c r="CJ62" s="152" t="inlineStr">
        <is>
          <t>24%</t>
        </is>
      </c>
      <c r="CK62" s="156" t="inlineStr">
        <is>
          <t>+1yr ≈10% | +2yr ≈17% | +3yr ≈24% of selected configuration price (parts &amp; labor beyond manufacturer standard).</t>
        </is>
      </c>
      <c r="CL62"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62" s="152" t="inlineStr">
        <is>
          <t>12 months manufacturer standard (typical research/commercial humanoid)</t>
        </is>
      </c>
      <c r="CQ62" s="101" t="inlineStr">
        <is>
          <t>Height: 4 ft 0 in | Weight: 63.9 | Degrees of Freedom: 26 | Payload: 3.3 | Max Speed: 1.86 | Battery / Runtime: ≈ 4 hours</t>
        </is>
      </c>
    </row>
    <row r="63" ht="31.5" customHeight="1" s="102">
      <c r="A63" s="143" t="inlineStr">
        <is>
          <t>engineai_robotics_pm01</t>
        </is>
      </c>
      <c r="B63" s="144" t="inlineStr">
        <is>
          <t>Both</t>
        </is>
      </c>
      <c r="C63" s="145" t="inlineStr">
        <is>
          <t>EngineAI</t>
        </is>
      </c>
      <c r="D63" s="145" t="inlineStr">
        <is>
          <t>PM01</t>
        </is>
      </c>
      <c r="E63" s="145" t="inlineStr">
        <is>
          <t>[EngineAI] PM01 (2025)</t>
        </is>
      </c>
      <c r="F63" s="146" t="inlineStr">
        <is>
          <t>humanoid</t>
        </is>
      </c>
      <c r="G63" s="145" t="inlineStr">
        <is>
          <t>China</t>
        </is>
      </c>
      <c r="H63" s="147" t="n">
        <v>2025</v>
      </c>
      <c r="I63" s="148" t="n">
        <v>12000</v>
      </c>
      <c r="J63" s="145" t="inlineStr">
        <is>
          <t>Robot Price Index Aug 2026</t>
        </is>
      </c>
      <c r="K63" s="149" t="inlineStr">
        <is>
          <t>The EngineAI PM01 is a next-generation humanoid robot that combines affordability, agility, and research-focused design.</t>
        </is>
      </c>
      <c r="L63" s="101" t="inlineStr">
        <is>
          <t>The EngineAI PM01 is a next-generation humanoid robot that combines affordability, agility, and research-focused design.</t>
        </is>
      </c>
      <c r="M63" s="101" t="inlineStr">
        <is>
          <t>PM01 is EngineAI's humanoid, introduced around 2025 in China. The EngineAI PM01 is a next-generation humanoid robot that combines affordability, agility, and research-focused design. Public status is listed as orderable, and it is positioned for research / Light work.</t>
        </is>
      </c>
      <c r="N63" s="150" t="inlineStr">
        <is>
          <t>https://humanoid.guide/product/pm01/</t>
        </is>
      </c>
      <c r="O63" s="150" t="inlineStr">
        <is>
          <t>https://www.engineai.com.cn</t>
        </is>
      </c>
      <c r="P63" s="145" t="inlineStr">
        <is>
          <t>4 ft 6 in</t>
        </is>
      </c>
      <c r="Q63" s="145" t="n">
        <v>138</v>
      </c>
      <c r="R63" s="145" t="n">
        <v>88.2</v>
      </c>
      <c r="S63" s="145" t="n">
        <v>40</v>
      </c>
      <c r="T63" s="149" t="inlineStr">
        <is>
          <t>Not disclosed</t>
        </is>
      </c>
      <c r="U63" s="145" t="n"/>
      <c r="V63" s="145" t="inlineStr">
        <is>
          <t>24</t>
        </is>
      </c>
      <c r="W63" s="149" t="inlineStr">
        <is>
          <t>Not disclosed</t>
        </is>
      </c>
      <c r="X63" s="145" t="n">
        <v>33.1</v>
      </c>
      <c r="Y63" s="145" t="n">
        <v>15</v>
      </c>
      <c r="Z63" s="145" t="n">
        <v>4.47</v>
      </c>
      <c r="AA63" s="145" t="n">
        <v>7.2</v>
      </c>
      <c r="AB63" s="145" t="n"/>
      <c r="AC63" s="149" t="inlineStr">
        <is>
          <t>≈ 2 hours</t>
        </is>
      </c>
      <c r="AD63" s="149" t="inlineStr">
        <is>
          <t>2</t>
        </is>
      </c>
      <c r="AE63" s="145" t="n"/>
      <c r="AF63" s="145" t="inlineStr">
        <is>
          <t>Not disclosed</t>
        </is>
      </c>
      <c r="AG63" s="149" t="inlineStr">
        <is>
          <t>Not disclosed</t>
        </is>
      </c>
      <c r="AH63" s="145" t="inlineStr">
        <is>
          <t>Not disclosed</t>
        </is>
      </c>
      <c r="AI63" s="151" t="n">
        <v>3</v>
      </c>
      <c r="AJ63" s="149" t="inlineStr">
        <is>
          <t>Research humanoid vision sensors</t>
        </is>
      </c>
      <c r="AK63" s="149" t="n"/>
      <c r="AL63" s="145" t="inlineStr">
        <is>
          <t>Not disclosed</t>
        </is>
      </c>
      <c r="AM63" s="145" t="n"/>
      <c r="AN63" s="145" t="inlineStr">
        <is>
          <t>Not disclosed</t>
        </is>
      </c>
      <c r="AO63" s="145" t="inlineStr">
        <is>
          <t>Not disclosed</t>
        </is>
      </c>
      <c r="AP63" s="145" t="inlineStr">
        <is>
          <t>Not disclosed</t>
        </is>
      </c>
      <c r="AQ63" s="145" t="inlineStr">
        <is>
          <t>Not disclosed</t>
        </is>
      </c>
      <c r="AR63" s="145" t="n"/>
      <c r="AS63" s="145" t="n"/>
      <c r="AT63" s="149" t="inlineStr">
        <is>
          <t>Not disclosed</t>
        </is>
      </c>
      <c r="AU63" s="149" t="inlineStr">
        <is>
          <t>Not disclosed</t>
        </is>
      </c>
      <c r="AV63" s="145" t="inlineStr">
        <is>
          <t>Research SDK paths</t>
        </is>
      </c>
      <c r="AW63" s="149" t="inlineStr">
        <is>
          <t>Compact bipedal research locomotion</t>
        </is>
      </c>
      <c r="AX63" s="151" t="n">
        <v>3</v>
      </c>
      <c r="AY63" s="149" t="inlineStr">
        <is>
          <t>Not disclosed</t>
        </is>
      </c>
      <c r="AZ63" s="149" t="inlineStr">
        <is>
          <t>Not disclosed</t>
        </is>
      </c>
      <c r="BA63" s="149" t="n"/>
      <c r="BB63" s="149" t="inlineStr">
        <is>
          <t>Not disclosed</t>
        </is>
      </c>
      <c r="BC63" s="149" t="inlineStr">
        <is>
          <t>Not disclosed</t>
        </is>
      </c>
      <c r="BD63" s="145" t="inlineStr">
        <is>
          <t>Not disclosed</t>
        </is>
      </c>
      <c r="BE63" s="145" t="inlineStr">
        <is>
          <t>Not disclosed</t>
        </is>
      </c>
      <c r="BF63" s="145" t="n"/>
      <c r="BG63" s="145" t="n"/>
      <c r="BH63" s="145" t="n"/>
      <c r="BI63" s="145" t="n"/>
      <c r="BJ63" s="145" t="n"/>
      <c r="BK63" s="145" t="n"/>
      <c r="BL63" s="145" t="n"/>
      <c r="BM63" s="145" t="inlineStr">
        <is>
          <t>Not disclosed</t>
        </is>
      </c>
      <c r="BN63" s="145" t="inlineStr">
        <is>
          <t>Not disclosed</t>
        </is>
      </c>
      <c r="BO63" s="149" t="inlineStr">
        <is>
          <t>Market: Research / Light work · Manipulation 3/4 · Navigation 3/4 · Peak 7.2 km/h · Runtime 2</t>
        </is>
      </c>
      <c r="BP63" s="145" t="n"/>
      <c r="BQ63" s="149" t="inlineStr">
        <is>
          <t>Research / Light work</t>
        </is>
      </c>
      <c r="BR63" s="149" t="inlineStr">
        <is>
          <t>Orderable</t>
        </is>
      </c>
      <c r="BS63" s="149" t="inlineStr">
        <is>
          <t>Prototype</t>
        </is>
      </c>
      <c r="BT63" s="145" t="n"/>
      <c r="BU63" s="145" t="inlineStr">
        <is>
          <t>Not verified</t>
        </is>
      </c>
      <c r="BV63" s="149" t="inlineStr">
        <is>
          <t>Affordable research platform Humanoid.guide listed price $20,000.</t>
        </is>
      </c>
      <c r="BW63" s="149" t="inlineStr">
        <is>
          <t>Origin &amp; status — China · Orderable · 2025 | Manipulation — Payload Light research payload class lb | Sensing &amp; software — Research humanoid vision sensors · Research SDK paths | Buying notes — From $12,000 · 12 months manufacturer standard (typical research/commercial humanoid) · Best fit: Research</t>
        </is>
      </c>
      <c r="BX63" s="149" t="inlineStr">
        <is>
          <t>as_shipped|PM01|12000|As shipped</t>
        </is>
      </c>
      <c r="BY63" s="145" t="inlineStr">
        <is>
          <t>pm01|Manufacturer finish|#e2e8f0|0</t>
        </is>
      </c>
      <c r="BZ63" s="145" t="inlineStr"/>
      <c r="CA63" s="149" t="inlineStr">
        <is>
          <t>Add-ons: case; 2 color options; Multi-year extended warranty available</t>
        </is>
      </c>
      <c r="CB63" s="149" t="inlineStr">
        <is>
          <t>12 months manufacturer standard (typical research/commercial humanoid)</t>
        </is>
      </c>
      <c r="CC63" s="147" t="n">
        <v>12</v>
      </c>
      <c r="CD63" s="149" t="inlineStr">
        <is>
          <t>+3 Year Extended ≈24% of configuration (default in configurator)</t>
        </is>
      </c>
      <c r="CE63" s="145" t="inlineStr">
        <is>
          <t>Humanoid category norm 2025–2026</t>
        </is>
      </c>
      <c r="CF63" s="145" t="inlineStr">
        <is>
          <t>Estimated</t>
        </is>
      </c>
      <c r="CG63" s="149" t="inlineStr">
        <is>
          <t>EDU or enterprise packages may differ; confirm on formal quote.</t>
        </is>
      </c>
      <c r="CH63" s="145" t="inlineStr">
        <is>
          <t>10%</t>
        </is>
      </c>
      <c r="CI63" s="145" t="inlineStr">
        <is>
          <t>17%</t>
        </is>
      </c>
      <c r="CJ63" s="145" t="inlineStr">
        <is>
          <t>24%</t>
        </is>
      </c>
      <c r="CK63"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63"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63" s="145" t="inlineStr">
        <is>
          <t>12 months manufacturer standard (typical research/commercial humanoid)</t>
        </is>
      </c>
      <c r="CN63" s="203" t="inlineStr">
        <is>
          <t>https://aixzd.com/robot/pm01</t>
        </is>
      </c>
      <c r="CO63" s="203" t="inlineStr">
        <is>
          <t>https://theresanaiforthat.com/robots/</t>
        </is>
      </c>
      <c r="CP63" s="203" t="inlineStr">
        <is>
          <t>Cross-checked against TAAFT Robots directory (669 entries) 28 Aug 2026 — individual TAAFT permalinks are JS/Cloudflare gated.</t>
        </is>
      </c>
      <c r="CQ63" s="101" t="inlineStr">
        <is>
          <t>Height: 4 ft 6 in | Weight: 88.2 | Degrees of Freedom: 24 | Payload: 33.1 | Max Speed: 4.47 | Battery / Runtime: ≈ 2 hours</t>
        </is>
      </c>
    </row>
    <row r="64" ht="31.5" customHeight="1" s="102">
      <c r="A64" s="152" t="inlineStr">
        <is>
          <t>engineai_robotics_sao2</t>
        </is>
      </c>
      <c r="B64" s="153" t="inlineStr">
        <is>
          <t>Humanoid.guide</t>
        </is>
      </c>
      <c r="C64" s="152" t="inlineStr">
        <is>
          <t>EngineAI</t>
        </is>
      </c>
      <c r="D64" s="152" t="inlineStr">
        <is>
          <t>SAO2</t>
        </is>
      </c>
      <c r="E64" s="152" t="inlineStr">
        <is>
          <t>[EngineAI] SAO2 (2026)</t>
        </is>
      </c>
      <c r="F64" s="146" t="inlineStr">
        <is>
          <t>humanoid</t>
        </is>
      </c>
      <c r="G64" s="152" t="inlineStr">
        <is>
          <t>China</t>
        </is>
      </c>
      <c r="H64" s="152" t="n"/>
      <c r="I64" s="155" t="n">
        <v>5300</v>
      </c>
      <c r="J64" s="152" t="inlineStr">
        <is>
          <t>Humanoid.guide list</t>
        </is>
      </c>
      <c r="K64" s="156" t="inlineStr">
        <is>
          <t>EngineAi’s SA02 is a pint-sized, anime-styled humanoid standing about 1.25 m tall and weighing only 25 kg, yet it squeezes in 26 powered joints plus two articulated fingers for expressive gestures.</t>
        </is>
      </c>
      <c r="L64" s="101" t="inlineStr">
        <is>
          <t>EngineAi’s SA02 is a pint-sized, anime-styled humanoid standing about 1.25 m tall and weighing only 25 kg, yet it squeezes in 26 powered joints plus two articulated fingers for expressive gestures.</t>
        </is>
      </c>
      <c r="M64" s="101" t="inlineStr">
        <is>
          <t>SAO2 is EngineAI's humanoid, introduced around 2026 in China. EngineAi’s SA02 is a pint-sized, anime-styled humanoid standing about 1.25 m tall and weighing only 25 kg, yet it squeezes in 26 powered joints plus two articulated fingers for expressive gestures. Public status is listed as in production.</t>
        </is>
      </c>
      <c r="N64" s="157" t="inlineStr">
        <is>
          <t>https://humanoid.guide/product/sao2/</t>
        </is>
      </c>
      <c r="O64" s="157" t="inlineStr">
        <is>
          <t>https://www.engineai.com.cn</t>
        </is>
      </c>
      <c r="P64" s="152" t="inlineStr">
        <is>
          <t>4 ft 1 in</t>
        </is>
      </c>
      <c r="Q64" s="152" t="n">
        <v>125</v>
      </c>
      <c r="R64" s="152" t="n">
        <v>55.1</v>
      </c>
      <c r="S64" s="152" t="n">
        <v>25</v>
      </c>
      <c r="T64" s="156" t="inlineStr">
        <is>
          <t>Not disclosed</t>
        </is>
      </c>
      <c r="U64" s="152" t="n"/>
      <c r="V64" s="152" t="inlineStr">
        <is>
          <t>28</t>
        </is>
      </c>
      <c r="W64" s="156" t="inlineStr">
        <is>
          <t>Not disclosed</t>
        </is>
      </c>
      <c r="X64" s="152" t="n">
        <v>11</v>
      </c>
      <c r="Y64" s="152" t="n">
        <v>5</v>
      </c>
      <c r="Z64" s="152" t="n">
        <v>4.47</v>
      </c>
      <c r="AA64" s="152" t="n">
        <v>7.2</v>
      </c>
      <c r="AB64" s="152" t="n"/>
      <c r="AC64" s="156" t="inlineStr">
        <is>
          <t>≈ 4 hours</t>
        </is>
      </c>
      <c r="AD64" s="156" t="inlineStr">
        <is>
          <t>4</t>
        </is>
      </c>
      <c r="AE64" s="152" t="n"/>
      <c r="AF64" s="152" t="inlineStr">
        <is>
          <t>Not disclosed</t>
        </is>
      </c>
      <c r="AG64" s="156" t="inlineStr">
        <is>
          <t>Not disclosed</t>
        </is>
      </c>
      <c r="AH64" s="152" t="inlineStr">
        <is>
          <t>Not disclosed</t>
        </is>
      </c>
      <c r="AI64" s="151" t="n">
        <v>3</v>
      </c>
      <c r="AJ64" s="156" t="inlineStr">
        <is>
          <t>1080p</t>
        </is>
      </c>
      <c r="AK64" s="156" t="inlineStr">
        <is>
          <t>1080p</t>
        </is>
      </c>
      <c r="AL64" s="152" t="inlineStr">
        <is>
          <t>Not disclosed</t>
        </is>
      </c>
      <c r="AM64" s="152" t="n"/>
      <c r="AN64" s="152" t="inlineStr">
        <is>
          <t>Not disclosed</t>
        </is>
      </c>
      <c r="AO64" s="152" t="inlineStr">
        <is>
          <t>Not disclosed</t>
        </is>
      </c>
      <c r="AP64" s="152" t="inlineStr">
        <is>
          <t>Not disclosed</t>
        </is>
      </c>
      <c r="AQ64" s="152" t="inlineStr">
        <is>
          <t>Not disclosed</t>
        </is>
      </c>
      <c r="AR64" s="152" t="n"/>
      <c r="AS64" s="152" t="n"/>
      <c r="AT64" s="156" t="inlineStr">
        <is>
          <t>NVIDIA and Intel dual-core processors</t>
        </is>
      </c>
      <c r="AU64" s="156" t="inlineStr">
        <is>
          <t>Bluetooth; WiFi</t>
        </is>
      </c>
      <c r="AV64" s="152" t="inlineStr">
        <is>
          <t>Not disclosed</t>
        </is>
      </c>
      <c r="AW64" s="156" t="inlineStr">
        <is>
          <t>Not disclosed</t>
        </is>
      </c>
      <c r="AX64" s="151" t="n">
        <v>3</v>
      </c>
      <c r="AY64" s="156" t="inlineStr">
        <is>
          <t>Linux</t>
        </is>
      </c>
      <c r="AZ64" s="156" t="inlineStr">
        <is>
          <t>Yes</t>
        </is>
      </c>
      <c r="BA64" s="156" t="inlineStr">
        <is>
          <t>&amp;lt;100 ms</t>
        </is>
      </c>
      <c r="BB64" s="156" t="inlineStr">
        <is>
          <t>Harmonic joint modules</t>
        </is>
      </c>
      <c r="BC64" s="156" t="inlineStr">
        <is>
          <t>Harmonic gears</t>
        </is>
      </c>
      <c r="BD64" s="152" t="inlineStr">
        <is>
          <t>Aluminium</t>
        </is>
      </c>
      <c r="BE64" s="152" t="inlineStr">
        <is>
          <t>IP20</t>
        </is>
      </c>
      <c r="BF64" s="152" t="inlineStr">
        <is>
          <t>IP20</t>
        </is>
      </c>
      <c r="BG64" s="152" t="n"/>
      <c r="BH64" s="152" t="n"/>
      <c r="BI64" s="152" t="n"/>
      <c r="BJ64" s="152" t="n"/>
      <c r="BK64" s="152" t="n"/>
      <c r="BL64" s="152" t="n"/>
      <c r="BM64" s="152" t="inlineStr">
        <is>
          <t>Yes</t>
        </is>
      </c>
      <c r="BN64" s="152" t="inlineStr">
        <is>
          <t>Not disclosed</t>
        </is>
      </c>
      <c r="BO64" s="156" t="inlineStr">
        <is>
          <t>Market: Not specified · Manipulation 3/4 · Navigation 3/4 · Human-safe: Yes · AI: Yes · Actuation: Harmonic joint modules · Peak 7.2 km/h · Runtime 4</t>
        </is>
      </c>
      <c r="BP64" s="152" t="n"/>
      <c r="BQ64" s="156" t="inlineStr">
        <is>
          <t>Research labs, commercial pilots, and education programs evaluating a humanoid from EngineAI Robotics (China).</t>
        </is>
      </c>
      <c r="BR64" s="156" t="inlineStr">
        <is>
          <t>In production</t>
        </is>
      </c>
      <c r="BS64" s="156" t="inlineStr">
        <is>
          <t>In production</t>
        </is>
      </c>
      <c r="BT64" s="152" t="n"/>
      <c r="BU64" s="152" t="inlineStr">
        <is>
          <t>Not verified</t>
        </is>
      </c>
      <c r="BV64" s="156" t="n"/>
      <c r="BW64" s="156" t="inlineStr">
        <is>
          <t>Origin &amp; status — China · In production · 2026 | Manipulation — Payload 11 lb | Sensing &amp; software — 1080p · Yes · Linux | Buying notes — From $5,300 · 12 months manufacturer standard (typical research/commercial humanoid)</t>
        </is>
      </c>
      <c r="BX64" s="156" t="inlineStr">
        <is>
          <t>as_shipped|SAO2|5300|As shipped</t>
        </is>
      </c>
      <c r="BY64" s="152" t="inlineStr">
        <is>
          <t>sao2|Manufacturer finish|#e2e8f0|0</t>
        </is>
      </c>
      <c r="BZ64" s="152" t="inlineStr"/>
      <c r="CA64" s="156" t="n"/>
      <c r="CB64" s="156" t="inlineStr">
        <is>
          <t>12 months manufacturer standard (typical research/commercial humanoid)</t>
        </is>
      </c>
      <c r="CC64" s="154" t="n">
        <v>12</v>
      </c>
      <c r="CD64" s="156" t="inlineStr">
        <is>
          <t>+3 Year Extended ≈24% of configuration (default in configurator)</t>
        </is>
      </c>
      <c r="CE64" s="152" t="inlineStr">
        <is>
          <t>Humanoid category norm 2025–2026</t>
        </is>
      </c>
      <c r="CF64" s="152" t="inlineStr">
        <is>
          <t>Estimated</t>
        </is>
      </c>
      <c r="CG64" s="156" t="inlineStr">
        <is>
          <t>Confirm on formal OEM quote. EDU or enterprise packages may differ.</t>
        </is>
      </c>
      <c r="CH64" s="152" t="inlineStr">
        <is>
          <t>10%</t>
        </is>
      </c>
      <c r="CI64" s="152" t="inlineStr">
        <is>
          <t>17%</t>
        </is>
      </c>
      <c r="CJ64" s="152" t="inlineStr">
        <is>
          <t>24%</t>
        </is>
      </c>
      <c r="CK64" s="156" t="inlineStr">
        <is>
          <t>+1yr ≈10% | +2yr ≈17% | +3yr ≈24% of selected configuration price (parts &amp; labor beyond manufacturer standard).</t>
        </is>
      </c>
      <c r="CL64"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64" s="152" t="inlineStr">
        <is>
          <t>12 months manufacturer standard (typical research/commercial humanoid)</t>
        </is>
      </c>
      <c r="CO64" s="203" t="inlineStr">
        <is>
          <t>https://theresanaiforthat.com/robots/</t>
        </is>
      </c>
      <c r="CP64" s="203" t="inlineStr">
        <is>
          <t>Cross-checked against TAAFT Robots directory (669 entries) 28 Aug 2026 — individual TAAFT permalinks are JS/Cloudflare gated.</t>
        </is>
      </c>
      <c r="CQ64" s="101" t="inlineStr">
        <is>
          <t>Height: 4 ft 1 in | Weight: 55.1 | Degrees of Freedom: 28 | Payload: 11 | Max Speed: 4.47 | Battery / Runtime: ≈ 4 hours</t>
        </is>
      </c>
    </row>
    <row r="65" ht="31.5" customHeight="1" s="102">
      <c r="A65" s="145" t="inlineStr">
        <is>
          <t>engineai_robotics_se01</t>
        </is>
      </c>
      <c r="B65" s="153" t="inlineStr">
        <is>
          <t>Humanoid.guide</t>
        </is>
      </c>
      <c r="C65" s="145" t="inlineStr">
        <is>
          <t>EngineAI</t>
        </is>
      </c>
      <c r="D65" s="145" t="inlineStr">
        <is>
          <t>SE01</t>
        </is>
      </c>
      <c r="E65" s="145" t="inlineStr">
        <is>
          <t>[EngineAI] SE01 (2025)</t>
        </is>
      </c>
      <c r="F65" s="146" t="inlineStr">
        <is>
          <t>humanoid</t>
        </is>
      </c>
      <c r="G65" s="145" t="inlineStr">
        <is>
          <t>China</t>
        </is>
      </c>
      <c r="H65" s="145" t="n"/>
      <c r="I65" s="148" t="n">
        <v>20500</v>
      </c>
      <c r="J65" s="145" t="inlineStr">
        <is>
          <t>Robot Price Index Aug 2026 · entry</t>
        </is>
      </c>
      <c r="K65" s="149" t="inlineStr">
        <is>
          <t>The ENGINEAI SE01 humanoid robot is a versatile consumer-grade model designed for flexibility, precision, and safety.</t>
        </is>
      </c>
      <c r="L65" s="101" t="inlineStr">
        <is>
          <t>The ENGINEAI SE01 humanoid robot is a versatile consumer-grade model designed for flexibility, precision, and safety.</t>
        </is>
      </c>
      <c r="M65" s="101" t="inlineStr">
        <is>
          <t>SE01 is EngineAI's humanoid, introduced around 2026 in China. The ENGINEAI SE01 humanoid robot is a versatile consumer-grade model designed for flexibility, precision, and safety. Public status is listed as prototype.</t>
        </is>
      </c>
      <c r="N65" s="150" t="inlineStr">
        <is>
          <t>https://humanoid.guide/product/se01/</t>
        </is>
      </c>
      <c r="O65" s="150" t="inlineStr">
        <is>
          <t>https://www.engineai.com.cn</t>
        </is>
      </c>
      <c r="P65" s="145" t="inlineStr">
        <is>
          <t>5 ft 11 in</t>
        </is>
      </c>
      <c r="Q65" s="145" t="n">
        <v>180</v>
      </c>
      <c r="R65" s="145" t="n">
        <v>176.4</v>
      </c>
      <c r="S65" s="145" t="n">
        <v>80</v>
      </c>
      <c r="T65" s="149" t="inlineStr">
        <is>
          <t>Not disclosed</t>
        </is>
      </c>
      <c r="U65" s="145" t="n"/>
      <c r="V65" s="145" t="inlineStr">
        <is>
          <t>12</t>
        </is>
      </c>
      <c r="W65" s="149" t="inlineStr">
        <is>
          <t>Not disclosed</t>
        </is>
      </c>
      <c r="X65" s="145" t="n">
        <v>33.1</v>
      </c>
      <c r="Y65" s="145" t="n">
        <v>15</v>
      </c>
      <c r="Z65" s="145" t="n">
        <v>2.49</v>
      </c>
      <c r="AA65" s="145" t="n">
        <v>4</v>
      </c>
      <c r="AB65" s="145" t="n">
        <v>3</v>
      </c>
      <c r="AC65" s="149" t="inlineStr">
        <is>
          <t>≈ 2 hours</t>
        </is>
      </c>
      <c r="AD65" s="149" t="inlineStr">
        <is>
          <t>2</t>
        </is>
      </c>
      <c r="AE65" s="145" t="n"/>
      <c r="AF65" s="145" t="inlineStr">
        <is>
          <t>Not disclosed</t>
        </is>
      </c>
      <c r="AG65" s="149" t="inlineStr">
        <is>
          <t>Not disclosed</t>
        </is>
      </c>
      <c r="AH65" s="145" t="inlineStr">
        <is>
          <t>Not disclosed</t>
        </is>
      </c>
      <c r="AI65" s="151" t="n">
        <v>3</v>
      </c>
      <c r="AJ65" s="149" t="inlineStr">
        <is>
          <t>Not disclosed</t>
        </is>
      </c>
      <c r="AK65" s="149" t="n"/>
      <c r="AL65" s="145" t="inlineStr">
        <is>
          <t>Not disclosed</t>
        </is>
      </c>
      <c r="AM65" s="145" t="n"/>
      <c r="AN65" s="145" t="inlineStr">
        <is>
          <t>Not disclosed</t>
        </is>
      </c>
      <c r="AO65" s="145" t="inlineStr">
        <is>
          <t>Not disclosed</t>
        </is>
      </c>
      <c r="AP65" s="145" t="inlineStr">
        <is>
          <t>Not disclosed</t>
        </is>
      </c>
      <c r="AQ65" s="145" t="inlineStr">
        <is>
          <t>Not disclosed</t>
        </is>
      </c>
      <c r="AR65" s="145" t="n"/>
      <c r="AS65" s="145" t="n"/>
      <c r="AT65" s="149" t="inlineStr">
        <is>
          <t>Not disclosed</t>
        </is>
      </c>
      <c r="AU65" s="149" t="inlineStr">
        <is>
          <t>Not disclosed</t>
        </is>
      </c>
      <c r="AV65" s="145" t="inlineStr">
        <is>
          <t>Not disclosed</t>
        </is>
      </c>
      <c r="AW65" s="149" t="inlineStr">
        <is>
          <t>Not disclosed</t>
        </is>
      </c>
      <c r="AX65" s="151" t="n">
        <v>3</v>
      </c>
      <c r="AY65" s="149" t="inlineStr">
        <is>
          <t>Not disclosed</t>
        </is>
      </c>
      <c r="AZ65" s="149" t="inlineStr">
        <is>
          <t>Not disclosed</t>
        </is>
      </c>
      <c r="BA65" s="149" t="n"/>
      <c r="BB65" s="149" t="inlineStr">
        <is>
          <t>Not disclosed</t>
        </is>
      </c>
      <c r="BC65" s="149" t="inlineStr">
        <is>
          <t>Not disclosed</t>
        </is>
      </c>
      <c r="BD65" s="145" t="inlineStr">
        <is>
          <t>Not disclosed</t>
        </is>
      </c>
      <c r="BE65" s="145" t="inlineStr">
        <is>
          <t>Not disclosed</t>
        </is>
      </c>
      <c r="BF65" s="145" t="n"/>
      <c r="BG65" s="145" t="n"/>
      <c r="BH65" s="145" t="n"/>
      <c r="BI65" s="145" t="n"/>
      <c r="BJ65" s="145" t="n"/>
      <c r="BK65" s="145" t="n"/>
      <c r="BL65" s="145" t="n"/>
      <c r="BM65" s="145" t="inlineStr">
        <is>
          <t>Not disclosed</t>
        </is>
      </c>
      <c r="BN65" s="145" t="inlineStr">
        <is>
          <t>Not disclosed</t>
        </is>
      </c>
      <c r="BO65" s="149" t="inlineStr">
        <is>
          <t>Manipulation 3/4 · Navigation 3/4 · Peak 4 km/h · Walk 3 km/h · Runtime 2</t>
        </is>
      </c>
      <c r="BP65" s="145" t="n"/>
      <c r="BQ65" s="149" t="inlineStr">
        <is>
          <t>Research labs, commercial pilots, and education programs evaluating a humanoid from EngineAI Robotics (China) now listed as prototype.</t>
        </is>
      </c>
      <c r="BR65" s="149" t="inlineStr">
        <is>
          <t>Prototype</t>
        </is>
      </c>
      <c r="BS65" s="149" t="inlineStr">
        <is>
          <t>Prototype</t>
        </is>
      </c>
      <c r="BT65" s="145" t="n"/>
      <c r="BU65" s="145" t="inlineStr">
        <is>
          <t>Not verified</t>
        </is>
      </c>
      <c r="BV65" s="149" t="n"/>
      <c r="BW65" s="149" t="inlineStr">
        <is>
          <t>Origin &amp; status — China · Prototype · 2026 | Manipulation — Payload 33.1 lb | Sensing &amp; software — Sensor and compute package confirmed on formal quote | Buying notes — From $20,500 · 12 months manufacturer standard (typical research/commercial humanoid)</t>
        </is>
      </c>
      <c r="BX65" s="149" t="inlineStr">
        <is>
          <t>as_shipped|SE01|20500|As shipped</t>
        </is>
      </c>
      <c r="BY65" s="145" t="inlineStr">
        <is>
          <t>se01|Manufacturer finish|#e2e8f0|0</t>
        </is>
      </c>
      <c r="BZ65" s="145" t="inlineStr"/>
      <c r="CA65" s="149" t="n"/>
      <c r="CB65" s="149" t="inlineStr">
        <is>
          <t>12 months manufacturer standard (typical research/commercial humanoid)</t>
        </is>
      </c>
      <c r="CC65" s="147" t="n">
        <v>12</v>
      </c>
      <c r="CD65" s="149" t="inlineStr">
        <is>
          <t>+3 Year Extended ≈24% of configuration (default in configurator)</t>
        </is>
      </c>
      <c r="CE65" s="145" t="inlineStr">
        <is>
          <t>Humanoid category norm 2025–2026</t>
        </is>
      </c>
      <c r="CF65" s="145" t="inlineStr">
        <is>
          <t>Estimated</t>
        </is>
      </c>
      <c r="CG65" s="149" t="inlineStr">
        <is>
          <t>Confirm on formal OEM quote. EDU or enterprise packages may differ.</t>
        </is>
      </c>
      <c r="CH65" s="145" t="inlineStr">
        <is>
          <t>10%</t>
        </is>
      </c>
      <c r="CI65" s="145" t="inlineStr">
        <is>
          <t>17%</t>
        </is>
      </c>
      <c r="CJ65" s="145" t="inlineStr">
        <is>
          <t>24%</t>
        </is>
      </c>
      <c r="CK65" s="149" t="inlineStr">
        <is>
          <t>+1yr ≈10% | +2yr ≈17% | +3yr ≈24% of selected configuration price (parts &amp; labor beyond manufacturer standard).</t>
        </is>
      </c>
      <c r="CL6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65" s="145" t="inlineStr">
        <is>
          <t>12 months manufacturer standard (typical research/commercial humanoid)</t>
        </is>
      </c>
      <c r="CN65" s="203" t="inlineStr">
        <is>
          <t>https://aixzd.com/robot/se01</t>
        </is>
      </c>
      <c r="CO65" s="203" t="inlineStr">
        <is>
          <t>https://theresanaiforthat.com/robots/</t>
        </is>
      </c>
      <c r="CP65" s="203" t="inlineStr">
        <is>
          <t>Cross-checked against TAAFT Robots directory (669 entries) 28 Aug 2026 — individual TAAFT permalinks are JS/Cloudflare gated.</t>
        </is>
      </c>
      <c r="CQ65" s="101" t="inlineStr">
        <is>
          <t>Height: 5 ft 11 in | Weight: 176.4 | Degrees of Freedom: 12 | Payload: 33.1 | Max Speed: 2.49 | Battery / Runtime: ≈ 2 hours</t>
        </is>
      </c>
    </row>
    <row r="66" ht="31.5" customHeight="1" s="102">
      <c r="A66" s="159" t="inlineStr">
        <is>
          <t>engineai_robotics_se01_t800_variants</t>
        </is>
      </c>
      <c r="B66" s="144" t="inlineStr">
        <is>
          <t>Both</t>
        </is>
      </c>
      <c r="C66" s="152" t="inlineStr">
        <is>
          <t>EngineAI</t>
        </is>
      </c>
      <c r="D66" s="152" t="inlineStr">
        <is>
          <t>T800</t>
        </is>
      </c>
      <c r="E66" s="152" t="inlineStr">
        <is>
          <t>[EngineAI] T800 (2025)</t>
        </is>
      </c>
      <c r="F66" s="146" t="inlineStr">
        <is>
          <t>humanoid</t>
        </is>
      </c>
      <c r="G66" s="152" t="inlineStr">
        <is>
          <t>China</t>
        </is>
      </c>
      <c r="H66" s="154" t="n">
        <v>2025</v>
      </c>
      <c r="I66" s="155" t="n">
        <v>20500</v>
      </c>
      <c r="J66" s="152" t="inlineStr">
        <is>
          <t>Website store</t>
        </is>
      </c>
      <c r="K66" s="156" t="inlineStr">
        <is>
          <t>T800 is EngineAI Robotics's humanoid — 5 ft 7 in class, 32+ DOF, Research / light-work payload class lb payload. Manipulator options on SE01 / T800 variants; onboard AI: Supported via external cloud APIs.</t>
        </is>
      </c>
      <c r="L66" s="101" t="inlineStr">
        <is>
          <t>T800 is EngineAI Robotics's humanoid — 5 ft 7 in class, 32+ DOF, Research / light-work payload class lb payload. Manipulator options on SE01 / T800 variants; onboard AI: Supported via external cloud APIs.</t>
        </is>
      </c>
      <c r="M66" s="101" t="inlineStr">
        <is>
          <t>T800 is EngineAI Robotics's humanoid — 5 ft 7 in class, 32+ DOF, Research / light-work payload class lb payload. Manipulator options on SE01 / T800 variants; onboard AI: Supported via external cloud APIs. Public status is listed as orderable, and it is positioned for research / Light work.</t>
        </is>
      </c>
      <c r="N66" s="157" t="inlineStr">
        <is>
          <t>https://humanoid.guide/product/t800/</t>
        </is>
      </c>
      <c r="O66" s="157" t="inlineStr">
        <is>
          <t>https://www.engineai.com.cn</t>
        </is>
      </c>
      <c r="P66" s="152" t="inlineStr">
        <is>
          <t>5 ft 7 in</t>
        </is>
      </c>
      <c r="Q66" s="152" t="n">
        <v>173</v>
      </c>
      <c r="R66" s="152" t="n">
        <v>132.3</v>
      </c>
      <c r="S66" s="152" t="n">
        <v>60</v>
      </c>
      <c r="T66" s="156" t="inlineStr">
        <is>
          <t>Not disclosed</t>
        </is>
      </c>
      <c r="U66" s="152" t="inlineStr">
        <is>
          <t>190 × 70 × 55 cm</t>
        </is>
      </c>
      <c r="V66" s="152" t="inlineStr">
        <is>
          <t>32+</t>
        </is>
      </c>
      <c r="W66" s="156" t="inlineStr">
        <is>
          <t>12</t>
        </is>
      </c>
      <c r="X66" s="152" t="n">
        <v>44.1</v>
      </c>
      <c r="Y66" s="152" t="n">
        <v>20</v>
      </c>
      <c r="Z66" s="152" t="n">
        <v>3.73</v>
      </c>
      <c r="AA66" s="152" t="n">
        <v>6</v>
      </c>
      <c r="AB66" s="152" t="n">
        <v>4</v>
      </c>
      <c r="AC66" s="156" t="inlineStr">
        <is>
          <t>≈ 2 hours</t>
        </is>
      </c>
      <c r="AD66" s="156" t="inlineStr">
        <is>
          <t>2</t>
        </is>
      </c>
      <c r="AE66" s="152" t="n"/>
      <c r="AF66" s="152" t="inlineStr">
        <is>
          <t>Not disclosed</t>
        </is>
      </c>
      <c r="AG66" s="156" t="inlineStr">
        <is>
          <t>Manipulator options on SE01 / T800 variants</t>
        </is>
      </c>
      <c r="AH66" s="152" t="inlineStr">
        <is>
          <t>5 per hand</t>
        </is>
      </c>
      <c r="AI66" s="152" t="n"/>
      <c r="AJ66" s="156" t="inlineStr">
        <is>
          <t>Multi-camera research perception</t>
        </is>
      </c>
      <c r="AK66" s="156" t="inlineStr">
        <is>
          <t>Dual 1080p depth + RGB</t>
        </is>
      </c>
      <c r="AL66" s="152" t="inlineStr">
        <is>
          <t>Not disclosed</t>
        </is>
      </c>
      <c r="AM66" s="152" t="n"/>
      <c r="AN66" s="152" t="inlineStr">
        <is>
          <t>Not disclosed</t>
        </is>
      </c>
      <c r="AO66" s="152" t="inlineStr">
        <is>
          <t>Not disclosed</t>
        </is>
      </c>
      <c r="AP66" s="152" t="inlineStr">
        <is>
          <t>Not disclosed</t>
        </is>
      </c>
      <c r="AQ66" s="152" t="inlineStr">
        <is>
          <t>Not disclosed</t>
        </is>
      </c>
      <c r="AR66" s="152" t="n"/>
      <c r="AS66" s="152" t="n"/>
      <c r="AT66" s="156" t="inlineStr">
        <is>
          <t>Industrial embedded computer, NVIDIA Orin-class (assumed)</t>
        </is>
      </c>
      <c r="AU66" s="156" t="inlineStr">
        <is>
          <t>Ethernet; Wi-Fi, Bluetooth, 5G</t>
        </is>
      </c>
      <c r="AV66" s="152" t="inlineStr">
        <is>
          <t>EngineAI research software</t>
        </is>
      </c>
      <c r="AW66" s="156" t="inlineStr">
        <is>
          <t>Not disclosed</t>
        </is>
      </c>
      <c r="AX66" s="152" t="n"/>
      <c r="AY66" s="156" t="inlineStr">
        <is>
          <t>Linux-based robotics OS</t>
        </is>
      </c>
      <c r="AZ66" s="156" t="inlineStr">
        <is>
          <t>Supported via external cloud APIs</t>
        </is>
      </c>
      <c r="BA66" s="156" t="inlineStr">
        <is>
          <t>150–250 ms</t>
        </is>
      </c>
      <c r="BB66" s="156" t="inlineStr">
        <is>
          <t>Electric servo motors</t>
        </is>
      </c>
      <c r="BC66" s="156" t="inlineStr">
        <is>
          <t>Harmonic Drive</t>
        </is>
      </c>
      <c r="BD66" s="152" t="inlineStr">
        <is>
          <t>Aluminum alloy + reinforced plastics</t>
        </is>
      </c>
      <c r="BE66" s="152" t="inlineStr">
        <is>
          <t>IP20</t>
        </is>
      </c>
      <c r="BF66" s="152" t="inlineStr">
        <is>
          <t>IP20</t>
        </is>
      </c>
      <c r="BG66" s="152" t="n"/>
      <c r="BH66" s="152" t="n"/>
      <c r="BI66" s="152" t="n"/>
      <c r="BJ66" s="152" t="n"/>
      <c r="BK66" s="152" t="n"/>
      <c r="BL66" s="152" t="n"/>
      <c r="BM66" s="152" t="inlineStr">
        <is>
          <t>Yes</t>
        </is>
      </c>
      <c r="BN66" s="152" t="inlineStr">
        <is>
          <t>Not disclosed</t>
        </is>
      </c>
      <c r="BO66" s="156" t="inlineStr">
        <is>
          <t>Market: Research / Light work · Human-safe: Yes · AI: Supported via external cloud APIs · Actuation: Electric servo motors · Peak 6 km/h · Walk 4 km/h · Runtime 2</t>
        </is>
      </c>
      <c r="BP66" s="152" t="n"/>
      <c r="BQ66" s="156" t="inlineStr">
        <is>
          <t>Research / Light work</t>
        </is>
      </c>
      <c r="BR66" s="156" t="inlineStr">
        <is>
          <t>Orderable</t>
        </is>
      </c>
      <c r="BS66" s="156" t="inlineStr">
        <is>
          <t>Prototype</t>
        </is>
      </c>
      <c r="BT66" s="152" t="inlineStr">
        <is>
          <t>White/grey (prototype)</t>
        </is>
      </c>
      <c r="BU66" s="152" t="inlineStr">
        <is>
          <t>Not verified</t>
        </is>
      </c>
      <c r="BV66" s="156" t="inlineStr">
        <is>
          <t>Humanoid.guide listed price $85,000.</t>
        </is>
      </c>
      <c r="BW66" s="156" t="inlineStr">
        <is>
          <t>Origin &amp; status — China · Orderable · 2025 | Manipulation — Manipulator options on SE01 / T800 variants · 5 per hand fingers · Hand DOF 12 · Payload Research / light-work payload class lb | Sensing &amp; software — Multi-camera research perception · Supported via external cloud APIs · Linux-based robotics OS · EngineAI research software | Buying notes — From $20,500 · 12 months manufacturer standard (typical research/commercial humanoid) · Best fit: Research</t>
        </is>
      </c>
      <c r="BX66" s="156" t="inlineStr">
        <is>
          <t>as_shipped|T800|20500|As shipped</t>
        </is>
      </c>
      <c r="BY66" s="152" t="inlineStr">
        <is>
          <t>white|White|#f8fafc|0 || grey_prototype|Grey (Prototype)|#9ca3af|0</t>
        </is>
      </c>
      <c r="BZ66" s="152" t="inlineStr"/>
      <c r="CA66" s="156" t="inlineStr">
        <is>
          <t>Add-ons: case; 2 color options; Multi-year extended warranty available</t>
        </is>
      </c>
      <c r="CB66" s="156" t="inlineStr">
        <is>
          <t>12 months manufacturer standard (typical research/commercial humanoid)</t>
        </is>
      </c>
      <c r="CC66" s="154" t="n">
        <v>12</v>
      </c>
      <c r="CD66" s="156" t="inlineStr">
        <is>
          <t>+3 Year Extended ≈24% of configuration (default in configurator)</t>
        </is>
      </c>
      <c r="CE66" s="152" t="inlineStr">
        <is>
          <t>Humanoid category norm 2025–2026</t>
        </is>
      </c>
      <c r="CF66" s="152" t="inlineStr">
        <is>
          <t>Estimated</t>
        </is>
      </c>
      <c r="CG66" s="156" t="inlineStr">
        <is>
          <t>EDU or enterprise packages may differ; confirm on formal quote.</t>
        </is>
      </c>
      <c r="CH66" s="152" t="inlineStr">
        <is>
          <t>10%</t>
        </is>
      </c>
      <c r="CI66" s="152" t="inlineStr">
        <is>
          <t>17%</t>
        </is>
      </c>
      <c r="CJ66" s="152" t="inlineStr">
        <is>
          <t>24%</t>
        </is>
      </c>
      <c r="CK66"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66"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66" s="152" t="inlineStr">
        <is>
          <t>12 months manufacturer standard (typical research/commercial humanoid)</t>
        </is>
      </c>
      <c r="CN66" s="203" t="inlineStr">
        <is>
          <t>https://aixzd.com/robot/t800</t>
        </is>
      </c>
      <c r="CO66" s="203" t="inlineStr">
        <is>
          <t>https://theresanaiforthat.com/robots/</t>
        </is>
      </c>
      <c r="CP66" s="203" t="inlineStr">
        <is>
          <t>Cross-checked against TAAFT Robots directory (669 entries) 28 Aug 2026 — individual TAAFT permalinks are JS/Cloudflare gated.</t>
        </is>
      </c>
      <c r="CQ66" s="101" t="inlineStr">
        <is>
          <t>Height: 5 ft 7 in | Weight: 132.3 | Degrees of Freedom: 32+ | Payload: 44.1 | Max Speed: 3.73 | Battery / Runtime: ≈ 2 hours</t>
        </is>
      </c>
    </row>
    <row r="67" ht="31.5" customHeight="1" s="102">
      <c r="A67" s="143" t="inlineStr">
        <is>
          <t>engineered_arts_ameca</t>
        </is>
      </c>
      <c r="B67" s="160" t="inlineStr">
        <is>
          <t>Website</t>
        </is>
      </c>
      <c r="C67" s="145" t="inlineStr">
        <is>
          <t>Engineered Arts</t>
        </is>
      </c>
      <c r="D67" s="145" t="inlineStr">
        <is>
          <t>Ameca</t>
        </is>
      </c>
      <c r="E67" s="145" t="inlineStr">
        <is>
          <t>[Engineered Arts] Ameca (2025)</t>
        </is>
      </c>
      <c r="F67" s="146" t="inlineStr">
        <is>
          <t>humanoid</t>
        </is>
      </c>
      <c r="G67" s="145" t="inlineStr">
        <is>
          <t>UK</t>
        </is>
      </c>
      <c r="H67" s="147" t="n">
        <v>2025</v>
      </c>
      <c r="I67" s="148" t="n">
        <v>100000</v>
      </c>
      <c r="J67" s="145" t="inlineStr">
        <is>
          <t>Website store</t>
        </is>
      </c>
      <c r="K67" s="149" t="inlineStr">
        <is>
          <t>Ameca is Engineered Arts's humanoid — 6 ft 2 in (variants) class, High (facial + body) DOF. Expressive face cameras and environment cameras; aimed at research.</t>
        </is>
      </c>
      <c r="L67" s="101" t="inlineStr">
        <is>
          <t>Ameca is Engineered Arts's humanoid — 6 ft 2 in (variants) class, High (facial + body) DOF. Expressive face cameras and environment cameras; aimed at research.</t>
        </is>
      </c>
      <c r="M67" s="101" t="inlineStr">
        <is>
          <t>Ameca is Engineered Arts's humanoid — 6 ft 2 in (variants) class, High (facial + body) DOF. Expressive face cameras and environment cameras; aimed at research. Public status is listed as enterprise / Research inquiry, and it is positioned for research / Entertainment / Interaction.</t>
        </is>
      </c>
      <c r="N67" s="145" t="n"/>
      <c r="O67" s="145" t="inlineStr">
        <is>
          <t>https://www.engineeredarts.com</t>
        </is>
      </c>
      <c r="P67" s="145" t="inlineStr">
        <is>
          <t>6 ft 2 in (variants)</t>
        </is>
      </c>
      <c r="Q67" s="145" t="n">
        <v>188</v>
      </c>
      <c r="R67" s="145" t="n"/>
      <c r="S67" s="145" t="n"/>
      <c r="T67" s="149" t="inlineStr">
        <is>
          <t>Not disclosed</t>
        </is>
      </c>
      <c r="U67" s="145" t="n"/>
      <c r="V67" s="145" t="inlineStr">
        <is>
          <t>High (facial + body)</t>
        </is>
      </c>
      <c r="W67" s="149" t="inlineStr">
        <is>
          <t>Not disclosed</t>
        </is>
      </c>
      <c r="X67" s="145" t="n"/>
      <c r="Y67" s="145" t="n"/>
      <c r="Z67" s="145" t="n"/>
      <c r="AA67" s="145" t="n"/>
      <c r="AB67" s="145" t="n"/>
      <c r="AC67" s="149" t="inlineStr">
        <is>
          <t>Not disclosed</t>
        </is>
      </c>
      <c r="AD67" s="149" t="n"/>
      <c r="AE67" s="145" t="n"/>
      <c r="AF67" s="145" t="inlineStr">
        <is>
          <t>Not disclosed</t>
        </is>
      </c>
      <c r="AG67" s="149" t="inlineStr">
        <is>
          <t>Not disclosed</t>
        </is>
      </c>
      <c r="AH67" s="145" t="inlineStr">
        <is>
          <t>Not disclosed</t>
        </is>
      </c>
      <c r="AI67" s="145" t="n"/>
      <c r="AJ67" s="149" t="inlineStr">
        <is>
          <t>Expressive face cameras and environment cameras</t>
        </is>
      </c>
      <c r="AK67" s="149" t="n"/>
      <c r="AL67" s="145" t="inlineStr">
        <is>
          <t>Interaction recording</t>
        </is>
      </c>
      <c r="AM67" s="145" t="n"/>
      <c r="AN67" s="145" t="inlineStr">
        <is>
          <t>Not disclosed</t>
        </is>
      </c>
      <c r="AO67" s="145" t="inlineStr">
        <is>
          <t>Conversational audio array</t>
        </is>
      </c>
      <c r="AP67" s="145" t="inlineStr">
        <is>
          <t>Not disclosed</t>
        </is>
      </c>
      <c r="AQ67" s="145" t="inlineStr">
        <is>
          <t>Not disclosed</t>
        </is>
      </c>
      <c r="AR67" s="145" t="n"/>
      <c r="AS67" s="145" t="n"/>
      <c r="AT67" s="149" t="inlineStr">
        <is>
          <t>Not disclosed</t>
        </is>
      </c>
      <c r="AU67" s="149" t="inlineStr">
        <is>
          <t>Not disclosed</t>
        </is>
      </c>
      <c r="AV67" s="145" t="inlineStr">
        <is>
          <t>Engineered Arts Tritium / interaction software</t>
        </is>
      </c>
      <c r="AW67" s="149" t="inlineStr">
        <is>
          <t>Not disclosed</t>
        </is>
      </c>
      <c r="AX67" s="145" t="n"/>
      <c r="AY67" s="149" t="inlineStr">
        <is>
          <t>Not disclosed</t>
        </is>
      </c>
      <c r="AZ67" s="149" t="inlineStr">
        <is>
          <t>Not disclosed</t>
        </is>
      </c>
      <c r="BA67" s="149" t="n"/>
      <c r="BB67" s="149" t="inlineStr">
        <is>
          <t>Not disclosed</t>
        </is>
      </c>
      <c r="BC67" s="149" t="inlineStr">
        <is>
          <t>Not disclosed</t>
        </is>
      </c>
      <c r="BD67" s="145" t="inlineStr">
        <is>
          <t>Not disclosed</t>
        </is>
      </c>
      <c r="BE67" s="145" t="inlineStr">
        <is>
          <t>Not disclosed</t>
        </is>
      </c>
      <c r="BF67" s="145" t="n"/>
      <c r="BG67" s="145" t="n"/>
      <c r="BH67" s="145" t="n"/>
      <c r="BI67" s="145" t="n"/>
      <c r="BJ67" s="145" t="n"/>
      <c r="BK67" s="145" t="n"/>
      <c r="BL67" s="145" t="n"/>
      <c r="BM67" s="145" t="inlineStr">
        <is>
          <t>Not disclosed</t>
        </is>
      </c>
      <c r="BN67" s="145" t="inlineStr">
        <is>
          <t>Not disclosed</t>
        </is>
      </c>
      <c r="BO67" s="149" t="inlineStr">
        <is>
          <t>Market: Research / Entertainment / Interaction · The Ameca is a bipedal humanoid robot from Engineered Arts, associated with development and availability timelines around 2025.</t>
        </is>
      </c>
      <c r="BP67" s="145" t="n"/>
      <c r="BQ67" s="149" t="inlineStr">
        <is>
          <t>Research / Entertainment / Interaction</t>
        </is>
      </c>
      <c r="BR67" s="149" t="inlineStr">
        <is>
          <t>Enterprise / Research inquiry</t>
        </is>
      </c>
      <c r="BS67" s="149" t="n"/>
      <c r="BT67" s="145" t="n"/>
      <c r="BU67" s="145" t="n"/>
      <c r="BV67" s="149" t="inlineStr">
        <is>
          <t>Leading social/expressive humanoid</t>
        </is>
      </c>
      <c r="BW67" s="149" t="inlineStr">
        <is>
          <t>Origin &amp; status — UK · Enterprise / Research inquiry · 2025 | Manipulation — Dexterous-hand options confirmed on formal quote | Sensing &amp; software — Expressive face cameras and environment cameras · Engineered Arts Tritium / interaction software | Buying notes — From $100,000 · 12 months manufacturer standard (typical research/commercial humanoid) · Best fit: Research</t>
        </is>
      </c>
      <c r="BX67" s="149" t="inlineStr">
        <is>
          <t>as_shipped|Ameca|100000|As shipped</t>
        </is>
      </c>
      <c r="BY67" s="145" t="inlineStr">
        <is>
          <t>ameca|Manufacturer finish|#e2e8f0|0</t>
        </is>
      </c>
      <c r="BZ67" s="145" t="inlineStr"/>
      <c r="CA67" s="149" t="inlineStr">
        <is>
          <t>Add-ons: case; 2 color options; Multi-year extended warranty available</t>
        </is>
      </c>
      <c r="CB67" s="149" t="inlineStr">
        <is>
          <t>12 months manufacturer standard (typical research/commercial humanoid)</t>
        </is>
      </c>
      <c r="CC67" s="147" t="n">
        <v>12</v>
      </c>
      <c r="CD67" s="149" t="inlineStr">
        <is>
          <t>+3 Year Extended ≈24% of configuration (default in configurator)</t>
        </is>
      </c>
      <c r="CE67" s="145" t="inlineStr">
        <is>
          <t>Humanoid category norm 2025–2026</t>
        </is>
      </c>
      <c r="CF67" s="145" t="inlineStr">
        <is>
          <t>Estimated</t>
        </is>
      </c>
      <c r="CG67" s="149" t="inlineStr">
        <is>
          <t>EDU or enterprise packages may differ; confirm on formal quote.</t>
        </is>
      </c>
      <c r="CH67" s="145" t="inlineStr">
        <is>
          <t>10%</t>
        </is>
      </c>
      <c r="CI67" s="145" t="inlineStr">
        <is>
          <t>17%</t>
        </is>
      </c>
      <c r="CJ67" s="145" t="inlineStr">
        <is>
          <t>24%</t>
        </is>
      </c>
      <c r="CK67"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67"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67" s="145" t="inlineStr">
        <is>
          <t>12 months manufacturer standard (typical research/commercial humanoid)</t>
        </is>
      </c>
      <c r="CN67" s="203" t="inlineStr">
        <is>
          <t>https://aixzd.com/robot/ameca</t>
        </is>
      </c>
      <c r="CQ67" s="101" t="inlineStr">
        <is>
          <t>Height: 6 ft 2 in (variants) | Weight: Not disclosed | Degrees of Freedom: High (facial + body) | Payload: Not disclosed | Max Speed: Not disclosed | Battery / Runtime: Not disclosed</t>
        </is>
      </c>
    </row>
    <row r="68" ht="31.5" customHeight="1" s="102">
      <c r="A68" s="152" t="inlineStr">
        <is>
          <t>faraday_future_intelligent_electric_inc_ff_futur</t>
        </is>
      </c>
      <c r="B68" s="153" t="inlineStr">
        <is>
          <t>Humanoid.guide</t>
        </is>
      </c>
      <c r="C68" s="152" t="inlineStr">
        <is>
          <t>Faraday Future Intelligent Electric Inc.</t>
        </is>
      </c>
      <c r="D68" s="152" t="inlineStr">
        <is>
          <t>FF Futurist</t>
        </is>
      </c>
      <c r="E68" s="152" t="inlineStr">
        <is>
          <t>[Faraday Future Intelligent Electric Inc.] FF Futurist (2026)</t>
        </is>
      </c>
      <c r="F68" s="146" t="inlineStr">
        <is>
          <t>humanoid</t>
        </is>
      </c>
      <c r="G68" s="152" t="inlineStr">
        <is>
          <t>USA</t>
        </is>
      </c>
      <c r="H68" s="152" t="n"/>
      <c r="I68" s="155" t="n">
        <v>34990</v>
      </c>
      <c r="J68" s="152" t="inlineStr">
        <is>
          <t>Humanoid.guide list</t>
        </is>
      </c>
      <c r="K68" s="156" t="inlineStr">
        <is>
          <t>FF Futurist is a full-size professional humanoid robot designed for real-world roles where humans and robots work side by side.</t>
        </is>
      </c>
      <c r="L68" s="101" t="inlineStr">
        <is>
          <t>FF Futurist is a full-size professional humanoid robot designed for real-world roles where humans and robots work side by side.</t>
        </is>
      </c>
      <c r="M68" s="101" t="inlineStr">
        <is>
          <t>FF Futurist is a full-size professional humanoid robot designed for real-world roles where humans and robots work side by side. Public status is listed as production-ready prototype / early commercial units, and it is positioned for customer interaction; Professional service; workplace assistance.</t>
        </is>
      </c>
      <c r="N68" s="157" t="inlineStr">
        <is>
          <t>https://humanoid.guide/product/futurist/</t>
        </is>
      </c>
      <c r="O68" s="157" t="inlineStr">
        <is>
          <t>https://www.ff.com</t>
        </is>
      </c>
      <c r="P68" s="152" t="inlineStr">
        <is>
          <t>5 ft 7 in</t>
        </is>
      </c>
      <c r="Q68" s="152" t="n">
        <v>169</v>
      </c>
      <c r="R68" s="152" t="n">
        <v>152.1</v>
      </c>
      <c r="S68" s="152" t="n">
        <v>69</v>
      </c>
      <c r="T68" s="156" t="inlineStr">
        <is>
          <t>Not disclosed</t>
        </is>
      </c>
      <c r="U68" s="152" t="n"/>
      <c r="V68" s="152" t="inlineStr">
        <is>
          <t>40</t>
        </is>
      </c>
      <c r="W68" s="156" t="inlineStr">
        <is>
          <t>7 per arm</t>
        </is>
      </c>
      <c r="X68" s="152" t="n">
        <v>33.1</v>
      </c>
      <c r="Y68" s="152" t="n">
        <v>15</v>
      </c>
      <c r="Z68" s="152" t="n">
        <v>1.86</v>
      </c>
      <c r="AA68" s="152" t="n">
        <v>3</v>
      </c>
      <c r="AB68" s="152" t="n"/>
      <c r="AC68" s="156" t="inlineStr">
        <is>
          <t>≈ 3 hours</t>
        </is>
      </c>
      <c r="AD68" s="156" t="inlineStr">
        <is>
          <t>3</t>
        </is>
      </c>
      <c r="AE68" s="152" t="n"/>
      <c r="AF68" s="152" t="inlineStr">
        <is>
          <t>Not disclosed</t>
        </is>
      </c>
      <c r="AG68" s="156" t="inlineStr">
        <is>
          <t>5 per hand</t>
        </is>
      </c>
      <c r="AH68" s="152" t="inlineStr">
        <is>
          <t>5 per hand</t>
        </is>
      </c>
      <c r="AI68" s="152" t="n"/>
      <c r="AJ68" s="156" t="inlineStr">
        <is>
          <t>3D LiDAR / RGB-D / Fisheye camera / Tactile sensing​</t>
        </is>
      </c>
      <c r="AK68" s="156" t="inlineStr">
        <is>
          <t>3D LiDAR / RGB-D / Fisheye camera / Tactile sensing​</t>
        </is>
      </c>
      <c r="AL68" s="152" t="inlineStr">
        <is>
          <t>Not disclosed</t>
        </is>
      </c>
      <c r="AM68" s="152" t="n"/>
      <c r="AN68" s="152" t="inlineStr">
        <is>
          <t>Not disclosed</t>
        </is>
      </c>
      <c r="AO68" s="152" t="inlineStr">
        <is>
          <t>Not disclosed</t>
        </is>
      </c>
      <c r="AP68" s="152" t="inlineStr">
        <is>
          <t>Not disclosed</t>
        </is>
      </c>
      <c r="AQ68" s="152" t="inlineStr">
        <is>
          <t>Not disclosed</t>
        </is>
      </c>
      <c r="AR68" s="152" t="n"/>
      <c r="AS68" s="152" t="n"/>
      <c r="AT68" s="156" t="inlineStr">
        <is>
          <t>NVIDIA Jetson Orin / 200 TOPS</t>
        </is>
      </c>
      <c r="AU68" s="156" t="inlineStr">
        <is>
          <t>4G; 5G; VR teleoperation; Wi‑Fi</t>
        </is>
      </c>
      <c r="AV68" s="152" t="inlineStr">
        <is>
          <t>Not disclosed</t>
        </is>
      </c>
      <c r="AW68" s="156" t="inlineStr">
        <is>
          <t>Not disclosed</t>
        </is>
      </c>
      <c r="AX68" s="152" t="n"/>
      <c r="AY68" s="156" t="inlineStr">
        <is>
          <t>Not disclosed</t>
        </is>
      </c>
      <c r="AZ68" s="156" t="inlineStr">
        <is>
          <t>AI language capabilities via onboard systems (supports ~50 languages)</t>
        </is>
      </c>
      <c r="BA68" s="156" t="n"/>
      <c r="BB68" s="156" t="inlineStr">
        <is>
          <t>High-Performance Driving Force | 500 Nm | 125 Nm/kg | 1.2 m/s</t>
        </is>
      </c>
      <c r="BC68" s="156" t="inlineStr">
        <is>
          <t>Harmonic drives</t>
        </is>
      </c>
      <c r="BD68" s="152" t="inlineStr">
        <is>
          <t>Not disclosed</t>
        </is>
      </c>
      <c r="BE68" s="152" t="inlineStr">
        <is>
          <t>Not disclosed</t>
        </is>
      </c>
      <c r="BF68" s="152" t="n"/>
      <c r="BG68" s="152" t="n"/>
      <c r="BH68" s="152" t="n"/>
      <c r="BI68" s="152" t="n"/>
      <c r="BJ68" s="152" t="n"/>
      <c r="BK68" s="152" t="n"/>
      <c r="BL68" s="152" t="n"/>
      <c r="BM68" s="152" t="inlineStr">
        <is>
          <t>Yes</t>
        </is>
      </c>
      <c r="BN68" s="152" t="inlineStr">
        <is>
          <t>Not disclosed</t>
        </is>
      </c>
      <c r="BO68" s="156" t="inlineStr">
        <is>
          <t>Market: customer interaction; Professional service; workplace assistance · Human-safe: Yes · AI: AI language capabilities via onboard systems (supports ~50 languages) · Actuation: High-Performance Driving Force | 500 Nm | 125 Nm/kg | 1.2 m/s · Peak 3 km/h · Runtime 3</t>
        </is>
      </c>
      <c r="BP68" s="152" t="n"/>
      <c r="BQ68" s="156" t="inlineStr">
        <is>
          <t>customer interaction; Professional service; workplace assistance</t>
        </is>
      </c>
      <c r="BR68" s="156" t="inlineStr">
        <is>
          <t>Production-ready prototype / early commercial units</t>
        </is>
      </c>
      <c r="BS68" s="156" t="inlineStr">
        <is>
          <t>Production-ready prototype / early commercial units</t>
        </is>
      </c>
      <c r="BT68" s="152" t="inlineStr">
        <is>
          <t>Blue</t>
        </is>
      </c>
      <c r="BU68" s="152" t="inlineStr">
        <is>
          <t>Verified</t>
        </is>
      </c>
      <c r="BV68" s="156" t="n"/>
      <c r="BW68" s="156" t="inlineStr">
        <is>
          <t>Origin &amp; status — USA · Production-ready prototype / early commercial units · 2026 | Manipulation — 5 per hand · 5 per hand fingers · Hand DOF 7 per arm · Payload 33.1 lb | Sensing &amp; software — 3D LiDAR / RGB-D / Fisheye camera / Tactile sensing​ · AI language capabilities via onboard systems (supports ~50 languages) | Buying notes — From $34,990 · 12 months manufacturer standard (typical research/commercial humanoid) · Best fit: customer interaction</t>
        </is>
      </c>
      <c r="BX68" s="156" t="inlineStr">
        <is>
          <t>as_shipped|FF Futurist|34990|As shipped</t>
        </is>
      </c>
      <c r="BY68" s="152" t="inlineStr">
        <is>
          <t>blue|Blue|#e2e8f0|0</t>
        </is>
      </c>
      <c r="BZ68" s="152" t="inlineStr"/>
      <c r="CA68" s="156" t="n"/>
      <c r="CB68" s="156" t="inlineStr">
        <is>
          <t>12 months manufacturer standard (typical research/commercial humanoid)</t>
        </is>
      </c>
      <c r="CC68" s="154" t="n">
        <v>12</v>
      </c>
      <c r="CD68" s="156" t="inlineStr">
        <is>
          <t>+3 Year Extended ≈24% of configuration (default in configurator)</t>
        </is>
      </c>
      <c r="CE68" s="152" t="inlineStr">
        <is>
          <t>Humanoid category norm 2025–2026</t>
        </is>
      </c>
      <c r="CF68" s="152" t="inlineStr">
        <is>
          <t>Estimated</t>
        </is>
      </c>
      <c r="CG68" s="156" t="inlineStr">
        <is>
          <t>Confirm on formal OEM quote. EDU or enterprise packages may differ.</t>
        </is>
      </c>
      <c r="CH68" s="152" t="inlineStr">
        <is>
          <t>10%</t>
        </is>
      </c>
      <c r="CI68" s="152" t="inlineStr">
        <is>
          <t>17%</t>
        </is>
      </c>
      <c r="CJ68" s="152" t="inlineStr">
        <is>
          <t>24%</t>
        </is>
      </c>
      <c r="CK68" s="156" t="inlineStr">
        <is>
          <t>+1yr ≈10% | +2yr ≈17% | +3yr ≈24% of selected configuration price (parts &amp; labor beyond manufacturer standard).</t>
        </is>
      </c>
      <c r="CL68"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68" s="152" t="inlineStr">
        <is>
          <t>12 months manufacturer standard (typical research/commercial humanoid)</t>
        </is>
      </c>
      <c r="CQ68" s="101" t="inlineStr">
        <is>
          <t>Height: 5 ft 7 in | Weight: 152.1 | Degrees of Freedom: 40 | Payload: 33.1 | Max Speed: 1.86 | Battery / Runtime: ≈ 3 hours</t>
        </is>
      </c>
    </row>
    <row r="69" ht="31.5" customHeight="1" s="102">
      <c r="A69" s="145" t="inlineStr">
        <is>
          <t>faraday_future_intelligent_electric_inc_ff_maste</t>
        </is>
      </c>
      <c r="B69" s="153" t="inlineStr">
        <is>
          <t>Humanoid.guide</t>
        </is>
      </c>
      <c r="C69" s="145" t="inlineStr">
        <is>
          <t>Faraday Future Intelligent Electric Inc.</t>
        </is>
      </c>
      <c r="D69" s="145" t="inlineStr">
        <is>
          <t>FF Master</t>
        </is>
      </c>
      <c r="E69" s="145" t="inlineStr">
        <is>
          <t>[Faraday Future Intelligent Electric Inc.] FF Master (2026)</t>
        </is>
      </c>
      <c r="F69" s="146" t="inlineStr">
        <is>
          <t>humanoid</t>
        </is>
      </c>
      <c r="G69" s="145" t="inlineStr">
        <is>
          <t>USA</t>
        </is>
      </c>
      <c r="H69" s="145" t="n"/>
      <c r="I69" s="148" t="n">
        <v>19990</v>
      </c>
      <c r="J69" s="145" t="inlineStr">
        <is>
          <t>Humanoid.guide list</t>
        </is>
      </c>
      <c r="K69" s="149" t="inlineStr">
        <is>
          <t>FF Master is a compact, intelligent humanoid robot designed for everyday interaction, study, and assistance.</t>
        </is>
      </c>
      <c r="L69" s="101" t="inlineStr">
        <is>
          <t>FF Master is a compact, intelligent humanoid robot designed for everyday interaction, study, and assistance.</t>
        </is>
      </c>
      <c r="M69" s="101" t="inlineStr">
        <is>
          <t>FF Master is a compact, intelligent humanoid robot designed for everyday interaction, study, and assistance. Public status is listed as production-ready prototype / early commercial units, and it is positioned for education; home assistant; interaction scenarios.</t>
        </is>
      </c>
      <c r="N69" s="150" t="inlineStr">
        <is>
          <t>https://humanoid.guide/product/master/</t>
        </is>
      </c>
      <c r="O69" s="150" t="inlineStr">
        <is>
          <t>https://www.ff.com</t>
        </is>
      </c>
      <c r="P69" s="145" t="inlineStr">
        <is>
          <t>4 ft 4 in</t>
        </is>
      </c>
      <c r="Q69" s="145" t="n">
        <v>131</v>
      </c>
      <c r="R69" s="145" t="n">
        <v>86</v>
      </c>
      <c r="S69" s="145" t="n">
        <v>39</v>
      </c>
      <c r="T69" s="149" t="inlineStr">
        <is>
          <t>Not disclosed</t>
        </is>
      </c>
      <c r="U69" s="145" t="n"/>
      <c r="V69" s="145" t="inlineStr">
        <is>
          <t>30</t>
        </is>
      </c>
      <c r="W69" s="149" t="inlineStr">
        <is>
          <t>7 per arm</t>
        </is>
      </c>
      <c r="X69" s="145" t="n">
        <v>11</v>
      </c>
      <c r="Y69" s="145" t="n">
        <v>5</v>
      </c>
      <c r="Z69" s="145" t="n">
        <v>4.47</v>
      </c>
      <c r="AA69" s="145" t="n">
        <v>7.2</v>
      </c>
      <c r="AB69" s="145" t="n"/>
      <c r="AC69" s="149" t="inlineStr">
        <is>
          <t>≈ 2 hours</t>
        </is>
      </c>
      <c r="AD69" s="149" t="inlineStr">
        <is>
          <t>2</t>
        </is>
      </c>
      <c r="AE69" s="145" t="n"/>
      <c r="AF69" s="145" t="inlineStr">
        <is>
          <t>Not disclosed</t>
        </is>
      </c>
      <c r="AG69" s="149" t="inlineStr">
        <is>
          <t>5 per hand</t>
        </is>
      </c>
      <c r="AH69" s="145" t="inlineStr">
        <is>
          <t>5 per hand</t>
        </is>
      </c>
      <c r="AI69" s="145" t="n"/>
      <c r="AJ69" s="149" t="inlineStr">
        <is>
          <t>3D LiDAR / Stereo RGB cameras / Interactive RGB camera / RGB-D camera / Rear RGB camera</t>
        </is>
      </c>
      <c r="AK69" s="149" t="inlineStr">
        <is>
          <t>3D LiDAR / Stereo RGB cameras / Interactive RGB camera / RGB-D camera / Rear RGB camera</t>
        </is>
      </c>
      <c r="AL69" s="145" t="inlineStr">
        <is>
          <t>Not disclosed</t>
        </is>
      </c>
      <c r="AM69" s="145" t="n"/>
      <c r="AN69" s="145" t="inlineStr">
        <is>
          <t>Not disclosed</t>
        </is>
      </c>
      <c r="AO69" s="145" t="inlineStr">
        <is>
          <t>Not disclosed</t>
        </is>
      </c>
      <c r="AP69" s="145" t="inlineStr">
        <is>
          <t>Not disclosed</t>
        </is>
      </c>
      <c r="AQ69" s="145" t="inlineStr">
        <is>
          <t>Not disclosed</t>
        </is>
      </c>
      <c r="AR69" s="145" t="n"/>
      <c r="AS69" s="145" t="n"/>
      <c r="AT69" s="149" t="inlineStr">
        <is>
          <t>Nvidia Jetson Orin NX / 157 TOPS</t>
        </is>
      </c>
      <c r="AU69" s="149" t="inlineStr">
        <is>
          <t>4G; 5G; Mobile App; VR teleoperation; Wi‑Fi</t>
        </is>
      </c>
      <c r="AV69" s="145" t="inlineStr">
        <is>
          <t>Not disclosed</t>
        </is>
      </c>
      <c r="AW69" s="149" t="inlineStr">
        <is>
          <t>Not disclosed</t>
        </is>
      </c>
      <c r="AX69" s="145" t="n"/>
      <c r="AY69" s="149" t="inlineStr">
        <is>
          <t>Not disclosed</t>
        </is>
      </c>
      <c r="AZ69" s="149" t="inlineStr">
        <is>
          <t>Adaptive AI dialogue and learning stack</t>
        </is>
      </c>
      <c r="BA69" s="149" t="n"/>
      <c r="BB69" s="149" t="inlineStr">
        <is>
          <t>30 x High-Efficiency Drive &amp; Precise Motion / 120 Nm / 5mm / 2m/s</t>
        </is>
      </c>
      <c r="BC69" s="149" t="inlineStr">
        <is>
          <t>Servo/motor array for agile motion</t>
        </is>
      </c>
      <c r="BD69" s="145" t="inlineStr">
        <is>
          <t>Lightweight construction</t>
        </is>
      </c>
      <c r="BE69" s="145" t="inlineStr">
        <is>
          <t>Not disclosed</t>
        </is>
      </c>
      <c r="BF69" s="145" t="n"/>
      <c r="BG69" s="145" t="n"/>
      <c r="BH69" s="145" t="n"/>
      <c r="BI69" s="145" t="n"/>
      <c r="BJ69" s="145" t="n"/>
      <c r="BK69" s="145" t="n"/>
      <c r="BL69" s="145" t="n"/>
      <c r="BM69" s="145" t="inlineStr">
        <is>
          <t>Yes</t>
        </is>
      </c>
      <c r="BN69" s="145" t="inlineStr">
        <is>
          <t>Not disclosed</t>
        </is>
      </c>
      <c r="BO69" s="149" t="inlineStr">
        <is>
          <t>Market: education; home assistant; interaction scenarios · Human-safe: Yes · AI: Adaptive AI dialogue and learning stack · Actuation: 30 x High-Efficiency Drive &amp; Precise Motion / 120 Nm / 5mm / 2m/s · Peak 7.2 km/h · Runtime 2</t>
        </is>
      </c>
      <c r="BP69" s="145" t="n"/>
      <c r="BQ69" s="149" t="inlineStr">
        <is>
          <t>education; home assistant; interaction scenarios</t>
        </is>
      </c>
      <c r="BR69" s="149" t="inlineStr">
        <is>
          <t>Production-ready prototype / early commercial units</t>
        </is>
      </c>
      <c r="BS69" s="149" t="inlineStr">
        <is>
          <t>Production-ready prototype / early commercial units</t>
        </is>
      </c>
      <c r="BT69" s="145" t="inlineStr">
        <is>
          <t>Blue</t>
        </is>
      </c>
      <c r="BU69" s="145" t="inlineStr">
        <is>
          <t>Verified</t>
        </is>
      </c>
      <c r="BV69" s="149" t="n"/>
      <c r="BW69" s="149" t="inlineStr">
        <is>
          <t>Origin &amp; status — USA · Production-ready prototype / early commercial units · 2026 | Manipulation — 5 per hand · 5 per hand fingers · Hand DOF 7 per arm · Payload 11 lb | Sensing &amp; software — 3D LiDAR / Stereo RGB cameras / Interactive RGB camera / RGB-D camera / Rear RGB camera · Adaptive AI dialogue and learning stack | Buying notes — From $19,990 · 12 months manufacturer standard (typical research/commercial humanoid) · Best fit: education</t>
        </is>
      </c>
      <c r="BX69" s="149" t="inlineStr">
        <is>
          <t>as_shipped|FF Master|19990|As shipped</t>
        </is>
      </c>
      <c r="BY69" s="145" t="inlineStr">
        <is>
          <t>blue|Blue|#e2e8f0|0</t>
        </is>
      </c>
      <c r="BZ69" s="145" t="inlineStr"/>
      <c r="CA69" s="149" t="n"/>
      <c r="CB69" s="149" t="inlineStr">
        <is>
          <t>12 months manufacturer standard (typical research/commercial humanoid)</t>
        </is>
      </c>
      <c r="CC69" s="147" t="n">
        <v>12</v>
      </c>
      <c r="CD69" s="149" t="inlineStr">
        <is>
          <t>+3 Year Extended ≈24% of configuration (default in configurator)</t>
        </is>
      </c>
      <c r="CE69" s="145" t="inlineStr">
        <is>
          <t>Humanoid category norm 2025–2026</t>
        </is>
      </c>
      <c r="CF69" s="145" t="inlineStr">
        <is>
          <t>Estimated</t>
        </is>
      </c>
      <c r="CG69" s="149" t="inlineStr">
        <is>
          <t>Confirm on formal OEM quote. EDU or enterprise packages may differ.</t>
        </is>
      </c>
      <c r="CH69" s="145" t="inlineStr">
        <is>
          <t>10%</t>
        </is>
      </c>
      <c r="CI69" s="145" t="inlineStr">
        <is>
          <t>17%</t>
        </is>
      </c>
      <c r="CJ69" s="145" t="inlineStr">
        <is>
          <t>24%</t>
        </is>
      </c>
      <c r="CK69" s="149" t="inlineStr">
        <is>
          <t>+1yr ≈10% | +2yr ≈17% | +3yr ≈24% of selected configuration price (parts &amp; labor beyond manufacturer standard).</t>
        </is>
      </c>
      <c r="CL6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69" s="145" t="inlineStr">
        <is>
          <t>12 months manufacturer standard (typical research/commercial humanoid)</t>
        </is>
      </c>
      <c r="CQ69" s="101" t="inlineStr">
        <is>
          <t>Height: 4 ft 4 in | Weight: 86 | Degrees of Freedom: 30 | Payload: 11 | Max Speed: 4.47 | Battery / Runtime: ≈ 2 hours</t>
        </is>
      </c>
    </row>
    <row r="70" ht="31.5" customHeight="1" s="102">
      <c r="A70" s="159" t="inlineStr">
        <is>
          <t>fauna_robotics_sprout</t>
        </is>
      </c>
      <c r="B70" s="144" t="inlineStr">
        <is>
          <t>Both</t>
        </is>
      </c>
      <c r="C70" s="152" t="inlineStr">
        <is>
          <t>Fauna Robotics</t>
        </is>
      </c>
      <c r="D70" s="152" t="inlineStr">
        <is>
          <t>Sprout</t>
        </is>
      </c>
      <c r="E70" s="152" t="inlineStr">
        <is>
          <t>[Fauna] Sprout (2023)</t>
        </is>
      </c>
      <c r="F70" s="146" t="inlineStr">
        <is>
          <t>humanoid</t>
        </is>
      </c>
      <c r="G70" s="152" t="inlineStr">
        <is>
          <t>USA</t>
        </is>
      </c>
      <c r="H70" s="154" t="n">
        <v>2023</v>
      </c>
      <c r="I70" s="155" t="n">
        <v>50000</v>
      </c>
      <c r="J70" s="152" t="inlineStr">
        <is>
          <t>Website store</t>
        </is>
      </c>
      <c r="K70" s="156" t="inlineStr">
        <is>
          <t>Sprout is a friendly, lightweight humanoid robot built to work around people. It moves, senses, and interacts safely in everyday spaces.</t>
        </is>
      </c>
      <c r="L70" s="101" t="inlineStr">
        <is>
          <t>Sprout is a friendly, lightweight humanoid robot built to work around people. It moves, senses, and interacts safely in everyday spaces.</t>
        </is>
      </c>
      <c r="M70" s="101" t="inlineStr">
        <is>
          <t>Sprout is a friendly, lightweight humanoid robot built to work around people. It moves, senses, and interacts safely in everyday spaces. Public status is listed as limited, and it is positioned for compact companion-style.</t>
        </is>
      </c>
      <c r="N70" s="157" t="inlineStr">
        <is>
          <t>https://humanoid.guide/product/sprout/</t>
        </is>
      </c>
      <c r="O70" s="157" t="inlineStr">
        <is>
          <t>https://faunarobotics.com/</t>
        </is>
      </c>
      <c r="P70" s="152" t="inlineStr">
        <is>
          <t>3 ft 6 in</t>
        </is>
      </c>
      <c r="Q70" s="152" t="n">
        <v>107</v>
      </c>
      <c r="R70" s="152" t="n">
        <v>50</v>
      </c>
      <c r="S70" s="152" t="n">
        <v>22.7</v>
      </c>
      <c r="T70" s="156" t="inlineStr">
        <is>
          <t>Not disclosed</t>
        </is>
      </c>
      <c r="U70" s="152" t="n"/>
      <c r="V70" s="152" t="inlineStr">
        <is>
          <t>29</t>
        </is>
      </c>
      <c r="W70" s="156" t="inlineStr">
        <is>
          <t>1 DoF grippers each hand</t>
        </is>
      </c>
      <c r="X70" s="152" t="n">
        <v>4.4</v>
      </c>
      <c r="Y70" s="152" t="n">
        <v>2</v>
      </c>
      <c r="Z70" s="152" t="n">
        <v>1.24</v>
      </c>
      <c r="AA70" s="152" t="n">
        <v>2</v>
      </c>
      <c r="AB70" s="152" t="n"/>
      <c r="AC70" s="156" t="inlineStr">
        <is>
          <t>~3–3.5</t>
        </is>
      </c>
      <c r="AD70" s="156" t="inlineStr">
        <is>
          <t>~3–3.5</t>
        </is>
      </c>
      <c r="AE70" s="152" t="n"/>
      <c r="AF70" s="152" t="inlineStr">
        <is>
          <t>Not disclosed</t>
        </is>
      </c>
      <c r="AG70" s="156" t="inlineStr">
        <is>
          <t>Grippers or dexterous hands depending on configuration</t>
        </is>
      </c>
      <c r="AH70" s="152" t="inlineStr">
        <is>
          <t>3-finger grippers</t>
        </is>
      </c>
      <c r="AI70" s="152" t="n"/>
      <c r="AJ70" s="156" t="inlineStr">
        <is>
          <t>RGB and/or depth cameras for navigation and manipulation (configuration specific)</t>
        </is>
      </c>
      <c r="AK70" s="156" t="inlineStr">
        <is>
          <t>ZED 2i stereo camera</t>
        </is>
      </c>
      <c r="AL70" s="152" t="inlineStr">
        <is>
          <t>Onboard streams for teleoperation and logging when equipped</t>
        </is>
      </c>
      <c r="AM70" s="152" t="n"/>
      <c r="AN70" s="152" t="inlineStr">
        <is>
          <t>Not disclosed</t>
        </is>
      </c>
      <c r="AO70" s="152" t="inlineStr">
        <is>
          <t>Microphone array on interaction-oriented builds</t>
        </is>
      </c>
      <c r="AP70" s="152" t="inlineStr">
        <is>
          <t>Not disclosed</t>
        </is>
      </c>
      <c r="AQ70" s="152" t="inlineStr">
        <is>
          <t>Not disclosed</t>
        </is>
      </c>
      <c r="AR70" s="152" t="n"/>
      <c r="AS70" s="152" t="n"/>
      <c r="AT70" s="156" t="inlineStr">
        <is>
          <t>NVIDIA Jetson AGX Orin 64 GB</t>
        </is>
      </c>
      <c r="AU70" s="156" t="inlineStr">
        <is>
          <t>Ethernet, typical wireless (inferred)</t>
        </is>
      </c>
      <c r="AV70" s="152" t="inlineStr">
        <is>
          <t>Manufacturer app and/or SDK</t>
        </is>
      </c>
      <c r="AW70" s="156" t="inlineStr">
        <is>
          <t>Bipedal balance and walking controllers</t>
        </is>
      </c>
      <c r="AX70" s="152" t="n"/>
      <c r="AY70" s="156" t="inlineStr">
        <is>
          <t>Robot software with modular AI stack</t>
        </is>
      </c>
      <c r="AZ70" s="156" t="inlineStr">
        <is>
          <t>Supports developer-integrated models</t>
        </is>
      </c>
      <c r="BA70" s="156" t="n"/>
      <c r="BB70" s="156" t="inlineStr">
        <is>
          <t>Compliant motors with software torque limits</t>
        </is>
      </c>
      <c r="BC70" s="156" t="inlineStr">
        <is>
          <t>Not disclosed</t>
        </is>
      </c>
      <c r="BD70" s="152" t="inlineStr">
        <is>
          <t>Aluminum &amp; composites with soft foam exterior</t>
        </is>
      </c>
      <c r="BE70" s="152" t="inlineStr">
        <is>
          <t>Not disclosed</t>
        </is>
      </c>
      <c r="BF70" s="152" t="n"/>
      <c r="BG70" s="152" t="n"/>
      <c r="BH70" s="152" t="n"/>
      <c r="BI70" s="152" t="n"/>
      <c r="BJ70" s="152" t="n"/>
      <c r="BK70" s="152" t="n"/>
      <c r="BL70" s="152" t="n"/>
      <c r="BM70" s="152" t="inlineStr">
        <is>
          <t>Yes</t>
        </is>
      </c>
      <c r="BN70" s="152" t="inlineStr">
        <is>
          <t>Not disclosed</t>
        </is>
      </c>
      <c r="BO70" s="156" t="inlineStr">
        <is>
          <t>Market: Compact companion-style · Human-safe: Yes · AI: Supports developer-integrated models · Actuation: Compliant motors with software torque limits · Peak 2 km/h · Runtime ~3–3.5</t>
        </is>
      </c>
      <c r="BP70" s="152" t="n"/>
      <c r="BQ70" s="156" t="inlineStr">
        <is>
          <t>Compact companion-style</t>
        </is>
      </c>
      <c r="BR70" s="156" t="inlineStr">
        <is>
          <t>Limited</t>
        </is>
      </c>
      <c r="BS70" s="156" t="inlineStr">
        <is>
          <t>In production</t>
        </is>
      </c>
      <c r="BT70" s="152" t="n"/>
      <c r="BU70" s="152" t="inlineStr">
        <is>
          <t>Not verified</t>
        </is>
      </c>
      <c r="BV70" s="156" t="n"/>
      <c r="BW70" s="156" t="inlineStr">
        <is>
          <t>Origin &amp; status — USA · Limited · 2023 | Manipulation — Grippers or dexterous hands depending on configuration · 3-finger grippers · Hand DOF 1 DoF grippers each hand · Payload 4.4 lb (2 kg) | Sensing &amp; software — RGB and/or depth cameras for navigation and manipulation (configuration specific) · Supports developer-integrated models · Robot software with modular AI st… | Buying notes — From $50,000 · 12 months manufacturer standard (typical research/commercial humanoid) · Best fit: Compact companion-style</t>
        </is>
      </c>
      <c r="BX70" s="156" t="inlineStr">
        <is>
          <t>as_shipped|Sprout|50000|As shipped</t>
        </is>
      </c>
      <c r="BY70" s="152" t="inlineStr">
        <is>
          <t>sprout|Manufacturer finish|#e2e8f0|0</t>
        </is>
      </c>
      <c r="BZ70" s="152" t="inlineStr"/>
      <c r="CA70" s="156" t="inlineStr">
        <is>
          <t>Add-ons: case; 2 color options; Multi-year extended warranty available</t>
        </is>
      </c>
      <c r="CB70" s="156" t="inlineStr">
        <is>
          <t>12 months manufacturer standard (typical research/commercial humanoid)</t>
        </is>
      </c>
      <c r="CC70" s="154" t="n">
        <v>12</v>
      </c>
      <c r="CD70" s="156" t="inlineStr">
        <is>
          <t>+3 Year Extended ≈24% of configuration (default in configurator)</t>
        </is>
      </c>
      <c r="CE70" s="152" t="inlineStr">
        <is>
          <t>Humanoid category norm 2025–2026</t>
        </is>
      </c>
      <c r="CF70" s="152" t="inlineStr">
        <is>
          <t>Estimated</t>
        </is>
      </c>
      <c r="CG70" s="156" t="inlineStr">
        <is>
          <t>EDU or enterprise packages may differ; confirm on formal quote.</t>
        </is>
      </c>
      <c r="CH70" s="152" t="inlineStr">
        <is>
          <t>10%</t>
        </is>
      </c>
      <c r="CI70" s="152" t="inlineStr">
        <is>
          <t>17%</t>
        </is>
      </c>
      <c r="CJ70" s="152" t="inlineStr">
        <is>
          <t>24%</t>
        </is>
      </c>
      <c r="CK70"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70"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70" s="152" t="inlineStr">
        <is>
          <t>12 months manufacturer standard (typical research/commercial humanoid)</t>
        </is>
      </c>
      <c r="CN70" s="203" t="inlineStr">
        <is>
          <t>https://aixzd.com/robot/sprout</t>
        </is>
      </c>
      <c r="CQ70" s="101" t="inlineStr">
        <is>
          <t>Height: 3 ft 6 in | Weight: 50 | Degrees of Freedom: 29 | Payload: 4.4 | Max Speed: 1.24 | Battery / Runtime: ~3–3.5</t>
        </is>
      </c>
    </row>
    <row r="71" ht="31.5" customHeight="1" s="102">
      <c r="A71" s="145" t="inlineStr">
        <is>
          <t>figure_ai_figure_02</t>
        </is>
      </c>
      <c r="B71" s="153" t="inlineStr">
        <is>
          <t>Humanoid.guide</t>
        </is>
      </c>
      <c r="C71" s="145" t="inlineStr">
        <is>
          <t>Figure</t>
        </is>
      </c>
      <c r="D71" s="145" t="inlineStr">
        <is>
          <t>Figure 02</t>
        </is>
      </c>
      <c r="E71" s="145" t="inlineStr">
        <is>
          <t>[Figure] Figure 02 (2026)</t>
        </is>
      </c>
      <c r="F71" s="146" t="inlineStr">
        <is>
          <t>humanoid</t>
        </is>
      </c>
      <c r="G71" s="145" t="inlineStr">
        <is>
          <t>USA</t>
        </is>
      </c>
      <c r="H71" s="145" t="n"/>
      <c r="I71" s="148" t="n">
        <v>130000</v>
      </c>
      <c r="J71" s="145" t="inlineStr">
        <is>
          <t>Humanoid.guide list</t>
        </is>
      </c>
      <c r="K71" s="149" t="inlineStr">
        <is>
          <t>Figure 02 is the latest humanoid robot developed by Figure AI, a California-based company at the forefront of robotics innovation.</t>
        </is>
      </c>
      <c r="L71" s="101" t="inlineStr">
        <is>
          <t>Figure 02 is the latest humanoid robot developed by Figure AI, a California-based company at the forefront of robotics innovation.</t>
        </is>
      </c>
      <c r="M71" s="101" t="inlineStr">
        <is>
          <t>Figure 02 was Figure AI’s first widely shown work humanoid after the early Figure 01 prototype. It carried the company’s BMW and other industrial pilots and is the immediate predecessor to Figure 03.</t>
        </is>
      </c>
      <c r="N71" s="150" t="inlineStr">
        <is>
          <t>https://humanoid.guide/product/figure-02/</t>
        </is>
      </c>
      <c r="O71" s="150" t="inlineStr">
        <is>
          <t>https://www.figure.ai</t>
        </is>
      </c>
      <c r="P71" s="145" t="inlineStr">
        <is>
          <t>5 ft 6 in</t>
        </is>
      </c>
      <c r="Q71" s="145" t="n">
        <v>168</v>
      </c>
      <c r="R71" s="145" t="n">
        <v>154.3</v>
      </c>
      <c r="S71" s="145" t="n">
        <v>70</v>
      </c>
      <c r="T71" s="149" t="inlineStr">
        <is>
          <t>Not disclosed</t>
        </is>
      </c>
      <c r="U71" s="145" t="inlineStr">
        <is>
          <t>Not specified</t>
        </is>
      </c>
      <c r="V71" s="145" t="inlineStr">
        <is>
          <t>28</t>
        </is>
      </c>
      <c r="W71" s="149" t="inlineStr">
        <is>
          <t>Not disclosed</t>
        </is>
      </c>
      <c r="X71" s="145" t="n">
        <v>55.1</v>
      </c>
      <c r="Y71" s="145" t="n">
        <v>25</v>
      </c>
      <c r="Z71" s="145" t="n">
        <v>1.86</v>
      </c>
      <c r="AA71" s="145" t="n">
        <v>3</v>
      </c>
      <c r="AB71" s="145" t="n">
        <v>3</v>
      </c>
      <c r="AC71" s="149" t="inlineStr">
        <is>
          <t>≈ 5 hours</t>
        </is>
      </c>
      <c r="AD71" s="149" t="inlineStr">
        <is>
          <t>5</t>
        </is>
      </c>
      <c r="AE71" s="145" t="n"/>
      <c r="AF71" s="145" t="inlineStr">
        <is>
          <t>Not disclosed</t>
        </is>
      </c>
      <c r="AG71" s="149" t="inlineStr">
        <is>
          <t>10</t>
        </is>
      </c>
      <c r="AH71" s="145" t="inlineStr">
        <is>
          <t>10</t>
        </is>
      </c>
      <c r="AI71" s="151" t="n">
        <v>3</v>
      </c>
      <c r="AJ71" s="149" t="inlineStr">
        <is>
          <t>six RGB cameras</t>
        </is>
      </c>
      <c r="AK71" s="149" t="inlineStr">
        <is>
          <t>six RGB cameras</t>
        </is>
      </c>
      <c r="AL71" s="145" t="inlineStr">
        <is>
          <t>Not disclosed</t>
        </is>
      </c>
      <c r="AM71" s="145" t="n"/>
      <c r="AN71" s="145" t="inlineStr">
        <is>
          <t>Not disclosed</t>
        </is>
      </c>
      <c r="AO71" s="145" t="inlineStr">
        <is>
          <t>Not disclosed</t>
        </is>
      </c>
      <c r="AP71" s="145" t="inlineStr">
        <is>
          <t>Not disclosed</t>
        </is>
      </c>
      <c r="AQ71" s="145" t="inlineStr">
        <is>
          <t>Not disclosed</t>
        </is>
      </c>
      <c r="AR71" s="145" t="n"/>
      <c r="AS71" s="145" t="n"/>
      <c r="AT71" s="149" t="inlineStr">
        <is>
          <t>On‑robot compute with dual NVIDIA RTX GPU–based modules; ~3× on‑device inference vs Figure 01.</t>
        </is>
      </c>
      <c r="AU71" s="149" t="inlineStr">
        <is>
          <t>Not disclosed</t>
        </is>
      </c>
      <c r="AV71" s="145" t="inlineStr">
        <is>
          <t>Not disclosed</t>
        </is>
      </c>
      <c r="AW71" s="149" t="inlineStr">
        <is>
          <t>Not disclosed</t>
        </is>
      </c>
      <c r="AX71" s="151" t="n">
        <v>3</v>
      </c>
      <c r="AY71" s="149" t="inlineStr">
        <is>
          <t>Not disclosed</t>
        </is>
      </c>
      <c r="AZ71" s="149" t="inlineStr">
        <is>
          <t>OpenAI speech‑to‑speech voice; onboard VLM/VLA (“Helix”) for perception and reasoning</t>
        </is>
      </c>
      <c r="BA71" s="149" t="inlineStr">
        <is>
          <t>Not specified</t>
        </is>
      </c>
      <c r="BB71" s="149" t="inlineStr">
        <is>
          <t>Custom electric motors integrated with joint drivetrains; system is electric.</t>
        </is>
      </c>
      <c r="BC71" s="149" t="inlineStr">
        <is>
          <t>Not disclosed</t>
        </is>
      </c>
      <c r="BD71" s="145" t="inlineStr">
        <is>
          <t>matte‑black exterior with integrated cabling</t>
        </is>
      </c>
      <c r="BE71" s="145" t="inlineStr">
        <is>
          <t>Not disclosed</t>
        </is>
      </c>
      <c r="BF71" s="145" t="inlineStr">
        <is>
          <t>Not specified</t>
        </is>
      </c>
      <c r="BG71" s="145" t="n"/>
      <c r="BH71" s="145" t="n"/>
      <c r="BI71" s="145" t="n"/>
      <c r="BJ71" s="145" t="n"/>
      <c r="BK71" s="145" t="n"/>
      <c r="BL71" s="145" t="n"/>
      <c r="BM71" s="145" t="inlineStr">
        <is>
          <t>Yes</t>
        </is>
      </c>
      <c r="BN71" s="145" t="inlineStr">
        <is>
          <t>Not disclosed</t>
        </is>
      </c>
      <c r="BO71" s="149" t="inlineStr">
        <is>
          <t>Market: Industries; logistics; Warehouse · Manipulation 3/4 · Navigation 3/4 · Human-safe: Yes · AI: OpenAI speech‑to‑speech voice; onboard VLM/VLA (“Helix”) for perception and reasoning · Actuation: Custom electric motors integrated with joint drivetrains; system is electric. · Peak 3 km/h · Walk 3 km/h · Runtime 5</t>
        </is>
      </c>
      <c r="BP71" s="145" t="n"/>
      <c r="BQ71" s="149" t="inlineStr">
        <is>
          <t>Industries; logistics; Warehouse</t>
        </is>
      </c>
      <c r="BR71" s="149" t="inlineStr">
        <is>
          <t>Prototype</t>
        </is>
      </c>
      <c r="BS71" s="149" t="inlineStr">
        <is>
          <t>Prototype</t>
        </is>
      </c>
      <c r="BT71" s="145" t="inlineStr">
        <is>
          <t>Not specified</t>
        </is>
      </c>
      <c r="BU71" s="145" t="inlineStr">
        <is>
          <t>Not verified</t>
        </is>
      </c>
      <c r="BV71" s="149" t="n"/>
      <c r="BW71" s="149" t="inlineStr">
        <is>
          <t>Origin &amp; status — USA · Prototype · 2026 | Manipulation — 10 · 10 fingers · Payload 55.1 lb | Sensing &amp; software — six RGB cameras · OpenAI speech‑to‑speech voice; onboard VLM/VLA (“Helix”) for perception and reasoning | Buying notes — From $130,000 · 12 months manufacturer standard (typical research/commercial humanoid) · Best fit: Industries</t>
        </is>
      </c>
      <c r="BX71" s="149" t="inlineStr">
        <is>
          <t>as_shipped|Figure 02|130000|As shipped</t>
        </is>
      </c>
      <c r="BY71" s="145" t="inlineStr">
        <is>
          <t>not_specified|Not specified|#e2e8f0|0</t>
        </is>
      </c>
      <c r="BZ71" s="145" t="inlineStr"/>
      <c r="CA71" s="149" t="n"/>
      <c r="CB71" s="149" t="inlineStr">
        <is>
          <t>12 months manufacturer standard (typical research/commercial humanoid)</t>
        </is>
      </c>
      <c r="CC71" s="147" t="n">
        <v>12</v>
      </c>
      <c r="CD71" s="149" t="inlineStr">
        <is>
          <t>+3 Year Extended ≈24% of configuration (default in configurator)</t>
        </is>
      </c>
      <c r="CE71" s="145" t="inlineStr">
        <is>
          <t>Humanoid category norm 2025–2026</t>
        </is>
      </c>
      <c r="CF71" s="145" t="inlineStr">
        <is>
          <t>Estimated</t>
        </is>
      </c>
      <c r="CG71" s="149" t="inlineStr">
        <is>
          <t>Confirm on formal OEM quote. EDU or enterprise packages may differ.</t>
        </is>
      </c>
      <c r="CH71" s="145" t="inlineStr">
        <is>
          <t>10%</t>
        </is>
      </c>
      <c r="CI71" s="145" t="inlineStr">
        <is>
          <t>17%</t>
        </is>
      </c>
      <c r="CJ71" s="145" t="inlineStr">
        <is>
          <t>24%</t>
        </is>
      </c>
      <c r="CK71" s="149" t="inlineStr">
        <is>
          <t>+1yr ≈10% | +2yr ≈17% | +3yr ≈24% of selected configuration price (parts &amp; labor beyond manufacturer standard).</t>
        </is>
      </c>
      <c r="CL7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71" s="145" t="inlineStr">
        <is>
          <t>12 months manufacturer standard (typical research/commercial humanoid)</t>
        </is>
      </c>
      <c r="CO71" s="203" t="inlineStr">
        <is>
          <t>https://theresanaiforthat.com/robots/</t>
        </is>
      </c>
      <c r="CP71" s="203" t="inlineStr">
        <is>
          <t>Cross-checked against TAAFT Robots directory (669 entries) 28 Aug 2026 — individual TAAFT permalinks are JS/Cloudflare gated.</t>
        </is>
      </c>
      <c r="CQ71" s="101" t="inlineStr">
        <is>
          <t>Height: 5 ft 6 in | Weight: 154.3 | Degrees of Freedom: 28 | Payload: 55.1 | Max Speed: 1.86 | Battery / Runtime: ≈ 5 hours</t>
        </is>
      </c>
    </row>
    <row r="72" ht="31.5" customHeight="1" s="102">
      <c r="A72" s="159" t="inlineStr">
        <is>
          <t>figure03</t>
        </is>
      </c>
      <c r="B72" s="144" t="inlineStr">
        <is>
          <t>Major-player brief 11 Sep 2026</t>
        </is>
      </c>
      <c r="C72" s="152" t="inlineStr">
        <is>
          <t>Figure</t>
        </is>
      </c>
      <c r="D72" s="152" t="inlineStr">
        <is>
          <t>Figure 03</t>
        </is>
      </c>
      <c r="E72" s="152" t="inlineStr">
        <is>
          <t>[Figure] Figure 03 (2025)</t>
        </is>
      </c>
      <c r="F72" s="146" t="inlineStr">
        <is>
          <t>humanoid</t>
        </is>
      </c>
      <c r="G72" s="152" t="inlineStr">
        <is>
          <t>USA</t>
        </is>
      </c>
      <c r="H72" s="154" t="n">
        <v>2025</v>
      </c>
      <c r="I72" s="155" t="n">
        <v>150000</v>
      </c>
      <c r="J72" s="152" t="inlineStr">
        <is>
          <t>Website store</t>
        </is>
      </c>
      <c r="K72" s="156" t="inlineStr">
        <is>
          <t>Figure 03 is designed for both factories and homes, combining a human-shaped robot with Figure’s Helix AI system.</t>
        </is>
      </c>
      <c r="L72" s="101" t="inlineStr">
        <is>
          <t>Figure 03 is designed for both factories and homes, combining a human-shaped robot with Figure’s Helix AI system.</t>
        </is>
      </c>
      <c r="M72" s="101" t="inlineStr">
        <is>
          <t>Figure AI, based in California, moved from Figure 01 demos to Figure 02 factory pilots and then to Figure 03. Figure 03 is the platform designed for both factories and homes, running the company’s Helix AI system so the same humanoid form can work beside people in either setting.</t>
        </is>
      </c>
      <c r="N72" s="157" t="inlineStr">
        <is>
          <t>https://humanoid.guide/product/figure-03/</t>
        </is>
      </c>
      <c r="O72" s="157" t="inlineStr">
        <is>
          <t>https://www.figure.ai</t>
        </is>
      </c>
      <c r="P72" s="152" t="inlineStr">
        <is>
          <t>≈ 5 ft 6 in – 5 ft 8 in</t>
        </is>
      </c>
      <c r="Q72" s="152" t="n">
        <v>168</v>
      </c>
      <c r="R72" s="152" t="n">
        <v>132.3</v>
      </c>
      <c r="S72" s="152" t="n">
        <v>60</v>
      </c>
      <c r="T72" s="156" t="inlineStr">
        <is>
          <t>Not disclosed</t>
        </is>
      </c>
      <c r="U72" s="152" t="inlineStr">
        <is>
          <t>Not specified</t>
        </is>
      </c>
      <c r="V72" s="152" t="inlineStr">
        <is>
          <t>≈ 44 total · hands ≈ 16 DOF class</t>
        </is>
      </c>
      <c r="W72" s="156" t="inlineStr">
        <is>
          <t>20</t>
        </is>
      </c>
      <c r="X72" s="152" t="n">
        <v>44.1</v>
      </c>
      <c r="Y72" s="152" t="n">
        <v>20</v>
      </c>
      <c r="Z72" s="152" t="n">
        <v>2.67</v>
      </c>
      <c r="AA72" s="152" t="n">
        <v>4.3</v>
      </c>
      <c r="AB72" s="152" t="n">
        <v>4.3</v>
      </c>
      <c r="AC72" s="156" t="inlineStr">
        <is>
          <t>≈ 5 h class</t>
        </is>
      </c>
      <c r="AD72" s="156" t="inlineStr">
        <is>
          <t>5</t>
        </is>
      </c>
      <c r="AE72" s="152" t="n"/>
      <c r="AF72" s="152" t="inlineStr">
        <is>
          <t>Not disclosed</t>
        </is>
      </c>
      <c r="AG72" s="156" t="inlineStr">
        <is>
          <t>Compliant tactile hands ≈ 16 DOF class</t>
        </is>
      </c>
      <c r="AH72" s="152" t="inlineStr">
        <is>
          <t>10</t>
        </is>
      </c>
      <c r="AI72" s="151" t="n">
        <v>3</v>
      </c>
      <c r="AJ72" s="156" t="inlineStr">
        <is>
          <t>Multi-RGB camera suite (head, chest, back) + palm cameras on hands</t>
        </is>
      </c>
      <c r="AK72" s="156" t="inlineStr">
        <is>
          <t>03 introduces a new vision system with 2× frame rate, ¼ latency, and +60% FoV per camera, plus palm cameras in each hand.</t>
        </is>
      </c>
      <c r="AL72" s="152" t="inlineStr">
        <is>
          <t>Multi-view autonomy and teleoperation streams</t>
        </is>
      </c>
      <c r="AM72" s="152" t="n"/>
      <c r="AN72" s="152" t="inlineStr">
        <is>
          <t>Not disclosed</t>
        </is>
      </c>
      <c r="AO72" s="152" t="inlineStr">
        <is>
          <t>Upgraded speaker and repositioned microphones for voice interaction</t>
        </is>
      </c>
      <c r="AP72" s="152" t="inlineStr">
        <is>
          <t>Not disclosed</t>
        </is>
      </c>
      <c r="AQ72" s="152" t="inlineStr">
        <is>
          <t>Not disclosed</t>
        </is>
      </c>
      <c r="AR72" s="152" t="n"/>
      <c r="AS72" s="152" t="n"/>
      <c r="AT72" s="156" t="inlineStr">
        <is>
          <t>Helix runs entirely on‑board on dual low‑power embedded GPUs</t>
        </is>
      </c>
      <c r="AU72" s="156" t="inlineStr">
        <is>
          <t>10 Gbps mmWave data offload; wireless inductive charging and data offload</t>
        </is>
      </c>
      <c r="AV72" s="152" t="inlineStr">
        <is>
          <t>Figure autonomy and teleoperation stack</t>
        </is>
      </c>
      <c r="AW72" s="156" t="inlineStr">
        <is>
          <t>Bipedal locomotion for structured indoor environments</t>
        </is>
      </c>
      <c r="AX72" s="151" t="n">
        <v>3</v>
      </c>
      <c r="AY72" s="156" t="inlineStr">
        <is>
          <t>Ubuntu Linux (LTS) + RT‑komponenter</t>
        </is>
      </c>
      <c r="AZ72" s="156" t="inlineStr">
        <is>
          <t>Helix VLA</t>
        </is>
      </c>
      <c r="BA72" s="156" t="inlineStr">
        <is>
          <t>No numeric “glass‑to‑action” latency published. Site notes ¼ camera latency vs. prior architecture and 200 Hz low‑level control</t>
        </is>
      </c>
      <c r="BB72" s="156" t="inlineStr">
        <is>
          <t>Frameless BLDC‑motors</t>
        </is>
      </c>
      <c r="BC72" s="156" t="inlineStr">
        <is>
          <t>Strain‑wave (harmonic) and/or cycloidal</t>
        </is>
      </c>
      <c r="BD72" s="152" t="inlineStr">
        <is>
          <t>Battery enclosure uses stamped steel, die‑cast aluminum, and structural adhesives</t>
        </is>
      </c>
      <c r="BE72" s="152" t="inlineStr">
        <is>
          <t>Not disclosed</t>
        </is>
      </c>
      <c r="BF72" s="152" t="inlineStr">
        <is>
          <t>Not specified</t>
        </is>
      </c>
      <c r="BG72" s="152" t="n"/>
      <c r="BH72" s="152" t="n"/>
      <c r="BI72" s="152" t="n"/>
      <c r="BJ72" s="152" t="n"/>
      <c r="BK72" s="152" t="n"/>
      <c r="BL72" s="152" t="n"/>
      <c r="BM72" s="152" t="inlineStr">
        <is>
          <t>Not disclosed</t>
        </is>
      </c>
      <c r="BN72" s="152" t="inlineStr">
        <is>
          <t>Not disclosed</t>
        </is>
      </c>
      <c r="BO72" s="156" t="inlineStr">
        <is>
          <t>Market: Home service; Industries · Manipulation 3/4 · Navigation 3/4 · Human-safe: Not specified · AI: Helix uses an open‑source, open‑weight VLM for high‑level reasoning · Actuation: Frameless BLDC‑motors · Peak 4.3 km/h · Walk 4.3 km/h · Runtime 5</t>
        </is>
      </c>
      <c r="BP72" s="152" t="inlineStr">
        <is>
          <t>Factory pilot deployments; not public retail</t>
        </is>
      </c>
      <c r="BQ72" s="156" t="inlineStr">
        <is>
          <t>Factories and homes</t>
        </is>
      </c>
      <c r="BR72" s="156" t="inlineStr">
        <is>
          <t>Prototype</t>
        </is>
      </c>
      <c r="BS72" s="156" t="inlineStr">
        <is>
          <t>Prototype</t>
        </is>
      </c>
      <c r="BT72" s="152" t="inlineStr">
        <is>
          <t>Not specified</t>
        </is>
      </c>
      <c r="BU72" s="152" t="inlineStr">
        <is>
          <t>Not verified</t>
        </is>
      </c>
      <c r="BV72" s="156" t="n"/>
      <c r="BW72" s="156" t="inlineStr">
        <is>
          <t>Origin &amp; status — USA · Prototype · 2025 | Manipulation — Compliant tactile hands ≈ 16 DOF class · 10 fingers · Hand DOF 20 · Payload ≈ 44 lb class | Sensing &amp; software — Multi-RGB camera suite (head, chest, back) + palm cameras on hands · Helix VLA · Ubuntu Linux (LTS) + RT‑komponenter · Figure autonomy and teleoperation stack | Buying notes — From $150,000 · 12 months hardware defects (battery/actuators often 6 months) · Best fit: Home service</t>
        </is>
      </c>
      <c r="BX72" s="156" t="inlineStr">
        <is>
          <t>industrial|Figure 03 Industrial|150000|Enterprise estimate || research|Research / Partner|200000|Higher support package</t>
        </is>
      </c>
      <c r="BY72" s="152" t="inlineStr">
        <is>
          <t>black|Figure Black|#0f172a|0 || white|Lab White|#f8fafc|0</t>
        </is>
      </c>
      <c r="BZ72" s="152" t="inlineStr">
        <is>
          <t>warranty_figure</t>
        </is>
      </c>
      <c r="CA72" s="156" t="inlineStr">
        <is>
          <t>2 configuration tiers; 2 color options; Multi-year extended warranty available</t>
        </is>
      </c>
      <c r="CB72" s="156" t="inlineStr">
        <is>
          <t>12 months hardware defects (battery/actuators often 6 months)</t>
        </is>
      </c>
      <c r="CC72" s="154" t="n">
        <v>12</v>
      </c>
      <c r="CD72" s="156" t="inlineStr">
        <is>
          <t>+3 Year Extended ≈24% of configuration (default in configurator)</t>
        </is>
      </c>
      <c r="CE72" s="152" t="inlineStr">
        <is>
          <t>Figure Future Tech USA legal / warranty summary</t>
        </is>
      </c>
      <c r="CF72" s="152" t="inlineStr">
        <is>
          <t>Documented</t>
        </is>
      </c>
      <c r="CG72" s="156" t="inlineStr">
        <is>
          <t>Excludes accidental damage and misuse. Program deployments may differ.</t>
        </is>
      </c>
      <c r="CH72" s="152" t="inlineStr">
        <is>
          <t>10%</t>
        </is>
      </c>
      <c r="CI72" s="152" t="inlineStr">
        <is>
          <t>17%</t>
        </is>
      </c>
      <c r="CJ72" s="152" t="inlineStr">
        <is>
          <t>24%</t>
        </is>
      </c>
      <c r="CK72"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72"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72" s="152" t="inlineStr">
        <is>
          <t>12 months hardware defects (battery/actuators often 6 months)</t>
        </is>
      </c>
      <c r="CN72" s="203" t="inlineStr">
        <is>
          <t>https://aixzd.com/robot/figure03</t>
        </is>
      </c>
      <c r="CO72" s="203" t="inlineStr">
        <is>
          <t>https://theresanaiforthat.com/robots/</t>
        </is>
      </c>
      <c r="CP72" s="203" t="inlineStr">
        <is>
          <t>Cross-checked against TAAFT Robots directory (669 entries) 28 Aug 2026 — individual TAAFT permalinks are JS/Cloudflare gated.</t>
        </is>
      </c>
      <c r="CQ72" s="101" t="inlineStr">
        <is>
          <t>Height: ≈ 5 ft 6 in – 5 ft 8 in | Weight: 132.3 | Degrees of Freedom: ≈ 44 total · hands ≈ 16 DOF class | Payload: 44.1 | Max Speed: 2.67 | Battery / Runtime: ≈ 5 h class</t>
        </is>
      </c>
    </row>
    <row r="73" ht="31.5" customHeight="1" s="102">
      <c r="A73" s="145" t="inlineStr">
        <is>
          <t>flexiv_robotics_aico_2</t>
        </is>
      </c>
      <c r="B73" s="153" t="inlineStr">
        <is>
          <t>Humanoid.guide</t>
        </is>
      </c>
      <c r="C73" s="145" t="inlineStr">
        <is>
          <t>Flexiv Robotics</t>
        </is>
      </c>
      <c r="D73" s="145" t="inlineStr">
        <is>
          <t>AICO 2</t>
        </is>
      </c>
      <c r="E73" s="145" t="inlineStr">
        <is>
          <t>[Flexiv Robotics] AICO 2 (2026)</t>
        </is>
      </c>
      <c r="F73" s="146" t="inlineStr">
        <is>
          <t>humanoid</t>
        </is>
      </c>
      <c r="G73" s="145" t="inlineStr">
        <is>
          <t>USA</t>
        </is>
      </c>
      <c r="H73" s="145" t="n"/>
      <c r="I73" s="148" t="n">
        <v>120000</v>
      </c>
      <c r="J73" s="145" t="inlineStr">
        <is>
          <t>Humanoid.guide list</t>
        </is>
      </c>
      <c r="K73" s="149" t="inlineStr">
        <is>
          <t>AICO 2 is Flexiv Robotics’ mobile dual-arm robot, pairing force-controlled manipulation with a Laser SLAM wheeled base and ~6h battery life for flexible industrial automation.</t>
        </is>
      </c>
      <c r="L73" s="101" t="inlineStr">
        <is>
          <t>AICO 2 is Flexiv Robotics’ mobile dual-arm robot, pairing force-controlled manipulation with a Laser SLAM wheeled base and ~6h battery life for flexible industrial automation.</t>
        </is>
      </c>
      <c r="M73" s="101" t="inlineStr">
        <is>
          <t>AICO 2 is Flexiv Robotics’ mobile dual-arm robot, pairing force-controlled manipulation with a Laser SLAM wheeled base and ~6h battery life for flexible industrial automation. Public status is listed as in production, and it is positioned for industrial Manufacturing; logistics; Research.</t>
        </is>
      </c>
      <c r="N73" s="150" t="inlineStr">
        <is>
          <t>https://humanoid.guide/product/aico-2/</t>
        </is>
      </c>
      <c r="O73" s="150" t="inlineStr">
        <is>
          <t>https://www.flexiv.com</t>
        </is>
      </c>
      <c r="P73" s="145" t="inlineStr">
        <is>
          <t>5 ft 3 in</t>
        </is>
      </c>
      <c r="Q73" s="145" t="n">
        <v>160</v>
      </c>
      <c r="R73" s="145" t="n">
        <v>619.5</v>
      </c>
      <c r="S73" s="145" t="n">
        <v>281</v>
      </c>
      <c r="T73" s="149" t="inlineStr">
        <is>
          <t>Not disclosed</t>
        </is>
      </c>
      <c r="U73" s="145" t="n"/>
      <c r="V73" s="145" t="inlineStr">
        <is>
          <t>14</t>
        </is>
      </c>
      <c r="W73" s="149" t="inlineStr">
        <is>
          <t>Not disclosed</t>
        </is>
      </c>
      <c r="X73" s="145" t="n">
        <v>17.6</v>
      </c>
      <c r="Y73" s="145" t="n">
        <v>8</v>
      </c>
      <c r="Z73" s="145" t="n">
        <v>2.49</v>
      </c>
      <c r="AA73" s="145" t="n">
        <v>4</v>
      </c>
      <c r="AB73" s="145" t="n"/>
      <c r="AC73" s="149" t="inlineStr">
        <is>
          <t>≈ 6 hours</t>
        </is>
      </c>
      <c r="AD73" s="149" t="inlineStr">
        <is>
          <t>6</t>
        </is>
      </c>
      <c r="AE73" s="145" t="n"/>
      <c r="AF73" s="145" t="inlineStr">
        <is>
          <t>Not disclosed</t>
        </is>
      </c>
      <c r="AG73" s="149" t="inlineStr">
        <is>
          <t>2-finger gripping claws</t>
        </is>
      </c>
      <c r="AH73" s="145" t="inlineStr">
        <is>
          <t>2-finger gripping claws</t>
        </is>
      </c>
      <c r="AI73" s="145" t="n"/>
      <c r="AJ73" s="149" t="inlineStr">
        <is>
          <t>Not disclosed</t>
        </is>
      </c>
      <c r="AK73" s="149" t="n"/>
      <c r="AL73" s="145" t="inlineStr">
        <is>
          <t>Not disclosed</t>
        </is>
      </c>
      <c r="AM73" s="145" t="n"/>
      <c r="AN73" s="145" t="inlineStr">
        <is>
          <t>Not disclosed</t>
        </is>
      </c>
      <c r="AO73" s="145" t="inlineStr">
        <is>
          <t>Not disclosed</t>
        </is>
      </c>
      <c r="AP73" s="145" t="inlineStr">
        <is>
          <t>Not disclosed</t>
        </is>
      </c>
      <c r="AQ73" s="145" t="inlineStr">
        <is>
          <t>Not disclosed</t>
        </is>
      </c>
      <c r="AR73" s="145" t="n"/>
      <c r="AS73" s="145" t="n"/>
      <c r="AT73" s="149" t="inlineStr">
        <is>
          <t>Not disclosed</t>
        </is>
      </c>
      <c r="AU73" s="149" t="inlineStr">
        <is>
          <t>EtherCAT; Ethernet; RDK interface; TCP-IP</t>
        </is>
      </c>
      <c r="AV73" s="145" t="inlineStr">
        <is>
          <t>Not disclosed</t>
        </is>
      </c>
      <c r="AW73" s="149" t="inlineStr">
        <is>
          <t>Not disclosed</t>
        </is>
      </c>
      <c r="AX73" s="145" t="n"/>
      <c r="AY73" s="149" t="inlineStr">
        <is>
          <t>Flexiv RDK (Robotic Development Kit); Linux-based real-time control</t>
        </is>
      </c>
      <c r="AZ73" s="149" t="inlineStr">
        <is>
          <t>Not native; possible via RDK/SDK integration</t>
        </is>
      </c>
      <c r="BA73" s="149" t="inlineStr">
        <is>
          <t>Control loop runs at 1 kHz real-time; end-to-end perception latency not published</t>
        </is>
      </c>
      <c r="BB73" s="149" t="inlineStr">
        <is>
          <t>Proprietary force-controlled actuators (arms) + wheel-drive motors (base)</t>
        </is>
      </c>
      <c r="BC73" s="149" t="inlineStr">
        <is>
          <t>harmonic/strain-wave reducers</t>
        </is>
      </c>
      <c r="BD73" s="145" t="inlineStr">
        <is>
          <t>Aluminum alloy + steel base</t>
        </is>
      </c>
      <c r="BE73" s="145" t="inlineStr">
        <is>
          <t>IP54</t>
        </is>
      </c>
      <c r="BF73" s="145" t="inlineStr">
        <is>
          <t>IP54</t>
        </is>
      </c>
      <c r="BG73" s="145" t="n"/>
      <c r="BH73" s="145" t="n"/>
      <c r="BI73" s="145" t="n"/>
      <c r="BJ73" s="145" t="n"/>
      <c r="BK73" s="145" t="n"/>
      <c r="BL73" s="145" t="n"/>
      <c r="BM73" s="145" t="inlineStr">
        <is>
          <t>Yes</t>
        </is>
      </c>
      <c r="BN73" s="145" t="inlineStr">
        <is>
          <t>Not disclosed</t>
        </is>
      </c>
      <c r="BO73" s="149" t="inlineStr">
        <is>
          <t>Market: Industrial Manufacturing; logistics; Research · Human-safe: Yes · AI: Not native; possible via RDK/SDK integration · Actuation: Proprietary force-controlled actuators (arms) + wheel-drive motors (base) · Peak 4 km/h · Runtime 6</t>
        </is>
      </c>
      <c r="BP73" s="145" t="n"/>
      <c r="BQ73" s="149" t="inlineStr">
        <is>
          <t>Industrial Manufacturing; logistics; Research</t>
        </is>
      </c>
      <c r="BR73" s="149" t="inlineStr">
        <is>
          <t>In production</t>
        </is>
      </c>
      <c r="BS73" s="149" t="inlineStr">
        <is>
          <t>In production</t>
        </is>
      </c>
      <c r="BT73" s="145" t="inlineStr">
        <is>
          <t>Blue; Grey; White</t>
        </is>
      </c>
      <c r="BU73" s="145" t="n"/>
      <c r="BV73" s="149" t="n"/>
      <c r="BW73" s="149" t="inlineStr">
        <is>
          <t>Origin &amp; status — USA · In production · 2026 | Manipulation — 2-finger gripping claws · Payload 17.6 lb | Sensing &amp; software — Flexiv RDK (Robotic Development Kit); Linux-based real-time control | Buying notes — From $120,000 · 12 months manufacturer standard (typical research/commercial humanoid) · Best fit: Industrial Manufacturing</t>
        </is>
      </c>
      <c r="BX73" s="149" t="inlineStr">
        <is>
          <t>as_shipped|AICO 2|120000|As shipped</t>
        </is>
      </c>
      <c r="BY73" s="145" t="inlineStr">
        <is>
          <t>blue|Blue|#e2e8f0|0 || grey|Grey|#1e293b|0 || white|White|#0891b2|0</t>
        </is>
      </c>
      <c r="BZ73" s="145" t="inlineStr"/>
      <c r="CA73" s="149" t="n"/>
      <c r="CB73" s="149" t="inlineStr">
        <is>
          <t>12 months manufacturer standard (typical research/commercial humanoid)</t>
        </is>
      </c>
      <c r="CC73" s="147" t="n">
        <v>12</v>
      </c>
      <c r="CD73" s="149" t="inlineStr">
        <is>
          <t>+3 Year Extended ≈24% of configuration (default in configurator)</t>
        </is>
      </c>
      <c r="CE73" s="145" t="inlineStr">
        <is>
          <t>Humanoid category norm 2025–2026</t>
        </is>
      </c>
      <c r="CF73" s="145" t="inlineStr">
        <is>
          <t>Estimated</t>
        </is>
      </c>
      <c r="CG73" s="149" t="inlineStr">
        <is>
          <t>Confirm on formal OEM quote. EDU or enterprise packages may differ.</t>
        </is>
      </c>
      <c r="CH73" s="145" t="inlineStr">
        <is>
          <t>10%</t>
        </is>
      </c>
      <c r="CI73" s="145" t="inlineStr">
        <is>
          <t>17%</t>
        </is>
      </c>
      <c r="CJ73" s="145" t="inlineStr">
        <is>
          <t>24%</t>
        </is>
      </c>
      <c r="CK73" s="149" t="inlineStr">
        <is>
          <t>+1yr ≈10% | +2yr ≈17% | +3yr ≈24% of selected configuration price (parts &amp; labor beyond manufacturer standard).</t>
        </is>
      </c>
      <c r="CL73"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73" s="145" t="inlineStr">
        <is>
          <t>12 months manufacturer standard (typical research/commercial humanoid)</t>
        </is>
      </c>
      <c r="CQ73" s="101" t="inlineStr">
        <is>
          <t>Height: 5 ft 3 in | Weight: 619.5 | Degrees of Freedom: 14 | Payload: 17.6 | Max Speed: 2.49 | Battery / Runtime: ≈ 6 hours</t>
        </is>
      </c>
    </row>
    <row r="74" ht="31.5" customHeight="1" s="102">
      <c r="A74" s="152" t="inlineStr">
        <is>
          <t>flexiv_robotics_mico</t>
        </is>
      </c>
      <c r="B74" s="153" t="inlineStr">
        <is>
          <t>Humanoid.guide</t>
        </is>
      </c>
      <c r="C74" s="152" t="inlineStr">
        <is>
          <t>Flexiv Robotics</t>
        </is>
      </c>
      <c r="D74" s="152" t="inlineStr">
        <is>
          <t>MICO</t>
        </is>
      </c>
      <c r="E74" s="152" t="inlineStr">
        <is>
          <t>[Flexiv Robotics] MICO (2026)</t>
        </is>
      </c>
      <c r="F74" s="146" t="inlineStr">
        <is>
          <t>humanoid</t>
        </is>
      </c>
      <c r="G74" s="152" t="inlineStr">
        <is>
          <t>USA</t>
        </is>
      </c>
      <c r="H74" s="152" t="n"/>
      <c r="I74" s="155" t="n">
        <v>80000</v>
      </c>
      <c r="J74" s="152" t="inlineStr">
        <is>
          <t>Humanoid.guide list</t>
        </is>
      </c>
      <c r="K74" s="156" t="inlineStr">
        <is>
          <t>MICO is Flexiv Robotics’ dual-arm humanoid system, built around advanced force control for dexterous, adaptive manipulation in industrial, commercial, and research settings.</t>
        </is>
      </c>
      <c r="L74" s="101" t="inlineStr">
        <is>
          <t>MICO is Flexiv Robotics’ dual-arm humanoid system, built around advanced force control for dexterous, adaptive manipulation in industrial, commercial, and research settings.</t>
        </is>
      </c>
      <c r="M74" s="101" t="inlineStr">
        <is>
          <t>MICO is Flexiv Robotics’ dual-arm humanoid system, built around advanced force control for dexterous, adaptive manipulation in industrial, commercial, and research settings. Public status is listed as in production, and it is positioned for industrial Manufacturing; logistics; Research.</t>
        </is>
      </c>
      <c r="N74" s="157" t="inlineStr">
        <is>
          <t>https://humanoid.guide/product/mico/</t>
        </is>
      </c>
      <c r="O74" s="157" t="inlineStr">
        <is>
          <t>https://www.flexiv.com</t>
        </is>
      </c>
      <c r="P74" s="152" t="inlineStr">
        <is>
          <t>4 ft 11 in</t>
        </is>
      </c>
      <c r="Q74" s="152" t="n">
        <v>150</v>
      </c>
      <c r="R74" s="152" t="n">
        <v>174.2</v>
      </c>
      <c r="S74" s="152" t="n">
        <v>79</v>
      </c>
      <c r="T74" s="156" t="inlineStr">
        <is>
          <t>Not disclosed</t>
        </is>
      </c>
      <c r="U74" s="152" t="n"/>
      <c r="V74" s="152" t="inlineStr">
        <is>
          <t>14</t>
        </is>
      </c>
      <c r="W74" s="156" t="inlineStr">
        <is>
          <t>Not disclosed</t>
        </is>
      </c>
      <c r="X74" s="152" t="n">
        <v>22</v>
      </c>
      <c r="Y74" s="152" t="n">
        <v>10</v>
      </c>
      <c r="Z74" s="152" t="n">
        <v>1.86</v>
      </c>
      <c r="AA74" s="152" t="n">
        <v>3</v>
      </c>
      <c r="AB74" s="152" t="n"/>
      <c r="AC74" s="156" t="inlineStr">
        <is>
          <t>Not disclosed</t>
        </is>
      </c>
      <c r="AD74" s="156" t="n"/>
      <c r="AE74" s="152" t="n"/>
      <c r="AF74" s="152" t="inlineStr">
        <is>
          <t>Not disclosed</t>
        </is>
      </c>
      <c r="AG74" s="156" t="inlineStr">
        <is>
          <t>2-finger gripping claws</t>
        </is>
      </c>
      <c r="AH74" s="152" t="inlineStr">
        <is>
          <t>2-finger gripping claws</t>
        </is>
      </c>
      <c r="AI74" s="152" t="n"/>
      <c r="AJ74" s="156" t="inlineStr">
        <is>
          <t>Not disclosed</t>
        </is>
      </c>
      <c r="AK74" s="156" t="n"/>
      <c r="AL74" s="152" t="inlineStr">
        <is>
          <t>Not disclosed</t>
        </is>
      </c>
      <c r="AM74" s="152" t="n"/>
      <c r="AN74" s="152" t="inlineStr">
        <is>
          <t>Not disclosed</t>
        </is>
      </c>
      <c r="AO74" s="152" t="inlineStr">
        <is>
          <t>Not disclosed</t>
        </is>
      </c>
      <c r="AP74" s="152" t="inlineStr">
        <is>
          <t>Not disclosed</t>
        </is>
      </c>
      <c r="AQ74" s="152" t="inlineStr">
        <is>
          <t>Not disclosed</t>
        </is>
      </c>
      <c r="AR74" s="152" t="n"/>
      <c r="AS74" s="152" t="n"/>
      <c r="AT74" s="156" t="inlineStr">
        <is>
          <t>Not disclosed</t>
        </is>
      </c>
      <c r="AU74" s="156" t="inlineStr">
        <is>
          <t>EtherCAT; Ethernet; TCP-IP</t>
        </is>
      </c>
      <c r="AV74" s="152" t="inlineStr">
        <is>
          <t>Not disclosed</t>
        </is>
      </c>
      <c r="AW74" s="156" t="inlineStr">
        <is>
          <t>Not disclosed</t>
        </is>
      </c>
      <c r="AX74" s="152" t="n"/>
      <c r="AY74" s="156" t="inlineStr">
        <is>
          <t>Flexiv RDK (Robotic Development Kit); Linux-based real-time control</t>
        </is>
      </c>
      <c r="AZ74" s="156" t="inlineStr">
        <is>
          <t>Not native; possible via RDK/SDK integration</t>
        </is>
      </c>
      <c r="BA74" s="156" t="inlineStr">
        <is>
          <t>Control loop runs at 1 kHz real-time; end-to-end perception latency not published</t>
        </is>
      </c>
      <c r="BB74" s="156" t="inlineStr">
        <is>
          <t>Assumption: proprietary force-controlled actuators (Flexiv's core technology)</t>
        </is>
      </c>
      <c r="BC74" s="156" t="inlineStr">
        <is>
          <t>harmonic/strain-wave reducers</t>
        </is>
      </c>
      <c r="BD74" s="152" t="inlineStr">
        <is>
          <t>Not disclosed</t>
        </is>
      </c>
      <c r="BE74" s="152" t="inlineStr">
        <is>
          <t>IP54</t>
        </is>
      </c>
      <c r="BF74" s="152" t="inlineStr">
        <is>
          <t>IP54</t>
        </is>
      </c>
      <c r="BG74" s="152" t="n"/>
      <c r="BH74" s="152" t="n"/>
      <c r="BI74" s="152" t="n"/>
      <c r="BJ74" s="152" t="n"/>
      <c r="BK74" s="152" t="n"/>
      <c r="BL74" s="152" t="n"/>
      <c r="BM74" s="152" t="inlineStr">
        <is>
          <t>Yes</t>
        </is>
      </c>
      <c r="BN74" s="152" t="inlineStr">
        <is>
          <t>Not disclosed</t>
        </is>
      </c>
      <c r="BO74" s="156" t="inlineStr">
        <is>
          <t>Market: Industrial Manufacturing; logistics; Research · Human-safe: Yes · AI: Not native; possible via RDK/SDK integration · Actuation: Assumption: proprietary force-controlled actuators (Flexiv's core technology) · Peak 3 km/h</t>
        </is>
      </c>
      <c r="BP74" s="152" t="n"/>
      <c r="BQ74" s="156" t="inlineStr">
        <is>
          <t>Industrial Manufacturing; logistics; Research</t>
        </is>
      </c>
      <c r="BR74" s="156" t="inlineStr">
        <is>
          <t>In production</t>
        </is>
      </c>
      <c r="BS74" s="156" t="inlineStr">
        <is>
          <t>In production</t>
        </is>
      </c>
      <c r="BT74" s="152" t="inlineStr">
        <is>
          <t>Blue; Grey; White</t>
        </is>
      </c>
      <c r="BU74" s="152" t="n"/>
      <c r="BV74" s="156" t="n"/>
      <c r="BW74" s="156" t="inlineStr">
        <is>
          <t>Origin &amp; status — USA · In production · 2026 | Manipulation — 2-finger gripping claws · Payload 22 lb | Sensing &amp; software — Flexiv RDK (Robotic Development Kit); Linux-based real-time control | Buying notes — From $80,000 · 12 months manufacturer standard (typical research/commercial humanoid) · Best fit: Industrial Manufacturing</t>
        </is>
      </c>
      <c r="BX74" s="156" t="inlineStr">
        <is>
          <t>as_shipped|MICO|80000|As shipped</t>
        </is>
      </c>
      <c r="BY74" s="152" t="inlineStr">
        <is>
          <t>blue|Blue|#e2e8f0|0 || grey|Grey|#1e293b|0 || white|White|#0891b2|0</t>
        </is>
      </c>
      <c r="BZ74" s="152" t="inlineStr"/>
      <c r="CA74" s="156" t="n"/>
      <c r="CB74" s="156" t="inlineStr">
        <is>
          <t>12 months manufacturer standard (typical research/commercial humanoid)</t>
        </is>
      </c>
      <c r="CC74" s="154" t="n">
        <v>12</v>
      </c>
      <c r="CD74" s="156" t="inlineStr">
        <is>
          <t>+3 Year Extended ≈24% of configuration (default in configurator)</t>
        </is>
      </c>
      <c r="CE74" s="152" t="inlineStr">
        <is>
          <t>Humanoid category norm 2025–2026</t>
        </is>
      </c>
      <c r="CF74" s="152" t="inlineStr">
        <is>
          <t>Estimated</t>
        </is>
      </c>
      <c r="CG74" s="156" t="inlineStr">
        <is>
          <t>Confirm on formal OEM quote. EDU or enterprise packages may differ.</t>
        </is>
      </c>
      <c r="CH74" s="152" t="inlineStr">
        <is>
          <t>10%</t>
        </is>
      </c>
      <c r="CI74" s="152" t="inlineStr">
        <is>
          <t>17%</t>
        </is>
      </c>
      <c r="CJ74" s="152" t="inlineStr">
        <is>
          <t>24%</t>
        </is>
      </c>
      <c r="CK74" s="156" t="inlineStr">
        <is>
          <t>+1yr ≈10% | +2yr ≈17% | +3yr ≈24% of selected configuration price (parts &amp; labor beyond manufacturer standard).</t>
        </is>
      </c>
      <c r="CL74"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74" s="152" t="inlineStr">
        <is>
          <t>12 months manufacturer standard (typical research/commercial humanoid)</t>
        </is>
      </c>
      <c r="CQ74" s="101" t="inlineStr">
        <is>
          <t>Height: 4 ft 11 in | Weight: 174.2 | Degrees of Freedom: 14 | Payload: 22 | Max Speed: 1.86 | Battery / Runtime: Not disclosed</t>
        </is>
      </c>
    </row>
    <row r="75" ht="31.5" customHeight="1" s="102">
      <c r="A75" s="143" t="inlineStr">
        <is>
          <t>foundation_robotics_phantom_mk1</t>
        </is>
      </c>
      <c r="B75" s="144" t="inlineStr">
        <is>
          <t>Major-player brief 11 Sep 2026</t>
        </is>
      </c>
      <c r="C75" s="145" t="inlineStr">
        <is>
          <t>Foundation</t>
        </is>
      </c>
      <c r="D75" s="145" t="inlineStr">
        <is>
          <t>Phantom</t>
        </is>
      </c>
      <c r="E75" s="145" t="inlineStr">
        <is>
          <t>[Foundation] Phantom (2024)</t>
        </is>
      </c>
      <c r="F75" s="146" t="inlineStr">
        <is>
          <t>humanoid</t>
        </is>
      </c>
      <c r="G75" s="145" t="inlineStr">
        <is>
          <t>USA</t>
        </is>
      </c>
      <c r="H75" s="147" t="n">
        <v>2024</v>
      </c>
      <c r="I75" s="148" t="n">
        <v>50000</v>
      </c>
      <c r="J75" s="145" t="inlineStr">
        <is>
          <t>Website store</t>
        </is>
      </c>
      <c r="K75" s="149" t="inlineStr">
        <is>
          <t>Phantom is aimed at demanding industrial and defence applications, with a focus on strength, speed and heavy payloads.</t>
        </is>
      </c>
      <c r="L75" s="101" t="inlineStr">
        <is>
          <t>Phantom is aimed at demanding industrial and defence applications, with a focus on strength, speed and heavy payloads.</t>
        </is>
      </c>
      <c r="M75" s="101" t="inlineStr">
        <is>
          <t>Foundation (Foundation Future Industries) is a San Francisco startup that unveiled Phantom for industrial and defence work. The platform emphasizes strength, speed, and heavy payload rather than home companionship, with in-house cycloidal actuators and camera-based perception.</t>
        </is>
      </c>
      <c r="N75" s="150" t="inlineStr">
        <is>
          <t>https://humanoid.guide/product/phantom-mk1/</t>
        </is>
      </c>
      <c r="O75" s="145" t="inlineStr">
        <is>
          <t>https://foundation.bot</t>
        </is>
      </c>
      <c r="P75" s="145" t="inlineStr">
        <is>
          <t>5 ft 9 in</t>
        </is>
      </c>
      <c r="Q75" s="145" t="n">
        <v>175</v>
      </c>
      <c r="R75" s="145" t="n">
        <v>176.4</v>
      </c>
      <c r="S75" s="145" t="n">
        <v>80</v>
      </c>
      <c r="T75" s="149" t="inlineStr">
        <is>
          <t>Not disclosed</t>
        </is>
      </c>
      <c r="U75" s="145" t="inlineStr">
        <is>
          <t>Not specified</t>
        </is>
      </c>
      <c r="V75" s="145" t="inlineStr">
        <is>
          <t>19; Upper body</t>
        </is>
      </c>
      <c r="W75" s="149" t="inlineStr">
        <is>
          <t>Not disclosed</t>
        </is>
      </c>
      <c r="X75" s="145" t="n">
        <v>44.1</v>
      </c>
      <c r="Y75" s="145" t="n">
        <v>20</v>
      </c>
      <c r="Z75" s="145" t="n">
        <v>3.79</v>
      </c>
      <c r="AA75" s="145" t="n">
        <v>6.1</v>
      </c>
      <c r="AB75" s="145" t="n">
        <v>6</v>
      </c>
      <c r="AC75" s="149" t="inlineStr">
        <is>
          <t>Not disclosed</t>
        </is>
      </c>
      <c r="AD75" s="149" t="inlineStr">
        <is>
          <t>Not specified</t>
        </is>
      </c>
      <c r="AE75" s="145" t="n"/>
      <c r="AF75" s="145" t="inlineStr">
        <is>
          <t>Not disclosed</t>
        </is>
      </c>
      <c r="AG75" s="149" t="inlineStr">
        <is>
          <t>10</t>
        </is>
      </c>
      <c r="AH75" s="145" t="inlineStr">
        <is>
          <t>10</t>
        </is>
      </c>
      <c r="AI75" s="158" t="n">
        <v>2</v>
      </c>
      <c r="AJ75" s="149" t="inlineStr">
        <is>
          <t>Head/body cameras for education and demo use</t>
        </is>
      </c>
      <c r="AK75" s="149" t="inlineStr">
        <is>
          <t>Not specified</t>
        </is>
      </c>
      <c r="AL75" s="145" t="inlineStr">
        <is>
          <t>Demo and classroom capture paths</t>
        </is>
      </c>
      <c r="AM75" s="145" t="n"/>
      <c r="AN75" s="145" t="inlineStr">
        <is>
          <t>Not disclosed</t>
        </is>
      </c>
      <c r="AO75" s="145" t="inlineStr">
        <is>
          <t>Microphone support on education tiers</t>
        </is>
      </c>
      <c r="AP75" s="145" t="inlineStr">
        <is>
          <t>Not disclosed</t>
        </is>
      </c>
      <c r="AQ75" s="145" t="inlineStr">
        <is>
          <t>Not disclosed</t>
        </is>
      </c>
      <c r="AR75" s="145" t="n"/>
      <c r="AS75" s="145" t="n"/>
      <c r="AT75" s="149" t="inlineStr">
        <is>
          <t>Not disclosed</t>
        </is>
      </c>
      <c r="AU75" s="149" t="inlineStr">
        <is>
          <t>Not disclosed</t>
        </is>
      </c>
      <c r="AV75" s="145" t="inlineStr">
        <is>
          <t>Education SDK and app tiers (Seek / Education / Professional)</t>
        </is>
      </c>
      <c r="AW75" s="149" t="inlineStr">
        <is>
          <t>Compact bipedal walking for indoor spaces</t>
        </is>
      </c>
      <c r="AX75" s="158" t="n">
        <v>2</v>
      </c>
      <c r="AY75" s="149" t="inlineStr">
        <is>
          <t>Not disclosed</t>
        </is>
      </c>
      <c r="AZ75" s="149" t="inlineStr">
        <is>
          <t>Yes</t>
        </is>
      </c>
      <c r="BA75" s="149" t="inlineStr">
        <is>
          <t>Not specified</t>
        </is>
      </c>
      <c r="BB75" s="149" t="inlineStr">
        <is>
          <t>cycloidal actuators</t>
        </is>
      </c>
      <c r="BC75" s="149" t="inlineStr">
        <is>
          <t>Cycloidal</t>
        </is>
      </c>
      <c r="BD75" s="145" t="inlineStr">
        <is>
          <t>Not disclosed</t>
        </is>
      </c>
      <c r="BE75" s="145" t="inlineStr">
        <is>
          <t>Not disclosed</t>
        </is>
      </c>
      <c r="BF75" s="145" t="inlineStr">
        <is>
          <t>Not specified</t>
        </is>
      </c>
      <c r="BG75" s="145" t="n"/>
      <c r="BH75" s="145" t="n"/>
      <c r="BI75" s="145" t="n"/>
      <c r="BJ75" s="145" t="n"/>
      <c r="BK75" s="145" t="n"/>
      <c r="BL75" s="145" t="n"/>
      <c r="BM75" s="145" t="inlineStr">
        <is>
          <t>backdrivable cycloid‑aktuatorer</t>
        </is>
      </c>
      <c r="BN75" s="145" t="inlineStr">
        <is>
          <t>Not disclosed</t>
        </is>
      </c>
      <c r="BO75" s="149" t="inlineStr">
        <is>
          <t>Market: Defense / Industrial · Manipulation 2/4 · Navigation 2/4 · Human-safe: backdrivable cycloid‑aktuatorer · AI: Yes · Actuation: cycloidal actuators · Peak 6.1 km/h · Walk 6 km/h · Runtime Not specified</t>
        </is>
      </c>
      <c r="BP75" s="145" t="n"/>
      <c r="BQ75" s="149" t="inlineStr">
        <is>
          <t>Industrial and defence; strength, speed, heavy payload</t>
        </is>
      </c>
      <c r="BR75" s="149" t="inlineStr">
        <is>
          <t>Early</t>
        </is>
      </c>
      <c r="BS75" s="149" t="inlineStr">
        <is>
          <t>Prototype</t>
        </is>
      </c>
      <c r="BT75" s="145" t="inlineStr">
        <is>
          <t>Not specified</t>
        </is>
      </c>
      <c r="BU75" s="145" t="inlineStr">
        <is>
          <t>Not verified</t>
        </is>
      </c>
      <c r="BV75" s="149" t="inlineStr">
        <is>
          <t>Humanoid.guide listed price $100,000.</t>
        </is>
      </c>
      <c r="BW75" s="149" t="inlineStr">
        <is>
          <t>Origin &amp; status — USA · Early · 2024 | Manipulation — 10 · 10 fingers · Payload 44.1 lb (20 kg) | Sensing &amp; software — Head/body cameras for education and demo use · Yes · Education SDK and app tiers (Seek / Education / Professional) | Buying notes — From $50,000 · 12 months manufacturer standard (typical research/commercial humanoid) · Best fit: Defense</t>
        </is>
      </c>
      <c r="BX75" s="149" t="inlineStr">
        <is>
          <t>as_shipped|Phantom Mk1|50000|As shipped</t>
        </is>
      </c>
      <c r="BY75" s="145" t="inlineStr">
        <is>
          <t>phantom_mk1|Manufacturer finish|#e2e8f0|0</t>
        </is>
      </c>
      <c r="BZ75" s="145" t="inlineStr"/>
      <c r="CA75" s="149" t="inlineStr">
        <is>
          <t>Add-ons: case; 2 color options; Multi-year extended warranty available</t>
        </is>
      </c>
      <c r="CB75" s="149" t="inlineStr">
        <is>
          <t>12 months manufacturer standard (typical research/commercial humanoid)</t>
        </is>
      </c>
      <c r="CC75" s="147" t="n">
        <v>12</v>
      </c>
      <c r="CD75" s="149" t="inlineStr">
        <is>
          <t>+3 Year Extended ≈24% of configuration (default in configurator)</t>
        </is>
      </c>
      <c r="CE75" s="145" t="inlineStr">
        <is>
          <t>Humanoid category norm 2025–2026</t>
        </is>
      </c>
      <c r="CF75" s="145" t="inlineStr">
        <is>
          <t>Estimated</t>
        </is>
      </c>
      <c r="CG75" s="149" t="inlineStr">
        <is>
          <t>EDU or enterprise packages may differ; confirm on formal quote.</t>
        </is>
      </c>
      <c r="CH75" s="145" t="inlineStr">
        <is>
          <t>10%</t>
        </is>
      </c>
      <c r="CI75" s="145" t="inlineStr">
        <is>
          <t>17%</t>
        </is>
      </c>
      <c r="CJ75" s="145" t="inlineStr">
        <is>
          <t>24%</t>
        </is>
      </c>
      <c r="CK7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7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75" s="145" t="inlineStr">
        <is>
          <t>12 months manufacturer standard (typical research/commercial humanoid)</t>
        </is>
      </c>
      <c r="CN75" s="203" t="inlineStr">
        <is>
          <t>https://aixzd.com/robot/phantom-mk1</t>
        </is>
      </c>
      <c r="CQ75" s="101" t="inlineStr">
        <is>
          <t>Height: 5 ft 9 in | Weight: 176.4 | Degrees of Freedom: 19; Upper body | Payload: 44.1 | Max Speed: 3.79 | Battery / Runtime: Not disclosed</t>
        </is>
      </c>
    </row>
    <row r="76" ht="31.5" customHeight="1" s="102">
      <c r="A76" s="152" t="inlineStr">
        <is>
          <t>fourier_intelligence_gr_1</t>
        </is>
      </c>
      <c r="B76" s="153" t="inlineStr">
        <is>
          <t>Humanoid.guide</t>
        </is>
      </c>
      <c r="C76" s="152" t="inlineStr">
        <is>
          <t>Fourier</t>
        </is>
      </c>
      <c r="D76" s="152" t="inlineStr">
        <is>
          <t>GR-1</t>
        </is>
      </c>
      <c r="E76" s="152" t="inlineStr">
        <is>
          <t>[Fourier] GR-1 (2021)</t>
        </is>
      </c>
      <c r="F76" s="146" t="inlineStr">
        <is>
          <t>humanoid</t>
        </is>
      </c>
      <c r="G76" s="152" t="inlineStr">
        <is>
          <t>China</t>
        </is>
      </c>
      <c r="H76" s="152" t="n"/>
      <c r="I76" s="155" t="n">
        <v>150000</v>
      </c>
      <c r="J76" s="152" t="inlineStr">
        <is>
          <t>Robot Price Index Aug 2026 · enterprise estimate</t>
        </is>
      </c>
      <c r="K76" s="156" t="inlineStr">
        <is>
          <t>The GR-1 is an advanced humanoid robot developed by Fourier Intelligence, a Shanghai-based company specializing in robotics and rehabilitation technology.</t>
        </is>
      </c>
      <c r="L76" s="101" t="inlineStr">
        <is>
          <t>The GR-1 is an advanced humanoid robot developed by Fourier Intelligence, a Shanghai-based company specializing in robotics and rehabilitation technology.</t>
        </is>
      </c>
      <c r="M76" s="101" t="inlineStr">
        <is>
          <t>The GR-1 is an advanced humanoid robot developed by Fourier Intelligence, a Shanghai-based company specializing in robotics and rehabilitation technology. Public status is listed as prototype.</t>
        </is>
      </c>
      <c r="N76" s="157" t="inlineStr">
        <is>
          <t>https://humanoid.guide/product/gr-1/</t>
        </is>
      </c>
      <c r="O76" s="157" t="inlineStr">
        <is>
          <t>https://www.fftai.com</t>
        </is>
      </c>
      <c r="P76" s="152" t="inlineStr">
        <is>
          <t>5 ft 5 in</t>
        </is>
      </c>
      <c r="Q76" s="152" t="n">
        <v>165</v>
      </c>
      <c r="R76" s="152" t="n">
        <v>121.3</v>
      </c>
      <c r="S76" s="152" t="n">
        <v>55</v>
      </c>
      <c r="T76" s="156" t="inlineStr">
        <is>
          <t>Not disclosed</t>
        </is>
      </c>
      <c r="U76" s="152" t="n"/>
      <c r="V76" s="152" t="inlineStr">
        <is>
          <t>25</t>
        </is>
      </c>
      <c r="W76" s="156" t="inlineStr">
        <is>
          <t>Not disclosed</t>
        </is>
      </c>
      <c r="X76" s="152" t="n">
        <v>33.1</v>
      </c>
      <c r="Y76" s="152" t="n">
        <v>15</v>
      </c>
      <c r="Z76" s="152" t="n">
        <v>3.11</v>
      </c>
      <c r="AA76" s="152" t="n">
        <v>5</v>
      </c>
      <c r="AB76" s="152" t="n">
        <v>3</v>
      </c>
      <c r="AC76" s="156" t="inlineStr">
        <is>
          <t>≈ 2 hours</t>
        </is>
      </c>
      <c r="AD76" s="156" t="inlineStr">
        <is>
          <t>2</t>
        </is>
      </c>
      <c r="AE76" s="152" t="n"/>
      <c r="AF76" s="152" t="inlineStr">
        <is>
          <t>Not disclosed</t>
        </is>
      </c>
      <c r="AG76" s="156" t="inlineStr">
        <is>
          <t>Not disclosed</t>
        </is>
      </c>
      <c r="AH76" s="152" t="inlineStr">
        <is>
          <t>Not disclosed</t>
        </is>
      </c>
      <c r="AI76" s="151" t="n">
        <v>3</v>
      </c>
      <c r="AJ76" s="156" t="inlineStr">
        <is>
          <t>Not disclosed</t>
        </is>
      </c>
      <c r="AK76" s="156" t="n"/>
      <c r="AL76" s="152" t="inlineStr">
        <is>
          <t>Not disclosed</t>
        </is>
      </c>
      <c r="AM76" s="152" t="n"/>
      <c r="AN76" s="152" t="inlineStr">
        <is>
          <t>Not disclosed</t>
        </is>
      </c>
      <c r="AO76" s="152" t="inlineStr">
        <is>
          <t>Not disclosed</t>
        </is>
      </c>
      <c r="AP76" s="152" t="inlineStr">
        <is>
          <t>Not disclosed</t>
        </is>
      </c>
      <c r="AQ76" s="152" t="inlineStr">
        <is>
          <t>Not disclosed</t>
        </is>
      </c>
      <c r="AR76" s="152" t="n"/>
      <c r="AS76" s="152" t="n"/>
      <c r="AT76" s="156" t="inlineStr">
        <is>
          <t>Not disclosed</t>
        </is>
      </c>
      <c r="AU76" s="156" t="inlineStr">
        <is>
          <t>Not disclosed</t>
        </is>
      </c>
      <c r="AV76" s="152" t="inlineStr">
        <is>
          <t>Not disclosed</t>
        </is>
      </c>
      <c r="AW76" s="156" t="inlineStr">
        <is>
          <t>Not disclosed</t>
        </is>
      </c>
      <c r="AX76" s="151" t="n">
        <v>3</v>
      </c>
      <c r="AY76" s="156" t="inlineStr">
        <is>
          <t>Not disclosed</t>
        </is>
      </c>
      <c r="AZ76" s="156" t="inlineStr">
        <is>
          <t>Not disclosed</t>
        </is>
      </c>
      <c r="BA76" s="156" t="n"/>
      <c r="BB76" s="156" t="inlineStr">
        <is>
          <t>Not disclosed</t>
        </is>
      </c>
      <c r="BC76" s="156" t="inlineStr">
        <is>
          <t>Not disclosed</t>
        </is>
      </c>
      <c r="BD76" s="152" t="inlineStr">
        <is>
          <t>Not disclosed</t>
        </is>
      </c>
      <c r="BE76" s="152" t="inlineStr">
        <is>
          <t>Not disclosed</t>
        </is>
      </c>
      <c r="BF76" s="152" t="n"/>
      <c r="BG76" s="152" t="n"/>
      <c r="BH76" s="152" t="n"/>
      <c r="BI76" s="152" t="n"/>
      <c r="BJ76" s="152" t="n"/>
      <c r="BK76" s="152" t="n"/>
      <c r="BL76" s="152" t="n"/>
      <c r="BM76" s="152" t="inlineStr">
        <is>
          <t>Not disclosed</t>
        </is>
      </c>
      <c r="BN76" s="152" t="inlineStr">
        <is>
          <t>Not disclosed</t>
        </is>
      </c>
      <c r="BO76" s="156" t="inlineStr">
        <is>
          <t>Manipulation 3/4 · Navigation 3/4 · Peak 5 km/h · Walk 3 km/h · Runtime 2</t>
        </is>
      </c>
      <c r="BP76" s="152" t="n"/>
      <c r="BQ76" s="156" t="inlineStr">
        <is>
          <t>Research labs, commercial pilots, and education programs evaluating a humanoid from Fourier Intelligence (China) now listed as prototype.</t>
        </is>
      </c>
      <c r="BR76" s="156" t="inlineStr">
        <is>
          <t>Prototype</t>
        </is>
      </c>
      <c r="BS76" s="156" t="inlineStr">
        <is>
          <t>Prototype</t>
        </is>
      </c>
      <c r="BT76" s="152" t="n"/>
      <c r="BU76" s="152" t="inlineStr">
        <is>
          <t>Not verified</t>
        </is>
      </c>
      <c r="BV76" s="156" t="n"/>
      <c r="BW76" s="156" t="inlineStr">
        <is>
          <t>Origin &amp; status — China · Prototype · 2026 | Manipulation — Payload 33.1 lb | Sensing &amp; software — Sensor and compute package confirmed on formal quote | Buying notes — From $150,000 · 12 months manufacturer standard (typical research/commercial humanoid)</t>
        </is>
      </c>
      <c r="BX76" s="156" t="inlineStr">
        <is>
          <t>as_shipped|GR-1|150000|As shipped</t>
        </is>
      </c>
      <c r="BY76" s="152" t="inlineStr">
        <is>
          <t>gr_1|Manufacturer finish|#e2e8f0|0</t>
        </is>
      </c>
      <c r="BZ76" s="152" t="inlineStr"/>
      <c r="CA76" s="156" t="n"/>
      <c r="CB76" s="156" t="inlineStr">
        <is>
          <t>12 months manufacturer standard (typical research/commercial humanoid)</t>
        </is>
      </c>
      <c r="CC76" s="154" t="n">
        <v>12</v>
      </c>
      <c r="CD76" s="156" t="inlineStr">
        <is>
          <t>+3 Year Extended ≈24% of configuration (default in configurator)</t>
        </is>
      </c>
      <c r="CE76" s="152" t="inlineStr">
        <is>
          <t>Humanoid category norm 2025–2026</t>
        </is>
      </c>
      <c r="CF76" s="152" t="inlineStr">
        <is>
          <t>Estimated</t>
        </is>
      </c>
      <c r="CG76" s="156" t="inlineStr">
        <is>
          <t>Confirm on formal OEM quote. EDU or enterprise packages may differ.</t>
        </is>
      </c>
      <c r="CH76" s="152" t="inlineStr">
        <is>
          <t>10%</t>
        </is>
      </c>
      <c r="CI76" s="152" t="inlineStr">
        <is>
          <t>17%</t>
        </is>
      </c>
      <c r="CJ76" s="152" t="inlineStr">
        <is>
          <t>24%</t>
        </is>
      </c>
      <c r="CK76" s="156" t="inlineStr">
        <is>
          <t>+1yr ≈10% | +2yr ≈17% | +3yr ≈24% of selected configuration price (parts &amp; labor beyond manufacturer standard).</t>
        </is>
      </c>
      <c r="CL76"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76" s="152" t="inlineStr">
        <is>
          <t>12 months manufacturer standard (typical research/commercial humanoid)</t>
        </is>
      </c>
      <c r="CN76" s="203" t="inlineStr">
        <is>
          <t>https://aixzd.com/robot/gr-1</t>
        </is>
      </c>
      <c r="CO76" s="203" t="inlineStr">
        <is>
          <t>https://theresanaiforthat.com/robots/</t>
        </is>
      </c>
      <c r="CP76" s="203" t="inlineStr">
        <is>
          <t>Cross-checked against TAAFT Robots directory (669 entries) 28 Aug 2026 — individual TAAFT permalinks are JS/Cloudflare gated.</t>
        </is>
      </c>
      <c r="CQ76" s="101" t="inlineStr">
        <is>
          <t>Height: 5 ft 5 in | Weight: 121.3 | Degrees of Freedom: 25 | Payload: 33.1 | Max Speed: 3.11 | Battery / Runtime: ≈ 2 hours</t>
        </is>
      </c>
    </row>
    <row r="77" ht="31.5" customHeight="1" s="102">
      <c r="A77" s="145" t="inlineStr">
        <is>
          <t>fourier_intelligence_gr_2</t>
        </is>
      </c>
      <c r="B77" s="153" t="inlineStr">
        <is>
          <t>Humanoid.guide</t>
        </is>
      </c>
      <c r="C77" s="145" t="inlineStr">
        <is>
          <t>Fourier</t>
        </is>
      </c>
      <c r="D77" s="145" t="inlineStr">
        <is>
          <t>GR-2</t>
        </is>
      </c>
      <c r="E77" s="145" t="inlineStr">
        <is>
          <t>[Fourier] GR-2 (2024)</t>
        </is>
      </c>
      <c r="F77" s="146" t="inlineStr">
        <is>
          <t>humanoid</t>
        </is>
      </c>
      <c r="G77" s="145" t="inlineStr">
        <is>
          <t>China</t>
        </is>
      </c>
      <c r="H77" s="145" t="n"/>
      <c r="I77" s="148" t="n">
        <v>150000</v>
      </c>
      <c r="J77" s="145" t="inlineStr">
        <is>
          <t>Robot Price Index Aug 2026</t>
        </is>
      </c>
      <c r="K77" s="149" t="inlineStr">
        <is>
          <t>Fourier’s GR-2 humanoid robot represents the next milestone in robotics with its combination of advanced agility, precision, and innovative AI features.</t>
        </is>
      </c>
      <c r="L77" s="101" t="inlineStr">
        <is>
          <t>Fourier’s GR-2 humanoid robot represents the next milestone in robotics with its combination of advanced agility, precision, and innovative AI features.</t>
        </is>
      </c>
      <c r="M77" s="101" t="inlineStr">
        <is>
          <t>GR-2 is Fourier's humanoid, introduced around 2026 in China. Fourier’s GR-2 humanoid robot represents the next milestone in robotics with its combination of advanced agility, precision, and innovative AI features. Public status is listed as prototype.</t>
        </is>
      </c>
      <c r="N77" s="150" t="inlineStr">
        <is>
          <t>https://humanoid.guide/product/gr-2/</t>
        </is>
      </c>
      <c r="O77" s="150" t="inlineStr">
        <is>
          <t>https://www.fftai.com</t>
        </is>
      </c>
      <c r="P77" s="145" t="inlineStr">
        <is>
          <t>5 ft 9 in</t>
        </is>
      </c>
      <c r="Q77" s="145" t="n">
        <v>175</v>
      </c>
      <c r="R77" s="145" t="n">
        <v>143.3</v>
      </c>
      <c r="S77" s="145" t="n">
        <v>65</v>
      </c>
      <c r="T77" s="149" t="inlineStr">
        <is>
          <t>Not disclosed</t>
        </is>
      </c>
      <c r="U77" s="145" t="n"/>
      <c r="V77" s="145" t="inlineStr">
        <is>
          <t>53</t>
        </is>
      </c>
      <c r="W77" s="149" t="inlineStr">
        <is>
          <t>Not disclosed</t>
        </is>
      </c>
      <c r="X77" s="145" t="n">
        <v>6.6</v>
      </c>
      <c r="Y77" s="145" t="n">
        <v>3</v>
      </c>
      <c r="Z77" s="145" t="n">
        <v>3.11</v>
      </c>
      <c r="AA77" s="145" t="n">
        <v>5</v>
      </c>
      <c r="AB77" s="145" t="n">
        <v>5</v>
      </c>
      <c r="AC77" s="149" t="inlineStr">
        <is>
          <t>≈ 2 hours</t>
        </is>
      </c>
      <c r="AD77" s="149" t="inlineStr">
        <is>
          <t>2</t>
        </is>
      </c>
      <c r="AE77" s="145" t="n"/>
      <c r="AF77" s="145" t="inlineStr">
        <is>
          <t>Not disclosed</t>
        </is>
      </c>
      <c r="AG77" s="149" t="inlineStr">
        <is>
          <t>Not disclosed</t>
        </is>
      </c>
      <c r="AH77" s="145" t="inlineStr">
        <is>
          <t>Not disclosed</t>
        </is>
      </c>
      <c r="AI77" s="158" t="n">
        <v>2</v>
      </c>
      <c r="AJ77" s="149" t="inlineStr">
        <is>
          <t>Not disclosed</t>
        </is>
      </c>
      <c r="AK77" s="149" t="n"/>
      <c r="AL77" s="145" t="inlineStr">
        <is>
          <t>Not disclosed</t>
        </is>
      </c>
      <c r="AM77" s="145" t="n"/>
      <c r="AN77" s="145" t="inlineStr">
        <is>
          <t>Not disclosed</t>
        </is>
      </c>
      <c r="AO77" s="145" t="inlineStr">
        <is>
          <t>Not disclosed</t>
        </is>
      </c>
      <c r="AP77" s="145" t="inlineStr">
        <is>
          <t>Not disclosed</t>
        </is>
      </c>
      <c r="AQ77" s="145" t="inlineStr">
        <is>
          <t>Not disclosed</t>
        </is>
      </c>
      <c r="AR77" s="145" t="n"/>
      <c r="AS77" s="145" t="n"/>
      <c r="AT77" s="149" t="inlineStr">
        <is>
          <t>Not disclosed</t>
        </is>
      </c>
      <c r="AU77" s="149" t="inlineStr">
        <is>
          <t>Not disclosed</t>
        </is>
      </c>
      <c r="AV77" s="145" t="inlineStr">
        <is>
          <t>Not disclosed</t>
        </is>
      </c>
      <c r="AW77" s="149" t="inlineStr">
        <is>
          <t>Not disclosed</t>
        </is>
      </c>
      <c r="AX77" s="158" t="n">
        <v>2</v>
      </c>
      <c r="AY77" s="149" t="inlineStr">
        <is>
          <t>Not disclosed</t>
        </is>
      </c>
      <c r="AZ77" s="149" t="inlineStr">
        <is>
          <t>Not disclosed</t>
        </is>
      </c>
      <c r="BA77" s="149" t="n"/>
      <c r="BB77" s="149" t="inlineStr">
        <is>
          <t>Not disclosed</t>
        </is>
      </c>
      <c r="BC77" s="149" t="inlineStr">
        <is>
          <t>Not disclosed</t>
        </is>
      </c>
      <c r="BD77" s="145" t="inlineStr">
        <is>
          <t>Not disclosed</t>
        </is>
      </c>
      <c r="BE77" s="145" t="inlineStr">
        <is>
          <t>Not disclosed</t>
        </is>
      </c>
      <c r="BF77" s="145" t="n"/>
      <c r="BG77" s="145" t="n"/>
      <c r="BH77" s="145" t="n"/>
      <c r="BI77" s="145" t="n"/>
      <c r="BJ77" s="145" t="n"/>
      <c r="BK77" s="145" t="n"/>
      <c r="BL77" s="145" t="n"/>
      <c r="BM77" s="145" t="inlineStr">
        <is>
          <t>Not disclosed</t>
        </is>
      </c>
      <c r="BN77" s="145" t="inlineStr">
        <is>
          <t>Not disclosed</t>
        </is>
      </c>
      <c r="BO77" s="149" t="inlineStr">
        <is>
          <t>Manipulation 2/4 · Navigation 2/4 · Peak 5 km/h · Walk 5 km/h · Runtime 2</t>
        </is>
      </c>
      <c r="BP77" s="145" t="n"/>
      <c r="BQ77" s="149" t="inlineStr">
        <is>
          <t>Research labs, commercial pilots, and education programs evaluating a humanoid from Fourier Intelligence (China) now listed as prototype.</t>
        </is>
      </c>
      <c r="BR77" s="149" t="inlineStr">
        <is>
          <t>Prototype</t>
        </is>
      </c>
      <c r="BS77" s="149" t="inlineStr">
        <is>
          <t>Prototype</t>
        </is>
      </c>
      <c r="BT77" s="145" t="n"/>
      <c r="BU77" s="145" t="inlineStr">
        <is>
          <t>Verified</t>
        </is>
      </c>
      <c r="BV77" s="149" t="n"/>
      <c r="BW77" s="149" t="inlineStr">
        <is>
          <t>Origin &amp; status — China · Prototype · 2026 | Manipulation — Payload 6.6 lb | Sensing &amp; software — Sensor and compute package confirmed on formal quote | Buying notes — From $150,000 · 12 months manufacturer standard (typical research/commercial humanoid)</t>
        </is>
      </c>
      <c r="BX77" s="149" t="inlineStr">
        <is>
          <t>as_shipped|GR-2|150000|As shipped</t>
        </is>
      </c>
      <c r="BY77" s="145" t="inlineStr">
        <is>
          <t>gr_2|Manufacturer finish|#e2e8f0|0</t>
        </is>
      </c>
      <c r="BZ77" s="145" t="inlineStr"/>
      <c r="CA77" s="149" t="n"/>
      <c r="CB77" s="149" t="inlineStr">
        <is>
          <t>12 months manufacturer standard (typical research/commercial humanoid)</t>
        </is>
      </c>
      <c r="CC77" s="147" t="n">
        <v>12</v>
      </c>
      <c r="CD77" s="149" t="inlineStr">
        <is>
          <t>+3 Year Extended ≈24% of configuration (default in configurator)</t>
        </is>
      </c>
      <c r="CE77" s="145" t="inlineStr">
        <is>
          <t>Humanoid category norm 2025–2026</t>
        </is>
      </c>
      <c r="CF77" s="145" t="inlineStr">
        <is>
          <t>Estimated</t>
        </is>
      </c>
      <c r="CG77" s="149" t="inlineStr">
        <is>
          <t>Confirm on formal OEM quote. EDU or enterprise packages may differ.</t>
        </is>
      </c>
      <c r="CH77" s="145" t="inlineStr">
        <is>
          <t>10%</t>
        </is>
      </c>
      <c r="CI77" s="145" t="inlineStr">
        <is>
          <t>17%</t>
        </is>
      </c>
      <c r="CJ77" s="145" t="inlineStr">
        <is>
          <t>24%</t>
        </is>
      </c>
      <c r="CK77" s="149" t="inlineStr">
        <is>
          <t>+1yr ≈10% | +2yr ≈17% | +3yr ≈24% of selected configuration price (parts &amp; labor beyond manufacturer standard).</t>
        </is>
      </c>
      <c r="CL77"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77" s="145" t="inlineStr">
        <is>
          <t>12 months manufacturer standard (typical research/commercial humanoid)</t>
        </is>
      </c>
      <c r="CN77" s="203" t="inlineStr">
        <is>
          <t>https://aixzd.com/robot/gr-2</t>
        </is>
      </c>
      <c r="CO77" s="203" t="inlineStr">
        <is>
          <t>https://theresanaiforthat.com/robots/</t>
        </is>
      </c>
      <c r="CP77" s="203" t="inlineStr">
        <is>
          <t>Cross-checked against TAAFT Robots directory (669 entries) 28 Aug 2026 — individual TAAFT permalinks are JS/Cloudflare gated.</t>
        </is>
      </c>
      <c r="CQ77" s="101" t="inlineStr">
        <is>
          <t>Height: 5 ft 9 in | Weight: 143.3 | Degrees of Freedom: 53 | Payload: 6.6 | Max Speed: 3.11 | Battery / Runtime: ≈ 2 hours</t>
        </is>
      </c>
    </row>
    <row r="78" ht="31.5" customHeight="1" s="102">
      <c r="A78" s="159" t="inlineStr">
        <is>
          <t>fourier_intelligence_gr_1_gr_2_gr_3</t>
        </is>
      </c>
      <c r="B78" s="144" t="inlineStr">
        <is>
          <t>Both</t>
        </is>
      </c>
      <c r="C78" s="152" t="inlineStr">
        <is>
          <t>Fourier</t>
        </is>
      </c>
      <c r="D78" s="152" t="inlineStr">
        <is>
          <t>GR-3</t>
        </is>
      </c>
      <c r="E78" s="152" t="inlineStr">
        <is>
          <t>[Fourier] GR-3 (2023)</t>
        </is>
      </c>
      <c r="F78" s="146" t="inlineStr">
        <is>
          <t>humanoid</t>
        </is>
      </c>
      <c r="G78" s="152" t="inlineStr">
        <is>
          <t>China</t>
        </is>
      </c>
      <c r="H78" s="154" t="n">
        <v>2023</v>
      </c>
      <c r="I78" s="155" t="n">
        <v>27500</v>
      </c>
      <c r="J78" s="152" t="inlineStr">
        <is>
          <t>Robot Price Index Aug 2026 · entry</t>
        </is>
      </c>
      <c r="K78" s="156" t="inlineStr">
        <is>
          <t>Fourier GR-3 is a care-focused humanoid robot designed for social interaction, companionship, and human-centered service tasks.</t>
        </is>
      </c>
      <c r="L78" s="101" t="inlineStr">
        <is>
          <t>Fourier GR-3 is a care-focused humanoid robot designed for social interaction, companionship, and human-centered service tasks.</t>
        </is>
      </c>
      <c r="M78" s="101" t="inlineStr">
        <is>
          <t>Fourier GR-3 is a care-focused humanoid robot designed for social interaction, companionship, and human-centered service tasks. Public status is listed as limited availability / ~600 shipped (GR-1), and it is positioned for research / Service / Healthcare / Care.</t>
        </is>
      </c>
      <c r="N78" s="157" t="inlineStr">
        <is>
          <t>https://humanoid.guide/product/fourier-gr-3/</t>
        </is>
      </c>
      <c r="O78" s="157" t="inlineStr">
        <is>
          <t>https://www.fftai.com</t>
        </is>
      </c>
      <c r="P78" s="152" t="inlineStr">
        <is>
          <t>5 ft 5 in – 5 ft 9 in</t>
        </is>
      </c>
      <c r="Q78" s="152" t="n">
        <v>165</v>
      </c>
      <c r="R78" s="152" t="n">
        <v>156.5</v>
      </c>
      <c r="S78" s="152" t="n">
        <v>71</v>
      </c>
      <c r="T78" s="156" t="inlineStr">
        <is>
          <t>Not disclosed</t>
        </is>
      </c>
      <c r="U78" s="152" t="n"/>
      <c r="V78" s="152" t="inlineStr">
        <is>
          <t>40–55</t>
        </is>
      </c>
      <c r="W78" s="156" t="inlineStr">
        <is>
          <t>12</t>
        </is>
      </c>
      <c r="X78" s="152" t="n">
        <v>33.1</v>
      </c>
      <c r="Y78" s="152" t="n">
        <v>15</v>
      </c>
      <c r="Z78" s="152" t="n">
        <v>3.11</v>
      </c>
      <c r="AA78" s="152" t="n">
        <v>5</v>
      </c>
      <c r="AB78" s="152" t="n">
        <v>5</v>
      </c>
      <c r="AC78" s="156" t="inlineStr">
        <is>
          <t>≈ 3 hours</t>
        </is>
      </c>
      <c r="AD78" s="156" t="inlineStr">
        <is>
          <t>3</t>
        </is>
      </c>
      <c r="AE78" s="152" t="n"/>
      <c r="AF78" s="152" t="inlineStr">
        <is>
          <t>Not disclosed</t>
        </is>
      </c>
      <c r="AG78" s="156" t="inlineStr">
        <is>
          <t>Manipulation for care and service demos</t>
        </is>
      </c>
      <c r="AH78" s="152" t="inlineStr">
        <is>
          <t>5 per hand</t>
        </is>
      </c>
      <c r="AI78" s="152" t="n"/>
      <c r="AJ78" s="156" t="inlineStr">
        <is>
          <t>Service/healthcare oriented vision</t>
        </is>
      </c>
      <c r="AK78" s="156" t="inlineStr">
        <is>
          <t>RGB + structured-light camera module</t>
        </is>
      </c>
      <c r="AL78" s="152" t="inlineStr">
        <is>
          <t>Not disclosed</t>
        </is>
      </c>
      <c r="AM78" s="152" t="n"/>
      <c r="AN78" s="152" t="inlineStr">
        <is>
          <t>Not disclosed</t>
        </is>
      </c>
      <c r="AO78" s="152" t="inlineStr">
        <is>
          <t>Not disclosed</t>
        </is>
      </c>
      <c r="AP78" s="152" t="inlineStr">
        <is>
          <t>Not disclosed</t>
        </is>
      </c>
      <c r="AQ78" s="152" t="inlineStr">
        <is>
          <t>Not disclosed</t>
        </is>
      </c>
      <c r="AR78" s="152" t="n"/>
      <c r="AS78" s="152" t="n"/>
      <c r="AT78" s="156" t="inlineStr">
        <is>
          <t>Not disclosed</t>
        </is>
      </c>
      <c r="AU78" s="156" t="inlineStr">
        <is>
          <t>Ethernet; WiFi</t>
        </is>
      </c>
      <c r="AV78" s="152" t="inlineStr">
        <is>
          <t>Fourier GR series software</t>
        </is>
      </c>
      <c r="AW78" s="156" t="inlineStr">
        <is>
          <t>Bipedal walking for research and care environments</t>
        </is>
      </c>
      <c r="AX78" s="152" t="n"/>
      <c r="AY78" s="156" t="inlineStr">
        <is>
          <t>Linux-based robotics stack (ROS-compatible, assumed)</t>
        </is>
      </c>
      <c r="AZ78" s="156" t="inlineStr">
        <is>
          <t>Yes</t>
        </is>
      </c>
      <c r="BA78" s="156" t="inlineStr">
        <is>
          <t>Low-latency real-time response</t>
        </is>
      </c>
      <c r="BB78" s="156" t="inlineStr">
        <is>
          <t>High-performance electric actuators</t>
        </is>
      </c>
      <c r="BC78" s="156" t="inlineStr">
        <is>
          <t>Precision reduction gears</t>
        </is>
      </c>
      <c r="BD78" s="152" t="inlineStr">
        <is>
          <t>Soft polymer shell with padded upholstery</t>
        </is>
      </c>
      <c r="BE78" s="152" t="inlineStr">
        <is>
          <t>Not disclosed</t>
        </is>
      </c>
      <c r="BF78" s="152" t="n"/>
      <c r="BG78" s="152" t="n"/>
      <c r="BH78" s="152" t="n"/>
      <c r="BI78" s="152" t="n"/>
      <c r="BJ78" s="152" t="n"/>
      <c r="BK78" s="152" t="n"/>
      <c r="BL78" s="152" t="n"/>
      <c r="BM78" s="152" t="inlineStr">
        <is>
          <t>Yes</t>
        </is>
      </c>
      <c r="BN78" s="152" t="inlineStr">
        <is>
          <t>Not disclosed</t>
        </is>
      </c>
      <c r="BO78" s="156" t="inlineStr">
        <is>
          <t>Market: Research / Service / Healthcare / Care · Human-safe: Yes · AI: Yes · Actuation: High-performance electric actuators · Peak 5 km/h · Walk 5 km/h · Runtime 3</t>
        </is>
      </c>
      <c r="BP78" s="152" t="n"/>
      <c r="BQ78" s="156" t="inlineStr">
        <is>
          <t>Research / Service / Healthcare / Care</t>
        </is>
      </c>
      <c r="BR78" s="156" t="inlineStr">
        <is>
          <t>Limited availability / ~600 shipped (GR-1)</t>
        </is>
      </c>
      <c r="BS78" s="156" t="inlineStr">
        <is>
          <t>In production</t>
        </is>
      </c>
      <c r="BT78" s="152" t="n"/>
      <c r="BU78" s="152" t="n"/>
      <c r="BV78" s="156" t="inlineStr">
        <is>
          <t>Strong clinical/rehab presence; merged GR series Humanoid.guide listed price $80,000.</t>
        </is>
      </c>
      <c r="BW78" s="156" t="inlineStr">
        <is>
          <t>Origin &amp; status — China · Limited availability / ~600 shipped (GR-1) · 2023 | Manipulation — Manipulation for care and service demos · 5 per hand fingers · Hand DOF 12 · Payload ≈ 33–110 lb class depending on model | Sensing &amp; software — Service/healthcare oriented vision · Yes · Linux-based robotics stack (ROS-compatible, assumed) · Fourier GR series software | Buying notes — From $27,500 · 12 months manufacturer standard (typical research/commercial humanoid) · Best fit: Research</t>
        </is>
      </c>
      <c r="BX78" s="156" t="inlineStr">
        <is>
          <t>as_shipped|GR-3|27500|As shipped</t>
        </is>
      </c>
      <c r="BY78" s="152" t="inlineStr">
        <is>
          <t>gr_3|Manufacturer finish|#e2e8f0|0</t>
        </is>
      </c>
      <c r="BZ78" s="152" t="inlineStr"/>
      <c r="CA78" s="156" t="inlineStr">
        <is>
          <t>Add-ons: case; 2 color options; Multi-year extended warranty available</t>
        </is>
      </c>
      <c r="CB78" s="156" t="inlineStr">
        <is>
          <t>12 months manufacturer standard (typical research/commercial humanoid)</t>
        </is>
      </c>
      <c r="CC78" s="154" t="n">
        <v>12</v>
      </c>
      <c r="CD78" s="156" t="inlineStr">
        <is>
          <t>+3 Year Extended ≈24% of configuration (default in configurator)</t>
        </is>
      </c>
      <c r="CE78" s="152" t="inlineStr">
        <is>
          <t>Humanoid category norm 2025–2026</t>
        </is>
      </c>
      <c r="CF78" s="152" t="inlineStr">
        <is>
          <t>Estimated</t>
        </is>
      </c>
      <c r="CG78" s="156" t="inlineStr">
        <is>
          <t>EDU or enterprise packages may differ; confirm on formal quote.</t>
        </is>
      </c>
      <c r="CH78" s="152" t="inlineStr">
        <is>
          <t>10%</t>
        </is>
      </c>
      <c r="CI78" s="152" t="inlineStr">
        <is>
          <t>17%</t>
        </is>
      </c>
      <c r="CJ78" s="152" t="inlineStr">
        <is>
          <t>24%</t>
        </is>
      </c>
      <c r="CK78"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78"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78" s="152" t="inlineStr">
        <is>
          <t>12 months manufacturer standard (typical research/commercial humanoid)</t>
        </is>
      </c>
      <c r="CN78" s="203" t="inlineStr">
        <is>
          <t>https://aixzd.com/robot/gr-3</t>
        </is>
      </c>
      <c r="CO78" s="203" t="inlineStr">
        <is>
          <t>https://theresanaiforthat.com/robots/</t>
        </is>
      </c>
      <c r="CP78" s="203" t="inlineStr">
        <is>
          <t>Cross-checked against TAAFT Robots directory (669 entries) 28 Aug 2026 — individual TAAFT permalinks are JS/Cloudflare gated.</t>
        </is>
      </c>
      <c r="CQ78" s="101" t="inlineStr">
        <is>
          <t>Height: 5 ft 5 in – 5 ft 9 in | Weight: 156.5 | Degrees of Freedom: 40–55 | Payload: 33.1 | Max Speed: 3.11 | Battery / Runtime: ≈ 3 hours</t>
        </is>
      </c>
    </row>
    <row r="79" ht="31.5" customHeight="1" s="102">
      <c r="A79" s="145" t="inlineStr">
        <is>
          <t>futuring_robot_futuring_2</t>
        </is>
      </c>
      <c r="B79" s="153" t="inlineStr">
        <is>
          <t>Humanoid.guide</t>
        </is>
      </c>
      <c r="C79" s="145" t="inlineStr">
        <is>
          <t>Futuring Robot</t>
        </is>
      </c>
      <c r="D79" s="145" t="inlineStr">
        <is>
          <t>Futuring 2</t>
        </is>
      </c>
      <c r="E79" s="145" t="inlineStr">
        <is>
          <t>[Futuring Robot] Futuring 2 (2026)</t>
        </is>
      </c>
      <c r="F79" s="146" t="inlineStr">
        <is>
          <t>humanoid</t>
        </is>
      </c>
      <c r="G79" s="145" t="inlineStr">
        <is>
          <t>China</t>
        </is>
      </c>
      <c r="H79" s="145" t="n"/>
      <c r="I79" s="148" t="n">
        <v>5000</v>
      </c>
      <c r="J79" s="145" t="inlineStr">
        <is>
          <t>Humanoid.guide list</t>
        </is>
      </c>
      <c r="K79" s="149" t="inlineStr">
        <is>
          <t>Futuring 2 is an advanced humanoid robot designed for real-world tasks, combining mobility, precision, and AI-driven interaction for industrial and service environments.</t>
        </is>
      </c>
      <c r="L79" s="101" t="inlineStr">
        <is>
          <t>Futuring 2 is an advanced humanoid robot designed for real-world tasks, combining mobility, precision, and AI-driven interaction for industrial and service environments.</t>
        </is>
      </c>
      <c r="M79" s="101" t="inlineStr">
        <is>
          <t>Futuring 2 is an advanced humanoid robot designed for real-world tasks, combining mobility, precision, and AI-driven interaction for industrial and service environments. Public status is listed as prototype, and it is positioned for companion robotics; Education &amp; research; Healthcare &amp; assisted living; Public service &amp; hospitality.</t>
        </is>
      </c>
      <c r="N79" s="150" t="inlineStr">
        <is>
          <t>https://humanoid.guide/product/futuring-2/</t>
        </is>
      </c>
      <c r="O79" s="150" t="inlineStr">
        <is>
          <t>https://futuringrobot.com/</t>
        </is>
      </c>
      <c r="P79" s="145" t="inlineStr">
        <is>
          <t>4 ft 11 in</t>
        </is>
      </c>
      <c r="Q79" s="145" t="n">
        <v>150</v>
      </c>
      <c r="R79" s="145" t="n">
        <v>154.3</v>
      </c>
      <c r="S79" s="145" t="n">
        <v>70</v>
      </c>
      <c r="T79" s="149" t="inlineStr">
        <is>
          <t>Not disclosed</t>
        </is>
      </c>
      <c r="U79" s="145" t="n"/>
      <c r="V79" s="145" t="inlineStr">
        <is>
          <t>26</t>
        </is>
      </c>
      <c r="W79" s="149" t="inlineStr">
        <is>
          <t>12</t>
        </is>
      </c>
      <c r="X79" s="145" t="n">
        <v>13.2</v>
      </c>
      <c r="Y79" s="145" t="n">
        <v>6</v>
      </c>
      <c r="Z79" s="145" t="n">
        <v>2.49</v>
      </c>
      <c r="AA79" s="145" t="n">
        <v>4</v>
      </c>
      <c r="AB79" s="145" t="n"/>
      <c r="AC79" s="149" t="inlineStr">
        <is>
          <t>≈ 3 hours</t>
        </is>
      </c>
      <c r="AD79" s="149" t="inlineStr">
        <is>
          <t>3</t>
        </is>
      </c>
      <c r="AE79" s="145" t="n"/>
      <c r="AF79" s="145" t="inlineStr">
        <is>
          <t>Not disclosed</t>
        </is>
      </c>
      <c r="AG79" s="149" t="inlineStr">
        <is>
          <t>2-finger gripping claws</t>
        </is>
      </c>
      <c r="AH79" s="145" t="inlineStr">
        <is>
          <t>2-finger gripping claws</t>
        </is>
      </c>
      <c r="AI79" s="145" t="n"/>
      <c r="AJ79" s="149" t="inlineStr">
        <is>
          <t>HD to 4K stereo vision (estimated)</t>
        </is>
      </c>
      <c r="AK79" s="149" t="inlineStr">
        <is>
          <t>HD to 4K stereo vision (estimated)</t>
        </is>
      </c>
      <c r="AL79" s="145" t="inlineStr">
        <is>
          <t>Not disclosed</t>
        </is>
      </c>
      <c r="AM79" s="145" t="n"/>
      <c r="AN79" s="145" t="inlineStr">
        <is>
          <t>Not disclosed</t>
        </is>
      </c>
      <c r="AO79" s="145" t="inlineStr">
        <is>
          <t>Not disclosed</t>
        </is>
      </c>
      <c r="AP79" s="145" t="inlineStr">
        <is>
          <t>Not disclosed</t>
        </is>
      </c>
      <c r="AQ79" s="145" t="inlineStr">
        <is>
          <t>Not disclosed</t>
        </is>
      </c>
      <c r="AR79" s="145" t="n"/>
      <c r="AS79" s="145" t="n"/>
      <c r="AT79" s="149" t="inlineStr">
        <is>
          <t>AI edge computing unit (likely NVIDIA-based or equivalent)</t>
        </is>
      </c>
      <c r="AU79" s="149" t="inlineStr">
        <is>
          <t>Ethernet; WiFi</t>
        </is>
      </c>
      <c r="AV79" s="145" t="inlineStr">
        <is>
          <t>Not disclosed</t>
        </is>
      </c>
      <c r="AW79" s="149" t="inlineStr">
        <is>
          <t>Not disclosed</t>
        </is>
      </c>
      <c r="AX79" s="145" t="n"/>
      <c r="AY79" s="149" t="inlineStr">
        <is>
          <t>Linux-based robotics OS (ROS/ROS2 likely)</t>
        </is>
      </c>
      <c r="AZ79" s="149" t="inlineStr">
        <is>
          <t>Likely supported (cloud or edge AI integration)</t>
        </is>
      </c>
      <c r="BA79" s="149" t="n"/>
      <c r="BB79" s="149" t="inlineStr">
        <is>
          <t>Electric servo motors</t>
        </is>
      </c>
      <c r="BC79" s="149" t="inlineStr">
        <is>
          <t>Harmonic drives / precision reducers</t>
        </is>
      </c>
      <c r="BD79" s="145" t="inlineStr">
        <is>
          <t>Likely aluminum alloy + composite materials</t>
        </is>
      </c>
      <c r="BE79" s="145" t="inlineStr">
        <is>
          <t>Not disclosed</t>
        </is>
      </c>
      <c r="BF79" s="145" t="n"/>
      <c r="BG79" s="145" t="n"/>
      <c r="BH79" s="145" t="n"/>
      <c r="BI79" s="145" t="n"/>
      <c r="BJ79" s="145" t="n"/>
      <c r="BK79" s="145" t="n"/>
      <c r="BL79" s="145" t="n"/>
      <c r="BM79" s="145" t="inlineStr">
        <is>
          <t>Yes</t>
        </is>
      </c>
      <c r="BN79" s="145" t="inlineStr">
        <is>
          <t>Not disclosed</t>
        </is>
      </c>
      <c r="BO79" s="149" t="inlineStr">
        <is>
          <t>Market: Companion robotics; Education &amp; research; Healthcare &amp; assisted living; Public service &amp; hospitality · Human-safe: Yes · AI: Likely supported (cloud or edge AI integration) · Actuation: Electric servo motors · Peak 4 km/h · Runtime 3</t>
        </is>
      </c>
      <c r="BP79" s="145" t="n"/>
      <c r="BQ79" s="149" t="inlineStr">
        <is>
          <t>Companion robotics; Education &amp; research; Healthcare &amp; assisted living; Public service &amp; hospitality</t>
        </is>
      </c>
      <c r="BR79" s="149" t="inlineStr">
        <is>
          <t>Prototype</t>
        </is>
      </c>
      <c r="BS79" s="149" t="inlineStr">
        <is>
          <t>Prototype</t>
        </is>
      </c>
      <c r="BT79" s="145" t="n"/>
      <c r="BU79" s="145" t="n"/>
      <c r="BV79" s="149" t="n"/>
      <c r="BW79" s="149" t="inlineStr">
        <is>
          <t>Origin &amp; status — China · Prototype · 2026 | Manipulation — 2-finger gripping claws · Hand DOF 12 · Payload 13.2 lb | Sensing &amp; software — HD to 4K stereo vision (estimated) · Likely supported (cloud or edge AI integration) · Linux-based robotics OS (ROS/ROS2 likely) | Buying notes — From $5,000 · 12 months manufacturer standard (typical research/commercial humanoid) · Best fit: Companion robotics</t>
        </is>
      </c>
      <c r="BX79" s="149" t="inlineStr">
        <is>
          <t>as_shipped|Futuring 2|5000|As shipped</t>
        </is>
      </c>
      <c r="BY79" s="145" t="inlineStr">
        <is>
          <t>futuring_2|Manufacturer finish|#e2e8f0|0</t>
        </is>
      </c>
      <c r="BZ79" s="145" t="inlineStr"/>
      <c r="CA79" s="149" t="n"/>
      <c r="CB79" s="149" t="inlineStr">
        <is>
          <t>12 months manufacturer standard (typical research/commercial humanoid)</t>
        </is>
      </c>
      <c r="CC79" s="147" t="n">
        <v>12</v>
      </c>
      <c r="CD79" s="149" t="inlineStr">
        <is>
          <t>+3 Year Extended ≈24% of configuration (default in configurator)</t>
        </is>
      </c>
      <c r="CE79" s="145" t="inlineStr">
        <is>
          <t>Humanoid category norm 2025–2026</t>
        </is>
      </c>
      <c r="CF79" s="145" t="inlineStr">
        <is>
          <t>Estimated</t>
        </is>
      </c>
      <c r="CG79" s="149" t="inlineStr">
        <is>
          <t>Confirm on formal OEM quote. EDU or enterprise packages may differ.</t>
        </is>
      </c>
      <c r="CH79" s="145" t="inlineStr">
        <is>
          <t>10%</t>
        </is>
      </c>
      <c r="CI79" s="145" t="inlineStr">
        <is>
          <t>17%</t>
        </is>
      </c>
      <c r="CJ79" s="145" t="inlineStr">
        <is>
          <t>24%</t>
        </is>
      </c>
      <c r="CK79" s="149" t="inlineStr">
        <is>
          <t>+1yr ≈10% | +2yr ≈17% | +3yr ≈24% of selected configuration price (parts &amp; labor beyond manufacturer standard).</t>
        </is>
      </c>
      <c r="CL7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79" s="145" t="inlineStr">
        <is>
          <t>12 months manufacturer standard (typical research/commercial humanoid)</t>
        </is>
      </c>
      <c r="CQ79" s="101" t="inlineStr">
        <is>
          <t>Height: 4 ft 11 in | Weight: 154.3 | Degrees of Freedom: 26 | Payload: 13.2 | Max Speed: 2.49 | Battery / Runtime: ≈ 3 hours</t>
        </is>
      </c>
    </row>
    <row r="80" ht="31.5" customHeight="1" s="102">
      <c r="A80" s="152" t="inlineStr">
        <is>
          <t>galaxea_dynamics_kengo</t>
        </is>
      </c>
      <c r="B80" s="153" t="inlineStr">
        <is>
          <t>Humanoid.guide</t>
        </is>
      </c>
      <c r="C80" s="152" t="inlineStr">
        <is>
          <t>Galaxea Dynamics</t>
        </is>
      </c>
      <c r="D80" s="152" t="inlineStr">
        <is>
          <t>Kengo</t>
        </is>
      </c>
      <c r="E80" s="152" t="inlineStr">
        <is>
          <t>[Galaxea Dynamics] Kengo (2026)</t>
        </is>
      </c>
      <c r="F80" s="146" t="inlineStr">
        <is>
          <t>humanoid</t>
        </is>
      </c>
      <c r="G80" s="152" t="inlineStr">
        <is>
          <t>China</t>
        </is>
      </c>
      <c r="H80" s="154" t="n">
        <v>2026</v>
      </c>
      <c r="I80" s="155" t="n">
        <v>69999</v>
      </c>
      <c r="J80" s="152" t="inlineStr">
        <is>
          <t>Humanoid.guide list</t>
        </is>
      </c>
      <c r="K80" s="156" t="inlineStr">
        <is>
          <t>Kengo is Galaxea Dynamics's humanoid — 5 ft 7 in class, 32 DOF, 44.1 lb payload. 10; onboard AI: Yes via Galaxea's "embodied AI brain" — VLA-style architecture.</t>
        </is>
      </c>
      <c r="L80" s="101" t="inlineStr">
        <is>
          <t>Kengo is Galaxea Dynamics's humanoid — 5 ft 7 in class, 32 DOF, 44.1 lb payload. 10; onboard AI: Yes via Galaxea's "embodied AI brain" — VLA-style architecture.</t>
        </is>
      </c>
      <c r="M80" s="101" t="inlineStr">
        <is>
          <t>Kengo is Galaxea Dynamics's humanoid — 5 ft 7 in class, 32 DOF, 44.1 lb payload. 10; onboard AI: Yes via Galaxea's "embodied AI brain" — VLA-style architecture. Public status is listed as prototype, and it is positioned for commercial services; Everyday home life; Industrial Manufacturing.</t>
        </is>
      </c>
      <c r="N80" s="157" t="inlineStr">
        <is>
          <t>https://humanoid.guide/product/kengo/</t>
        </is>
      </c>
      <c r="O80" s="157" t="inlineStr">
        <is>
          <t>https://galaxea-dynamics.com/</t>
        </is>
      </c>
      <c r="P80" s="152" t="inlineStr">
        <is>
          <t>5 ft 7 in</t>
        </is>
      </c>
      <c r="Q80" s="152" t="n">
        <v>170</v>
      </c>
      <c r="R80" s="152" t="n">
        <v>143.3</v>
      </c>
      <c r="S80" s="152" t="n">
        <v>65</v>
      </c>
      <c r="T80" s="156" t="inlineStr">
        <is>
          <t>Not disclosed</t>
        </is>
      </c>
      <c r="U80" s="152" t="n"/>
      <c r="V80" s="152" t="inlineStr">
        <is>
          <t>32</t>
        </is>
      </c>
      <c r="W80" s="156" t="inlineStr">
        <is>
          <t>12</t>
        </is>
      </c>
      <c r="X80" s="152" t="n">
        <v>44.1</v>
      </c>
      <c r="Y80" s="152" t="n">
        <v>20</v>
      </c>
      <c r="Z80" s="152" t="n">
        <v>3.73</v>
      </c>
      <c r="AA80" s="152" t="n">
        <v>6</v>
      </c>
      <c r="AB80" s="152" t="n">
        <v>4</v>
      </c>
      <c r="AC80" s="156" t="inlineStr">
        <is>
          <t>Not disclosed</t>
        </is>
      </c>
      <c r="AD80" s="156" t="n"/>
      <c r="AE80" s="152" t="n"/>
      <c r="AF80" s="152" t="inlineStr">
        <is>
          <t>Not disclosed</t>
        </is>
      </c>
      <c r="AG80" s="156" t="inlineStr">
        <is>
          <t>10</t>
        </is>
      </c>
      <c r="AH80" s="152" t="inlineStr">
        <is>
          <t>10</t>
        </is>
      </c>
      <c r="AI80" s="152" t="n"/>
      <c r="AJ80" s="156" t="inlineStr">
        <is>
          <t>Not disclosed</t>
        </is>
      </c>
      <c r="AK80" s="156" t="n"/>
      <c r="AL80" s="152" t="inlineStr">
        <is>
          <t>Not disclosed</t>
        </is>
      </c>
      <c r="AM80" s="152" t="n"/>
      <c r="AN80" s="152" t="inlineStr">
        <is>
          <t>Not disclosed</t>
        </is>
      </c>
      <c r="AO80" s="152" t="inlineStr">
        <is>
          <t>Not disclosed</t>
        </is>
      </c>
      <c r="AP80" s="152" t="inlineStr">
        <is>
          <t>Not disclosed</t>
        </is>
      </c>
      <c r="AQ80" s="152" t="inlineStr">
        <is>
          <t>Not disclosed</t>
        </is>
      </c>
      <c r="AR80" s="152" t="n"/>
      <c r="AS80" s="152" t="n"/>
      <c r="AT80" s="156" t="inlineStr">
        <is>
          <t>Not disclosed</t>
        </is>
      </c>
      <c r="AU80" s="156" t="inlineStr">
        <is>
          <t>Ethernet; Wi-Fi</t>
        </is>
      </c>
      <c r="AV80" s="152" t="inlineStr">
        <is>
          <t>Not disclosed</t>
        </is>
      </c>
      <c r="AW80" s="156" t="inlineStr">
        <is>
          <t>Not disclosed</t>
        </is>
      </c>
      <c r="AX80" s="152" t="n"/>
      <c r="AY80" s="156" t="inlineStr">
        <is>
          <t>Linux + ROS-based stack with Galaxea proprietary layer</t>
        </is>
      </c>
      <c r="AZ80" s="156" t="inlineStr">
        <is>
          <t>Yes via Galaxea's "embodied AI brain" — VLA-style architecture</t>
        </is>
      </c>
      <c r="BA80" s="156" t="n"/>
      <c r="BB80" s="156" t="inlineStr">
        <is>
          <t>Two core actuator modules drive the entire joint system</t>
        </is>
      </c>
      <c r="BC80" s="156" t="inlineStr">
        <is>
          <t>Harmonic-style reducers</t>
        </is>
      </c>
      <c r="BD80" s="152" t="inlineStr">
        <is>
          <t>Aluminum alloy with composite covers</t>
        </is>
      </c>
      <c r="BE80" s="152" t="inlineStr">
        <is>
          <t>Not disclosed</t>
        </is>
      </c>
      <c r="BF80" s="152" t="n"/>
      <c r="BG80" s="152" t="n"/>
      <c r="BH80" s="152" t="n"/>
      <c r="BI80" s="152" t="n"/>
      <c r="BJ80" s="152" t="n"/>
      <c r="BK80" s="152" t="n"/>
      <c r="BL80" s="152" t="n"/>
      <c r="BM80" s="152" t="inlineStr">
        <is>
          <t>Yes</t>
        </is>
      </c>
      <c r="BN80" s="152" t="inlineStr">
        <is>
          <t>Not disclosed</t>
        </is>
      </c>
      <c r="BO80" s="156" t="inlineStr">
        <is>
          <t>Market: Commercial services; Everyday home life; Industrial Manufacturing · Human-safe: Yes · AI: Yes via Galaxea's "embodied AI brain" — VLA-style architecture · Actuation: Two core actuator modules drive the entire joint system · Peak 6 km/h · Walk 4 km/h</t>
        </is>
      </c>
      <c r="BP80" s="152" t="n"/>
      <c r="BQ80" s="156" t="inlineStr">
        <is>
          <t>Commercial services; Everyday home life; Industrial Manufacturing</t>
        </is>
      </c>
      <c r="BR80" s="156" t="inlineStr">
        <is>
          <t>Prototype</t>
        </is>
      </c>
      <c r="BS80" s="156" t="inlineStr">
        <is>
          <t>Prototype</t>
        </is>
      </c>
      <c r="BT80" s="152" t="inlineStr">
        <is>
          <t>Blue; Grey; White</t>
        </is>
      </c>
      <c r="BU80" s="152" t="n"/>
      <c r="BV80" s="156" t="n"/>
      <c r="BW80" s="156" t="inlineStr">
        <is>
          <t>Origin &amp; status — China · Prototype · 2026 | Manipulation — 10 · 10 fingers · Hand DOF 12 · Payload 44.1 lb | Sensing &amp; software — Yes via Galaxea's "embodied AI brain" — VLA-style architecture · Linux + ROS-based stack with Galaxea proprietary layer | Buying notes — From $69,999 · 12 months manufacturer standard (typical research/commercial humanoid) · Best fit: Commercial services</t>
        </is>
      </c>
      <c r="BX80" s="156" t="inlineStr">
        <is>
          <t>as_shipped|Kengo|69999|As shipped</t>
        </is>
      </c>
      <c r="BY80" s="152" t="inlineStr">
        <is>
          <t>blue|Blue|#e2e8f0|0 || grey|Grey|#1e293b|0 || white|White|#0891b2|0</t>
        </is>
      </c>
      <c r="BZ80" s="152" t="inlineStr"/>
      <c r="CA80" s="156" t="n"/>
      <c r="CB80" s="156" t="inlineStr">
        <is>
          <t>12 months manufacturer standard (typical research/commercial humanoid)</t>
        </is>
      </c>
      <c r="CC80" s="154" t="n">
        <v>12</v>
      </c>
      <c r="CD80" s="156" t="inlineStr">
        <is>
          <t>+3 Year Extended ≈24% of configuration (default in configurator)</t>
        </is>
      </c>
      <c r="CE80" s="152" t="inlineStr">
        <is>
          <t>Humanoid category norm 2025–2026</t>
        </is>
      </c>
      <c r="CF80" s="152" t="inlineStr">
        <is>
          <t>Estimated</t>
        </is>
      </c>
      <c r="CG80" s="156" t="inlineStr">
        <is>
          <t>Confirm on formal OEM quote. EDU or enterprise packages may differ.</t>
        </is>
      </c>
      <c r="CH80" s="152" t="inlineStr">
        <is>
          <t>10%</t>
        </is>
      </c>
      <c r="CI80" s="152" t="inlineStr">
        <is>
          <t>17%</t>
        </is>
      </c>
      <c r="CJ80" s="152" t="inlineStr">
        <is>
          <t>24%</t>
        </is>
      </c>
      <c r="CK80" s="156" t="inlineStr">
        <is>
          <t>+1yr ≈10% | +2yr ≈17% | +3yr ≈24% of selected configuration price (parts &amp; labor beyond manufacturer standard).</t>
        </is>
      </c>
      <c r="CL80"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80" s="152" t="inlineStr">
        <is>
          <t>12 months manufacturer standard (typical research/commercial humanoid)</t>
        </is>
      </c>
      <c r="CQ80" s="101" t="inlineStr">
        <is>
          <t>Height: 5 ft 7 in | Weight: 143.3 | Degrees of Freedom: 32 | Payload: 44.1 | Max Speed: 3.73 | Battery / Runtime: Not disclosed</t>
        </is>
      </c>
    </row>
    <row r="81" ht="31.5" customHeight="1" s="102">
      <c r="A81" s="145" t="inlineStr">
        <is>
          <t>galaxea_dynamics_r1_pro</t>
        </is>
      </c>
      <c r="B81" s="153" t="inlineStr">
        <is>
          <t>Humanoid.guide</t>
        </is>
      </c>
      <c r="C81" s="145" t="inlineStr">
        <is>
          <t>Galaxea Dynamics</t>
        </is>
      </c>
      <c r="D81" s="145" t="inlineStr">
        <is>
          <t>R1 PRO</t>
        </is>
      </c>
      <c r="E81" s="145" t="inlineStr">
        <is>
          <t>[Galaxea Dynamics] R1 PRO (2026)</t>
        </is>
      </c>
      <c r="F81" s="146" t="inlineStr">
        <is>
          <t>humanoid</t>
        </is>
      </c>
      <c r="G81" s="145" t="inlineStr">
        <is>
          <t>China</t>
        </is>
      </c>
      <c r="H81" s="145" t="n"/>
      <c r="I81" s="148" t="n">
        <v>69999</v>
      </c>
      <c r="J81" s="145" t="inlineStr">
        <is>
          <t>Humanoid.guide list</t>
        </is>
      </c>
      <c r="K81" s="149" t="inlineStr">
        <is>
          <t>R1 Pro is Galaxea Dynamics’ wheeled dual-arm humanoid robot built for research, industrial use, and robotics development – offering mobility, perception, and manipulation in a single platform.</t>
        </is>
      </c>
      <c r="L81" s="101" t="inlineStr">
        <is>
          <t>R1 Pro is Galaxea Dynamics’ wheeled dual-arm humanoid robot built for research, industrial use, and robotics development – offering mobility, perception, and manipulation in a single platform.</t>
        </is>
      </c>
      <c r="M81" s="101" t="inlineStr">
        <is>
          <t>R1 Pro is Galaxea Dynamics’ wheeled dual-arm humanoid robot built for research, industrial use, and robotics development – offering mobility, perception, and manipulation in a single platform. Public status is listed as in production, and it is positioned for industrial automation; Industrial R&amp;D; research labs; Warehouse &amp; logistics pick‑/place.</t>
        </is>
      </c>
      <c r="N81" s="150" t="inlineStr">
        <is>
          <t>https://humanoid.guide/product/r1-pro/</t>
        </is>
      </c>
      <c r="O81" s="150" t="inlineStr">
        <is>
          <t>https://galaxea-dynamics.com/</t>
        </is>
      </c>
      <c r="P81" s="145" t="inlineStr">
        <is>
          <t>5 ft 7 in</t>
        </is>
      </c>
      <c r="Q81" s="145" t="n">
        <v>170</v>
      </c>
      <c r="R81" s="145" t="n">
        <v>211.6</v>
      </c>
      <c r="S81" s="145" t="n">
        <v>96</v>
      </c>
      <c r="T81" s="149" t="inlineStr">
        <is>
          <t>Not disclosed</t>
        </is>
      </c>
      <c r="U81" s="145" t="inlineStr">
        <is>
          <t>170 × 70 × 60 cm</t>
        </is>
      </c>
      <c r="V81" s="145" t="inlineStr">
        <is>
          <t>26</t>
        </is>
      </c>
      <c r="W81" s="149" t="inlineStr">
        <is>
          <t>7</t>
        </is>
      </c>
      <c r="X81" s="145" t="n">
        <v>22</v>
      </c>
      <c r="Y81" s="145" t="n">
        <v>10</v>
      </c>
      <c r="Z81" s="145" t="n">
        <v>3.36</v>
      </c>
      <c r="AA81" s="145" t="n">
        <v>5.4</v>
      </c>
      <c r="AB81" s="145" t="n">
        <v>5.4</v>
      </c>
      <c r="AC81" s="149" t="inlineStr">
        <is>
          <t>≈ 3 hours</t>
        </is>
      </c>
      <c r="AD81" s="149" t="inlineStr">
        <is>
          <t>3</t>
        </is>
      </c>
      <c r="AE81" s="145" t="n"/>
      <c r="AF81" s="145" t="inlineStr">
        <is>
          <t>Not disclosed</t>
        </is>
      </c>
      <c r="AG81" s="149" t="inlineStr">
        <is>
          <t>Two parallel grippers (not individual fingers) — no anthropomorphic hand by default</t>
        </is>
      </c>
      <c r="AH81" s="145" t="inlineStr">
        <is>
          <t>Two parallel grippers (not individual fingers) — no anthropomorphic hand by default</t>
        </is>
      </c>
      <c r="AI81" s="151" t="n">
        <v>3</v>
      </c>
      <c r="AJ81" s="149" t="inlineStr">
        <is>
          <t>Head: 1 binocular RGB camera; Chassis: 5 monocular cameras; 1 × 360° LiDAR standard; wrist cameras optional</t>
        </is>
      </c>
      <c r="AK81" s="149" t="inlineStr">
        <is>
          <t>Head: 1 binocular RGB camera; Chassis: 5 monocular cameras; 1 × 360° LiDAR standard; wrist cameras optional</t>
        </is>
      </c>
      <c r="AL81" s="145" t="inlineStr">
        <is>
          <t>Not disclosed</t>
        </is>
      </c>
      <c r="AM81" s="145" t="n"/>
      <c r="AN81" s="145" t="inlineStr">
        <is>
          <t>Not disclosed</t>
        </is>
      </c>
      <c r="AO81" s="145" t="inlineStr">
        <is>
          <t>Not disclosed</t>
        </is>
      </c>
      <c r="AP81" s="145" t="inlineStr">
        <is>
          <t>Not disclosed</t>
        </is>
      </c>
      <c r="AQ81" s="145" t="inlineStr">
        <is>
          <t>Not disclosed</t>
        </is>
      </c>
      <c r="AR81" s="145" t="n"/>
      <c r="AS81" s="145" t="n"/>
      <c r="AT81" s="149" t="inlineStr">
        <is>
          <t>NVIDIA Jetson AGX Orin 32 GB, 8-core CPU + 200 TOPS GPU</t>
        </is>
      </c>
      <c r="AU81" s="149" t="inlineStr">
        <is>
          <t>Ethernet; HDMI; USB</t>
        </is>
      </c>
      <c r="AV81" s="145" t="inlineStr">
        <is>
          <t>Not disclosed</t>
        </is>
      </c>
      <c r="AW81" s="149" t="inlineStr">
        <is>
          <t>Not disclosed</t>
        </is>
      </c>
      <c r="AX81" s="158" t="n">
        <v>2</v>
      </c>
      <c r="AY81" s="149" t="inlineStr">
        <is>
          <t>Linux (ROS2-based)</t>
        </is>
      </c>
      <c r="AZ81" s="149" t="inlineStr">
        <is>
          <t>External cloud connection possible; not native</t>
        </is>
      </c>
      <c r="BA81" s="149" t="inlineStr">
        <is>
          <t>&amp;lt;200ms (End-to-End)</t>
        </is>
      </c>
      <c r="BB81" s="149" t="inlineStr">
        <is>
          <t>Servo motors (robotic-grade actuators)</t>
        </is>
      </c>
      <c r="BC81" s="149" t="inlineStr">
        <is>
          <t>High-precision harmonic / planetary drives</t>
        </is>
      </c>
      <c r="BD81" s="145" t="inlineStr">
        <is>
          <t>Aluminum frame + composite panels</t>
        </is>
      </c>
      <c r="BE81" s="145" t="inlineStr">
        <is>
          <t>IP20</t>
        </is>
      </c>
      <c r="BF81" s="145" t="inlineStr">
        <is>
          <t>IP20</t>
        </is>
      </c>
      <c r="BG81" s="145" t="n"/>
      <c r="BH81" s="145" t="n"/>
      <c r="BI81" s="145" t="n"/>
      <c r="BJ81" s="145" t="n"/>
      <c r="BK81" s="145" t="n"/>
      <c r="BL81" s="145" t="n"/>
      <c r="BM81" s="145" t="inlineStr">
        <is>
          <t>Yes</t>
        </is>
      </c>
      <c r="BN81" s="145" t="inlineStr">
        <is>
          <t>Not disclosed</t>
        </is>
      </c>
      <c r="BO81" s="149" t="inlineStr">
        <is>
          <t>Market: Industrial automation; Industrial R&amp;D; research labs; Warehouse &amp; logistics pick‑/place · Manipulation 3/4 · Navigation 2/4 · Human-safe: Yes · AI: External cloud connection possible; not native · Actuation: Servo motors (robotic-grade actuators) · Peak 5.4 km/h · Walk 5.4 km/h · Runtime 3</t>
        </is>
      </c>
      <c r="BP81" s="145" t="n"/>
      <c r="BQ81" s="149" t="inlineStr">
        <is>
          <t>Industrial automation; Industrial R&amp;D; research labs; Warehouse &amp; logistics pick‑/place</t>
        </is>
      </c>
      <c r="BR81" s="149" t="inlineStr">
        <is>
          <t>In production</t>
        </is>
      </c>
      <c r="BS81" s="149" t="inlineStr">
        <is>
          <t>In production</t>
        </is>
      </c>
      <c r="BT81" s="145" t="inlineStr">
        <is>
          <t>Grey</t>
        </is>
      </c>
      <c r="BU81" s="145" t="inlineStr">
        <is>
          <t>Verified</t>
        </is>
      </c>
      <c r="BV81" s="149" t="n"/>
      <c r="BW81" s="149" t="inlineStr">
        <is>
          <t>Origin &amp; status — China · In production · 2026 | Manipulation — Two parallel grippers (not individual fingers) — no anthropomorphic hand by default · Hand DOF 7 · Payload 22 lb | Sensing &amp; software — Head: 1 binocular RGB camera; Chassis: 5 monocular cameras; 1 × 360° LiDAR standard; wrist cameras optional · External cloud connection possible; not native… | Buying notes — From $69,999 · 12 months manufacturer standard (typical research/commercial humanoid) · Best fit: Industrial automation</t>
        </is>
      </c>
      <c r="BX81" s="149" t="inlineStr">
        <is>
          <t>as_shipped|R1 PRO|69999|As shipped</t>
        </is>
      </c>
      <c r="BY81" s="145" t="inlineStr">
        <is>
          <t>grey|Grey|#e2e8f0|0</t>
        </is>
      </c>
      <c r="BZ81" s="145" t="inlineStr"/>
      <c r="CA81" s="149" t="n"/>
      <c r="CB81" s="149" t="inlineStr">
        <is>
          <t>12 months manufacturer standard (typical research/commercial humanoid)</t>
        </is>
      </c>
      <c r="CC81" s="147" t="n">
        <v>12</v>
      </c>
      <c r="CD81" s="149" t="inlineStr">
        <is>
          <t>+3 Year Extended ≈24% of configuration (default in configurator)</t>
        </is>
      </c>
      <c r="CE81" s="145" t="inlineStr">
        <is>
          <t>Humanoid category norm 2025–2026</t>
        </is>
      </c>
      <c r="CF81" s="145" t="inlineStr">
        <is>
          <t>Estimated</t>
        </is>
      </c>
      <c r="CG81" s="149" t="inlineStr">
        <is>
          <t>Confirm on formal OEM quote. EDU or enterprise packages may differ.</t>
        </is>
      </c>
      <c r="CH81" s="145" t="inlineStr">
        <is>
          <t>10%</t>
        </is>
      </c>
      <c r="CI81" s="145" t="inlineStr">
        <is>
          <t>17%</t>
        </is>
      </c>
      <c r="CJ81" s="145" t="inlineStr">
        <is>
          <t>24%</t>
        </is>
      </c>
      <c r="CK81" s="149" t="inlineStr">
        <is>
          <t>+1yr ≈10% | +2yr ≈17% | +3yr ≈24% of selected configuration price (parts &amp; labor beyond manufacturer standard).</t>
        </is>
      </c>
      <c r="CL8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81" s="145" t="inlineStr">
        <is>
          <t>12 months manufacturer standard (typical research/commercial humanoid)</t>
        </is>
      </c>
      <c r="CN81" s="203" t="inlineStr">
        <is>
          <t>https://aixzd.com/robot/r1-pro</t>
        </is>
      </c>
      <c r="CQ81" s="101" t="inlineStr">
        <is>
          <t>Height: 5 ft 7 in | Weight: 211.6 | Degrees of Freedom: 26 | Payload: 22 | Max Speed: 3.36 | Battery / Runtime: ≈ 3 hours</t>
        </is>
      </c>
    </row>
    <row r="82" ht="31.5" customHeight="1" s="102">
      <c r="A82" s="159" t="inlineStr">
        <is>
          <t>galbot_galaxy_general_g1_wheeled_dual_ar</t>
        </is>
      </c>
      <c r="B82" s="144" t="inlineStr">
        <is>
          <t>Both</t>
        </is>
      </c>
      <c r="C82" s="152" t="inlineStr">
        <is>
          <t>Galbot</t>
        </is>
      </c>
      <c r="D82" s="152" t="inlineStr">
        <is>
          <t>G1</t>
        </is>
      </c>
      <c r="E82" s="152" t="inlineStr">
        <is>
          <t>[Galbot] G1 (2024)</t>
        </is>
      </c>
      <c r="F82" s="146" t="inlineStr">
        <is>
          <t>humanoid</t>
        </is>
      </c>
      <c r="G82" s="152" t="inlineStr">
        <is>
          <t>China</t>
        </is>
      </c>
      <c r="H82" s="154" t="n">
        <v>2024</v>
      </c>
      <c r="I82" s="155" t="n">
        <v>87000</v>
      </c>
      <c r="J82" s="152" t="inlineStr">
        <is>
          <t>Robot Price Index Aug 2026 · entry</t>
        </is>
      </c>
      <c r="K82" s="156" t="inlineStr">
        <is>
          <t>Galbot is an innovative humanoid robot developed by Beijing Galaxy General Robot Co., Ltd., also known as Galbot.</t>
        </is>
      </c>
      <c r="L82" s="101" t="inlineStr">
        <is>
          <t>Galbot is an innovative humanoid robot developed by Beijing Galaxy General Robot Co., Ltd., also known as Galbot.</t>
        </is>
      </c>
      <c r="M82" s="101" t="inlineStr">
        <is>
          <t>G1 is Galbot's humanoid, introduced around 2024 in China. Galbot is an innovative humanoid robot developed by Beijing Galaxy General Robot Co., Ltd., also known as Galbot. Public status is listed as commercial deployment / Small batch, and it is positioned for retail / Logistics / Industrial / Service.</t>
        </is>
      </c>
      <c r="N82" s="157" t="inlineStr">
        <is>
          <t>https://humanoid.guide/product/galbot/</t>
        </is>
      </c>
      <c r="O82" s="157" t="inlineStr">
        <is>
          <t>https://www.galbot.com/</t>
        </is>
      </c>
      <c r="P82" s="152" t="inlineStr">
        <is>
          <t>5 ft 8 in</t>
        </is>
      </c>
      <c r="Q82" s="152" t="n">
        <v>173</v>
      </c>
      <c r="R82" s="152" t="n">
        <v>194</v>
      </c>
      <c r="S82" s="152" t="n">
        <v>88</v>
      </c>
      <c r="T82" s="156" t="inlineStr">
        <is>
          <t>Not disclosed</t>
        </is>
      </c>
      <c r="U82" s="152" t="n"/>
      <c r="V82" s="152" t="inlineStr">
        <is>
          <t>24–34</t>
        </is>
      </c>
      <c r="W82" s="156" t="inlineStr">
        <is>
          <t>Not disclosed</t>
        </is>
      </c>
      <c r="X82" s="152" t="inlineStr">
        <is>
          <t>5 lb per arm / 10 lb total</t>
        </is>
      </c>
      <c r="Y82" s="152" t="n">
        <v>15</v>
      </c>
      <c r="Z82" s="152" t="n">
        <v>3.11</v>
      </c>
      <c r="AA82" s="152" t="n">
        <v>5</v>
      </c>
      <c r="AB82" s="152" t="n">
        <v>3</v>
      </c>
      <c r="AC82" s="156" t="inlineStr">
        <is>
          <t>≈ 2 hours</t>
        </is>
      </c>
      <c r="AD82" s="156" t="inlineStr">
        <is>
          <t>2</t>
        </is>
      </c>
      <c r="AE82" s="152" t="n"/>
      <c r="AF82" s="152" t="inlineStr">
        <is>
          <t>9 000 mAh quick-swap pack; ~2 h class runtime</t>
        </is>
      </c>
      <c r="AG82" s="156" t="inlineStr">
        <is>
          <t>Optional Dex3-1 or equivalent dexterous hands (pair)</t>
        </is>
      </c>
      <c r="AH82" s="152" t="inlineStr">
        <is>
          <t>Not disclosed</t>
        </is>
      </c>
      <c r="AI82" s="158" t="n">
        <v>2</v>
      </c>
      <c r="AJ82" s="156" t="inlineStr">
        <is>
          <t>Depth camera suite; optional 3D LiDAR on research builds</t>
        </is>
      </c>
      <c r="AK82" s="156" t="n"/>
      <c r="AL82" s="152" t="inlineStr">
        <is>
          <t>Depth + RGB streams for teleoperation and dataset capture</t>
        </is>
      </c>
      <c r="AM82" s="152" t="n"/>
      <c r="AN82" s="152" t="inlineStr">
        <is>
          <t>Not disclosed</t>
        </is>
      </c>
      <c r="AO82" s="152" t="inlineStr">
        <is>
          <t>4-microphone array</t>
        </is>
      </c>
      <c r="AP82" s="152" t="inlineStr">
        <is>
          <t>Not disclosed</t>
        </is>
      </c>
      <c r="AQ82" s="152" t="inlineStr">
        <is>
          <t>Not disclosed</t>
        </is>
      </c>
      <c r="AR82" s="152" t="n"/>
      <c r="AS82" s="152" t="n"/>
      <c r="AT82" s="156" t="inlineStr">
        <is>
          <t>Not disclosed</t>
        </is>
      </c>
      <c r="AU82" s="156" t="inlineStr">
        <is>
          <t>Not disclosed</t>
        </is>
      </c>
      <c r="AV82" s="152" t="inlineStr">
        <is>
          <t>SDK, app, EDU Jetson expansion</t>
        </is>
      </c>
      <c r="AW82" s="156" t="inlineStr">
        <is>
          <t>Whole-body balance; vision and optional LiDAR mapping</t>
        </is>
      </c>
      <c r="AX82" s="158" t="n">
        <v>2</v>
      </c>
      <c r="AY82" s="156" t="inlineStr">
        <is>
          <t>Not disclosed</t>
        </is>
      </c>
      <c r="AZ82" s="156" t="inlineStr">
        <is>
          <t>Not disclosed</t>
        </is>
      </c>
      <c r="BA82" s="156" t="n"/>
      <c r="BB82" s="156" t="inlineStr">
        <is>
          <t>Not disclosed</t>
        </is>
      </c>
      <c r="BC82" s="156" t="inlineStr">
        <is>
          <t>Not disclosed</t>
        </is>
      </c>
      <c r="BD82" s="152" t="inlineStr">
        <is>
          <t>Not disclosed</t>
        </is>
      </c>
      <c r="BE82" s="152" t="inlineStr">
        <is>
          <t>Not disclosed</t>
        </is>
      </c>
      <c r="BF82" s="152" t="n"/>
      <c r="BG82" s="152" t="n"/>
      <c r="BH82" s="152" t="n"/>
      <c r="BI82" s="152" t="n"/>
      <c r="BJ82" s="152" t="n"/>
      <c r="BK82" s="152" t="n"/>
      <c r="BL82" s="152" t="n"/>
      <c r="BM82" s="152" t="inlineStr">
        <is>
          <t>Not disclosed</t>
        </is>
      </c>
      <c r="BN82" s="152" t="inlineStr">
        <is>
          <t>Not disclosed</t>
        </is>
      </c>
      <c r="BO82" s="156" t="inlineStr">
        <is>
          <t>Market: Retail / Logistics / Industrial / Service · Manipulation 2/4 · Navigation 2/4 · Peak 5 km/h · Walk 3 km/h · Runtime 2</t>
        </is>
      </c>
      <c r="BP82" s="152" t="n"/>
      <c r="BQ82" s="156" t="inlineStr">
        <is>
          <t>Retail / Logistics / Industrial / Service</t>
        </is>
      </c>
      <c r="BR82" s="156" t="inlineStr">
        <is>
          <t>Commercial deployment / Small batch</t>
        </is>
      </c>
      <c r="BS82" s="156" t="inlineStr">
        <is>
          <t>Prototype</t>
        </is>
      </c>
      <c r="BT82" s="152" t="n"/>
      <c r="BU82" s="152" t="inlineStr">
        <is>
          <t>Not verified</t>
        </is>
      </c>
      <c r="BV82" s="156" t="inlineStr">
        <is>
          <t>Wheeled humanoid form; strong embodied AI; WHRG presence</t>
        </is>
      </c>
      <c r="BW82" s="156" t="inlineStr">
        <is>
          <t>Origin &amp; status — China · Commercial deployment / Small batch · 2024 | Manipulation — Optional Dex3-1 or equivalent dexterous hands (pair) · Payload 5 lb per arm / 10 lb total | Sensing &amp; software — Depth camera suite; optional 3D LiDAR on research builds · SDK, app, EDU Jetson expansion | Buying notes — From $87,000 · 12 months manufacturer standard (typical research/commercial humanoid) · Best fit: Retail</t>
        </is>
      </c>
      <c r="BX82" s="156" t="inlineStr">
        <is>
          <t>as_shipped|G1|87000|As shipped</t>
        </is>
      </c>
      <c r="BY82" s="152" t="inlineStr">
        <is>
          <t>g1|Manufacturer finish|#e2e8f0|0</t>
        </is>
      </c>
      <c r="BZ82" s="152" t="inlineStr"/>
      <c r="CA82" s="156" t="inlineStr">
        <is>
          <t>Add-ons: case; 2 color options; Multi-year extended warranty available</t>
        </is>
      </c>
      <c r="CB82" s="156" t="inlineStr">
        <is>
          <t>12 months manufacturer standard (typical research/commercial humanoid)</t>
        </is>
      </c>
      <c r="CC82" s="154" t="n">
        <v>12</v>
      </c>
      <c r="CD82" s="156" t="inlineStr">
        <is>
          <t>+3 Year Extended ≈24% of configuration (default in configurator)</t>
        </is>
      </c>
      <c r="CE82" s="152" t="inlineStr">
        <is>
          <t>Humanoid category norm 2025–2026</t>
        </is>
      </c>
      <c r="CF82" s="152" t="inlineStr">
        <is>
          <t>Estimated</t>
        </is>
      </c>
      <c r="CG82" s="156" t="inlineStr">
        <is>
          <t>EDU or enterprise packages may differ; confirm on formal quote.</t>
        </is>
      </c>
      <c r="CH82" s="152" t="inlineStr">
        <is>
          <t>10%</t>
        </is>
      </c>
      <c r="CI82" s="152" t="inlineStr">
        <is>
          <t>17%</t>
        </is>
      </c>
      <c r="CJ82" s="152" t="inlineStr">
        <is>
          <t>24%</t>
        </is>
      </c>
      <c r="CK82"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82"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82" s="152" t="inlineStr">
        <is>
          <t>12 months manufacturer standard (typical research/commercial humanoid)</t>
        </is>
      </c>
      <c r="CN82" s="203" t="inlineStr">
        <is>
          <t>https://aixzd.com/robot/g1</t>
        </is>
      </c>
      <c r="CO82" s="203" t="inlineStr">
        <is>
          <t>https://theresanaiforthat.com/robots/</t>
        </is>
      </c>
      <c r="CP82" s="203" t="inlineStr">
        <is>
          <t>Cross-checked against TAAFT Robots directory (669 entries) 28 Aug 2026 — individual TAAFT permalinks are JS/Cloudflare gated.</t>
        </is>
      </c>
      <c r="CQ82" s="101" t="inlineStr">
        <is>
          <t>Height: 5 ft 8 in | Weight: 194 | Degrees of Freedom: 24–34 | Payload: 5 lb per arm / 10 lb total | Max Speed: 3.11 | Battery / Runtime: ≈ 2 hours</t>
        </is>
      </c>
    </row>
    <row r="83" ht="31.5" customHeight="1" s="102">
      <c r="A83" s="159" t="inlineStr">
        <is>
          <t>galbot_galaxy_general_g1_wheeled_dual_ar_wheeled</t>
        </is>
      </c>
      <c r="B83" s="144" t="inlineStr">
        <is>
          <t>Both</t>
        </is>
      </c>
      <c r="C83" s="152" t="inlineStr">
        <is>
          <t>Galbot</t>
        </is>
      </c>
      <c r="D83" s="152" t="inlineStr">
        <is>
          <t>Wheeled Dual-Arm</t>
        </is>
      </c>
      <c r="E83" s="152" t="inlineStr">
        <is>
          <t>[Galbot] Wheeled Dual-Arm (2024)</t>
        </is>
      </c>
      <c r="F83" s="146" t="inlineStr">
        <is>
          <t>humanoid</t>
        </is>
      </c>
      <c r="G83" s="152" t="inlineStr">
        <is>
          <t>China</t>
        </is>
      </c>
      <c r="H83" s="154" t="n">
        <v>2024</v>
      </c>
      <c r="I83" s="155" t="n">
        <v>50000</v>
      </c>
      <c r="J83" s="152" t="inlineStr">
        <is>
          <t>Website store</t>
        </is>
      </c>
      <c r="K83" s="156" t="inlineStr">
        <is>
          <t>Galbot is an innovative humanoid robot developed by Beijing Galaxy General Robot Co., Ltd., also known as Galbot.</t>
        </is>
      </c>
      <c r="L83" s="101" t="inlineStr">
        <is>
          <t>Galbot is an innovative humanoid robot developed by Beijing Galaxy General Robot Co., Ltd., also known as Galbot.</t>
        </is>
      </c>
      <c r="M83" s="101" t="inlineStr">
        <is>
          <t>Wheeled Dual-Arm is Galbot's humanoid, introduced around 2024 in China. Galbot is an innovative humanoid robot developed by Beijing Galaxy General Robot Co., Ltd., also known as Galbot. Public status is listed as commercial deployment / Small batch, and it is positioned for retail / Logistics / Industrial / Service.</t>
        </is>
      </c>
      <c r="N83" s="157" t="inlineStr">
        <is>
          <t>https://humanoid.guide/product/galbot/</t>
        </is>
      </c>
      <c r="O83" s="157" t="inlineStr">
        <is>
          <t>https://www.galbot.com/</t>
        </is>
      </c>
      <c r="P83" s="152" t="inlineStr">
        <is>
          <t>5 ft 8 in</t>
        </is>
      </c>
      <c r="Q83" s="152" t="n">
        <v>173</v>
      </c>
      <c r="R83" s="152" t="n">
        <v>194</v>
      </c>
      <c r="S83" s="152" t="n">
        <v>88</v>
      </c>
      <c r="T83" s="156" t="inlineStr">
        <is>
          <t>Not disclosed</t>
        </is>
      </c>
      <c r="U83" s="152" t="n"/>
      <c r="V83" s="152" t="inlineStr">
        <is>
          <t>24–34</t>
        </is>
      </c>
      <c r="W83" s="156" t="inlineStr">
        <is>
          <t>Not disclosed</t>
        </is>
      </c>
      <c r="X83" s="152" t="inlineStr">
        <is>
          <t>5 lb per arm / 10 lb total</t>
        </is>
      </c>
      <c r="Y83" s="152" t="n">
        <v>15</v>
      </c>
      <c r="Z83" s="152" t="n">
        <v>3.11</v>
      </c>
      <c r="AA83" s="152" t="n">
        <v>5</v>
      </c>
      <c r="AB83" s="152" t="n">
        <v>3</v>
      </c>
      <c r="AC83" s="156" t="inlineStr">
        <is>
          <t>≈ 2 hours</t>
        </is>
      </c>
      <c r="AD83" s="156" t="inlineStr">
        <is>
          <t>2</t>
        </is>
      </c>
      <c r="AE83" s="152" t="n"/>
      <c r="AF83" s="152" t="inlineStr">
        <is>
          <t>9 000 mAh quick-swap pack; ~2 h class runtime</t>
        </is>
      </c>
      <c r="AG83" s="156" t="inlineStr">
        <is>
          <t>Optional Dex3-1 or equivalent dexterous hands (pair)</t>
        </is>
      </c>
      <c r="AH83" s="152" t="inlineStr">
        <is>
          <t>Not disclosed</t>
        </is>
      </c>
      <c r="AI83" s="158" t="n">
        <v>2</v>
      </c>
      <c r="AJ83" s="156" t="inlineStr">
        <is>
          <t>Depth camera suite; optional 3D LiDAR on research builds</t>
        </is>
      </c>
      <c r="AK83" s="156" t="n"/>
      <c r="AL83" s="152" t="inlineStr">
        <is>
          <t>Depth + RGB streams for teleoperation and dataset capture</t>
        </is>
      </c>
      <c r="AM83" s="152" t="n"/>
      <c r="AN83" s="152" t="inlineStr">
        <is>
          <t>Not disclosed</t>
        </is>
      </c>
      <c r="AO83" s="152" t="inlineStr">
        <is>
          <t>4-microphone array</t>
        </is>
      </c>
      <c r="AP83" s="152" t="inlineStr">
        <is>
          <t>Not disclosed</t>
        </is>
      </c>
      <c r="AQ83" s="152" t="inlineStr">
        <is>
          <t>Not disclosed</t>
        </is>
      </c>
      <c r="AR83" s="152" t="n"/>
      <c r="AS83" s="152" t="n"/>
      <c r="AT83" s="156" t="inlineStr">
        <is>
          <t>Not disclosed</t>
        </is>
      </c>
      <c r="AU83" s="156" t="inlineStr">
        <is>
          <t>Not disclosed</t>
        </is>
      </c>
      <c r="AV83" s="152" t="inlineStr">
        <is>
          <t>SDK, app, EDU Jetson expansion</t>
        </is>
      </c>
      <c r="AW83" s="156" t="inlineStr">
        <is>
          <t>Whole-body balance; vision and optional LiDAR mapping</t>
        </is>
      </c>
      <c r="AX83" s="158" t="n">
        <v>2</v>
      </c>
      <c r="AY83" s="156" t="inlineStr">
        <is>
          <t>Not disclosed</t>
        </is>
      </c>
      <c r="AZ83" s="156" t="inlineStr">
        <is>
          <t>Not disclosed</t>
        </is>
      </c>
      <c r="BA83" s="156" t="n"/>
      <c r="BB83" s="156" t="inlineStr">
        <is>
          <t>Not disclosed</t>
        </is>
      </c>
      <c r="BC83" s="156" t="inlineStr">
        <is>
          <t>Not disclosed</t>
        </is>
      </c>
      <c r="BD83" s="152" t="inlineStr">
        <is>
          <t>Not disclosed</t>
        </is>
      </c>
      <c r="BE83" s="152" t="inlineStr">
        <is>
          <t>Not disclosed</t>
        </is>
      </c>
      <c r="BF83" s="152" t="n"/>
      <c r="BG83" s="152" t="n"/>
      <c r="BH83" s="152" t="n"/>
      <c r="BI83" s="152" t="n"/>
      <c r="BJ83" s="152" t="n"/>
      <c r="BK83" s="152" t="n"/>
      <c r="BL83" s="152" t="n"/>
      <c r="BM83" s="152" t="inlineStr">
        <is>
          <t>Not disclosed</t>
        </is>
      </c>
      <c r="BN83" s="152" t="inlineStr">
        <is>
          <t>Not disclosed</t>
        </is>
      </c>
      <c r="BO83" s="156" t="inlineStr">
        <is>
          <t>Market: Retail / Logistics / Industrial / Service · Manipulation 2/4 · Navigation 2/4 · Peak 5 km/h · Walk 3 km/h · Runtime 2</t>
        </is>
      </c>
      <c r="BP83" s="152" t="n"/>
      <c r="BQ83" s="156" t="inlineStr">
        <is>
          <t>Retail / Logistics / Industrial / Service</t>
        </is>
      </c>
      <c r="BR83" s="156" t="inlineStr">
        <is>
          <t>Commercial deployment / Small batch</t>
        </is>
      </c>
      <c r="BS83" s="156" t="inlineStr">
        <is>
          <t>Prototype</t>
        </is>
      </c>
      <c r="BT83" s="152" t="n"/>
      <c r="BU83" s="152" t="inlineStr">
        <is>
          <t>Not verified</t>
        </is>
      </c>
      <c r="BV83" s="156" t="inlineStr">
        <is>
          <t>Wheeled humanoid form; strong embodied AI; WHRG presence</t>
        </is>
      </c>
      <c r="BW83" s="156" t="inlineStr">
        <is>
          <t>Origin &amp; status — China · Commercial deployment / Small batch · 2024 | Manipulation — Optional Dex3-1 or equivalent dexterous hands (pair) · Payload 5 lb per arm / 10 lb total | Sensing &amp; software — Depth camera suite; optional 3D LiDAR on research builds · SDK, app, EDU Jetson expansion | Buying notes — From $50,000 · 12 months manufacturer standard (typical research/commercial humanoid) · Best fit: Retail</t>
        </is>
      </c>
      <c r="BX83" s="156" t="inlineStr">
        <is>
          <t>as_shipped|Wheeled Dual-Arm|50000|As shipped</t>
        </is>
      </c>
      <c r="BY83" s="152" t="inlineStr">
        <is>
          <t>wheeled_dual_arm|Manufacturer finish|#e2e8f0|0</t>
        </is>
      </c>
      <c r="BZ83" s="152" t="inlineStr"/>
      <c r="CA83" s="156" t="inlineStr">
        <is>
          <t>Add-ons: case; 2 color options; Multi-year extended warranty available</t>
        </is>
      </c>
      <c r="CB83" s="156" t="inlineStr">
        <is>
          <t>12 months manufacturer standard (typical research/commercial humanoid)</t>
        </is>
      </c>
      <c r="CC83" s="154" t="n">
        <v>12</v>
      </c>
      <c r="CD83" s="156" t="inlineStr">
        <is>
          <t>+3 Year Extended ≈24% of configuration (default in configurator)</t>
        </is>
      </c>
      <c r="CE83" s="152" t="inlineStr">
        <is>
          <t>Humanoid category norm 2025–2026</t>
        </is>
      </c>
      <c r="CF83" s="152" t="inlineStr">
        <is>
          <t>Estimated</t>
        </is>
      </c>
      <c r="CG83" s="156" t="inlineStr">
        <is>
          <t>EDU or enterprise packages may differ; confirm on formal quote.</t>
        </is>
      </c>
      <c r="CH83" s="152" t="inlineStr">
        <is>
          <t>10%</t>
        </is>
      </c>
      <c r="CI83" s="152" t="inlineStr">
        <is>
          <t>17%</t>
        </is>
      </c>
      <c r="CJ83" s="152" t="inlineStr">
        <is>
          <t>24%</t>
        </is>
      </c>
      <c r="CK83"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83"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83" s="152" t="inlineStr">
        <is>
          <t>12 months manufacturer standard (typical research/commercial humanoid)</t>
        </is>
      </c>
      <c r="CO83" s="203" t="inlineStr">
        <is>
          <t>https://theresanaiforthat.com/robots/</t>
        </is>
      </c>
      <c r="CP83" s="203" t="inlineStr">
        <is>
          <t>Cross-checked against TAAFT Robots directory (669 entries) 28 Aug 2026 — individual TAAFT permalinks are JS/Cloudflare gated.</t>
        </is>
      </c>
      <c r="CQ83" s="101" t="inlineStr">
        <is>
          <t>Height: 5 ft 8 in | Weight: 194 | Degrees of Freedom: 24–34 | Payload: 5 lb per arm / 10 lb total | Max Speed: 3.11 | Battery / Runtime: ≈ 2 hours</t>
        </is>
      </c>
    </row>
    <row r="84" ht="31.5" customHeight="1" s="102">
      <c r="A84" s="152" t="inlineStr">
        <is>
          <t>genesis_ai_eno</t>
        </is>
      </c>
      <c r="B84" s="153" t="inlineStr">
        <is>
          <t>Humanoid.guide</t>
        </is>
      </c>
      <c r="C84" s="152" t="inlineStr">
        <is>
          <t>Genesis AI</t>
        </is>
      </c>
      <c r="D84" s="152" t="inlineStr">
        <is>
          <t>Eno</t>
        </is>
      </c>
      <c r="E84" s="152" t="inlineStr">
        <is>
          <t>[Genesis AI] Eno (2026)</t>
        </is>
      </c>
      <c r="F84" s="146" t="inlineStr">
        <is>
          <t>humanoid</t>
        </is>
      </c>
      <c r="G84" s="152" t="inlineStr">
        <is>
          <t>USA</t>
        </is>
      </c>
      <c r="H84" s="152" t="n"/>
      <c r="I84" s="155" t="n">
        <v>90000</v>
      </c>
      <c r="J84" s="152" t="inlineStr">
        <is>
          <t>Humanoid.guide list</t>
        </is>
      </c>
      <c r="K84" s="156" t="inlineStr">
        <is>
          <t>Eno is a wheeled general-purpose robot developed by Genesis AI. It combines advanced manipulation capabilities, adaptive AI, and a practical mobile design to perform a wide range of tasks across industrial, commercial, and future consumer environments.</t>
        </is>
      </c>
      <c r="L84" s="101" t="inlineStr">
        <is>
          <t>Eno is a wheeled general-purpose robot developed by Genesis AI. It combines advanced manipulation capabilities, adaptive AI, and a practical mobile design to perform a wide range of tasks across industrial, commercial, and future consumer environments.</t>
        </is>
      </c>
      <c r="M84" s="101" t="inlineStr">
        <is>
          <t>Eno is a wheeled general-purpose robot developed by Genesis AI. It combines advanced manipulation capabilities, adaptive AI, and a practical mobile design to perform a wide range of tasks across industrial, commercial, and future consumer environments. Public status is listed as prototype, and it is positioned for healthcare; Hospitality; laboratories; logistics; Manufacturing.</t>
        </is>
      </c>
      <c r="N84" s="157" t="inlineStr">
        <is>
          <t>https://humanoid.guide/product/eno/</t>
        </is>
      </c>
      <c r="O84" s="157" t="inlineStr">
        <is>
          <t>https://www.genesis.ai/</t>
        </is>
      </c>
      <c r="P84" s="152" t="inlineStr">
        <is>
          <t>5 ft 7 in</t>
        </is>
      </c>
      <c r="Q84" s="152" t="n">
        <v>170</v>
      </c>
      <c r="R84" s="152" t="n">
        <v>264.6</v>
      </c>
      <c r="S84" s="152" t="n">
        <v>120</v>
      </c>
      <c r="T84" s="156" t="inlineStr">
        <is>
          <t>Not disclosed</t>
        </is>
      </c>
      <c r="U84" s="152" t="n"/>
      <c r="V84" s="152" t="inlineStr">
        <is>
          <t>40</t>
        </is>
      </c>
      <c r="W84" s="156" t="inlineStr">
        <is>
          <t>20</t>
        </is>
      </c>
      <c r="X84" s="152" t="n">
        <v>26.5</v>
      </c>
      <c r="Y84" s="152" t="n">
        <v>12</v>
      </c>
      <c r="Z84" s="152" t="n">
        <v>3.73</v>
      </c>
      <c r="AA84" s="152" t="n">
        <v>6</v>
      </c>
      <c r="AB84" s="152" t="n"/>
      <c r="AC84" s="156" t="inlineStr">
        <is>
          <t>≈ 8 hours</t>
        </is>
      </c>
      <c r="AD84" s="156" t="inlineStr">
        <is>
          <t>8</t>
        </is>
      </c>
      <c r="AE84" s="152" t="n"/>
      <c r="AF84" s="152" t="inlineStr">
        <is>
          <t>Not disclosed</t>
        </is>
      </c>
      <c r="AG84" s="156" t="inlineStr">
        <is>
          <t>10 (5 per hand)</t>
        </is>
      </c>
      <c r="AH84" s="152" t="inlineStr">
        <is>
          <t>10 (5 per hand)</t>
        </is>
      </c>
      <c r="AI84" s="152" t="n"/>
      <c r="AJ84" s="156" t="inlineStr">
        <is>
          <t>Not disclosed</t>
        </is>
      </c>
      <c r="AK84" s="156" t="n"/>
      <c r="AL84" s="152" t="inlineStr">
        <is>
          <t>Not disclosed</t>
        </is>
      </c>
      <c r="AM84" s="152" t="n"/>
      <c r="AN84" s="152" t="inlineStr">
        <is>
          <t>Not disclosed</t>
        </is>
      </c>
      <c r="AO84" s="152" t="inlineStr">
        <is>
          <t>Not disclosed</t>
        </is>
      </c>
      <c r="AP84" s="152" t="inlineStr">
        <is>
          <t>Not disclosed</t>
        </is>
      </c>
      <c r="AQ84" s="152" t="inlineStr">
        <is>
          <t>Not disclosed</t>
        </is>
      </c>
      <c r="AR84" s="152" t="n"/>
      <c r="AS84" s="152" t="n"/>
      <c r="AT84" s="156" t="inlineStr">
        <is>
          <t>Not disclosed</t>
        </is>
      </c>
      <c r="AU84" s="156" t="inlineStr">
        <is>
          <t>Cloud‑connected; Ethernet; Wi-Fi</t>
        </is>
      </c>
      <c r="AV84" s="152" t="inlineStr">
        <is>
          <t>Not disclosed</t>
        </is>
      </c>
      <c r="AW84" s="156" t="inlineStr">
        <is>
          <t>Not disclosed</t>
        </is>
      </c>
      <c r="AX84" s="152" t="n"/>
      <c r="AY84" s="156" t="inlineStr">
        <is>
          <t>Proprietary Genesis AI robotics platform</t>
        </is>
      </c>
      <c r="AZ84" s="156" t="inlineStr">
        <is>
          <t>Yes, powered by GENE robotics foundation model</t>
        </is>
      </c>
      <c r="BA84" s="156" t="n"/>
      <c r="BB84" s="156" t="inlineStr">
        <is>
          <t>Electric servo actuators</t>
        </is>
      </c>
      <c r="BC84" s="156" t="inlineStr">
        <is>
          <t>Not disclosed</t>
        </is>
      </c>
      <c r="BD84" s="152" t="inlineStr">
        <is>
          <t>Aluminum alloys, composites, and engineering plastics</t>
        </is>
      </c>
      <c r="BE84" s="152" t="inlineStr">
        <is>
          <t>Not disclosed</t>
        </is>
      </c>
      <c r="BF84" s="152" t="n"/>
      <c r="BG84" s="152" t="n"/>
      <c r="BH84" s="152" t="n"/>
      <c r="BI84" s="152" t="n"/>
      <c r="BJ84" s="152" t="n"/>
      <c r="BK84" s="152" t="n"/>
      <c r="BL84" s="152" t="n"/>
      <c r="BM84" s="152" t="inlineStr">
        <is>
          <t>Yes</t>
        </is>
      </c>
      <c r="BN84" s="152" t="inlineStr">
        <is>
          <t>Not disclosed</t>
        </is>
      </c>
      <c r="BO84" s="156" t="inlineStr">
        <is>
          <t>Market: healthcare; Hospitality; laboratories; logistics; Manufacturing · Human-safe: Yes · AI: Yes, powered by GENE robotics foundation model · Actuation: Electric servo actuators · Peak 6 km/h · Runtime 8</t>
        </is>
      </c>
      <c r="BP84" s="152" t="n"/>
      <c r="BQ84" s="156" t="inlineStr">
        <is>
          <t>healthcare; Hospitality; laboratories; logistics; Manufacturing</t>
        </is>
      </c>
      <c r="BR84" s="156" t="inlineStr">
        <is>
          <t>Prototype</t>
        </is>
      </c>
      <c r="BS84" s="156" t="inlineStr">
        <is>
          <t>Prototype</t>
        </is>
      </c>
      <c r="BT84" s="152" t="inlineStr">
        <is>
          <t>White; customizable colors planned</t>
        </is>
      </c>
      <c r="BU84" s="152" t="n"/>
      <c r="BV84" s="156" t="n"/>
      <c r="BW84" s="156" t="inlineStr">
        <is>
          <t>Origin &amp; status — USA · Prototype · 2026 | Manipulation — 10 (5 per hand) · 10 (5 per hand) fingers · Hand DOF 20 · Payload 26.5 lb | Sensing &amp; software — Yes, powered by GENE robotics foundation model · Proprietary Genesis AI robotics platform | Buying notes — From $90,000 · 12 months manufacturer standard (typical research/commercial humanoid) · Best fit: healthcare</t>
        </is>
      </c>
      <c r="BX84" s="156" t="inlineStr">
        <is>
          <t>as_shipped|Eno|90000|As shipped</t>
        </is>
      </c>
      <c r="BY84" s="152" t="inlineStr">
        <is>
          <t>white|White|#e2e8f0|0 || customizable_colors_planned|customizable colors planned|#1e293b|0</t>
        </is>
      </c>
      <c r="BZ84" s="152" t="inlineStr"/>
      <c r="CA84" s="156" t="n"/>
      <c r="CB84" s="156" t="inlineStr">
        <is>
          <t>12 months manufacturer standard (typical research/commercial humanoid)</t>
        </is>
      </c>
      <c r="CC84" s="154" t="n">
        <v>12</v>
      </c>
      <c r="CD84" s="156" t="inlineStr">
        <is>
          <t>+3 Year Extended ≈24% of configuration (default in configurator)</t>
        </is>
      </c>
      <c r="CE84" s="152" t="inlineStr">
        <is>
          <t>Humanoid category norm 2025–2026</t>
        </is>
      </c>
      <c r="CF84" s="152" t="inlineStr">
        <is>
          <t>Estimated</t>
        </is>
      </c>
      <c r="CG84" s="156" t="inlineStr">
        <is>
          <t>Confirm on formal OEM quote. EDU or enterprise packages may differ.</t>
        </is>
      </c>
      <c r="CH84" s="152" t="inlineStr">
        <is>
          <t>10%</t>
        </is>
      </c>
      <c r="CI84" s="152" t="inlineStr">
        <is>
          <t>17%</t>
        </is>
      </c>
      <c r="CJ84" s="152" t="inlineStr">
        <is>
          <t>24%</t>
        </is>
      </c>
      <c r="CK84" s="156" t="inlineStr">
        <is>
          <t>+1yr ≈10% | +2yr ≈17% | +3yr ≈24% of selected configuration price (parts &amp; labor beyond manufacturer standard).</t>
        </is>
      </c>
      <c r="CL84"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84" s="152" t="inlineStr">
        <is>
          <t>12 months manufacturer standard (typical research/commercial humanoid)</t>
        </is>
      </c>
      <c r="CN84" s="203" t="inlineStr">
        <is>
          <t>https://aixzd.com/robot/eno</t>
        </is>
      </c>
      <c r="CQ84" s="101" t="inlineStr">
        <is>
          <t>Height: 5 ft 7 in | Weight: 264.6 | Degrees of Freedom: 40 | Payload: 26.5 | Max Speed: 3.73 | Battery / Runtime: ≈ 8 hours</t>
        </is>
      </c>
    </row>
    <row r="85" ht="31.5" customHeight="1" s="102">
      <c r="A85" s="145" t="inlineStr">
        <is>
          <t>gigaai_maker_h01</t>
        </is>
      </c>
      <c r="B85" s="153" t="inlineStr">
        <is>
          <t>Humanoid.guide</t>
        </is>
      </c>
      <c r="C85" s="145" t="inlineStr">
        <is>
          <t>GigaAI</t>
        </is>
      </c>
      <c r="D85" s="145" t="inlineStr">
        <is>
          <t>Maker H01</t>
        </is>
      </c>
      <c r="E85" s="145" t="inlineStr">
        <is>
          <t>[GigaAI] Maker H01 (2026)</t>
        </is>
      </c>
      <c r="F85" s="146" t="inlineStr">
        <is>
          <t>humanoid</t>
        </is>
      </c>
      <c r="G85" s="145" t="inlineStr">
        <is>
          <t>China</t>
        </is>
      </c>
      <c r="H85" s="145" t="n"/>
      <c r="I85" s="148" t="n">
        <v>160000</v>
      </c>
      <c r="J85" s="145" t="inlineStr">
        <is>
          <t>Humanoid.guide list</t>
        </is>
      </c>
      <c r="K85" s="149" t="inlineStr">
        <is>
          <t>Maker H01 is a wheeled humanoid from GigaAI — pairing dual 7-DOF arms, rich sensing, and agile mobility to bring embodied AI into real-world tasks with flexibility and precision.</t>
        </is>
      </c>
      <c r="L85" s="101" t="inlineStr">
        <is>
          <t>Maker H01 is a wheeled humanoid from GigaAI — pairing dual 7-DOF arms, rich sensing, and agile mobility to bring embodied AI into real-world tasks with flexibility and precision.</t>
        </is>
      </c>
      <c r="M85" s="101" t="inlineStr">
        <is>
          <t>Maker H01 is a wheeled humanoid from GigaAI — pairing dual 7-DOF arms, rich sensing, and agile mobility to bring embodied AI into real-world tasks with flexibility and precision. Public status is listed as prototype, and it is positioned for home service; Hospitality; reception; Workplace assistance, light logistics, education.</t>
        </is>
      </c>
      <c r="N85" s="150" t="inlineStr">
        <is>
          <t>https://humanoid.guide/product/maker-h01/</t>
        </is>
      </c>
      <c r="O85" s="145" t="inlineStr">
        <is>
          <t>https://www.gigaai.co</t>
        </is>
      </c>
      <c r="P85" s="145" t="inlineStr">
        <is>
          <t>5 ft 3 in</t>
        </is>
      </c>
      <c r="Q85" s="145" t="n">
        <v>160</v>
      </c>
      <c r="R85" s="145" t="n">
        <v>141.1</v>
      </c>
      <c r="S85" s="145" t="n">
        <v>64</v>
      </c>
      <c r="T85" s="149" t="inlineStr">
        <is>
          <t>Not disclosed</t>
        </is>
      </c>
      <c r="U85" s="145" t="inlineStr">
        <is>
          <t>170 cm × 70 cm × 50 cm</t>
        </is>
      </c>
      <c r="V85" s="145" t="inlineStr">
        <is>
          <t>28</t>
        </is>
      </c>
      <c r="W85" s="149" t="inlineStr">
        <is>
          <t>14</t>
        </is>
      </c>
      <c r="X85" s="145" t="n">
        <v>17.6</v>
      </c>
      <c r="Y85" s="145" t="n">
        <v>8</v>
      </c>
      <c r="Z85" s="145" t="n">
        <v>4.97</v>
      </c>
      <c r="AA85" s="145" t="n">
        <v>8</v>
      </c>
      <c r="AB85" s="145" t="n"/>
      <c r="AC85" s="149" t="inlineStr">
        <is>
          <t>≈ 4 hours</t>
        </is>
      </c>
      <c r="AD85" s="149" t="inlineStr">
        <is>
          <t>4</t>
        </is>
      </c>
      <c r="AE85" s="145" t="n"/>
      <c r="AF85" s="145" t="inlineStr">
        <is>
          <t>Not disclosed</t>
        </is>
      </c>
      <c r="AG85" s="149" t="inlineStr">
        <is>
          <t>5 per hand</t>
        </is>
      </c>
      <c r="AH85" s="145" t="inlineStr">
        <is>
          <t>5 per hand</t>
        </is>
      </c>
      <c r="AI85" s="161" t="n">
        <v>4</v>
      </c>
      <c r="AJ85" s="149" t="inlineStr">
        <is>
          <t>Not disclosed</t>
        </is>
      </c>
      <c r="AK85" s="149" t="n"/>
      <c r="AL85" s="145" t="inlineStr">
        <is>
          <t>Not disclosed</t>
        </is>
      </c>
      <c r="AM85" s="145" t="n"/>
      <c r="AN85" s="145" t="inlineStr">
        <is>
          <t>Not disclosed</t>
        </is>
      </c>
      <c r="AO85" s="145" t="inlineStr">
        <is>
          <t>Not disclosed</t>
        </is>
      </c>
      <c r="AP85" s="145" t="inlineStr">
        <is>
          <t>Not disclosed</t>
        </is>
      </c>
      <c r="AQ85" s="145" t="inlineStr">
        <is>
          <t>Not disclosed</t>
        </is>
      </c>
      <c r="AR85" s="145" t="n"/>
      <c r="AS85" s="145" t="n"/>
      <c r="AT85" s="149" t="inlineStr">
        <is>
          <t>Not disclosed</t>
        </is>
      </c>
      <c r="AU85" s="149" t="inlineStr">
        <is>
          <t>Bluetooth; Ethernet; Wi‑Fi</t>
        </is>
      </c>
      <c r="AV85" s="145" t="inlineStr">
        <is>
          <t>Not disclosed</t>
        </is>
      </c>
      <c r="AW85" s="149" t="inlineStr">
        <is>
          <t>Not disclosed</t>
        </is>
      </c>
      <c r="AX85" s="151" t="n">
        <v>3</v>
      </c>
      <c r="AY85" s="149" t="inlineStr">
        <is>
          <t>Likely Linux + custom robot control stack</t>
        </is>
      </c>
      <c r="AZ85" s="149" t="inlineStr">
        <is>
          <t>Not disclosed</t>
        </is>
      </c>
      <c r="BA85" s="149" t="inlineStr">
        <is>
          <t>250–450 ms</t>
        </is>
      </c>
      <c r="BB85" s="149" t="inlineStr">
        <is>
          <t>Not disclosed</t>
        </is>
      </c>
      <c r="BC85" s="149" t="inlineStr">
        <is>
          <t>Not disclosed</t>
        </is>
      </c>
      <c r="BD85" s="145" t="inlineStr">
        <is>
          <t>Aluminum alloy + ABS composite shells</t>
        </is>
      </c>
      <c r="BE85" s="145" t="inlineStr">
        <is>
          <t>IP20</t>
        </is>
      </c>
      <c r="BF85" s="145" t="inlineStr">
        <is>
          <t>IP20</t>
        </is>
      </c>
      <c r="BG85" s="145" t="n"/>
      <c r="BH85" s="145" t="n"/>
      <c r="BI85" s="145" t="n"/>
      <c r="BJ85" s="145" t="n"/>
      <c r="BK85" s="145" t="n"/>
      <c r="BL85" s="145" t="n"/>
      <c r="BM85" s="145" t="inlineStr">
        <is>
          <t>Yes</t>
        </is>
      </c>
      <c r="BN85" s="145" t="inlineStr">
        <is>
          <t>Not disclosed</t>
        </is>
      </c>
      <c r="BO85" s="149" t="inlineStr">
        <is>
          <t>Market: Home service; Hospitality; reception; Workplace assistance, light logistics, education · Manipulation 4/4 · Navigation 3/4 · Human-safe: Yes · Peak 8 km/h · Runtime 4</t>
        </is>
      </c>
      <c r="BP85" s="145" t="n"/>
      <c r="BQ85" s="149" t="inlineStr">
        <is>
          <t>Home service; Hospitality; reception; Workplace assistance, light logistics, education</t>
        </is>
      </c>
      <c r="BR85" s="149" t="inlineStr">
        <is>
          <t>Prototype</t>
        </is>
      </c>
      <c r="BS85" s="149" t="inlineStr">
        <is>
          <t>Prototype</t>
        </is>
      </c>
      <c r="BT85" s="145" t="inlineStr">
        <is>
          <t>White</t>
        </is>
      </c>
      <c r="BU85" s="145" t="inlineStr">
        <is>
          <t>Not verified</t>
        </is>
      </c>
      <c r="BV85" s="149" t="n"/>
      <c r="BW85" s="149" t="inlineStr">
        <is>
          <t>Origin &amp; status — China · Prototype · 2026 | Manipulation — 5 per hand · 5 per hand fingers · Hand DOF 14 · Payload 17.6 lb | Sensing &amp; software — Likely Linux + custom robot control stack | Buying notes — From $160,000 · 12 months manufacturer standard (typical research/commercial humanoid) · Best fit: Home service</t>
        </is>
      </c>
      <c r="BX85" s="149" t="inlineStr">
        <is>
          <t>as_shipped|Maker H01|160000|As shipped</t>
        </is>
      </c>
      <c r="BY85" s="145" t="inlineStr">
        <is>
          <t>white|White|#e2e8f0|0</t>
        </is>
      </c>
      <c r="BZ85" s="145" t="inlineStr"/>
      <c r="CA85" s="149" t="n"/>
      <c r="CB85" s="149" t="inlineStr">
        <is>
          <t>12 months manufacturer standard (typical research/commercial humanoid)</t>
        </is>
      </c>
      <c r="CC85" s="147" t="n">
        <v>12</v>
      </c>
      <c r="CD85" s="149" t="inlineStr">
        <is>
          <t>+3 Year Extended ≈24% of configuration (default in configurator)</t>
        </is>
      </c>
      <c r="CE85" s="145" t="inlineStr">
        <is>
          <t>Humanoid category norm 2025–2026</t>
        </is>
      </c>
      <c r="CF85" s="145" t="inlineStr">
        <is>
          <t>Estimated</t>
        </is>
      </c>
      <c r="CG85" s="149" t="inlineStr">
        <is>
          <t>Confirm on formal OEM quote. EDU or enterprise packages may differ.</t>
        </is>
      </c>
      <c r="CH85" s="145" t="inlineStr">
        <is>
          <t>10%</t>
        </is>
      </c>
      <c r="CI85" s="145" t="inlineStr">
        <is>
          <t>17%</t>
        </is>
      </c>
      <c r="CJ85" s="145" t="inlineStr">
        <is>
          <t>24%</t>
        </is>
      </c>
      <c r="CK85" s="149" t="inlineStr">
        <is>
          <t>+1yr ≈10% | +2yr ≈17% | +3yr ≈24% of selected configuration price (parts &amp; labor beyond manufacturer standard).</t>
        </is>
      </c>
      <c r="CL8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85" s="145" t="inlineStr">
        <is>
          <t>12 months manufacturer standard (typical research/commercial humanoid)</t>
        </is>
      </c>
      <c r="CN85" s="203" t="inlineStr">
        <is>
          <t>https://aixzd.com/robot/maker-h01</t>
        </is>
      </c>
      <c r="CQ85" s="101" t="inlineStr">
        <is>
          <t>Height: 5 ft 3 in | Weight: 141.1 | Degrees of Freedom: 28 | Payload: 17.6 | Max Speed: 4.97 | Battery / Runtime: ≈ 4 hours</t>
        </is>
      </c>
    </row>
    <row r="86" ht="31.5" customHeight="1" s="102">
      <c r="A86" s="152" t="inlineStr">
        <is>
          <t>haier_hiva_haiwa</t>
        </is>
      </c>
      <c r="B86" s="153" t="inlineStr">
        <is>
          <t>Humanoid.guide</t>
        </is>
      </c>
      <c r="C86" s="152" t="inlineStr">
        <is>
          <t>Haier</t>
        </is>
      </c>
      <c r="D86" s="152" t="inlineStr">
        <is>
          <t>HIVA Haiwa</t>
        </is>
      </c>
      <c r="E86" s="152" t="inlineStr">
        <is>
          <t>[Haier] HIVA Haiwa (2026)</t>
        </is>
      </c>
      <c r="F86" s="146" t="inlineStr">
        <is>
          <t>humanoid</t>
        </is>
      </c>
      <c r="G86" s="152" t="inlineStr">
        <is>
          <t>China</t>
        </is>
      </c>
      <c r="H86" s="152" t="n"/>
      <c r="I86" s="155" t="n">
        <v>80000</v>
      </c>
      <c r="J86" s="152" t="inlineStr">
        <is>
          <t>Humanoid.guide list</t>
        </is>
      </c>
      <c r="K86" s="156" t="inlineStr">
        <is>
          <t>The HIVA Haiwa is a 165 cm wheeled humanoid robot from Haier, created as an advanced domestic helper.</t>
        </is>
      </c>
      <c r="L86" s="101" t="inlineStr">
        <is>
          <t>The HIVA Haiwa is a 165 cm wheeled humanoid robot from Haier, created as an advanced domestic helper.</t>
        </is>
      </c>
      <c r="M86" s="101" t="inlineStr">
        <is>
          <t>The HIVA Haiwa is a 165 cm wheeled humanoid robot from Haier, created as an advanced domestic helper. Public status is listed as prototype, and it is positioned for consumer home use; Home assistance; Home service.</t>
        </is>
      </c>
      <c r="N86" s="157" t="inlineStr">
        <is>
          <t>https://humanoid.guide/product/hiva-haiwa/</t>
        </is>
      </c>
      <c r="O86" s="157" t="inlineStr">
        <is>
          <t>https://www.haier.com</t>
        </is>
      </c>
      <c r="P86" s="152" t="inlineStr">
        <is>
          <t>5 ft 5 in</t>
        </is>
      </c>
      <c r="Q86" s="152" t="n">
        <v>165</v>
      </c>
      <c r="R86" s="152" t="n">
        <v>154.3</v>
      </c>
      <c r="S86" s="152" t="n">
        <v>70</v>
      </c>
      <c r="T86" s="156" t="inlineStr">
        <is>
          <t>Not disclosed</t>
        </is>
      </c>
      <c r="U86" s="152" t="inlineStr">
        <is>
          <t>~180 × 80 × 60 cm crate (assumed)</t>
        </is>
      </c>
      <c r="V86" s="152" t="inlineStr">
        <is>
          <t>44</t>
        </is>
      </c>
      <c r="W86" s="156" t="inlineStr">
        <is>
          <t>12</t>
        </is>
      </c>
      <c r="X86" s="152" t="n">
        <v>17.6</v>
      </c>
      <c r="Y86" s="152" t="n">
        <v>8</v>
      </c>
      <c r="Z86" s="152" t="n">
        <v>2.49</v>
      </c>
      <c r="AA86" s="152" t="n">
        <v>4</v>
      </c>
      <c r="AB86" s="152" t="n">
        <v>2.5</v>
      </c>
      <c r="AC86" s="156" t="inlineStr">
        <is>
          <t>≈ 1 hours</t>
        </is>
      </c>
      <c r="AD86" s="156" t="inlineStr">
        <is>
          <t>1</t>
        </is>
      </c>
      <c r="AE86" s="152" t="n"/>
      <c r="AF86" s="152" t="inlineStr">
        <is>
          <t>Not disclosed</t>
        </is>
      </c>
      <c r="AG86" s="156" t="inlineStr">
        <is>
          <t>5 per hand</t>
        </is>
      </c>
      <c r="AH86" s="152" t="inlineStr">
        <is>
          <t>5 per hand</t>
        </is>
      </c>
      <c r="AI86" s="151" t="n">
        <v>3</v>
      </c>
      <c r="AJ86" s="156" t="inlineStr">
        <is>
          <t>Not disclosed</t>
        </is>
      </c>
      <c r="AK86" s="156" t="n"/>
      <c r="AL86" s="152" t="inlineStr">
        <is>
          <t>Not disclosed</t>
        </is>
      </c>
      <c r="AM86" s="152" t="n"/>
      <c r="AN86" s="152" t="inlineStr">
        <is>
          <t>Not disclosed</t>
        </is>
      </c>
      <c r="AO86" s="152" t="inlineStr">
        <is>
          <t>Not disclosed</t>
        </is>
      </c>
      <c r="AP86" s="152" t="inlineStr">
        <is>
          <t>Not disclosed</t>
        </is>
      </c>
      <c r="AQ86" s="152" t="inlineStr">
        <is>
          <t>Not disclosed</t>
        </is>
      </c>
      <c r="AR86" s="152" t="n"/>
      <c r="AS86" s="152" t="n"/>
      <c r="AT86" s="156" t="inlineStr">
        <is>
          <t>Embedded CPU + AI accelerator</t>
        </is>
      </c>
      <c r="AU86" s="156" t="inlineStr">
        <is>
          <t>Bluetooth; Smart Home Network; Wi‑Fi</t>
        </is>
      </c>
      <c r="AV86" s="152" t="inlineStr">
        <is>
          <t>Not disclosed</t>
        </is>
      </c>
      <c r="AW86" s="156" t="inlineStr">
        <is>
          <t>Not disclosed</t>
        </is>
      </c>
      <c r="AX86" s="158" t="n">
        <v>2</v>
      </c>
      <c r="AY86" s="156" t="inlineStr">
        <is>
          <t>Linux-based ROS environment</t>
        </is>
      </c>
      <c r="AZ86" s="156" t="inlineStr">
        <is>
          <t>Possible via external system integration</t>
        </is>
      </c>
      <c r="BA86" s="156" t="inlineStr">
        <is>
          <t>250–450 ms</t>
        </is>
      </c>
      <c r="BB86" s="156" t="inlineStr">
        <is>
          <t>Electric servo motors</t>
        </is>
      </c>
      <c r="BC86" s="156" t="inlineStr">
        <is>
          <t>Harmonic / planetary gears (assumed)</t>
        </is>
      </c>
      <c r="BD86" s="152" t="inlineStr">
        <is>
          <t>Aluminum alloy frame</t>
        </is>
      </c>
      <c r="BE86" s="152" t="inlineStr">
        <is>
          <t>IP20</t>
        </is>
      </c>
      <c r="BF86" s="152" t="inlineStr">
        <is>
          <t>IP20</t>
        </is>
      </c>
      <c r="BG86" s="152" t="n"/>
      <c r="BH86" s="152" t="n"/>
      <c r="BI86" s="152" t="n"/>
      <c r="BJ86" s="152" t="n"/>
      <c r="BK86" s="152" t="n"/>
      <c r="BL86" s="152" t="n"/>
      <c r="BM86" s="152" t="inlineStr">
        <is>
          <t>Yes</t>
        </is>
      </c>
      <c r="BN86" s="152" t="inlineStr">
        <is>
          <t>Not disclosed</t>
        </is>
      </c>
      <c r="BO86" s="156" t="inlineStr">
        <is>
          <t>Market: Consumer home use; Home assistance; Home service · Manipulation 3/4 · Navigation 2/4 · Human-safe: Yes · AI: Possible via external system integration · Actuation: Electric servo motors · Peak 4 km/h · Walk 2.5 km/h · Runtime 1</t>
        </is>
      </c>
      <c r="BP86" s="152" t="n"/>
      <c r="BQ86" s="156" t="inlineStr">
        <is>
          <t>Consumer home use; Home assistance; Home service</t>
        </is>
      </c>
      <c r="BR86" s="156" t="inlineStr">
        <is>
          <t>Prototype</t>
        </is>
      </c>
      <c r="BS86" s="156" t="inlineStr">
        <is>
          <t>Prototype</t>
        </is>
      </c>
      <c r="BT86" s="152" t="inlineStr">
        <is>
          <t>White</t>
        </is>
      </c>
      <c r="BU86" s="152" t="inlineStr">
        <is>
          <t>Not verified</t>
        </is>
      </c>
      <c r="BV86" s="156" t="n"/>
      <c r="BW86" s="156" t="inlineStr">
        <is>
          <t>Origin &amp; status — China · Prototype · 2026 | Manipulation — 5 per hand · 5 per hand fingers · Hand DOF 12 · Payload 17.6 lb | Sensing &amp; software — Possible via external system integration · Linux-based ROS environment | Buying notes — From $80,000 · 12 months manufacturer standard (typical research/commercial humanoid) · Best fit: Consumer home use</t>
        </is>
      </c>
      <c r="BX86" s="156" t="inlineStr">
        <is>
          <t>as_shipped|HIVA Haiwa|80000|As shipped</t>
        </is>
      </c>
      <c r="BY86" s="152" t="inlineStr">
        <is>
          <t>white|White|#e2e8f0|0</t>
        </is>
      </c>
      <c r="BZ86" s="152" t="inlineStr"/>
      <c r="CA86" s="156" t="n"/>
      <c r="CB86" s="156" t="inlineStr">
        <is>
          <t>12 months manufacturer standard (typical research/commercial humanoid)</t>
        </is>
      </c>
      <c r="CC86" s="154" t="n">
        <v>12</v>
      </c>
      <c r="CD86" s="156" t="inlineStr">
        <is>
          <t>+3 Year Extended ≈24% of configuration (default in configurator)</t>
        </is>
      </c>
      <c r="CE86" s="152" t="inlineStr">
        <is>
          <t>Humanoid category norm 2025–2026</t>
        </is>
      </c>
      <c r="CF86" s="152" t="inlineStr">
        <is>
          <t>Estimated</t>
        </is>
      </c>
      <c r="CG86" s="156" t="inlineStr">
        <is>
          <t>Confirm on formal OEM quote. EDU or enterprise packages may differ.</t>
        </is>
      </c>
      <c r="CH86" s="152" t="inlineStr">
        <is>
          <t>10%</t>
        </is>
      </c>
      <c r="CI86" s="152" t="inlineStr">
        <is>
          <t>17%</t>
        </is>
      </c>
      <c r="CJ86" s="152" t="inlineStr">
        <is>
          <t>24%</t>
        </is>
      </c>
      <c r="CK86" s="156" t="inlineStr">
        <is>
          <t>+1yr ≈10% | +2yr ≈17% | +3yr ≈24% of selected configuration price (parts &amp; labor beyond manufacturer standard).</t>
        </is>
      </c>
      <c r="CL86"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86" s="152" t="inlineStr">
        <is>
          <t>12 months manufacturer standard (typical research/commercial humanoid)</t>
        </is>
      </c>
      <c r="CN86" s="203" t="inlineStr">
        <is>
          <t>https://aixzd.com/robot/hiva-haiwa</t>
        </is>
      </c>
      <c r="CQ86" s="101" t="inlineStr">
        <is>
          <t>Height: 5 ft 5 in | Weight: 154.3 | Degrees of Freedom: 44 | Payload: 17.6 | Max Speed: 2.49 | Battery / Runtime: ≈ 1 hours</t>
        </is>
      </c>
    </row>
    <row r="87" ht="31.5" customHeight="1" s="102">
      <c r="A87" s="145" t="inlineStr">
        <is>
          <t>hexagon_aeon</t>
        </is>
      </c>
      <c r="B87" s="153" t="inlineStr">
        <is>
          <t>Humanoid.guide</t>
        </is>
      </c>
      <c r="C87" s="145" t="inlineStr">
        <is>
          <t>Hexagon</t>
        </is>
      </c>
      <c r="D87" s="145" t="inlineStr">
        <is>
          <t>AEON</t>
        </is>
      </c>
      <c r="E87" s="145" t="inlineStr">
        <is>
          <t>[Hexagon] AEON (2026)</t>
        </is>
      </c>
      <c r="F87" s="146" t="inlineStr">
        <is>
          <t>humanoid</t>
        </is>
      </c>
      <c r="G87" s="145" t="inlineStr">
        <is>
          <t>Swedish</t>
        </is>
      </c>
      <c r="H87" s="145" t="n"/>
      <c r="I87" s="148" t="n">
        <v>20000</v>
      </c>
      <c r="J87" s="145" t="inlineStr">
        <is>
          <t>Humanoid.guide list</t>
        </is>
      </c>
      <c r="K87" s="149" t="inlineStr">
        <is>
          <t>AEON is Hexagon’s 165 cm, 60 kg humanoid that sprints at 8.6 km/h, carries 15 kg, and runs an on-board NVIDIA Jetson Orin with hot-swappable batteries—purpose-built for fast, safe industrial inspection and logistics.</t>
        </is>
      </c>
      <c r="L87" s="101" t="inlineStr">
        <is>
          <t>AEON is Hexagon’s 165 cm, 60 kg humanoid that sprints at 8.6 km/h, carries 15 kg, and runs an on-board NVIDIA Jetson Orin with hot-swappable batteries—purpose-built for fast, safe industrial inspection and logistics.</t>
        </is>
      </c>
      <c r="M87" s="101" t="inlineStr">
        <is>
          <t>AEON is Hexagon’s 165 cm, 60 kg humanoid that sprints at 8.6 km/h, carries 15 kg, and runs an on-board NVIDIA Jetson Orin with hot-swappable batteries—purpose-built for fast, safe industrial inspection and logistics. Public status is listed as prototype, and it is positioned for industrial inspection, manipulation, reality-capture &amp; logistics.</t>
        </is>
      </c>
      <c r="N87" s="150" t="inlineStr">
        <is>
          <t>https://humanoid.guide/product/aeon/</t>
        </is>
      </c>
      <c r="O87" s="150" t="inlineStr">
        <is>
          <t>https://hexagon.com</t>
        </is>
      </c>
      <c r="P87" s="145" t="inlineStr">
        <is>
          <t>5 ft 5 in</t>
        </is>
      </c>
      <c r="Q87" s="145" t="n">
        <v>165</v>
      </c>
      <c r="R87" s="145" t="n">
        <v>132.3</v>
      </c>
      <c r="S87" s="145" t="n">
        <v>60</v>
      </c>
      <c r="T87" s="149" t="inlineStr">
        <is>
          <t>Not disclosed</t>
        </is>
      </c>
      <c r="U87" s="145" t="n"/>
      <c r="V87" s="145" t="inlineStr">
        <is>
          <t>34</t>
        </is>
      </c>
      <c r="W87" s="149" t="inlineStr">
        <is>
          <t>Not disclosed</t>
        </is>
      </c>
      <c r="X87" s="145" t="n">
        <v>33.1</v>
      </c>
      <c r="Y87" s="145" t="n">
        <v>15</v>
      </c>
      <c r="Z87" s="145" t="n">
        <v>5.34</v>
      </c>
      <c r="AA87" s="145" t="n">
        <v>8.6</v>
      </c>
      <c r="AB87" s="145" t="n"/>
      <c r="AC87" s="149" t="inlineStr">
        <is>
          <t>≈ 4 hours</t>
        </is>
      </c>
      <c r="AD87" s="149" t="inlineStr">
        <is>
          <t>4</t>
        </is>
      </c>
      <c r="AE87" s="145" t="n"/>
      <c r="AF87" s="145" t="inlineStr">
        <is>
          <t>Not disclosed</t>
        </is>
      </c>
      <c r="AG87" s="149" t="inlineStr">
        <is>
          <t>10</t>
        </is>
      </c>
      <c r="AH87" s="145" t="inlineStr">
        <is>
          <t>10</t>
        </is>
      </c>
      <c r="AI87" s="158" t="n">
        <v>2</v>
      </c>
      <c r="AJ87" s="149" t="inlineStr">
        <is>
          <t>Not disclosed</t>
        </is>
      </c>
      <c r="AK87" s="149" t="inlineStr">
        <is>
          <t>Not specified</t>
        </is>
      </c>
      <c r="AL87" s="145" t="inlineStr">
        <is>
          <t>Not disclosed</t>
        </is>
      </c>
      <c r="AM87" s="145" t="n"/>
      <c r="AN87" s="145" t="inlineStr">
        <is>
          <t>Not disclosed</t>
        </is>
      </c>
      <c r="AO87" s="145" t="inlineStr">
        <is>
          <t>Not disclosed</t>
        </is>
      </c>
      <c r="AP87" s="145" t="inlineStr">
        <is>
          <t>Not disclosed</t>
        </is>
      </c>
      <c r="AQ87" s="145" t="inlineStr">
        <is>
          <t>Not disclosed</t>
        </is>
      </c>
      <c r="AR87" s="145" t="n"/>
      <c r="AS87" s="145" t="n"/>
      <c r="AT87" s="149" t="inlineStr">
        <is>
          <t>NVIDIA IGX; Nvidia Jetson</t>
        </is>
      </c>
      <c r="AU87" s="149" t="inlineStr">
        <is>
          <t>Ethernet; WiFi</t>
        </is>
      </c>
      <c r="AV87" s="145" t="inlineStr">
        <is>
          <t>Not disclosed</t>
        </is>
      </c>
      <c r="AW87" s="149" t="inlineStr">
        <is>
          <t>Not disclosed</t>
        </is>
      </c>
      <c r="AX87" s="158" t="n">
        <v>2</v>
      </c>
      <c r="AY87" s="149" t="inlineStr">
        <is>
          <t>Linux</t>
        </is>
      </c>
      <c r="AZ87" s="149" t="inlineStr">
        <is>
          <t>Hexagon explores fine-tuned Isaac GR00T foundation models for reasoning and policy learning</t>
        </is>
      </c>
      <c r="BA87" s="149" t="inlineStr">
        <is>
          <t>Not specified</t>
        </is>
      </c>
      <c r="BB87" s="149" t="inlineStr">
        <is>
          <t>High-performance electric actuators engineered for precision &amp; load stability (details TBA)</t>
        </is>
      </c>
      <c r="BC87" s="149" t="inlineStr">
        <is>
          <t>Not disclosed</t>
        </is>
      </c>
      <c r="BD87" s="145" t="inlineStr">
        <is>
          <t>Aluminium; composite shell over alloy frame</t>
        </is>
      </c>
      <c r="BE87" s="145" t="inlineStr">
        <is>
          <t>Not disclosed</t>
        </is>
      </c>
      <c r="BF87" s="145" t="inlineStr">
        <is>
          <t>Not specified</t>
        </is>
      </c>
      <c r="BG87" s="145" t="n"/>
      <c r="BH87" s="145" t="n"/>
      <c r="BI87" s="145" t="n"/>
      <c r="BJ87" s="145" t="n"/>
      <c r="BK87" s="145" t="n"/>
      <c r="BL87" s="145" t="n"/>
      <c r="BM87" s="145" t="inlineStr">
        <is>
          <t>Yes</t>
        </is>
      </c>
      <c r="BN87" s="145" t="inlineStr">
        <is>
          <t>Not disclosed</t>
        </is>
      </c>
      <c r="BO87" s="149" t="inlineStr">
        <is>
          <t>Market: Industrial inspection, manipulation, reality-capture &amp; logistics · Manipulation 2/4 · Navigation 2/4 · Human-safe: Yes · AI: Hexagon explores fine-tuned Isaac GR00T foundation models for reasoning and policy learning · Actuation: High-performance electric actuators engineered for precision &amp; load stability (details TBA) · Peak 8.6 km/h · Runtime 4</t>
        </is>
      </c>
      <c r="BP87" s="145" t="n"/>
      <c r="BQ87" s="149" t="inlineStr">
        <is>
          <t>Industrial inspection, manipulation, reality-capture &amp; logistics</t>
        </is>
      </c>
      <c r="BR87" s="149" t="inlineStr">
        <is>
          <t>Prototype</t>
        </is>
      </c>
      <c r="BS87" s="149" t="inlineStr">
        <is>
          <t>Prototype</t>
        </is>
      </c>
      <c r="BT87" s="145" t="n"/>
      <c r="BU87" s="145" t="inlineStr">
        <is>
          <t>Not verified</t>
        </is>
      </c>
      <c r="BV87" s="149" t="n"/>
      <c r="BW87" s="149" t="inlineStr">
        <is>
          <t>Origin &amp; status — Swedish · Prototype · 2026 | Manipulation — 10 · 10 fingers · Payload 33.1 lb | Sensing &amp; software — Hexagon explores fine-tuned Isaac GR00T foundation models for reasoning and policy learning · Linux | Buying notes — From $20,000 · 12 months manufacturer standard (typical research/commercial humanoid) · Best fit: Industrial inspection, manipulation, reality-capture &amp; logistics</t>
        </is>
      </c>
      <c r="BX87" s="149" t="inlineStr">
        <is>
          <t>as_shipped|AEON|20000|As shipped</t>
        </is>
      </c>
      <c r="BY87" s="145" t="inlineStr">
        <is>
          <t>aeon|Manufacturer finish|#e2e8f0|0</t>
        </is>
      </c>
      <c r="BZ87" s="145" t="inlineStr"/>
      <c r="CA87" s="149" t="n"/>
      <c r="CB87" s="149" t="inlineStr">
        <is>
          <t>12 months manufacturer standard (typical research/commercial humanoid)</t>
        </is>
      </c>
      <c r="CC87" s="147" t="n">
        <v>12</v>
      </c>
      <c r="CD87" s="149" t="inlineStr">
        <is>
          <t>+3 Year Extended ≈24% of configuration (default in configurator)</t>
        </is>
      </c>
      <c r="CE87" s="145" t="inlineStr">
        <is>
          <t>Humanoid category norm 2025–2026</t>
        </is>
      </c>
      <c r="CF87" s="145" t="inlineStr">
        <is>
          <t>Estimated</t>
        </is>
      </c>
      <c r="CG87" s="149" t="inlineStr">
        <is>
          <t>Confirm on formal OEM quote. EDU or enterprise packages may differ.</t>
        </is>
      </c>
      <c r="CH87" s="145" t="inlineStr">
        <is>
          <t>10%</t>
        </is>
      </c>
      <c r="CI87" s="145" t="inlineStr">
        <is>
          <t>17%</t>
        </is>
      </c>
      <c r="CJ87" s="145" t="inlineStr">
        <is>
          <t>24%</t>
        </is>
      </c>
      <c r="CK87" s="149" t="inlineStr">
        <is>
          <t>+1yr ≈10% | +2yr ≈17% | +3yr ≈24% of selected configuration price (parts &amp; labor beyond manufacturer standard).</t>
        </is>
      </c>
      <c r="CL87"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87" s="145" t="inlineStr">
        <is>
          <t>12 months manufacturer standard (typical research/commercial humanoid)</t>
        </is>
      </c>
      <c r="CN87" s="203" t="inlineStr">
        <is>
          <t>https://aixzd.com/robot/aeon</t>
        </is>
      </c>
      <c r="CQ87" s="101" t="inlineStr">
        <is>
          <t>Height: 5 ft 5 in | Weight: 132.3 | Degrees of Freedom: 34 | Payload: 33.1 | Max Speed: 5.34 | Battery / Runtime: ≈ 4 hours</t>
        </is>
      </c>
    </row>
    <row r="88" ht="31.5" customHeight="1" s="102">
      <c r="A88" s="152" t="inlineStr">
        <is>
          <t>holiday_robotics_friday</t>
        </is>
      </c>
      <c r="B88" s="153" t="inlineStr">
        <is>
          <t>Humanoid.guide</t>
        </is>
      </c>
      <c r="C88" s="152" t="inlineStr">
        <is>
          <t>Holiday Robotics</t>
        </is>
      </c>
      <c r="D88" s="152" t="inlineStr">
        <is>
          <t>Friday</t>
        </is>
      </c>
      <c r="E88" s="152" t="inlineStr">
        <is>
          <t>[Holiday Robotics] Friday (2026)</t>
        </is>
      </c>
      <c r="F88" s="146" t="inlineStr">
        <is>
          <t>humanoid</t>
        </is>
      </c>
      <c r="G88" s="152" t="n"/>
      <c r="H88" s="152" t="n"/>
      <c r="I88" s="155" t="n">
        <v>200000</v>
      </c>
      <c r="J88" s="152" t="inlineStr">
        <is>
          <t>Humanoid.guide list</t>
        </is>
      </c>
      <c r="K88" s="156" t="inlineStr">
        <is>
          <t>Friday is Holiday Robotics’ dexterous humanoid for real-world work, pairing a 63-DoF body and tactile 20-DoF hands with a fast wheeled base, autonomous/teleop control, and hot-swap power for research, logistics, and human-interactive tasks.</t>
        </is>
      </c>
      <c r="L88" s="101" t="inlineStr">
        <is>
          <t>Friday is Holiday Robotics’ dexterous humanoid for real-world work, pairing a 63-DoF body and tactile 20-DoF hands with a fast wheeled base, autonomous/teleop control, and hot-swap power for research, logistics, and human-interactive tasks.</t>
        </is>
      </c>
      <c r="M88" s="101" t="inlineStr">
        <is>
          <t>Friday is Holiday Robotics’ dexterous humanoid for real-world work, pairing a 63-DoF body and tactile 20-DoF hands with a fast wheeled base, autonomous/teleop control, and hot-swap power for research, logistics, and human-interactive tasks. Public status is listed as prototype, and it is positioned for manufacturing.</t>
        </is>
      </c>
      <c r="N88" s="157" t="inlineStr">
        <is>
          <t>https://humanoid.guide/product/friday/</t>
        </is>
      </c>
      <c r="O88" s="152" t="inlineStr">
        <is>
          <t>https://www.holidayrobotics.com</t>
        </is>
      </c>
      <c r="P88" s="152" t="inlineStr">
        <is>
          <t>5 ft 8 in</t>
        </is>
      </c>
      <c r="Q88" s="152" t="n">
        <v>173</v>
      </c>
      <c r="R88" s="152" t="n">
        <v>253.5</v>
      </c>
      <c r="S88" s="152" t="n">
        <v>115</v>
      </c>
      <c r="T88" s="156" t="inlineStr">
        <is>
          <t>Not disclosed</t>
        </is>
      </c>
      <c r="U88" s="152" t="n"/>
      <c r="V88" s="152" t="inlineStr">
        <is>
          <t>63</t>
        </is>
      </c>
      <c r="W88" s="156" t="inlineStr">
        <is>
          <t>20</t>
        </is>
      </c>
      <c r="X88" s="152" t="n">
        <v>44.1</v>
      </c>
      <c r="Y88" s="152" t="n">
        <v>20</v>
      </c>
      <c r="Z88" s="152" t="n">
        <v>4.25</v>
      </c>
      <c r="AA88" s="152" t="n">
        <v>6.84</v>
      </c>
      <c r="AB88" s="152" t="n">
        <v>6.84</v>
      </c>
      <c r="AC88" s="156" t="inlineStr">
        <is>
          <t>≈ 4 hours</t>
        </is>
      </c>
      <c r="AD88" s="156" t="inlineStr">
        <is>
          <t>4</t>
        </is>
      </c>
      <c r="AE88" s="152" t="n"/>
      <c r="AF88" s="152" t="inlineStr">
        <is>
          <t>Not disclosed</t>
        </is>
      </c>
      <c r="AG88" s="156" t="inlineStr">
        <is>
          <t>10</t>
        </is>
      </c>
      <c r="AH88" s="152" t="inlineStr">
        <is>
          <t>10</t>
        </is>
      </c>
      <c r="AI88" s="158" t="n">
        <v>2</v>
      </c>
      <c r="AJ88" s="156" t="inlineStr">
        <is>
          <t>Not disclosed</t>
        </is>
      </c>
      <c r="AK88" s="156" t="n"/>
      <c r="AL88" s="152" t="inlineStr">
        <is>
          <t>Not disclosed</t>
        </is>
      </c>
      <c r="AM88" s="152" t="n"/>
      <c r="AN88" s="152" t="inlineStr">
        <is>
          <t>Not disclosed</t>
        </is>
      </c>
      <c r="AO88" s="152" t="inlineStr">
        <is>
          <t>Not disclosed</t>
        </is>
      </c>
      <c r="AP88" s="152" t="inlineStr">
        <is>
          <t>Not disclosed</t>
        </is>
      </c>
      <c r="AQ88" s="152" t="inlineStr">
        <is>
          <t>Not disclosed</t>
        </is>
      </c>
      <c r="AR88" s="152" t="n"/>
      <c r="AS88" s="152" t="n"/>
      <c r="AT88" s="156" t="inlineStr">
        <is>
          <t>NVIDIA Jetson Orin</t>
        </is>
      </c>
      <c r="AU88" s="156" t="inlineStr">
        <is>
          <t>Wi‑Fi</t>
        </is>
      </c>
      <c r="AV88" s="152" t="inlineStr">
        <is>
          <t>Not disclosed</t>
        </is>
      </c>
      <c r="AW88" s="156" t="inlineStr">
        <is>
          <t>Not disclosed</t>
        </is>
      </c>
      <c r="AX88" s="162" t="n">
        <v>1</v>
      </c>
      <c r="AY88" s="156" t="inlineStr">
        <is>
          <t>Linux</t>
        </is>
      </c>
      <c r="AZ88" s="156" t="inlineStr">
        <is>
          <t>No</t>
        </is>
      </c>
      <c r="BA88" s="156" t="inlineStr">
        <is>
          <t>0.2s</t>
        </is>
      </c>
      <c r="BB88" s="156" t="inlineStr">
        <is>
          <t>BLDC</t>
        </is>
      </c>
      <c r="BC88" s="156" t="inlineStr">
        <is>
          <t>QDD</t>
        </is>
      </c>
      <c r="BD88" s="152" t="inlineStr">
        <is>
          <t>Aluminum</t>
        </is>
      </c>
      <c r="BE88" s="152" t="inlineStr">
        <is>
          <t>No</t>
        </is>
      </c>
      <c r="BF88" s="152" t="inlineStr">
        <is>
          <t>No</t>
        </is>
      </c>
      <c r="BG88" s="152" t="n"/>
      <c r="BH88" s="152" t="n"/>
      <c r="BI88" s="152" t="n"/>
      <c r="BJ88" s="152" t="n"/>
      <c r="BK88" s="152" t="n"/>
      <c r="BL88" s="152" t="n"/>
      <c r="BM88" s="152" t="inlineStr">
        <is>
          <t>Yes</t>
        </is>
      </c>
      <c r="BN88" s="152" t="inlineStr">
        <is>
          <t>Not disclosed</t>
        </is>
      </c>
      <c r="BO88" s="156" t="inlineStr">
        <is>
          <t>Market: Manufacturing · Manipulation 2/4 · Navigation 1/4 · Human-safe: Yes · AI: No · Actuation: BLDC · Peak 6.84 km/h · Walk 6.84 km/h · Runtime 4</t>
        </is>
      </c>
      <c r="BP88" s="152" t="n"/>
      <c r="BQ88" s="156" t="inlineStr">
        <is>
          <t>Manufacturing</t>
        </is>
      </c>
      <c r="BR88" s="156" t="inlineStr">
        <is>
          <t>Prototype</t>
        </is>
      </c>
      <c r="BS88" s="156" t="inlineStr">
        <is>
          <t>Prototype</t>
        </is>
      </c>
      <c r="BT88" s="152" t="n"/>
      <c r="BU88" s="152" t="inlineStr">
        <is>
          <t>Not verified</t>
        </is>
      </c>
      <c r="BV88" s="156" t="n"/>
      <c r="BW88" s="156" t="inlineStr">
        <is>
          <t>Origin &amp; status — Prototype · 2026 | Manipulation — 10 · 10 fingers · Hand DOF 20 · Payload 44.1 lb | Sensing &amp; software — No · Linux | Buying notes — From $200,000 · 12 months manufacturer standard (typical research/commercial humanoid) · Best fit: Manufacturing</t>
        </is>
      </c>
      <c r="BX88" s="156" t="inlineStr">
        <is>
          <t>as_shipped|Friday|200000|As shipped</t>
        </is>
      </c>
      <c r="BY88" s="152" t="inlineStr">
        <is>
          <t>friday|Manufacturer finish|#e2e8f0|0</t>
        </is>
      </c>
      <c r="BZ88" s="152" t="inlineStr"/>
      <c r="CA88" s="156" t="n"/>
      <c r="CB88" s="156" t="inlineStr">
        <is>
          <t>12 months manufacturer standard (typical research/commercial humanoid)</t>
        </is>
      </c>
      <c r="CC88" s="154" t="n">
        <v>12</v>
      </c>
      <c r="CD88" s="156" t="inlineStr">
        <is>
          <t>+3 Year Extended ≈24% of configuration (default in configurator)</t>
        </is>
      </c>
      <c r="CE88" s="152" t="inlineStr">
        <is>
          <t>Humanoid category norm 2025–2026</t>
        </is>
      </c>
      <c r="CF88" s="152" t="inlineStr">
        <is>
          <t>Estimated</t>
        </is>
      </c>
      <c r="CG88" s="156" t="inlineStr">
        <is>
          <t>Confirm on formal OEM quote. EDU or enterprise packages may differ.</t>
        </is>
      </c>
      <c r="CH88" s="152" t="inlineStr">
        <is>
          <t>10%</t>
        </is>
      </c>
      <c r="CI88" s="152" t="inlineStr">
        <is>
          <t>17%</t>
        </is>
      </c>
      <c r="CJ88" s="152" t="inlineStr">
        <is>
          <t>24%</t>
        </is>
      </c>
      <c r="CK88" s="156" t="inlineStr">
        <is>
          <t>+1yr ≈10% | +2yr ≈17% | +3yr ≈24% of selected configuration price (parts &amp; labor beyond manufacturer standard).</t>
        </is>
      </c>
      <c r="CL88"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88" s="152" t="inlineStr">
        <is>
          <t>12 months manufacturer standard (typical research/commercial humanoid)</t>
        </is>
      </c>
      <c r="CN88" s="203" t="inlineStr">
        <is>
          <t>https://aixzd.com/robot/friday</t>
        </is>
      </c>
      <c r="CQ88" s="101" t="inlineStr">
        <is>
          <t>Height: 5 ft 8 in | Weight: 253.5 | Degrees of Freedom: 63 | Payload: 44.1 | Max Speed: 4.25 | Battery / Runtime: ≈ 4 hours</t>
        </is>
      </c>
    </row>
    <row r="89" ht="31.5" customHeight="1" s="102">
      <c r="A89" s="143" t="inlineStr">
        <is>
          <t>honor_lightning_flash_d1</t>
        </is>
      </c>
      <c r="B89" s="144" t="inlineStr">
        <is>
          <t>Both</t>
        </is>
      </c>
      <c r="C89" s="145" t="inlineStr">
        <is>
          <t>Honor</t>
        </is>
      </c>
      <c r="D89" s="145" t="inlineStr">
        <is>
          <t>Lightning</t>
        </is>
      </c>
      <c r="E89" s="145" t="inlineStr">
        <is>
          <t>[Honor] Lightning (2025)</t>
        </is>
      </c>
      <c r="F89" s="146" t="inlineStr">
        <is>
          <t>humanoid</t>
        </is>
      </c>
      <c r="G89" s="145" t="inlineStr">
        <is>
          <t>China</t>
        </is>
      </c>
      <c r="H89" s="147" t="n">
        <v>2025</v>
      </c>
      <c r="I89" s="148" t="n">
        <v>50000</v>
      </c>
      <c r="J89" s="145" t="inlineStr">
        <is>
          <t>Website store</t>
        </is>
      </c>
      <c r="K89" s="149" t="inlineStr">
        <is>
          <t>HONOR’s first humanoid robot brings AI-driven assistance to service environments and smart spaces, featuring real-time perception, voice interaction, and a compact human-like design.</t>
        </is>
      </c>
      <c r="L89" s="101" t="inlineStr">
        <is>
          <t>HONOR’s first humanoid robot brings AI-driven assistance to service environments and smart spaces, featuring real-time perception, voice interaction, and a compact human-like design.</t>
        </is>
      </c>
      <c r="M89" s="101" t="inlineStr">
        <is>
          <t>Lightning is Honor's humanoid, introduced around 2025 in China. HONOR’s first humanoid robot brings AI-driven assistance to service environments and smart spaces, featuring real-time perception, voice interaction, and a compact human-like design. Public status is listed as wHRG 2026 multi-unit finalist, and it is positioned for sprint / Athletic.</t>
        </is>
      </c>
      <c r="N89" s="150" t="inlineStr">
        <is>
          <t>https://humanoid.guide/product/honor/</t>
        </is>
      </c>
      <c r="O89" s="150" t="inlineStr">
        <is>
          <t>https://www.honor.com</t>
        </is>
      </c>
      <c r="P89" s="145" t="inlineStr">
        <is>
          <t>5 ft 3 in</t>
        </is>
      </c>
      <c r="Q89" s="145" t="n">
        <v>160</v>
      </c>
      <c r="R89" s="145" t="n">
        <v>176.4</v>
      </c>
      <c r="S89" s="145" t="n">
        <v>80</v>
      </c>
      <c r="T89" s="149" t="inlineStr">
        <is>
          <t>Not disclosed</t>
        </is>
      </c>
      <c r="U89" s="145" t="n"/>
      <c r="V89" s="145" t="inlineStr">
        <is>
          <t>20</t>
        </is>
      </c>
      <c r="W89" s="149" t="inlineStr">
        <is>
          <t>10</t>
        </is>
      </c>
      <c r="X89" s="145" t="n">
        <v>22</v>
      </c>
      <c r="Y89" s="145" t="n">
        <v>10</v>
      </c>
      <c r="Z89" s="145" t="n">
        <v>2.49</v>
      </c>
      <c r="AA89" s="145" t="n">
        <v>4</v>
      </c>
      <c r="AB89" s="145" t="n"/>
      <c r="AC89" s="149" t="inlineStr">
        <is>
          <t>≈ 2 hours</t>
        </is>
      </c>
      <c r="AD89" s="149" t="inlineStr">
        <is>
          <t>2</t>
        </is>
      </c>
      <c r="AE89" s="145" t="n"/>
      <c r="AF89" s="145" t="inlineStr">
        <is>
          <t>Not disclosed</t>
        </is>
      </c>
      <c r="AG89" s="149" t="inlineStr">
        <is>
          <t>5</t>
        </is>
      </c>
      <c r="AH89" s="145" t="inlineStr">
        <is>
          <t>5</t>
        </is>
      </c>
      <c r="AI89" s="145" t="n"/>
      <c r="AJ89" s="149" t="inlineStr">
        <is>
          <t>Vision suite for service and interaction tasks</t>
        </is>
      </c>
      <c r="AK89" s="149" t="n"/>
      <c r="AL89" s="145" t="inlineStr">
        <is>
          <t>Not disclosed</t>
        </is>
      </c>
      <c r="AM89" s="145" t="n"/>
      <c r="AN89" s="145" t="inlineStr">
        <is>
          <t>Not disclosed</t>
        </is>
      </c>
      <c r="AO89" s="145" t="inlineStr">
        <is>
          <t>Not disclosed</t>
        </is>
      </c>
      <c r="AP89" s="145" t="inlineStr">
        <is>
          <t>Not disclosed</t>
        </is>
      </c>
      <c r="AQ89" s="145" t="inlineStr">
        <is>
          <t>Not disclosed</t>
        </is>
      </c>
      <c r="AR89" s="145" t="n"/>
      <c r="AS89" s="145" t="n"/>
      <c r="AT89" s="149" t="inlineStr">
        <is>
          <t>Assumed AI-optimized SoC with neural NPU</t>
        </is>
      </c>
      <c r="AU89" s="149" t="inlineStr">
        <is>
          <t>Bluetooth; Ethernet; Wi‑Fi</t>
        </is>
      </c>
      <c r="AV89" s="145" t="inlineStr">
        <is>
          <t>Service-robot software stack</t>
        </is>
      </c>
      <c r="AW89" s="149" t="inlineStr">
        <is>
          <t>Not disclosed</t>
        </is>
      </c>
      <c r="AX89" s="145" t="n"/>
      <c r="AY89" s="149" t="inlineStr">
        <is>
          <t>Not disclosed</t>
        </is>
      </c>
      <c r="AZ89" s="149" t="inlineStr">
        <is>
          <t>Yes</t>
        </is>
      </c>
      <c r="BA89" s="149" t="inlineStr">
        <is>
          <t>Assumed optimized for real-time interaction</t>
        </is>
      </c>
      <c r="BB89" s="149" t="inlineStr">
        <is>
          <t>Assumed brushless servos</t>
        </is>
      </c>
      <c r="BC89" s="149" t="inlineStr">
        <is>
          <t>Assumed harmonic or planetary gears</t>
        </is>
      </c>
      <c r="BD89" s="145" t="inlineStr">
        <is>
          <t>Metal + reinforced polymers</t>
        </is>
      </c>
      <c r="BE89" s="145" t="inlineStr">
        <is>
          <t>Not disclosed</t>
        </is>
      </c>
      <c r="BF89" s="145" t="n"/>
      <c r="BG89" s="145" t="n"/>
      <c r="BH89" s="145" t="n"/>
      <c r="BI89" s="145" t="n"/>
      <c r="BJ89" s="145" t="n"/>
      <c r="BK89" s="145" t="n"/>
      <c r="BL89" s="145" t="n"/>
      <c r="BM89" s="145" t="inlineStr">
        <is>
          <t>Yes</t>
        </is>
      </c>
      <c r="BN89" s="145" t="inlineStr">
        <is>
          <t>Not disclosed</t>
        </is>
      </c>
      <c r="BO89" s="149" t="inlineStr">
        <is>
          <t>Market: Sprint / Athletic · Human-safe: Yes · AI: Yes · Actuation: Assumed brushless servos · Peak 4 km/h · Runtime 2</t>
        </is>
      </c>
      <c r="BP89" s="145" t="n"/>
      <c r="BQ89" s="149" t="inlineStr">
        <is>
          <t>Sprint / Athletic</t>
        </is>
      </c>
      <c r="BR89" s="149" t="inlineStr">
        <is>
          <t>WHRG 2026 multi-unit finalist</t>
        </is>
      </c>
      <c r="BS89" s="149" t="inlineStr">
        <is>
          <t>Prototype</t>
        </is>
      </c>
      <c r="BT89" s="145" t="inlineStr">
        <is>
          <t>Black</t>
        </is>
      </c>
      <c r="BU89" s="145" t="inlineStr">
        <is>
          <t>Not verified</t>
        </is>
      </c>
      <c r="BV89" s="149" t="inlineStr">
        <is>
          <t>Strong 100m / 1312 ft results at Games</t>
        </is>
      </c>
      <c r="BW89" s="149" t="inlineStr">
        <is>
          <t>Origin &amp; status — China · WHRG 2026 multi-unit finalist · 2025 | Manipulation — 5 · 5 fingers · Hand DOF 10 · Payload 22 lb (10 kg) | Sensing &amp; software — Vision suite for service and interaction tasks · Yes · Service-robot software stack | Buying notes — From $50,000 · 12 months manufacturer standard (typical research/commercial humanoid) · Best fit: Sprint</t>
        </is>
      </c>
      <c r="BX89" s="149" t="inlineStr">
        <is>
          <t>as_shipped|Lightning|50000|As shipped</t>
        </is>
      </c>
      <c r="BY89" s="145" t="inlineStr">
        <is>
          <t>black|Black|#111111|0</t>
        </is>
      </c>
      <c r="BZ89" s="145" t="inlineStr"/>
      <c r="CA89" s="149" t="inlineStr">
        <is>
          <t>Add-ons: case; 2 color options; Multi-year extended warranty available</t>
        </is>
      </c>
      <c r="CB89" s="149" t="inlineStr">
        <is>
          <t>12 months manufacturer standard (typical research/commercial humanoid)</t>
        </is>
      </c>
      <c r="CC89" s="147" t="n">
        <v>12</v>
      </c>
      <c r="CD89" s="149" t="inlineStr">
        <is>
          <t>+3 Year Extended ≈24% of configuration (default in configurator)</t>
        </is>
      </c>
      <c r="CE89" s="145" t="inlineStr">
        <is>
          <t>Humanoid category norm 2025–2026</t>
        </is>
      </c>
      <c r="CF89" s="145" t="inlineStr">
        <is>
          <t>Estimated</t>
        </is>
      </c>
      <c r="CG89" s="149" t="inlineStr">
        <is>
          <t>EDU or enterprise packages may differ; confirm on formal quote.</t>
        </is>
      </c>
      <c r="CH89" s="145" t="inlineStr">
        <is>
          <t>10%</t>
        </is>
      </c>
      <c r="CI89" s="145" t="inlineStr">
        <is>
          <t>17%</t>
        </is>
      </c>
      <c r="CJ89" s="145" t="inlineStr">
        <is>
          <t>24%</t>
        </is>
      </c>
      <c r="CK8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8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89" s="145" t="inlineStr">
        <is>
          <t>12 months manufacturer standard (typical research/commercial humanoid)</t>
        </is>
      </c>
      <c r="CQ89" s="101" t="inlineStr">
        <is>
          <t>Height: 5 ft 3 in | Weight: 176.4 | Degrees of Freedom: 20 | Payload: 22 | Max Speed: 2.49 | Battery / Runtime: ≈ 2 hours</t>
        </is>
      </c>
    </row>
    <row r="90" ht="31.5" customHeight="1" s="102">
      <c r="A90" s="143" t="inlineStr">
        <is>
          <t>honor_lightning_flash_d1_flash</t>
        </is>
      </c>
      <c r="B90" s="144" t="inlineStr">
        <is>
          <t>Both</t>
        </is>
      </c>
      <c r="C90" s="145" t="inlineStr">
        <is>
          <t>Honor</t>
        </is>
      </c>
      <c r="D90" s="145" t="inlineStr">
        <is>
          <t>Flash</t>
        </is>
      </c>
      <c r="E90" s="145" t="inlineStr">
        <is>
          <t>[Honor] Flash (2025)</t>
        </is>
      </c>
      <c r="F90" s="146" t="inlineStr">
        <is>
          <t>humanoid</t>
        </is>
      </c>
      <c r="G90" s="145" t="inlineStr">
        <is>
          <t>China</t>
        </is>
      </c>
      <c r="H90" s="147" t="n">
        <v>2025</v>
      </c>
      <c r="I90" s="148" t="n">
        <v>50000</v>
      </c>
      <c r="J90" s="145" t="inlineStr">
        <is>
          <t>Website store</t>
        </is>
      </c>
      <c r="K90" s="149" t="inlineStr">
        <is>
          <t>HONOR’s first humanoid robot brings AI-driven assistance to service environments and smart spaces, featuring real-time perception, voice interaction, and a compact human-like design.</t>
        </is>
      </c>
      <c r="L90" s="101" t="inlineStr">
        <is>
          <t>HONOR’s first humanoid robot brings AI-driven assistance to service environments and smart spaces, featuring real-time perception, voice interaction, and a compact human-like design.</t>
        </is>
      </c>
      <c r="M90" s="101" t="inlineStr">
        <is>
          <t>Flash is Honor's humanoid, introduced around 2025 in China. HONOR’s first humanoid robot brings AI-driven assistance to service environments and smart spaces, featuring real-time perception, voice interaction, and a compact human-like design. Public status is listed as wHRG 2026 multi-unit finalist, and it is positioned for sprint / Athletic.</t>
        </is>
      </c>
      <c r="N90" s="150" t="inlineStr">
        <is>
          <t>https://humanoid.guide/product/honor/</t>
        </is>
      </c>
      <c r="O90" s="150" t="inlineStr">
        <is>
          <t>https://www.honor.com</t>
        </is>
      </c>
      <c r="P90" s="145" t="inlineStr">
        <is>
          <t>5 ft 3 in</t>
        </is>
      </c>
      <c r="Q90" s="145" t="n">
        <v>160</v>
      </c>
      <c r="R90" s="145" t="n">
        <v>176.4</v>
      </c>
      <c r="S90" s="145" t="n">
        <v>80</v>
      </c>
      <c r="T90" s="149" t="inlineStr">
        <is>
          <t>Not disclosed</t>
        </is>
      </c>
      <c r="U90" s="145" t="n"/>
      <c r="V90" s="145" t="inlineStr">
        <is>
          <t>20</t>
        </is>
      </c>
      <c r="W90" s="149" t="inlineStr">
        <is>
          <t>10</t>
        </is>
      </c>
      <c r="X90" s="145" t="n">
        <v>22</v>
      </c>
      <c r="Y90" s="145" t="n">
        <v>10</v>
      </c>
      <c r="Z90" s="145" t="n">
        <v>2.49</v>
      </c>
      <c r="AA90" s="145" t="n">
        <v>4</v>
      </c>
      <c r="AB90" s="145" t="n"/>
      <c r="AC90" s="149" t="inlineStr">
        <is>
          <t>≈ 2 hours</t>
        </is>
      </c>
      <c r="AD90" s="149" t="inlineStr">
        <is>
          <t>2</t>
        </is>
      </c>
      <c r="AE90" s="145" t="n"/>
      <c r="AF90" s="145" t="inlineStr">
        <is>
          <t>Not disclosed</t>
        </is>
      </c>
      <c r="AG90" s="149" t="inlineStr">
        <is>
          <t>5</t>
        </is>
      </c>
      <c r="AH90" s="145" t="inlineStr">
        <is>
          <t>5</t>
        </is>
      </c>
      <c r="AI90" s="145" t="n"/>
      <c r="AJ90" s="149" t="inlineStr">
        <is>
          <t>Vision suite for service and interaction tasks</t>
        </is>
      </c>
      <c r="AK90" s="149" t="n"/>
      <c r="AL90" s="145" t="inlineStr">
        <is>
          <t>Not disclosed</t>
        </is>
      </c>
      <c r="AM90" s="145" t="n"/>
      <c r="AN90" s="145" t="inlineStr">
        <is>
          <t>Not disclosed</t>
        </is>
      </c>
      <c r="AO90" s="145" t="inlineStr">
        <is>
          <t>Not disclosed</t>
        </is>
      </c>
      <c r="AP90" s="145" t="inlineStr">
        <is>
          <t>Not disclosed</t>
        </is>
      </c>
      <c r="AQ90" s="145" t="inlineStr">
        <is>
          <t>Not disclosed</t>
        </is>
      </c>
      <c r="AR90" s="145" t="n"/>
      <c r="AS90" s="145" t="n"/>
      <c r="AT90" s="149" t="inlineStr">
        <is>
          <t>Assumed AI-optimized SoC with neural NPU</t>
        </is>
      </c>
      <c r="AU90" s="149" t="inlineStr">
        <is>
          <t>Bluetooth; Ethernet; Wi‑Fi</t>
        </is>
      </c>
      <c r="AV90" s="145" t="inlineStr">
        <is>
          <t>Service-robot software stack</t>
        </is>
      </c>
      <c r="AW90" s="149" t="inlineStr">
        <is>
          <t>Not disclosed</t>
        </is>
      </c>
      <c r="AX90" s="145" t="n"/>
      <c r="AY90" s="149" t="inlineStr">
        <is>
          <t>Not disclosed</t>
        </is>
      </c>
      <c r="AZ90" s="149" t="inlineStr">
        <is>
          <t>Yes</t>
        </is>
      </c>
      <c r="BA90" s="149" t="inlineStr">
        <is>
          <t>Assumed optimized for real-time interaction</t>
        </is>
      </c>
      <c r="BB90" s="149" t="inlineStr">
        <is>
          <t>Assumed brushless servos</t>
        </is>
      </c>
      <c r="BC90" s="149" t="inlineStr">
        <is>
          <t>Assumed harmonic or planetary gears</t>
        </is>
      </c>
      <c r="BD90" s="145" t="inlineStr">
        <is>
          <t>Metal + reinforced polymers</t>
        </is>
      </c>
      <c r="BE90" s="145" t="inlineStr">
        <is>
          <t>Not disclosed</t>
        </is>
      </c>
      <c r="BF90" s="145" t="n"/>
      <c r="BG90" s="145" t="n"/>
      <c r="BH90" s="145" t="n"/>
      <c r="BI90" s="145" t="n"/>
      <c r="BJ90" s="145" t="n"/>
      <c r="BK90" s="145" t="n"/>
      <c r="BL90" s="145" t="n"/>
      <c r="BM90" s="145" t="inlineStr">
        <is>
          <t>Yes</t>
        </is>
      </c>
      <c r="BN90" s="145" t="inlineStr">
        <is>
          <t>Not disclosed</t>
        </is>
      </c>
      <c r="BO90" s="149" t="inlineStr">
        <is>
          <t>Market: Sprint / Athletic · Human-safe: Yes · AI: Yes · Actuation: Assumed brushless servos · Peak 4 km/h · Runtime 2</t>
        </is>
      </c>
      <c r="BP90" s="145" t="n"/>
      <c r="BQ90" s="149" t="inlineStr">
        <is>
          <t>Sprint / Athletic</t>
        </is>
      </c>
      <c r="BR90" s="149" t="inlineStr">
        <is>
          <t>WHRG 2026 multi-unit finalist</t>
        </is>
      </c>
      <c r="BS90" s="149" t="inlineStr">
        <is>
          <t>Prototype</t>
        </is>
      </c>
      <c r="BT90" s="145" t="inlineStr">
        <is>
          <t>Black</t>
        </is>
      </c>
      <c r="BU90" s="145" t="inlineStr">
        <is>
          <t>Not verified</t>
        </is>
      </c>
      <c r="BV90" s="149" t="inlineStr">
        <is>
          <t>Strong 100m / 1312 ft results at Games</t>
        </is>
      </c>
      <c r="BW90" s="149" t="inlineStr">
        <is>
          <t>Origin &amp; status — China · WHRG 2026 multi-unit finalist · 2025 | Manipulation — 5 · 5 fingers · Hand DOF 10 · Payload 22 lb (10 kg) | Sensing &amp; software — Vision suite for service and interaction tasks · Yes · Service-robot software stack | Buying notes — From $50,000 · 12 months manufacturer standard (typical research/commercial humanoid) · Best fit: Sprint</t>
        </is>
      </c>
      <c r="BX90" s="149" t="inlineStr">
        <is>
          <t>as_shipped|Flash|50000|As shipped</t>
        </is>
      </c>
      <c r="BY90" s="145" t="inlineStr">
        <is>
          <t>black|Black|#111111|0</t>
        </is>
      </c>
      <c r="BZ90" s="145" t="inlineStr"/>
      <c r="CA90" s="149" t="inlineStr">
        <is>
          <t>Add-ons: case; 2 color options; Multi-year extended warranty available</t>
        </is>
      </c>
      <c r="CB90" s="149" t="inlineStr">
        <is>
          <t>12 months manufacturer standard (typical research/commercial humanoid)</t>
        </is>
      </c>
      <c r="CC90" s="147" t="n">
        <v>12</v>
      </c>
      <c r="CD90" s="149" t="inlineStr">
        <is>
          <t>+3 Year Extended ≈24% of configuration (default in configurator)</t>
        </is>
      </c>
      <c r="CE90" s="145" t="inlineStr">
        <is>
          <t>Humanoid category norm 2025–2026</t>
        </is>
      </c>
      <c r="CF90" s="145" t="inlineStr">
        <is>
          <t>Estimated</t>
        </is>
      </c>
      <c r="CG90" s="149" t="inlineStr">
        <is>
          <t>EDU or enterprise packages may differ; confirm on formal quote.</t>
        </is>
      </c>
      <c r="CH90" s="145" t="inlineStr">
        <is>
          <t>10%</t>
        </is>
      </c>
      <c r="CI90" s="145" t="inlineStr">
        <is>
          <t>17%</t>
        </is>
      </c>
      <c r="CJ90" s="145" t="inlineStr">
        <is>
          <t>24%</t>
        </is>
      </c>
      <c r="CK90"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90"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90" s="145" t="inlineStr">
        <is>
          <t>12 months manufacturer standard (typical research/commercial humanoid)</t>
        </is>
      </c>
      <c r="CQ90" s="101" t="inlineStr">
        <is>
          <t>Height: 5 ft 3 in | Weight: 176.4 | Degrees of Freedom: 20 | Payload: 22 | Max Speed: 2.49 | Battery / Runtime: ≈ 2 hours</t>
        </is>
      </c>
    </row>
    <row r="91" ht="31.5" customHeight="1" s="102">
      <c r="A91" s="143" t="inlineStr">
        <is>
          <t>honor_lightning_flash_d1_d1</t>
        </is>
      </c>
      <c r="B91" s="144" t="inlineStr">
        <is>
          <t>Both</t>
        </is>
      </c>
      <c r="C91" s="145" t="inlineStr">
        <is>
          <t>Honor</t>
        </is>
      </c>
      <c r="D91" s="145" t="inlineStr">
        <is>
          <t>D1</t>
        </is>
      </c>
      <c r="E91" s="145" t="inlineStr">
        <is>
          <t>[Honor] D1 (2025)</t>
        </is>
      </c>
      <c r="F91" s="146" t="inlineStr">
        <is>
          <t>humanoid</t>
        </is>
      </c>
      <c r="G91" s="145" t="inlineStr">
        <is>
          <t>China</t>
        </is>
      </c>
      <c r="H91" s="147" t="n">
        <v>2025</v>
      </c>
      <c r="I91" s="148" t="n">
        <v>50000</v>
      </c>
      <c r="J91" s="145" t="inlineStr">
        <is>
          <t>Website store</t>
        </is>
      </c>
      <c r="K91" s="149" t="inlineStr">
        <is>
          <t>HONOR’s first humanoid robot brings AI-driven assistance to service environments and smart spaces, featuring real-time perception, voice interaction, and a compact human-like design.</t>
        </is>
      </c>
      <c r="L91" s="101" t="inlineStr">
        <is>
          <t>HONOR’s first humanoid robot brings AI-driven assistance to service environments and smart spaces, featuring real-time perception, voice interaction, and a compact human-like design.</t>
        </is>
      </c>
      <c r="M91" s="101" t="inlineStr">
        <is>
          <t>D1 is Honor's humanoid, introduced around 2025 in China. HONOR’s first humanoid robot brings AI-driven assistance to service environments and smart spaces, featuring real-time perception, voice interaction, and a compact human-like design. Public status is listed as wHRG 2026 multi-unit finalist, and it is positioned for sprint / Athletic.</t>
        </is>
      </c>
      <c r="N91" s="150" t="inlineStr">
        <is>
          <t>https://humanoid.guide/product/honor/</t>
        </is>
      </c>
      <c r="O91" s="150" t="inlineStr">
        <is>
          <t>https://www.honor.com</t>
        </is>
      </c>
      <c r="P91" s="145" t="inlineStr">
        <is>
          <t>5 ft 3 in</t>
        </is>
      </c>
      <c r="Q91" s="145" t="n">
        <v>160</v>
      </c>
      <c r="R91" s="145" t="n">
        <v>176.4</v>
      </c>
      <c r="S91" s="145" t="n">
        <v>80</v>
      </c>
      <c r="T91" s="149" t="inlineStr">
        <is>
          <t>Not disclosed</t>
        </is>
      </c>
      <c r="U91" s="145" t="n"/>
      <c r="V91" s="145" t="inlineStr">
        <is>
          <t>20</t>
        </is>
      </c>
      <c r="W91" s="149" t="inlineStr">
        <is>
          <t>10</t>
        </is>
      </c>
      <c r="X91" s="145" t="n">
        <v>22</v>
      </c>
      <c r="Y91" s="145" t="n">
        <v>10</v>
      </c>
      <c r="Z91" s="145" t="n">
        <v>2.49</v>
      </c>
      <c r="AA91" s="145" t="n">
        <v>4</v>
      </c>
      <c r="AB91" s="145" t="n"/>
      <c r="AC91" s="149" t="inlineStr">
        <is>
          <t>≈ 2 hours</t>
        </is>
      </c>
      <c r="AD91" s="149" t="inlineStr">
        <is>
          <t>2</t>
        </is>
      </c>
      <c r="AE91" s="145" t="n"/>
      <c r="AF91" s="145" t="inlineStr">
        <is>
          <t>Not disclosed</t>
        </is>
      </c>
      <c r="AG91" s="149" t="inlineStr">
        <is>
          <t>5</t>
        </is>
      </c>
      <c r="AH91" s="145" t="inlineStr">
        <is>
          <t>5</t>
        </is>
      </c>
      <c r="AI91" s="145" t="n"/>
      <c r="AJ91" s="149" t="inlineStr">
        <is>
          <t>Vision suite for service and interaction tasks</t>
        </is>
      </c>
      <c r="AK91" s="149" t="n"/>
      <c r="AL91" s="145" t="inlineStr">
        <is>
          <t>Not disclosed</t>
        </is>
      </c>
      <c r="AM91" s="145" t="n"/>
      <c r="AN91" s="145" t="inlineStr">
        <is>
          <t>Not disclosed</t>
        </is>
      </c>
      <c r="AO91" s="145" t="inlineStr">
        <is>
          <t>Not disclosed</t>
        </is>
      </c>
      <c r="AP91" s="145" t="inlineStr">
        <is>
          <t>Not disclosed</t>
        </is>
      </c>
      <c r="AQ91" s="145" t="inlineStr">
        <is>
          <t>Not disclosed</t>
        </is>
      </c>
      <c r="AR91" s="145" t="n"/>
      <c r="AS91" s="145" t="n"/>
      <c r="AT91" s="149" t="inlineStr">
        <is>
          <t>Assumed AI-optimized SoC with neural NPU</t>
        </is>
      </c>
      <c r="AU91" s="149" t="inlineStr">
        <is>
          <t>Bluetooth; Ethernet; Wi‑Fi</t>
        </is>
      </c>
      <c r="AV91" s="145" t="inlineStr">
        <is>
          <t>Service-robot software stack</t>
        </is>
      </c>
      <c r="AW91" s="149" t="inlineStr">
        <is>
          <t>Not disclosed</t>
        </is>
      </c>
      <c r="AX91" s="145" t="n"/>
      <c r="AY91" s="149" t="inlineStr">
        <is>
          <t>Not disclosed</t>
        </is>
      </c>
      <c r="AZ91" s="149" t="inlineStr">
        <is>
          <t>Yes</t>
        </is>
      </c>
      <c r="BA91" s="149" t="inlineStr">
        <is>
          <t>Assumed optimized for real-time interaction</t>
        </is>
      </c>
      <c r="BB91" s="149" t="inlineStr">
        <is>
          <t>Assumed brushless servos</t>
        </is>
      </c>
      <c r="BC91" s="149" t="inlineStr">
        <is>
          <t>Assumed harmonic or planetary gears</t>
        </is>
      </c>
      <c r="BD91" s="145" t="inlineStr">
        <is>
          <t>Metal + reinforced polymers</t>
        </is>
      </c>
      <c r="BE91" s="145" t="inlineStr">
        <is>
          <t>Not disclosed</t>
        </is>
      </c>
      <c r="BF91" s="145" t="n"/>
      <c r="BG91" s="145" t="n"/>
      <c r="BH91" s="145" t="n"/>
      <c r="BI91" s="145" t="n"/>
      <c r="BJ91" s="145" t="n"/>
      <c r="BK91" s="145" t="n"/>
      <c r="BL91" s="145" t="n"/>
      <c r="BM91" s="145" t="inlineStr">
        <is>
          <t>Yes</t>
        </is>
      </c>
      <c r="BN91" s="145" t="inlineStr">
        <is>
          <t>Not disclosed</t>
        </is>
      </c>
      <c r="BO91" s="149" t="inlineStr">
        <is>
          <t>Market: Sprint / Athletic · Human-safe: Yes · AI: Yes · Actuation: Assumed brushless servos · Peak 4 km/h · Runtime 2</t>
        </is>
      </c>
      <c r="BP91" s="145" t="n"/>
      <c r="BQ91" s="149" t="inlineStr">
        <is>
          <t>Sprint / Athletic</t>
        </is>
      </c>
      <c r="BR91" s="149" t="inlineStr">
        <is>
          <t>WHRG 2026 multi-unit finalist</t>
        </is>
      </c>
      <c r="BS91" s="149" t="inlineStr">
        <is>
          <t>Prototype</t>
        </is>
      </c>
      <c r="BT91" s="145" t="inlineStr">
        <is>
          <t>Black</t>
        </is>
      </c>
      <c r="BU91" s="145" t="inlineStr">
        <is>
          <t>Not verified</t>
        </is>
      </c>
      <c r="BV91" s="149" t="inlineStr">
        <is>
          <t>Strong 100m / 1312 ft results at Games</t>
        </is>
      </c>
      <c r="BW91" s="149" t="inlineStr">
        <is>
          <t>Origin &amp; status — China · WHRG 2026 multi-unit finalist · 2025 | Manipulation — 5 · 5 fingers · Hand DOF 10 · Payload 22 lb (10 kg) | Sensing &amp; software — Vision suite for service and interaction tasks · Yes · Service-robot software stack | Buying notes — From $50,000 · 12 months manufacturer standard (typical research/commercial humanoid) · Best fit: Sprint</t>
        </is>
      </c>
      <c r="BX91" s="149" t="inlineStr">
        <is>
          <t>as_shipped|D1|50000|As shipped</t>
        </is>
      </c>
      <c r="BY91" s="145" t="inlineStr">
        <is>
          <t>black|Black|#111111|0</t>
        </is>
      </c>
      <c r="BZ91" s="145" t="inlineStr"/>
      <c r="CA91" s="149" t="inlineStr">
        <is>
          <t>Add-ons: case; 2 color options; Multi-year extended warranty available</t>
        </is>
      </c>
      <c r="CB91" s="149" t="inlineStr">
        <is>
          <t>12 months manufacturer standard (typical research/commercial humanoid)</t>
        </is>
      </c>
      <c r="CC91" s="147" t="n">
        <v>12</v>
      </c>
      <c r="CD91" s="149" t="inlineStr">
        <is>
          <t>+3 Year Extended ≈24% of configuration (default in configurator)</t>
        </is>
      </c>
      <c r="CE91" s="145" t="inlineStr">
        <is>
          <t>Humanoid category norm 2025–2026</t>
        </is>
      </c>
      <c r="CF91" s="145" t="inlineStr">
        <is>
          <t>Estimated</t>
        </is>
      </c>
      <c r="CG91" s="149" t="inlineStr">
        <is>
          <t>EDU or enterprise packages may differ; confirm on formal quote.</t>
        </is>
      </c>
      <c r="CH91" s="145" t="inlineStr">
        <is>
          <t>10%</t>
        </is>
      </c>
      <c r="CI91" s="145" t="inlineStr">
        <is>
          <t>17%</t>
        </is>
      </c>
      <c r="CJ91" s="145" t="inlineStr">
        <is>
          <t>24%</t>
        </is>
      </c>
      <c r="CK9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9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91" s="145" t="inlineStr">
        <is>
          <t>12 months manufacturer standard (typical research/commercial humanoid)</t>
        </is>
      </c>
      <c r="CQ91" s="101" t="inlineStr">
        <is>
          <t>Height: 5 ft 3 in | Weight: 176.4 | Degrees of Freedom: 20 | Payload: 22 | Max Speed: 2.49 | Battery / Runtime: ≈ 2 hours</t>
        </is>
      </c>
    </row>
    <row r="92" ht="31.5" customHeight="1" s="102">
      <c r="A92" s="152" t="inlineStr">
        <is>
          <t>ihub_robotics_tara_gen1</t>
        </is>
      </c>
      <c r="B92" s="153" t="inlineStr">
        <is>
          <t>Humanoid.guide</t>
        </is>
      </c>
      <c r="C92" s="152" t="inlineStr">
        <is>
          <t>iHub Robotics</t>
        </is>
      </c>
      <c r="D92" s="152" t="inlineStr">
        <is>
          <t>TARA GEN1</t>
        </is>
      </c>
      <c r="E92" s="152" t="inlineStr">
        <is>
          <t>[iHub Robotics] TARA GEN1 (2026)</t>
        </is>
      </c>
      <c r="F92" s="146" t="inlineStr">
        <is>
          <t>humanoid</t>
        </is>
      </c>
      <c r="G92" s="152" t="inlineStr">
        <is>
          <t>India</t>
        </is>
      </c>
      <c r="H92" s="152" t="n"/>
      <c r="I92" s="155" t="n">
        <v>13998</v>
      </c>
      <c r="J92" s="152" t="inlineStr">
        <is>
          <t>Humanoid.guide list</t>
        </is>
      </c>
      <c r="K92" s="156" t="inlineStr">
        <is>
          <t>TARA GEN1 is a semi‑humanoid robot from IHUB RESEARCH AND ROBOTICS, built for full production.</t>
        </is>
      </c>
      <c r="L92" s="101" t="inlineStr">
        <is>
          <t>TARA GEN1 is a semi‑humanoid robot from IHUB RESEARCH AND ROBOTICS, built for full production.</t>
        </is>
      </c>
      <c r="M92" s="101" t="inlineStr">
        <is>
          <t>TARA GEN1 is a semi‑humanoid robot from IHUB RESEARCH AND ROBOTICS, built for full production. Public status is listed as in production, and it is positioned for airport; banks; edutech; Industries; logistics.</t>
        </is>
      </c>
      <c r="N92" s="157" t="inlineStr">
        <is>
          <t>https://humanoid.guide/product/tara-gen1/</t>
        </is>
      </c>
      <c r="O92" s="157" t="inlineStr">
        <is>
          <t>https://www.ihubrobotics.com</t>
        </is>
      </c>
      <c r="P92" s="152" t="inlineStr">
        <is>
          <t>5 ft 4 in</t>
        </is>
      </c>
      <c r="Q92" s="152" t="n">
        <v>163</v>
      </c>
      <c r="R92" s="152" t="n">
        <v>165.3</v>
      </c>
      <c r="S92" s="152" t="n">
        <v>75</v>
      </c>
      <c r="T92" s="156" t="inlineStr">
        <is>
          <t>Not disclosed</t>
        </is>
      </c>
      <c r="U92" s="152" t="n"/>
      <c r="V92" s="152" t="inlineStr">
        <is>
          <t>3</t>
        </is>
      </c>
      <c r="W92" s="156" t="inlineStr">
        <is>
          <t>3</t>
        </is>
      </c>
      <c r="X92" s="152" t="n">
        <v>4.4</v>
      </c>
      <c r="Y92" s="152" t="n">
        <v>2</v>
      </c>
      <c r="Z92" s="152" t="n">
        <v>1.57</v>
      </c>
      <c r="AA92" s="152" t="n">
        <v>2.52</v>
      </c>
      <c r="AB92" s="152" t="n"/>
      <c r="AC92" s="156" t="inlineStr">
        <is>
          <t>≈ 8 hours</t>
        </is>
      </c>
      <c r="AD92" s="156" t="inlineStr">
        <is>
          <t>8</t>
        </is>
      </c>
      <c r="AE92" s="152" t="n"/>
      <c r="AF92" s="152" t="inlineStr">
        <is>
          <t>Not disclosed</t>
        </is>
      </c>
      <c r="AG92" s="156" t="inlineStr">
        <is>
          <t>10</t>
        </is>
      </c>
      <c r="AH92" s="152" t="inlineStr">
        <is>
          <t>10</t>
        </is>
      </c>
      <c r="AI92" s="158" t="n">
        <v>2</v>
      </c>
      <c r="AJ92" s="156" t="inlineStr">
        <is>
          <t>4K</t>
        </is>
      </c>
      <c r="AK92" s="156" t="inlineStr">
        <is>
          <t>4K</t>
        </is>
      </c>
      <c r="AL92" s="152" t="inlineStr">
        <is>
          <t>Not disclosed</t>
        </is>
      </c>
      <c r="AM92" s="152" t="n"/>
      <c r="AN92" s="152" t="inlineStr">
        <is>
          <t>Not disclosed</t>
        </is>
      </c>
      <c r="AO92" s="152" t="inlineStr">
        <is>
          <t>Not disclosed</t>
        </is>
      </c>
      <c r="AP92" s="152" t="inlineStr">
        <is>
          <t>Not disclosed</t>
        </is>
      </c>
      <c r="AQ92" s="152" t="inlineStr">
        <is>
          <t>Not disclosed</t>
        </is>
      </c>
      <c r="AR92" s="152" t="n"/>
      <c r="AS92" s="152" t="n"/>
      <c r="AT92" s="156" t="inlineStr">
        <is>
          <t>1024 core NVIDIA Ampere</t>
        </is>
      </c>
      <c r="AU92" s="156" t="inlineStr">
        <is>
          <t>WiFi</t>
        </is>
      </c>
      <c r="AV92" s="152" t="inlineStr">
        <is>
          <t>Not disclosed</t>
        </is>
      </c>
      <c r="AW92" s="156" t="inlineStr">
        <is>
          <t>Not disclosed</t>
        </is>
      </c>
      <c r="AX92" s="158" t="n">
        <v>2</v>
      </c>
      <c r="AY92" s="156" t="inlineStr">
        <is>
          <t>ubuntu 22.04</t>
        </is>
      </c>
      <c r="AZ92" s="156" t="inlineStr">
        <is>
          <t>LLama 3</t>
        </is>
      </c>
      <c r="BA92" s="156" t="inlineStr">
        <is>
          <t>1.5 sec</t>
        </is>
      </c>
      <c r="BB92" s="156" t="inlineStr">
        <is>
          <t>Closed Loop Stepper</t>
        </is>
      </c>
      <c r="BC92" s="156" t="inlineStr">
        <is>
          <t>Harmonic Drive</t>
        </is>
      </c>
      <c r="BD92" s="152" t="inlineStr">
        <is>
          <t>Mild steel</t>
        </is>
      </c>
      <c r="BE92" s="152" t="inlineStr">
        <is>
          <t>IP53</t>
        </is>
      </c>
      <c r="BF92" s="152" t="inlineStr">
        <is>
          <t>IP53</t>
        </is>
      </c>
      <c r="BG92" s="152" t="n"/>
      <c r="BH92" s="152" t="n"/>
      <c r="BI92" s="152" t="n"/>
      <c r="BJ92" s="152" t="n"/>
      <c r="BK92" s="152" t="n"/>
      <c r="BL92" s="152" t="n"/>
      <c r="BM92" s="152" t="inlineStr">
        <is>
          <t>Yes</t>
        </is>
      </c>
      <c r="BN92" s="152" t="inlineStr">
        <is>
          <t>Not disclosed</t>
        </is>
      </c>
      <c r="BO92" s="156" t="inlineStr">
        <is>
          <t>Market: Airport; banks; edutech; Industries; logistics · Manipulation 2/4 · Navigation 2/4 · Human-safe: Yes · AI: LLama 3 · Actuation: Closed Loop Stepper · Peak 2.52 km/h · Runtime 8</t>
        </is>
      </c>
      <c r="BP92" s="152" t="n"/>
      <c r="BQ92" s="156" t="inlineStr">
        <is>
          <t>Airport; banks; edutech; Industries; logistics</t>
        </is>
      </c>
      <c r="BR92" s="156" t="inlineStr">
        <is>
          <t>In production</t>
        </is>
      </c>
      <c r="BS92" s="156" t="inlineStr">
        <is>
          <t>In production</t>
        </is>
      </c>
      <c r="BT92" s="152" t="n"/>
      <c r="BU92" s="152" t="inlineStr">
        <is>
          <t>Not verified</t>
        </is>
      </c>
      <c r="BV92" s="156" t="n"/>
      <c r="BW92" s="156" t="inlineStr">
        <is>
          <t>Origin &amp; status — India · In production · 2026 | Manipulation — 10 · 10 fingers · Hand DOF 3 · Payload 4.4 lb | Sensing &amp; software — 4K · LLama 3 · ubuntu 22.04 | Buying notes — From $13,998 · 12 months manufacturer standard (typical research/commercial humanoid) · Best fit: Airport</t>
        </is>
      </c>
      <c r="BX92" s="156" t="inlineStr">
        <is>
          <t>as_shipped|TARA GEN1|13998|As shipped</t>
        </is>
      </c>
      <c r="BY92" s="152" t="inlineStr">
        <is>
          <t>tara_gen1|Manufacturer finish|#e2e8f0|0</t>
        </is>
      </c>
      <c r="BZ92" s="152" t="inlineStr"/>
      <c r="CA92" s="156" t="n"/>
      <c r="CB92" s="156" t="inlineStr">
        <is>
          <t>12 months manufacturer standard (typical research/commercial humanoid)</t>
        </is>
      </c>
      <c r="CC92" s="154" t="n">
        <v>12</v>
      </c>
      <c r="CD92" s="156" t="inlineStr">
        <is>
          <t>+3 Year Extended ≈24% of configuration (default in configurator)</t>
        </is>
      </c>
      <c r="CE92" s="152" t="inlineStr">
        <is>
          <t>Humanoid category norm 2025–2026</t>
        </is>
      </c>
      <c r="CF92" s="152" t="inlineStr">
        <is>
          <t>Estimated</t>
        </is>
      </c>
      <c r="CG92" s="156" t="inlineStr">
        <is>
          <t>Confirm on formal OEM quote. EDU or enterprise packages may differ.</t>
        </is>
      </c>
      <c r="CH92" s="152" t="inlineStr">
        <is>
          <t>10%</t>
        </is>
      </c>
      <c r="CI92" s="152" t="inlineStr">
        <is>
          <t>17%</t>
        </is>
      </c>
      <c r="CJ92" s="152" t="inlineStr">
        <is>
          <t>24%</t>
        </is>
      </c>
      <c r="CK92" s="156" t="inlineStr">
        <is>
          <t>+1yr ≈10% | +2yr ≈17% | +3yr ≈24% of selected configuration price (parts &amp; labor beyond manufacturer standard).</t>
        </is>
      </c>
      <c r="CL92"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92" s="152" t="inlineStr">
        <is>
          <t>12 months manufacturer standard (typical research/commercial humanoid)</t>
        </is>
      </c>
      <c r="CQ92" s="101" t="inlineStr">
        <is>
          <t>Height: 5 ft 4 in | Weight: 165.3 | Degrees of Freedom: 3 | Payload: 4.4 | Max Speed: 1.57 | Battery / Runtime: ≈ 8 hours</t>
        </is>
      </c>
    </row>
    <row r="93" ht="31.5" customHeight="1" s="102">
      <c r="A93" s="145" t="inlineStr">
        <is>
          <t>isento_robotics_gmbh_pib_pro</t>
        </is>
      </c>
      <c r="B93" s="153" t="inlineStr">
        <is>
          <t>Humanoid.guide</t>
        </is>
      </c>
      <c r="C93" s="145" t="inlineStr">
        <is>
          <t>isento robotics GmbH</t>
        </is>
      </c>
      <c r="D93" s="145" t="inlineStr">
        <is>
          <t>pib.Pro</t>
        </is>
      </c>
      <c r="E93" s="145" t="inlineStr">
        <is>
          <t>[isento robotics GmbH] pib.Pro (2026)</t>
        </is>
      </c>
      <c r="F93" s="146" t="inlineStr">
        <is>
          <t>humanoid</t>
        </is>
      </c>
      <c r="G93" s="145" t="inlineStr">
        <is>
          <t>Germany</t>
        </is>
      </c>
      <c r="H93" s="145" t="n"/>
      <c r="I93" s="148" t="n">
        <v>5999</v>
      </c>
      <c r="J93" s="145" t="inlineStr">
        <is>
          <t>Humanoid.guide list</t>
        </is>
      </c>
      <c r="K93" s="149" t="inlineStr">
        <is>
          <t>Pib.Pro is Europe’s first open-source, ready-to-ship humanoid robot platform designed for real-world work, learning, and care.</t>
        </is>
      </c>
      <c r="L93" s="101" t="inlineStr">
        <is>
          <t>Pib.Pro is Europe’s first open-source, ready-to-ship humanoid robot platform designed for real-world work, learning, and care.</t>
        </is>
      </c>
      <c r="M93" s="101" t="inlineStr">
        <is>
          <t>Pib.Pro is Europe’s first open-source, ready-to-ship humanoid robot platform designed for real-world work, learning, and care. Public status is listed as in production, and it is positioned for education; Research.</t>
        </is>
      </c>
      <c r="N93" s="150" t="inlineStr">
        <is>
          <t>https://humanoid.guide/product/pib-pro/</t>
        </is>
      </c>
      <c r="O93" s="150" t="inlineStr">
        <is>
          <t>https://pib.rocks</t>
        </is>
      </c>
      <c r="P93" s="145" t="inlineStr">
        <is>
          <t>2 ft 7 in</t>
        </is>
      </c>
      <c r="Q93" s="145" t="n">
        <v>80</v>
      </c>
      <c r="R93" s="145" t="n"/>
      <c r="S93" s="145" t="n"/>
      <c r="T93" s="149" t="inlineStr">
        <is>
          <t>Not disclosed</t>
        </is>
      </c>
      <c r="U93" s="145" t="n"/>
      <c r="V93" s="145" t="inlineStr">
        <is>
          <t>20</t>
        </is>
      </c>
      <c r="W93" s="149" t="inlineStr">
        <is>
          <t>Not disclosed</t>
        </is>
      </c>
      <c r="X93" s="145" t="n">
        <v>8.800000000000001</v>
      </c>
      <c r="Y93" s="145" t="n">
        <v>4</v>
      </c>
      <c r="Z93" s="145" t="n">
        <v>1.55</v>
      </c>
      <c r="AA93" s="145" t="n">
        <v>2.5</v>
      </c>
      <c r="AB93" s="145" t="n"/>
      <c r="AC93" s="149" t="inlineStr">
        <is>
          <t>≈ 2 hours</t>
        </is>
      </c>
      <c r="AD93" s="149" t="inlineStr">
        <is>
          <t>2</t>
        </is>
      </c>
      <c r="AE93" s="145" t="n"/>
      <c r="AF93" s="145" t="inlineStr">
        <is>
          <t>Not disclosed</t>
        </is>
      </c>
      <c r="AG93" s="149" t="inlineStr">
        <is>
          <t>5</t>
        </is>
      </c>
      <c r="AH93" s="145" t="inlineStr">
        <is>
          <t>5</t>
        </is>
      </c>
      <c r="AI93" s="145" t="n"/>
      <c r="AJ93" s="149" t="inlineStr">
        <is>
          <t>Standard RGB cameras ~720p+ (inferred)</t>
        </is>
      </c>
      <c r="AK93" s="149" t="inlineStr">
        <is>
          <t>Standard RGB cameras ~720p+ (inferred)</t>
        </is>
      </c>
      <c r="AL93" s="145" t="inlineStr">
        <is>
          <t>Not disclosed</t>
        </is>
      </c>
      <c r="AM93" s="145" t="n"/>
      <c r="AN93" s="145" t="inlineStr">
        <is>
          <t>Not disclosed</t>
        </is>
      </c>
      <c r="AO93" s="145" t="inlineStr">
        <is>
          <t>Not disclosed</t>
        </is>
      </c>
      <c r="AP93" s="145" t="inlineStr">
        <is>
          <t>Not disclosed</t>
        </is>
      </c>
      <c r="AQ93" s="145" t="inlineStr">
        <is>
          <t>Not disclosed</t>
        </is>
      </c>
      <c r="AR93" s="145" t="n"/>
      <c r="AS93" s="145" t="n"/>
      <c r="AT93" s="149" t="inlineStr">
        <is>
          <t>Likely Raspberry Pi or similar modular compute (inferred from base pib)</t>
        </is>
      </c>
      <c r="AU93" s="149" t="inlineStr">
        <is>
          <t>Bluetooth; Wi‑Fi</t>
        </is>
      </c>
      <c r="AV93" s="145" t="inlineStr">
        <is>
          <t>Not disclosed</t>
        </is>
      </c>
      <c r="AW93" s="149" t="inlineStr">
        <is>
          <t>Not disclosed</t>
        </is>
      </c>
      <c r="AX93" s="145" t="n"/>
      <c r="AY93" s="149" t="inlineStr">
        <is>
          <t>Linux / ROS2 (based on base pib)</t>
        </is>
      </c>
      <c r="AZ93" s="149" t="inlineStr">
        <is>
          <t>Not confirmed</t>
        </is>
      </c>
      <c r="BA93" s="149" t="n"/>
      <c r="BB93" s="149" t="inlineStr">
        <is>
          <t>Servomotors</t>
        </is>
      </c>
      <c r="BC93" s="149" t="inlineStr">
        <is>
          <t>Standard hobby servo / belt gearing</t>
        </is>
      </c>
      <c r="BD93" s="145" t="inlineStr">
        <is>
          <t>3D-printed polymers (PLA/ABS)</t>
        </is>
      </c>
      <c r="BE93" s="145" t="inlineStr">
        <is>
          <t>Not disclosed</t>
        </is>
      </c>
      <c r="BF93" s="145" t="n"/>
      <c r="BG93" s="145" t="n"/>
      <c r="BH93" s="145" t="n"/>
      <c r="BI93" s="145" t="n"/>
      <c r="BJ93" s="145" t="n"/>
      <c r="BK93" s="145" t="n"/>
      <c r="BL93" s="145" t="n"/>
      <c r="BM93" s="145" t="inlineStr">
        <is>
          <t>Yes</t>
        </is>
      </c>
      <c r="BN93" s="145" t="inlineStr">
        <is>
          <t>Not disclosed</t>
        </is>
      </c>
      <c r="BO93" s="149" t="inlineStr">
        <is>
          <t>Market: education; Research · Human-safe: Yes · AI: Not confirmed · Actuation: Servomotors · Peak 2.5 km/h · Runtime 2</t>
        </is>
      </c>
      <c r="BP93" s="145" t="n"/>
      <c r="BQ93" s="149" t="inlineStr">
        <is>
          <t>education; Research</t>
        </is>
      </c>
      <c r="BR93" s="149" t="inlineStr">
        <is>
          <t>In production</t>
        </is>
      </c>
      <c r="BS93" s="149" t="inlineStr">
        <is>
          <t>In production</t>
        </is>
      </c>
      <c r="BT93" s="145" t="inlineStr">
        <is>
          <t>White</t>
        </is>
      </c>
      <c r="BU93" s="145" t="inlineStr">
        <is>
          <t>Not verified</t>
        </is>
      </c>
      <c r="BV93" s="149" t="n"/>
      <c r="BW93" s="149" t="inlineStr">
        <is>
          <t>Origin &amp; status — Germany · In production · 2026 | Manipulation — 5 · 5 fingers · Payload 8.8 lb | Sensing &amp; software — Standard RGB cameras ~720p+ (inferred) · Linux / ROS2 (based on base pib) | Buying notes — From $5,999 · 12 months manufacturer standard (typical research/commercial humanoid) · Best fit: education</t>
        </is>
      </c>
      <c r="BX93" s="149" t="inlineStr">
        <is>
          <t>as_shipped|pib.Pro|5999|As shipped</t>
        </is>
      </c>
      <c r="BY93" s="145" t="inlineStr">
        <is>
          <t>white|White|#e2e8f0|0</t>
        </is>
      </c>
      <c r="BZ93" s="145" t="inlineStr"/>
      <c r="CA93" s="149" t="n"/>
      <c r="CB93" s="149" t="inlineStr">
        <is>
          <t>12 months manufacturer standard (typical research/commercial humanoid)</t>
        </is>
      </c>
      <c r="CC93" s="147" t="n">
        <v>12</v>
      </c>
      <c r="CD93" s="149" t="inlineStr">
        <is>
          <t>+3 Year Extended ≈24% of configuration (default in configurator)</t>
        </is>
      </c>
      <c r="CE93" s="145" t="inlineStr">
        <is>
          <t>Humanoid category norm 2025–2026</t>
        </is>
      </c>
      <c r="CF93" s="145" t="inlineStr">
        <is>
          <t>Estimated</t>
        </is>
      </c>
      <c r="CG93" s="149" t="inlineStr">
        <is>
          <t>Confirm on formal OEM quote. EDU or enterprise packages may differ.</t>
        </is>
      </c>
      <c r="CH93" s="145" t="inlineStr">
        <is>
          <t>10%</t>
        </is>
      </c>
      <c r="CI93" s="145" t="inlineStr">
        <is>
          <t>17%</t>
        </is>
      </c>
      <c r="CJ93" s="145" t="inlineStr">
        <is>
          <t>24%</t>
        </is>
      </c>
      <c r="CK93" s="149" t="inlineStr">
        <is>
          <t>+1yr ≈10% | +2yr ≈17% | +3yr ≈24% of selected configuration price (parts &amp; labor beyond manufacturer standard).</t>
        </is>
      </c>
      <c r="CL93"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93" s="145" t="inlineStr">
        <is>
          <t>12 months manufacturer standard (typical research/commercial humanoid)</t>
        </is>
      </c>
      <c r="CQ93" s="101" t="inlineStr">
        <is>
          <t>Height: 2 ft 7 in | Weight: Not disclosed | Degrees of Freedom: 20 | Payload: 8.8 | Max Speed: 1.55 | Battery / Runtime: ≈ 2 hours</t>
        </is>
      </c>
    </row>
    <row r="94" ht="31.5" customHeight="1" s="102">
      <c r="A94" s="152" t="inlineStr">
        <is>
          <t>jaka_robotics_jaka</t>
        </is>
      </c>
      <c r="B94" s="153" t="inlineStr">
        <is>
          <t>Humanoid.guide</t>
        </is>
      </c>
      <c r="C94" s="152" t="inlineStr">
        <is>
          <t>JAKA Robotics</t>
        </is>
      </c>
      <c r="D94" s="152" t="inlineStr">
        <is>
          <t>JAKA π</t>
        </is>
      </c>
      <c r="E94" s="152" t="inlineStr">
        <is>
          <t>[JAKA Robotics] JAKA π (2026)</t>
        </is>
      </c>
      <c r="F94" s="146" t="inlineStr">
        <is>
          <t>humanoid</t>
        </is>
      </c>
      <c r="G94" s="152" t="inlineStr">
        <is>
          <t>China</t>
        </is>
      </c>
      <c r="H94" s="152" t="n"/>
      <c r="I94" s="155" t="n">
        <v>25000</v>
      </c>
      <c r="J94" s="152" t="inlineStr">
        <is>
          <t>Humanoid.guide list</t>
        </is>
      </c>
      <c r="K94" s="156" t="inlineStr">
        <is>
          <t>JAKA π is a 1.22-meter, 42-kilogram humanoid robot from Chinese cobot pioneer JAKA Robotics.</t>
        </is>
      </c>
      <c r="L94" s="101" t="inlineStr">
        <is>
          <t>JAKA π is a 1.22-meter, 42-kilogram humanoid robot from Chinese cobot pioneer JAKA Robotics.</t>
        </is>
      </c>
      <c r="M94" s="101" t="inlineStr">
        <is>
          <t>JAKA π is a 1.22-meter, 42-kilogram humanoid robot from Chinese cobot pioneer JAKA Robotics. Public status is listed as in production, and it is positioned for higher education, new retail / new business, entertainment, and companion / elderly care.</t>
        </is>
      </c>
      <c r="N94" s="157" t="inlineStr">
        <is>
          <t>https://humanoid.guide/product/jaka-%cf%80/</t>
        </is>
      </c>
      <c r="O94" s="157" t="inlineStr">
        <is>
          <t>https://www.jaka.com</t>
        </is>
      </c>
      <c r="P94" s="152" t="inlineStr">
        <is>
          <t>4 ft 0 in</t>
        </is>
      </c>
      <c r="Q94" s="152" t="n">
        <v>122</v>
      </c>
      <c r="R94" s="152" t="n">
        <v>92.59999999999999</v>
      </c>
      <c r="S94" s="152" t="n">
        <v>42</v>
      </c>
      <c r="T94" s="156" t="inlineStr">
        <is>
          <t>Not disclosed</t>
        </is>
      </c>
      <c r="U94" s="152" t="n"/>
      <c r="V94" s="152" t="inlineStr">
        <is>
          <t>27</t>
        </is>
      </c>
      <c r="W94" s="156" t="inlineStr">
        <is>
          <t>Not disclosed</t>
        </is>
      </c>
      <c r="X94" s="152" t="n">
        <v>6.6</v>
      </c>
      <c r="Y94" s="152" t="n">
        <v>3</v>
      </c>
      <c r="Z94" s="152" t="n">
        <v>4.03</v>
      </c>
      <c r="AA94" s="152" t="n">
        <v>6.48</v>
      </c>
      <c r="AB94" s="152" t="n">
        <v>4</v>
      </c>
      <c r="AC94" s="156" t="inlineStr">
        <is>
          <t>≈ 2 hours</t>
        </is>
      </c>
      <c r="AD94" s="156" t="inlineStr">
        <is>
          <t>2</t>
        </is>
      </c>
      <c r="AE94" s="152" t="n"/>
      <c r="AF94" s="152" t="inlineStr">
        <is>
          <t>Not disclosed</t>
        </is>
      </c>
      <c r="AG94" s="156" t="inlineStr">
        <is>
          <t>0</t>
        </is>
      </c>
      <c r="AH94" s="152" t="inlineStr">
        <is>
          <t>0</t>
        </is>
      </c>
      <c r="AI94" s="152" t="n"/>
      <c r="AJ94" s="156" t="inlineStr">
        <is>
          <t>Not disclosed</t>
        </is>
      </c>
      <c r="AK94" s="156" t="n"/>
      <c r="AL94" s="152" t="inlineStr">
        <is>
          <t>Not disclosed</t>
        </is>
      </c>
      <c r="AM94" s="152" t="n"/>
      <c r="AN94" s="152" t="inlineStr">
        <is>
          <t>Not disclosed</t>
        </is>
      </c>
      <c r="AO94" s="152" t="inlineStr">
        <is>
          <t>Not disclosed</t>
        </is>
      </c>
      <c r="AP94" s="152" t="inlineStr">
        <is>
          <t>Not disclosed</t>
        </is>
      </c>
      <c r="AQ94" s="152" t="inlineStr">
        <is>
          <t>Not disclosed</t>
        </is>
      </c>
      <c r="AR94" s="152" t="n"/>
      <c r="AS94" s="152" t="n"/>
      <c r="AT94" s="156" t="inlineStr">
        <is>
          <t>integrated Intel Arc graphics rather than a discrete NVIDIA Jetson. JAKA calls this the "Fusion Brain" (a single chip handling both real-time motion control and AI inference); Intel Core Ultra 7 255H processor with 64 GB memory</t>
        </is>
      </c>
      <c r="AU94" s="156" t="inlineStr">
        <is>
          <t>External: Wi-Fi · Internal: EtherCAT · Voice module, mobile app, and handheld remote controller all included</t>
        </is>
      </c>
      <c r="AV94" s="152" t="inlineStr">
        <is>
          <t>Not disclosed</t>
        </is>
      </c>
      <c r="AW94" s="156" t="inlineStr">
        <is>
          <t>Not disclosed</t>
        </is>
      </c>
      <c r="AX94" s="152" t="n"/>
      <c r="AY94" s="156" t="inlineStr">
        <is>
          <t>Not disclosed</t>
        </is>
      </c>
      <c r="AZ94" s="156" t="inlineStr">
        <is>
          <t>Voice module included</t>
        </is>
      </c>
      <c r="BA94" s="156" t="n"/>
      <c r="BB94" s="156" t="inlineStr">
        <is>
          <t>Brushless DC servo motors with permanent magnets</t>
        </is>
      </c>
      <c r="BC94" s="156" t="inlineStr">
        <is>
          <t>Planetary reducers per joint, producing up to 120 N·m peak torque per joint</t>
        </is>
      </c>
      <c r="BD94" s="152" t="inlineStr">
        <is>
          <t>Aluminum frame with soft-touch polymer covers</t>
        </is>
      </c>
      <c r="BE94" s="152" t="inlineStr">
        <is>
          <t>Not disclosed</t>
        </is>
      </c>
      <c r="BF94" s="152" t="n"/>
      <c r="BG94" s="152" t="n"/>
      <c r="BH94" s="152" t="n"/>
      <c r="BI94" s="152" t="n"/>
      <c r="BJ94" s="152" t="n"/>
      <c r="BK94" s="152" t="n"/>
      <c r="BL94" s="152" t="n"/>
      <c r="BM94" s="152" t="inlineStr">
        <is>
          <t>Yes</t>
        </is>
      </c>
      <c r="BN94" s="152" t="inlineStr">
        <is>
          <t>Not disclosed</t>
        </is>
      </c>
      <c r="BO94" s="156" t="inlineStr">
        <is>
          <t>Market: Higher education, new retail / new business, entertainment, and companion / elderly care · Human-safe: Yes · AI: Voice module included · Actuation: Brushless DC servo motors with permanent magnets · Peak 6.48 km/h · Walk 4 km/h · Runtime 2</t>
        </is>
      </c>
      <c r="BP94" s="152" t="n"/>
      <c r="BQ94" s="156" t="inlineStr">
        <is>
          <t>Higher education, new retail / new business, entertainment, and companion / elderly care</t>
        </is>
      </c>
      <c r="BR94" s="156" t="inlineStr">
        <is>
          <t>In production</t>
        </is>
      </c>
      <c r="BS94" s="156" t="inlineStr">
        <is>
          <t>In production</t>
        </is>
      </c>
      <c r="BT94" s="152" t="n"/>
      <c r="BU94" s="152" t="n"/>
      <c r="BV94" s="156" t="n"/>
      <c r="BW94" s="156" t="inlineStr">
        <is>
          <t>Origin &amp; status — China · In production · 2026 | Manipulation — 0 · 0 fingers · Payload 6.6 lb | Sensing &amp; software — Voice module included | Buying notes — From $25,000 · 12 months manufacturer standard (typical research/commercial humanoid) · Best fit: Higher education, new retail</t>
        </is>
      </c>
      <c r="BX94" s="156" t="inlineStr">
        <is>
          <t>as_shipped|JAKA π|25000|As shipped</t>
        </is>
      </c>
      <c r="BY94" s="152" t="inlineStr">
        <is>
          <t>jaka|Manufacturer finish|#e2e8f0|0</t>
        </is>
      </c>
      <c r="BZ94" s="152" t="inlineStr"/>
      <c r="CA94" s="156" t="n"/>
      <c r="CB94" s="156" t="inlineStr">
        <is>
          <t>12 months manufacturer standard (typical research/commercial humanoid)</t>
        </is>
      </c>
      <c r="CC94" s="154" t="n">
        <v>12</v>
      </c>
      <c r="CD94" s="156" t="inlineStr">
        <is>
          <t>+3 Year Extended ≈24% of configuration (default in configurator)</t>
        </is>
      </c>
      <c r="CE94" s="152" t="inlineStr">
        <is>
          <t>Humanoid category norm 2025–2026</t>
        </is>
      </c>
      <c r="CF94" s="152" t="inlineStr">
        <is>
          <t>Estimated</t>
        </is>
      </c>
      <c r="CG94" s="156" t="inlineStr">
        <is>
          <t>Confirm on formal OEM quote. EDU or enterprise packages may differ.</t>
        </is>
      </c>
      <c r="CH94" s="152" t="inlineStr">
        <is>
          <t>10%</t>
        </is>
      </c>
      <c r="CI94" s="152" t="inlineStr">
        <is>
          <t>17%</t>
        </is>
      </c>
      <c r="CJ94" s="152" t="inlineStr">
        <is>
          <t>24%</t>
        </is>
      </c>
      <c r="CK94" s="156" t="inlineStr">
        <is>
          <t>+1yr ≈10% | +2yr ≈17% | +3yr ≈24% of selected configuration price (parts &amp; labor beyond manufacturer standard).</t>
        </is>
      </c>
      <c r="CL94"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94" s="152" t="inlineStr">
        <is>
          <t>12 months manufacturer standard (typical research/commercial humanoid)</t>
        </is>
      </c>
      <c r="CQ94" s="101" t="inlineStr">
        <is>
          <t>Height: 4 ft 0 in | Weight: 92.6 | Degrees of Freedom: 27 | Payload: 6.6 | Max Speed: 4.03 | Battery / Runtime: ≈ 2 hours</t>
        </is>
      </c>
    </row>
    <row r="95" ht="31.5" customHeight="1" s="102">
      <c r="A95" s="145" t="inlineStr">
        <is>
          <t>jaka_robotics_jaka_k1</t>
        </is>
      </c>
      <c r="B95" s="153" t="inlineStr">
        <is>
          <t>Humanoid.guide</t>
        </is>
      </c>
      <c r="C95" s="145" t="inlineStr">
        <is>
          <t>JAKA Robotics</t>
        </is>
      </c>
      <c r="D95" s="145" t="inlineStr">
        <is>
          <t>Jaka K1</t>
        </is>
      </c>
      <c r="E95" s="145" t="inlineStr">
        <is>
          <t>[JAKA Robotics] Jaka K1 (2026)</t>
        </is>
      </c>
      <c r="F95" s="146" t="inlineStr">
        <is>
          <t>humanoid</t>
        </is>
      </c>
      <c r="G95" s="145" t="inlineStr">
        <is>
          <t>China</t>
        </is>
      </c>
      <c r="H95" s="145" t="n"/>
      <c r="I95" s="148" t="n">
        <v>100000</v>
      </c>
      <c r="J95" s="145" t="inlineStr">
        <is>
          <t>Humanoid.guide list</t>
        </is>
      </c>
      <c r="K95" s="149" t="inlineStr">
        <is>
          <t>The JAKA K1 is a flexible humanoid robot from JAKA Robotics, designed for automation in industries like manufacturing, logistics, and customer service.</t>
        </is>
      </c>
      <c r="L95" s="101" t="inlineStr">
        <is>
          <t>The JAKA K1 is a flexible humanoid robot from JAKA Robotics, designed for automation in industries like manufacturing, logistics, and customer service.</t>
        </is>
      </c>
      <c r="M95" s="101" t="inlineStr">
        <is>
          <t>The JAKA K1 is a flexible humanoid robot from JAKA Robotics, designed for automation in industries like manufacturing, logistics, and customer service. Public status is listed as prototype.</t>
        </is>
      </c>
      <c r="N95" s="150" t="inlineStr">
        <is>
          <t>https://humanoid.guide/product/jaka-k1/</t>
        </is>
      </c>
      <c r="O95" s="150" t="inlineStr">
        <is>
          <t>https://www.jaka.com</t>
        </is>
      </c>
      <c r="P95" s="145" t="inlineStr">
        <is>
          <t>5 ft 5 in</t>
        </is>
      </c>
      <c r="Q95" s="145" t="n">
        <v>165</v>
      </c>
      <c r="R95" s="145" t="n">
        <v>88.2</v>
      </c>
      <c r="S95" s="145" t="n">
        <v>40</v>
      </c>
      <c r="T95" s="149" t="inlineStr">
        <is>
          <t>Not disclosed</t>
        </is>
      </c>
      <c r="U95" s="145" t="n"/>
      <c r="V95" s="145" t="inlineStr">
        <is>
          <t>18</t>
        </is>
      </c>
      <c r="W95" s="149" t="inlineStr">
        <is>
          <t>Not disclosed</t>
        </is>
      </c>
      <c r="X95" s="145" t="n">
        <v>17.6</v>
      </c>
      <c r="Y95" s="145" t="n">
        <v>8</v>
      </c>
      <c r="Z95" s="145" t="n">
        <v>2.49</v>
      </c>
      <c r="AA95" s="145" t="n">
        <v>4</v>
      </c>
      <c r="AB95" s="145" t="n">
        <v>3.5</v>
      </c>
      <c r="AC95" s="149" t="inlineStr">
        <is>
          <t>≈ 3 hours</t>
        </is>
      </c>
      <c r="AD95" s="149" t="inlineStr">
        <is>
          <t>3</t>
        </is>
      </c>
      <c r="AE95" s="145" t="n"/>
      <c r="AF95" s="145" t="inlineStr">
        <is>
          <t>Not disclosed</t>
        </is>
      </c>
      <c r="AG95" s="149" t="inlineStr">
        <is>
          <t>Not disclosed</t>
        </is>
      </c>
      <c r="AH95" s="145" t="inlineStr">
        <is>
          <t>Not disclosed</t>
        </is>
      </c>
      <c r="AI95" s="158" t="n">
        <v>2</v>
      </c>
      <c r="AJ95" s="149" t="inlineStr">
        <is>
          <t>Not disclosed</t>
        </is>
      </c>
      <c r="AK95" s="149" t="n"/>
      <c r="AL95" s="145" t="inlineStr">
        <is>
          <t>Not disclosed</t>
        </is>
      </c>
      <c r="AM95" s="145" t="n"/>
      <c r="AN95" s="145" t="inlineStr">
        <is>
          <t>Not disclosed</t>
        </is>
      </c>
      <c r="AO95" s="145" t="inlineStr">
        <is>
          <t>Not disclosed</t>
        </is>
      </c>
      <c r="AP95" s="145" t="inlineStr">
        <is>
          <t>Not disclosed</t>
        </is>
      </c>
      <c r="AQ95" s="145" t="inlineStr">
        <is>
          <t>Not disclosed</t>
        </is>
      </c>
      <c r="AR95" s="145" t="n"/>
      <c r="AS95" s="145" t="n"/>
      <c r="AT95" s="149" t="inlineStr">
        <is>
          <t>Not disclosed</t>
        </is>
      </c>
      <c r="AU95" s="149" t="inlineStr">
        <is>
          <t>Not disclosed</t>
        </is>
      </c>
      <c r="AV95" s="145" t="inlineStr">
        <is>
          <t>Not disclosed</t>
        </is>
      </c>
      <c r="AW95" s="149" t="inlineStr">
        <is>
          <t>Not disclosed</t>
        </is>
      </c>
      <c r="AX95" s="158" t="n">
        <v>2</v>
      </c>
      <c r="AY95" s="149" t="inlineStr">
        <is>
          <t>Not disclosed</t>
        </is>
      </c>
      <c r="AZ95" s="149" t="inlineStr">
        <is>
          <t>Not disclosed</t>
        </is>
      </c>
      <c r="BA95" s="149" t="n"/>
      <c r="BB95" s="149" t="inlineStr">
        <is>
          <t>Not disclosed</t>
        </is>
      </c>
      <c r="BC95" s="149" t="inlineStr">
        <is>
          <t>Not disclosed</t>
        </is>
      </c>
      <c r="BD95" s="145" t="inlineStr">
        <is>
          <t>Not disclosed</t>
        </is>
      </c>
      <c r="BE95" s="145" t="inlineStr">
        <is>
          <t>Not disclosed</t>
        </is>
      </c>
      <c r="BF95" s="145" t="n"/>
      <c r="BG95" s="145" t="n"/>
      <c r="BH95" s="145" t="n"/>
      <c r="BI95" s="145" t="n"/>
      <c r="BJ95" s="145" t="n"/>
      <c r="BK95" s="145" t="n"/>
      <c r="BL95" s="145" t="n"/>
      <c r="BM95" s="145" t="inlineStr">
        <is>
          <t>Not disclosed</t>
        </is>
      </c>
      <c r="BN95" s="145" t="inlineStr">
        <is>
          <t>Not disclosed</t>
        </is>
      </c>
      <c r="BO95" s="149" t="inlineStr">
        <is>
          <t>Manipulation 2/4 · Navigation 2/4 · Peak 4 km/h · Walk 3.5 km/h · Runtime 3</t>
        </is>
      </c>
      <c r="BP95" s="145" t="n"/>
      <c r="BQ95" s="149" t="inlineStr">
        <is>
          <t>Research labs, commercial pilots, and education programs evaluating a humanoid from JAKA Robotics (China) now listed as prototype.</t>
        </is>
      </c>
      <c r="BR95" s="149" t="inlineStr">
        <is>
          <t>Prototype</t>
        </is>
      </c>
      <c r="BS95" s="149" t="inlineStr">
        <is>
          <t>Prototype</t>
        </is>
      </c>
      <c r="BT95" s="145" t="n"/>
      <c r="BU95" s="145" t="inlineStr">
        <is>
          <t>Not verified</t>
        </is>
      </c>
      <c r="BV95" s="149" t="n"/>
      <c r="BW95" s="149" t="inlineStr">
        <is>
          <t>Origin &amp; status — China · Prototype · 2026 | Manipulation — Payload 17.6 lb | Sensing &amp; software — Sensor and compute package confirmed on formal quote | Buying notes — From $100,000 · 12 months manufacturer standard (typical research/commercial humanoid)</t>
        </is>
      </c>
      <c r="BX95" s="149" t="inlineStr">
        <is>
          <t>as_shipped|Jaka K1|100000|As shipped</t>
        </is>
      </c>
      <c r="BY95" s="145" t="inlineStr">
        <is>
          <t>jaka_k1|Manufacturer finish|#e2e8f0|0</t>
        </is>
      </c>
      <c r="BZ95" s="145" t="inlineStr"/>
      <c r="CA95" s="149" t="n"/>
      <c r="CB95" s="149" t="inlineStr">
        <is>
          <t>12 months manufacturer standard (typical research/commercial humanoid)</t>
        </is>
      </c>
      <c r="CC95" s="147" t="n">
        <v>12</v>
      </c>
      <c r="CD95" s="149" t="inlineStr">
        <is>
          <t>+3 Year Extended ≈24% of configuration (default in configurator)</t>
        </is>
      </c>
      <c r="CE95" s="145" t="inlineStr">
        <is>
          <t>Humanoid category norm 2025–2026</t>
        </is>
      </c>
      <c r="CF95" s="145" t="inlineStr">
        <is>
          <t>Estimated</t>
        </is>
      </c>
      <c r="CG95" s="149" t="inlineStr">
        <is>
          <t>Confirm on formal OEM quote. EDU or enterprise packages may differ.</t>
        </is>
      </c>
      <c r="CH95" s="145" t="inlineStr">
        <is>
          <t>10%</t>
        </is>
      </c>
      <c r="CI95" s="145" t="inlineStr">
        <is>
          <t>17%</t>
        </is>
      </c>
      <c r="CJ95" s="145" t="inlineStr">
        <is>
          <t>24%</t>
        </is>
      </c>
      <c r="CK95" s="149" t="inlineStr">
        <is>
          <t>+1yr ≈10% | +2yr ≈17% | +3yr ≈24% of selected configuration price (parts &amp; labor beyond manufacturer standard).</t>
        </is>
      </c>
      <c r="CL9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95" s="145" t="inlineStr">
        <is>
          <t>12 months manufacturer standard (typical research/commercial humanoid)</t>
        </is>
      </c>
      <c r="CN95" s="203" t="inlineStr">
        <is>
          <t>https://aixzd.com/robot/jaka-k1</t>
        </is>
      </c>
      <c r="CQ95" s="101" t="inlineStr">
        <is>
          <t>Height: 5 ft 5 in | Weight: 88.2 | Degrees of Freedom: 18 | Payload: 17.6 | Max Speed: 2.49 | Battery / Runtime: ≈ 3 hours</t>
        </is>
      </c>
    </row>
    <row r="96" ht="31.5" customHeight="1" s="102">
      <c r="A96" s="152" t="inlineStr">
        <is>
          <t>jaka_robotics_jaka_kargo</t>
        </is>
      </c>
      <c r="B96" s="153" t="inlineStr">
        <is>
          <t>Humanoid.guide</t>
        </is>
      </c>
      <c r="C96" s="152" t="inlineStr">
        <is>
          <t>JAKA Robotics</t>
        </is>
      </c>
      <c r="D96" s="152" t="inlineStr">
        <is>
          <t>JAKA Kargo</t>
        </is>
      </c>
      <c r="E96" s="152" t="inlineStr">
        <is>
          <t>[JAKA Robotics] JAKA Kargo (2026)</t>
        </is>
      </c>
      <c r="F96" s="146" t="inlineStr">
        <is>
          <t>humanoid</t>
        </is>
      </c>
      <c r="G96" s="152" t="inlineStr">
        <is>
          <t>China</t>
        </is>
      </c>
      <c r="H96" s="152" t="n"/>
      <c r="I96" s="155" t="n">
        <v>65000</v>
      </c>
      <c r="J96" s="152" t="inlineStr">
        <is>
          <t>Humanoid.guide list</t>
        </is>
      </c>
      <c r="K96" s="156" t="inlineStr">
        <is>
          <t>JAKA Kargo is a mobile dual-arm manipulation robot from Chinese cobot maker JAKA Robotics.</t>
        </is>
      </c>
      <c r="L96" s="101" t="inlineStr">
        <is>
          <t>JAKA Kargo is a mobile dual-arm manipulation robot from Chinese cobot maker JAKA Robotics.</t>
        </is>
      </c>
      <c r="M96" s="101" t="inlineStr">
        <is>
          <t>JAKA Kargo is a mobile dual-arm manipulation robot from Chinese cobot maker JAKA Robotics. Public status is listed as in production, and it is positioned for industrial manufacturing and logistics.</t>
        </is>
      </c>
      <c r="N96" s="157" t="inlineStr">
        <is>
          <t>https://humanoid.guide/product/jaka-kargo/</t>
        </is>
      </c>
      <c r="O96" s="157" t="inlineStr">
        <is>
          <t>https://www.jaka.com</t>
        </is>
      </c>
      <c r="P96" s="152" t="inlineStr">
        <is>
          <t>5 ft 2 in</t>
        </is>
      </c>
      <c r="Q96" s="152" t="n">
        <v>156.5</v>
      </c>
      <c r="R96" s="152" t="n">
        <v>396.8</v>
      </c>
      <c r="S96" s="152" t="n">
        <v>180</v>
      </c>
      <c r="T96" s="156" t="inlineStr">
        <is>
          <t>Not disclosed</t>
        </is>
      </c>
      <c r="U96" s="152" t="n"/>
      <c r="V96" s="152" t="inlineStr">
        <is>
          <t>21</t>
        </is>
      </c>
      <c r="W96" s="156" t="inlineStr">
        <is>
          <t>Not disclosed</t>
        </is>
      </c>
      <c r="X96" s="152" t="n">
        <v>33.1</v>
      </c>
      <c r="Y96" s="152" t="n">
        <v>15</v>
      </c>
      <c r="Z96" s="152" t="n">
        <v>2.49</v>
      </c>
      <c r="AA96" s="152" t="n">
        <v>4</v>
      </c>
      <c r="AB96" s="152" t="n"/>
      <c r="AC96" s="156" t="inlineStr">
        <is>
          <t>≈ 4 hours</t>
        </is>
      </c>
      <c r="AD96" s="156" t="inlineStr">
        <is>
          <t>4</t>
        </is>
      </c>
      <c r="AE96" s="152" t="n"/>
      <c r="AF96" s="152" t="inlineStr">
        <is>
          <t>Not disclosed</t>
        </is>
      </c>
      <c r="AG96" s="156" t="inlineStr">
        <is>
          <t>Not disclosed</t>
        </is>
      </c>
      <c r="AH96" s="152" t="inlineStr">
        <is>
          <t>Not disclosed</t>
        </is>
      </c>
      <c r="AI96" s="152" t="n"/>
      <c r="AJ96" s="156" t="inlineStr">
        <is>
          <t>Not disclosed</t>
        </is>
      </c>
      <c r="AK96" s="156" t="n"/>
      <c r="AL96" s="152" t="inlineStr">
        <is>
          <t>Not disclosed</t>
        </is>
      </c>
      <c r="AM96" s="152" t="n"/>
      <c r="AN96" s="152" t="inlineStr">
        <is>
          <t>Not disclosed</t>
        </is>
      </c>
      <c r="AO96" s="152" t="inlineStr">
        <is>
          <t>Not disclosed</t>
        </is>
      </c>
      <c r="AP96" s="152" t="inlineStr">
        <is>
          <t>Not disclosed</t>
        </is>
      </c>
      <c r="AQ96" s="152" t="inlineStr">
        <is>
          <t>Not disclosed</t>
        </is>
      </c>
      <c r="AR96" s="152" t="n"/>
      <c r="AS96" s="152" t="n"/>
      <c r="AT96" s="156" t="inlineStr">
        <is>
          <t>Intel Core i5 12th generation processor with 128 GB SSD</t>
        </is>
      </c>
      <c r="AU96" s="156" t="inlineStr">
        <is>
          <t>2× multiplexed I/O; 2× RS232/422/485; 4× Gigabit Ethernet; CAN; Wi-Fi 6</t>
        </is>
      </c>
      <c r="AV96" s="152" t="inlineStr">
        <is>
          <t>Not disclosed</t>
        </is>
      </c>
      <c r="AW96" s="156" t="inlineStr">
        <is>
          <t>Not disclosed</t>
        </is>
      </c>
      <c r="AX96" s="152" t="n"/>
      <c r="AY96" s="156" t="inlineStr">
        <is>
          <t>Not disclosed</t>
        </is>
      </c>
      <c r="AZ96" s="156" t="inlineStr">
        <is>
          <t>Not disclosed</t>
        </is>
      </c>
      <c r="BA96" s="156" t="inlineStr">
        <is>
          <t>1 ms internal control loop — extremely fast; end-to-end perception-to-action latency not separately published</t>
        </is>
      </c>
      <c r="BB96" s="156" t="inlineStr">
        <is>
          <t>Brushless DC servo motors</t>
        </is>
      </c>
      <c r="BC96" s="156" t="inlineStr">
        <is>
          <t>Harmonic / planetary reducers per joint</t>
        </is>
      </c>
      <c r="BD96" s="152" t="inlineStr">
        <is>
          <t>Steel + aluminum alloy</t>
        </is>
      </c>
      <c r="BE96" s="152" t="inlineStr">
        <is>
          <t>IP20</t>
        </is>
      </c>
      <c r="BF96" s="152" t="inlineStr">
        <is>
          <t>IP20</t>
        </is>
      </c>
      <c r="BG96" s="152" t="n"/>
      <c r="BH96" s="152" t="n"/>
      <c r="BI96" s="152" t="n"/>
      <c r="BJ96" s="152" t="n"/>
      <c r="BK96" s="152" t="n"/>
      <c r="BL96" s="152" t="n"/>
      <c r="BM96" s="152" t="inlineStr">
        <is>
          <t>Yes</t>
        </is>
      </c>
      <c r="BN96" s="152" t="inlineStr">
        <is>
          <t>Not disclosed</t>
        </is>
      </c>
      <c r="BO96" s="156" t="inlineStr">
        <is>
          <t>Market: Industrial manufacturing and logistics · Human-safe: Yes · Actuation: Brushless DC servo motors · Peak 4 km/h · Runtime 4</t>
        </is>
      </c>
      <c r="BP96" s="152" t="n"/>
      <c r="BQ96" s="156" t="inlineStr">
        <is>
          <t>Industrial manufacturing and logistics</t>
        </is>
      </c>
      <c r="BR96" s="156" t="inlineStr">
        <is>
          <t>In production</t>
        </is>
      </c>
      <c r="BS96" s="156" t="inlineStr">
        <is>
          <t>In production</t>
        </is>
      </c>
      <c r="BT96" s="152" t="n"/>
      <c r="BU96" s="152" t="n"/>
      <c r="BV96" s="156" t="n"/>
      <c r="BW96" s="156" t="inlineStr">
        <is>
          <t>Origin &amp; status — China · In production · 2026 | Manipulation — Payload 33.1 lb | Sensing &amp; software — Sensor and compute package confirmed on formal quote | Buying notes — From $65,000 · 12 months manufacturer standard (typical research/commercial humanoid) · Best fit: Industrial manufacturing and logistics</t>
        </is>
      </c>
      <c r="BX96" s="156" t="inlineStr">
        <is>
          <t>as_shipped|JAKA Kargo|65000|As shipped</t>
        </is>
      </c>
      <c r="BY96" s="152" t="inlineStr">
        <is>
          <t>jaka_kargo|Manufacturer finish|#e2e8f0|0</t>
        </is>
      </c>
      <c r="BZ96" s="152" t="inlineStr"/>
      <c r="CA96" s="156" t="n"/>
      <c r="CB96" s="156" t="inlineStr">
        <is>
          <t>12 months manufacturer standard (typical research/commercial humanoid)</t>
        </is>
      </c>
      <c r="CC96" s="154" t="n">
        <v>12</v>
      </c>
      <c r="CD96" s="156" t="inlineStr">
        <is>
          <t>+3 Year Extended ≈24% of configuration (default in configurator)</t>
        </is>
      </c>
      <c r="CE96" s="152" t="inlineStr">
        <is>
          <t>Humanoid category norm 2025–2026</t>
        </is>
      </c>
      <c r="CF96" s="152" t="inlineStr">
        <is>
          <t>Estimated</t>
        </is>
      </c>
      <c r="CG96" s="156" t="inlineStr">
        <is>
          <t>Confirm on formal OEM quote. EDU or enterprise packages may differ.</t>
        </is>
      </c>
      <c r="CH96" s="152" t="inlineStr">
        <is>
          <t>10%</t>
        </is>
      </c>
      <c r="CI96" s="152" t="inlineStr">
        <is>
          <t>17%</t>
        </is>
      </c>
      <c r="CJ96" s="152" t="inlineStr">
        <is>
          <t>24%</t>
        </is>
      </c>
      <c r="CK96" s="156" t="inlineStr">
        <is>
          <t>+1yr ≈10% | +2yr ≈17% | +3yr ≈24% of selected configuration price (parts &amp; labor beyond manufacturer standard).</t>
        </is>
      </c>
      <c r="CL96"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96" s="152" t="inlineStr">
        <is>
          <t>12 months manufacturer standard (typical research/commercial humanoid)</t>
        </is>
      </c>
      <c r="CN96" s="203" t="inlineStr">
        <is>
          <t>https://aixzd.com/robot/jaka-kargo</t>
        </is>
      </c>
      <c r="CQ96" s="101" t="inlineStr">
        <is>
          <t>Height: 5 ft 2 in | Weight: 396.8 | Degrees of Freedom: 21 | Payload: 33.1 | Max Speed: 2.49 | Battery / Runtime: ≈ 4 hours</t>
        </is>
      </c>
    </row>
    <row r="97" ht="31.5" customHeight="1" s="102">
      <c r="A97" s="145" t="inlineStr">
        <is>
          <t>keenon_robotics_keenon_xman_r1</t>
        </is>
      </c>
      <c r="B97" s="153" t="inlineStr">
        <is>
          <t>Humanoid.guide</t>
        </is>
      </c>
      <c r="C97" s="145" t="inlineStr">
        <is>
          <t>KEENON Robotics</t>
        </is>
      </c>
      <c r="D97" s="145" t="inlineStr">
        <is>
          <t>Keenon XMAN‑R1</t>
        </is>
      </c>
      <c r="E97" s="145" t="inlineStr">
        <is>
          <t>[KEENON Robotics] Keenon XMAN‑R1 (2026)</t>
        </is>
      </c>
      <c r="F97" s="146" t="inlineStr">
        <is>
          <t>humanoid</t>
        </is>
      </c>
      <c r="G97" s="145" t="inlineStr">
        <is>
          <t>China</t>
        </is>
      </c>
      <c r="H97" s="145" t="n"/>
      <c r="I97" s="148" t="n">
        <v>100000</v>
      </c>
      <c r="J97" s="145" t="inlineStr">
        <is>
          <t>Humanoid.guide list</t>
        </is>
      </c>
      <c r="K97" s="149" t="inlineStr">
        <is>
          <t>Keenon XMAN‑R1 is a next-generation humanoid service robot built for the real-world demands of the service industry.</t>
        </is>
      </c>
      <c r="L97" s="101" t="inlineStr">
        <is>
          <t>Keenon XMAN‑R1 is a next-generation humanoid service robot built for the real-world demands of the service industry.</t>
        </is>
      </c>
      <c r="M97" s="101" t="inlineStr">
        <is>
          <t>Keenon XMAN‑R1 is a next-generation humanoid service robot built for the real-world demands of the service industry. Public status is listed as in production, and it is positioned for china.</t>
        </is>
      </c>
      <c r="N97" s="150" t="inlineStr">
        <is>
          <t>https://humanoid.guide/product/keenon-xman-r1/</t>
        </is>
      </c>
      <c r="O97" s="150" t="inlineStr">
        <is>
          <t>https://www.keenonrobot.com</t>
        </is>
      </c>
      <c r="P97" s="145" t="inlineStr">
        <is>
          <t>5 ft 8 in</t>
        </is>
      </c>
      <c r="Q97" s="145" t="n">
        <v>172</v>
      </c>
      <c r="R97" s="145" t="n">
        <v>242.5</v>
      </c>
      <c r="S97" s="145" t="n">
        <v>110</v>
      </c>
      <c r="T97" s="149" t="inlineStr">
        <is>
          <t>Not disclosed</t>
        </is>
      </c>
      <c r="U97" s="145" t="n"/>
      <c r="V97" s="145" t="inlineStr">
        <is>
          <t>36</t>
        </is>
      </c>
      <c r="W97" s="149" t="inlineStr">
        <is>
          <t>6</t>
        </is>
      </c>
      <c r="X97" s="145" t="n">
        <v>6.6</v>
      </c>
      <c r="Y97" s="145" t="n">
        <v>3</v>
      </c>
      <c r="Z97" s="145" t="n">
        <v>1.8</v>
      </c>
      <c r="AA97" s="145" t="n">
        <v>2.9</v>
      </c>
      <c r="AB97" s="145" t="n"/>
      <c r="AC97" s="149" t="inlineStr">
        <is>
          <t>≈ 3 hours</t>
        </is>
      </c>
      <c r="AD97" s="149" t="inlineStr">
        <is>
          <t>3</t>
        </is>
      </c>
      <c r="AE97" s="145" t="n"/>
      <c r="AF97" s="145" t="inlineStr">
        <is>
          <t>Not disclosed</t>
        </is>
      </c>
      <c r="AG97" s="149" t="inlineStr">
        <is>
          <t>10</t>
        </is>
      </c>
      <c r="AH97" s="145" t="inlineStr">
        <is>
          <t>10</t>
        </is>
      </c>
      <c r="AI97" s="158" t="n">
        <v>2</v>
      </c>
      <c r="AJ97" s="149" t="inlineStr">
        <is>
          <t>Not disclosed</t>
        </is>
      </c>
      <c r="AK97" s="149" t="n"/>
      <c r="AL97" s="145" t="inlineStr">
        <is>
          <t>Not disclosed</t>
        </is>
      </c>
      <c r="AM97" s="145" t="n"/>
      <c r="AN97" s="145" t="inlineStr">
        <is>
          <t>Not disclosed</t>
        </is>
      </c>
      <c r="AO97" s="145" t="inlineStr">
        <is>
          <t>Not disclosed</t>
        </is>
      </c>
      <c r="AP97" s="145" t="inlineStr">
        <is>
          <t>Not disclosed</t>
        </is>
      </c>
      <c r="AQ97" s="145" t="inlineStr">
        <is>
          <t>Not disclosed</t>
        </is>
      </c>
      <c r="AR97" s="145" t="n"/>
      <c r="AS97" s="145" t="n"/>
      <c r="AT97" s="149" t="inlineStr">
        <is>
          <t>Not disclosed</t>
        </is>
      </c>
      <c r="AU97" s="149" t="inlineStr">
        <is>
          <t>Not disclosed</t>
        </is>
      </c>
      <c r="AV97" s="145" t="inlineStr">
        <is>
          <t>Not disclosed</t>
        </is>
      </c>
      <c r="AW97" s="149" t="inlineStr">
        <is>
          <t>Not disclosed</t>
        </is>
      </c>
      <c r="AX97" s="158" t="n">
        <v>2</v>
      </c>
      <c r="AY97" s="149" t="inlineStr">
        <is>
          <t>Linux</t>
        </is>
      </c>
      <c r="AZ97" s="149" t="inlineStr">
        <is>
          <t>Not disclosed</t>
        </is>
      </c>
      <c r="BA97" s="149" t="n"/>
      <c r="BB97" s="149" t="inlineStr">
        <is>
          <t>High precision motor</t>
        </is>
      </c>
      <c r="BC97" s="149" t="inlineStr">
        <is>
          <t>Not disclosed</t>
        </is>
      </c>
      <c r="BD97" s="145" t="inlineStr">
        <is>
          <t>Not disclosed</t>
        </is>
      </c>
      <c r="BE97" s="145" t="inlineStr">
        <is>
          <t>Not disclosed</t>
        </is>
      </c>
      <c r="BF97" s="145" t="n"/>
      <c r="BG97" s="145" t="n"/>
      <c r="BH97" s="145" t="n"/>
      <c r="BI97" s="145" t="n"/>
      <c r="BJ97" s="145" t="n"/>
      <c r="BK97" s="145" t="n"/>
      <c r="BL97" s="145" t="n"/>
      <c r="BM97" s="145" t="inlineStr">
        <is>
          <t>Yes</t>
        </is>
      </c>
      <c r="BN97" s="145" t="inlineStr">
        <is>
          <t>Not disclosed</t>
        </is>
      </c>
      <c r="BO97" s="149" t="inlineStr">
        <is>
          <t>Market: China · Manipulation 2/4 · Navigation 2/4 · Human-safe: Yes · Actuation: High precision motor · Peak 2.9 km/h · Runtime 3</t>
        </is>
      </c>
      <c r="BP97" s="145" t="n"/>
      <c r="BQ97" s="149" t="inlineStr">
        <is>
          <t>China</t>
        </is>
      </c>
      <c r="BR97" s="149" t="inlineStr">
        <is>
          <t>In production</t>
        </is>
      </c>
      <c r="BS97" s="149" t="inlineStr">
        <is>
          <t>In production</t>
        </is>
      </c>
      <c r="BT97" s="145" t="n"/>
      <c r="BU97" s="145" t="inlineStr">
        <is>
          <t>Not verified</t>
        </is>
      </c>
      <c r="BV97" s="149" t="n"/>
      <c r="BW97" s="149" t="inlineStr">
        <is>
          <t>Origin &amp; status — China · In production · 2026 | Manipulation — 10 · 10 fingers · Hand DOF 6 · Payload 6.6 lb | Sensing &amp; software — Linux | Buying notes — From $100,000 · 12 months manufacturer standard (typical research/commercial humanoid) · Best fit: China</t>
        </is>
      </c>
      <c r="BX97" s="149" t="inlineStr">
        <is>
          <t>as_shipped|Keenon XMAN‑R1|100000|As shipped</t>
        </is>
      </c>
      <c r="BY97" s="145" t="inlineStr">
        <is>
          <t>keenon_xman_r1|Manufacturer finish|#e2e8f0|0</t>
        </is>
      </c>
      <c r="BZ97" s="145" t="inlineStr"/>
      <c r="CA97" s="149" t="n"/>
      <c r="CB97" s="149" t="inlineStr">
        <is>
          <t>12 months manufacturer standard (typical research/commercial humanoid)</t>
        </is>
      </c>
      <c r="CC97" s="147" t="n">
        <v>12</v>
      </c>
      <c r="CD97" s="149" t="inlineStr">
        <is>
          <t>+3 Year Extended ≈24% of configuration (default in configurator)</t>
        </is>
      </c>
      <c r="CE97" s="145" t="inlineStr">
        <is>
          <t>Humanoid category norm 2025–2026</t>
        </is>
      </c>
      <c r="CF97" s="145" t="inlineStr">
        <is>
          <t>Estimated</t>
        </is>
      </c>
      <c r="CG97" s="149" t="inlineStr">
        <is>
          <t>Confirm on formal OEM quote. EDU or enterprise packages may differ.</t>
        </is>
      </c>
      <c r="CH97" s="145" t="inlineStr">
        <is>
          <t>10%</t>
        </is>
      </c>
      <c r="CI97" s="145" t="inlineStr">
        <is>
          <t>17%</t>
        </is>
      </c>
      <c r="CJ97" s="145" t="inlineStr">
        <is>
          <t>24%</t>
        </is>
      </c>
      <c r="CK97" s="149" t="inlineStr">
        <is>
          <t>+1yr ≈10% | +2yr ≈17% | +3yr ≈24% of selected configuration price (parts &amp; labor beyond manufacturer standard).</t>
        </is>
      </c>
      <c r="CL97"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97" s="145" t="inlineStr">
        <is>
          <t>12 months manufacturer standard (typical research/commercial humanoid)</t>
        </is>
      </c>
      <c r="CN97" s="203" t="inlineStr">
        <is>
          <t>https://aixzd.com/robot/r1</t>
        </is>
      </c>
      <c r="CQ97" s="101" t="inlineStr">
        <is>
          <t>Height: 5 ft 8 in | Weight: 242.5 | Degrees of Freedom: 36 | Payload: 6.6 | Max Speed: 1.8 | Battery / Runtime: ≈ 3 hours</t>
        </is>
      </c>
    </row>
    <row r="98" ht="31.5" customHeight="1" s="102">
      <c r="A98" s="152" t="inlineStr">
        <is>
          <t>kepler_exploration_robot_co_k2_bumblebee</t>
        </is>
      </c>
      <c r="B98" s="153" t="inlineStr">
        <is>
          <t>Humanoid.guide</t>
        </is>
      </c>
      <c r="C98" s="152" t="inlineStr">
        <is>
          <t>Kepler Exploration Robot Co.</t>
        </is>
      </c>
      <c r="D98" s="152" t="inlineStr">
        <is>
          <t>K2 Bumblebee</t>
        </is>
      </c>
      <c r="E98" s="152" t="inlineStr">
        <is>
          <t>[Kepler Exploration Robot Co.] K2 Bumblebee (2026)</t>
        </is>
      </c>
      <c r="F98" s="146" t="inlineStr">
        <is>
          <t>humanoid</t>
        </is>
      </c>
      <c r="G98" s="152" t="inlineStr">
        <is>
          <t>China</t>
        </is>
      </c>
      <c r="H98" s="152" t="n"/>
      <c r="I98" s="155" t="n">
        <v>20000</v>
      </c>
      <c r="J98" s="152" t="inlineStr">
        <is>
          <t>Robot Price Index Aug 2026 · entry</t>
        </is>
      </c>
      <c r="K98" s="156" t="inlineStr">
        <is>
          <t>The K2 Bumblebee is a compact humanoid robot by Kepler Robotics designed for research, education, and AI experimentation.</t>
        </is>
      </c>
      <c r="L98" s="101" t="inlineStr">
        <is>
          <t>The K2 Bumblebee is a compact humanoid robot by Kepler Robotics designed for research, education, and AI experimentation.</t>
        </is>
      </c>
      <c r="M98" s="101" t="inlineStr">
        <is>
          <t>The K2 Bumblebee is a compact humanoid robot by Kepler Robotics designed for research, education, and AI experimentation. Public status is listed as prototype, and it is positioned for research, education, AI labs.</t>
        </is>
      </c>
      <c r="N98" s="157" t="inlineStr">
        <is>
          <t>https://humanoid.guide/product/k2-bumblebee/</t>
        </is>
      </c>
      <c r="O98" s="157" t="inlineStr">
        <is>
          <t>https://www.kepler-robotics.com</t>
        </is>
      </c>
      <c r="P98" s="152" t="inlineStr">
        <is>
          <t>5 ft 9 in</t>
        </is>
      </c>
      <c r="Q98" s="152" t="n">
        <v>175</v>
      </c>
      <c r="R98" s="152" t="n">
        <v>165.3</v>
      </c>
      <c r="S98" s="152" t="n">
        <v>75</v>
      </c>
      <c r="T98" s="156" t="inlineStr">
        <is>
          <t>Not disclosed</t>
        </is>
      </c>
      <c r="U98" s="152" t="inlineStr">
        <is>
          <t>140 × 45 × 35 cm crate</t>
        </is>
      </c>
      <c r="V98" s="152" t="inlineStr">
        <is>
          <t>28</t>
        </is>
      </c>
      <c r="W98" s="156" t="inlineStr">
        <is>
          <t>7</t>
        </is>
      </c>
      <c r="X98" s="152" t="n">
        <v>19.8</v>
      </c>
      <c r="Y98" s="152" t="n">
        <v>9</v>
      </c>
      <c r="Z98" s="152" t="n">
        <v>1.86</v>
      </c>
      <c r="AA98" s="152" t="n">
        <v>3</v>
      </c>
      <c r="AB98" s="152" t="n">
        <v>5</v>
      </c>
      <c r="AC98" s="156" t="inlineStr">
        <is>
          <t>≈ 2 hours</t>
        </is>
      </c>
      <c r="AD98" s="156" t="inlineStr">
        <is>
          <t>2</t>
        </is>
      </c>
      <c r="AE98" s="152" t="n"/>
      <c r="AF98" s="152" t="inlineStr">
        <is>
          <t>Not disclosed</t>
        </is>
      </c>
      <c r="AG98" s="156" t="inlineStr">
        <is>
          <t>5 per hand</t>
        </is>
      </c>
      <c r="AH98" s="152" t="inlineStr">
        <is>
          <t>5 per hand</t>
        </is>
      </c>
      <c r="AI98" s="158" t="n">
        <v>2</v>
      </c>
      <c r="AJ98" s="156" t="inlineStr">
        <is>
          <t>1080p</t>
        </is>
      </c>
      <c r="AK98" s="156" t="inlineStr">
        <is>
          <t>1080p</t>
        </is>
      </c>
      <c r="AL98" s="152" t="inlineStr">
        <is>
          <t>Not disclosed</t>
        </is>
      </c>
      <c r="AM98" s="152" t="n"/>
      <c r="AN98" s="152" t="inlineStr">
        <is>
          <t>Not disclosed</t>
        </is>
      </c>
      <c r="AO98" s="152" t="inlineStr">
        <is>
          <t>Not disclosed</t>
        </is>
      </c>
      <c r="AP98" s="152" t="inlineStr">
        <is>
          <t>Not disclosed</t>
        </is>
      </c>
      <c r="AQ98" s="152" t="inlineStr">
        <is>
          <t>Not disclosed</t>
        </is>
      </c>
      <c r="AR98" s="152" t="n"/>
      <c r="AS98" s="152" t="n"/>
      <c r="AT98" s="156" t="inlineStr">
        <is>
          <t>Embedded ARM + small onboard GPU</t>
        </is>
      </c>
      <c r="AU98" s="156" t="inlineStr">
        <is>
          <t>Bluetooth; USB; Wi‑Fi</t>
        </is>
      </c>
      <c r="AV98" s="152" t="inlineStr">
        <is>
          <t>Not disclosed</t>
        </is>
      </c>
      <c r="AW98" s="156" t="inlineStr">
        <is>
          <t>Not disclosed</t>
        </is>
      </c>
      <c r="AX98" s="158" t="n">
        <v>2</v>
      </c>
      <c r="AY98" s="156" t="inlineStr">
        <is>
          <t>Linux-based control OS</t>
        </is>
      </c>
      <c r="AZ98" s="156" t="inlineStr">
        <is>
          <t>External API</t>
        </is>
      </c>
      <c r="BA98" s="156" t="inlineStr">
        <is>
          <t>250–450 ms</t>
        </is>
      </c>
      <c r="BB98" s="156" t="inlineStr">
        <is>
          <t>Brushless servo motors</t>
        </is>
      </c>
      <c r="BC98" s="156" t="inlineStr">
        <is>
          <t>Harmonic or planetary gears</t>
        </is>
      </c>
      <c r="BD98" s="152" t="inlineStr">
        <is>
          <t>Aluminum + plastic composites</t>
        </is>
      </c>
      <c r="BE98" s="152" t="inlineStr">
        <is>
          <t>No</t>
        </is>
      </c>
      <c r="BF98" s="152" t="inlineStr">
        <is>
          <t>No</t>
        </is>
      </c>
      <c r="BG98" s="152" t="n"/>
      <c r="BH98" s="152" t="n"/>
      <c r="BI98" s="152" t="n"/>
      <c r="BJ98" s="152" t="n"/>
      <c r="BK98" s="152" t="n"/>
      <c r="BL98" s="152" t="n"/>
      <c r="BM98" s="152" t="inlineStr">
        <is>
          <t>Yes</t>
        </is>
      </c>
      <c r="BN98" s="152" t="inlineStr">
        <is>
          <t>Not disclosed</t>
        </is>
      </c>
      <c r="BO98" s="156" t="inlineStr">
        <is>
          <t>Market: Research, education, AI labs · Manipulation 2/4 · Navigation 2/4 · Human-safe: Yes · AI: External API · Actuation: Brushless servo motors · Peak 3 km/h · Walk 5 km/h · Runtime 2</t>
        </is>
      </c>
      <c r="BP98" s="152" t="n"/>
      <c r="BQ98" s="156" t="inlineStr">
        <is>
          <t>Research, education, AI labs</t>
        </is>
      </c>
      <c r="BR98" s="156" t="inlineStr">
        <is>
          <t>Prototype</t>
        </is>
      </c>
      <c r="BS98" s="156" t="inlineStr">
        <is>
          <t>Prototype</t>
        </is>
      </c>
      <c r="BT98" s="152" t="inlineStr">
        <is>
          <t>Yellow/black (Bumblebee theme)</t>
        </is>
      </c>
      <c r="BU98" s="152" t="inlineStr">
        <is>
          <t>Not verified</t>
        </is>
      </c>
      <c r="BV98" s="156" t="n"/>
      <c r="BW98" s="156" t="inlineStr">
        <is>
          <t>Origin &amp; status — China · Prototype · 2026 | Manipulation — 5 per hand · 5 per hand fingers · Hand DOF 7 · Payload 19.8 lb | Sensing &amp; software — 1080p · External API · Linux-based control OS | Buying notes — From $20,000 · 12 months manufacturer standard (typical research/commercial humanoid) · Best fit: Research, education, AI labs</t>
        </is>
      </c>
      <c r="BX98" s="156" t="inlineStr">
        <is>
          <t>as_shipped|K2 Bumblebee|20000|As shipped</t>
        </is>
      </c>
      <c r="BY98" s="152" t="inlineStr">
        <is>
          <t>yellow|Yellow|#e2e8f0|0 || black_bumblebee_theme|black (Bumblebee theme)|#1e293b|0</t>
        </is>
      </c>
      <c r="BZ98" s="152" t="inlineStr"/>
      <c r="CA98" s="156" t="n"/>
      <c r="CB98" s="156" t="inlineStr">
        <is>
          <t>12 months manufacturer standard (typical research/commercial humanoid)</t>
        </is>
      </c>
      <c r="CC98" s="154" t="n">
        <v>12</v>
      </c>
      <c r="CD98" s="156" t="inlineStr">
        <is>
          <t>+3 Year Extended ≈24% of configuration (default in configurator)</t>
        </is>
      </c>
      <c r="CE98" s="152" t="inlineStr">
        <is>
          <t>Humanoid category norm 2025–2026</t>
        </is>
      </c>
      <c r="CF98" s="152" t="inlineStr">
        <is>
          <t>Estimated</t>
        </is>
      </c>
      <c r="CG98" s="156" t="inlineStr">
        <is>
          <t>Confirm on formal OEM quote. EDU or enterprise packages may differ.</t>
        </is>
      </c>
      <c r="CH98" s="152" t="inlineStr">
        <is>
          <t>10%</t>
        </is>
      </c>
      <c r="CI98" s="152" t="inlineStr">
        <is>
          <t>17%</t>
        </is>
      </c>
      <c r="CJ98" s="152" t="inlineStr">
        <is>
          <t>24%</t>
        </is>
      </c>
      <c r="CK98" s="156" t="inlineStr">
        <is>
          <t>+1yr ≈10% | +2yr ≈17% | +3yr ≈24% of selected configuration price (parts &amp; labor beyond manufacturer standard).</t>
        </is>
      </c>
      <c r="CL98"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98" s="152" t="inlineStr">
        <is>
          <t>12 months manufacturer standard (typical research/commercial humanoid)</t>
        </is>
      </c>
      <c r="CQ98" s="101" t="inlineStr">
        <is>
          <t>Height: 5 ft 9 in | Weight: 165.3 | Degrees of Freedom: 28 | Payload: 19.8 | Max Speed: 1.86 | Battery / Runtime: ≈ 2 hours</t>
        </is>
      </c>
    </row>
    <row r="99" ht="31.5" customHeight="1" s="102">
      <c r="A99" s="145" t="inlineStr">
        <is>
          <t>kepler_exploration_robot_co_kepler</t>
        </is>
      </c>
      <c r="B99" s="153" t="inlineStr">
        <is>
          <t>Humanoid.guide</t>
        </is>
      </c>
      <c r="C99" s="145" t="inlineStr">
        <is>
          <t>Kepler Exploration Robot Co.</t>
        </is>
      </c>
      <c r="D99" s="145" t="inlineStr">
        <is>
          <t>Kepler</t>
        </is>
      </c>
      <c r="E99" s="145" t="inlineStr">
        <is>
          <t>[Kepler Exploration Robot Co.] Kepler (2026)</t>
        </is>
      </c>
      <c r="F99" s="146" t="inlineStr">
        <is>
          <t>humanoid</t>
        </is>
      </c>
      <c r="G99" s="145" t="inlineStr">
        <is>
          <t>China</t>
        </is>
      </c>
      <c r="H99" s="145" t="n"/>
      <c r="I99" s="148" t="n">
        <v>85000</v>
      </c>
      <c r="J99" s="145" t="inlineStr">
        <is>
          <t>Humanoid.guide list</t>
        </is>
      </c>
      <c r="K99" s="149" t="inlineStr">
        <is>
          <t>Kepler Exploration Robot Co., Ltd. has made waves in the robotics industry with its innovative Kepler Forerun ner series of humanoi d robots.</t>
        </is>
      </c>
      <c r="L99" s="101" t="inlineStr">
        <is>
          <t>Kepler Exploration Robot Co., Ltd. has made waves in the robotics industry with its innovative Kepler Forerun ner series of humanoi d robots.</t>
        </is>
      </c>
      <c r="M99" s="101" t="inlineStr">
        <is>
          <t>Kepler Exploration Robot Co., Ltd. has made waves in the robotics industry with its innovative Kepler Forerun ner series of humanoi d robots. Public status is listed as prototype.</t>
        </is>
      </c>
      <c r="N99" s="150" t="inlineStr">
        <is>
          <t>https://humanoid.guide/product/kepler/</t>
        </is>
      </c>
      <c r="O99" s="150" t="inlineStr">
        <is>
          <t>https://www.kepler-robotics.com</t>
        </is>
      </c>
      <c r="P99" s="145" t="inlineStr">
        <is>
          <t>5 ft 7 in</t>
        </is>
      </c>
      <c r="Q99" s="145" t="n">
        <v>170</v>
      </c>
      <c r="R99" s="145" t="n">
        <v>194</v>
      </c>
      <c r="S99" s="145" t="n">
        <v>88</v>
      </c>
      <c r="T99" s="149" t="inlineStr">
        <is>
          <t>Not disclosed</t>
        </is>
      </c>
      <c r="U99" s="145" t="n"/>
      <c r="V99" s="145" t="inlineStr">
        <is>
          <t>25</t>
        </is>
      </c>
      <c r="W99" s="149" t="inlineStr">
        <is>
          <t>Not disclosed</t>
        </is>
      </c>
      <c r="X99" s="145" t="n">
        <v>33.1</v>
      </c>
      <c r="Y99" s="145" t="n">
        <v>15</v>
      </c>
      <c r="Z99" s="145" t="n">
        <v>3.11</v>
      </c>
      <c r="AA99" s="145" t="n">
        <v>5</v>
      </c>
      <c r="AB99" s="145" t="n">
        <v>3.5</v>
      </c>
      <c r="AC99" s="149" t="inlineStr">
        <is>
          <t>≈ 2 hours</t>
        </is>
      </c>
      <c r="AD99" s="149" t="inlineStr">
        <is>
          <t>2</t>
        </is>
      </c>
      <c r="AE99" s="145" t="n"/>
      <c r="AF99" s="145" t="inlineStr">
        <is>
          <t>Not disclosed</t>
        </is>
      </c>
      <c r="AG99" s="149" t="inlineStr">
        <is>
          <t>Not disclosed</t>
        </is>
      </c>
      <c r="AH99" s="145" t="inlineStr">
        <is>
          <t>Not disclosed</t>
        </is>
      </c>
      <c r="AI99" s="158" t="n">
        <v>2</v>
      </c>
      <c r="AJ99" s="149" t="inlineStr">
        <is>
          <t>Not disclosed</t>
        </is>
      </c>
      <c r="AK99" s="149" t="n"/>
      <c r="AL99" s="145" t="inlineStr">
        <is>
          <t>Not disclosed</t>
        </is>
      </c>
      <c r="AM99" s="145" t="n"/>
      <c r="AN99" s="145" t="inlineStr">
        <is>
          <t>Not disclosed</t>
        </is>
      </c>
      <c r="AO99" s="145" t="inlineStr">
        <is>
          <t>Not disclosed</t>
        </is>
      </c>
      <c r="AP99" s="145" t="inlineStr">
        <is>
          <t>Not disclosed</t>
        </is>
      </c>
      <c r="AQ99" s="145" t="inlineStr">
        <is>
          <t>Not disclosed</t>
        </is>
      </c>
      <c r="AR99" s="145" t="n"/>
      <c r="AS99" s="145" t="n"/>
      <c r="AT99" s="149" t="inlineStr">
        <is>
          <t>Not disclosed</t>
        </is>
      </c>
      <c r="AU99" s="149" t="inlineStr">
        <is>
          <t>Not disclosed</t>
        </is>
      </c>
      <c r="AV99" s="145" t="inlineStr">
        <is>
          <t>Not disclosed</t>
        </is>
      </c>
      <c r="AW99" s="149" t="inlineStr">
        <is>
          <t>Not disclosed</t>
        </is>
      </c>
      <c r="AX99" s="158" t="n">
        <v>2</v>
      </c>
      <c r="AY99" s="149" t="inlineStr">
        <is>
          <t>Not disclosed</t>
        </is>
      </c>
      <c r="AZ99" s="149" t="inlineStr">
        <is>
          <t>Not disclosed</t>
        </is>
      </c>
      <c r="BA99" s="149" t="n"/>
      <c r="BB99" s="149" t="inlineStr">
        <is>
          <t>Not disclosed</t>
        </is>
      </c>
      <c r="BC99" s="149" t="inlineStr">
        <is>
          <t>Not disclosed</t>
        </is>
      </c>
      <c r="BD99" s="145" t="inlineStr">
        <is>
          <t>Not disclosed</t>
        </is>
      </c>
      <c r="BE99" s="145" t="inlineStr">
        <is>
          <t>Not disclosed</t>
        </is>
      </c>
      <c r="BF99" s="145" t="n"/>
      <c r="BG99" s="145" t="n"/>
      <c r="BH99" s="145" t="n"/>
      <c r="BI99" s="145" t="n"/>
      <c r="BJ99" s="145" t="n"/>
      <c r="BK99" s="145" t="n"/>
      <c r="BL99" s="145" t="n"/>
      <c r="BM99" s="145" t="inlineStr">
        <is>
          <t>Not disclosed</t>
        </is>
      </c>
      <c r="BN99" s="145" t="inlineStr">
        <is>
          <t>Not disclosed</t>
        </is>
      </c>
      <c r="BO99" s="149" t="inlineStr">
        <is>
          <t>Manipulation 2/4 · Navigation 2/4 · Peak 5 km/h · Walk 3.5 km/h · Runtime 2</t>
        </is>
      </c>
      <c r="BP99" s="145" t="n"/>
      <c r="BQ99" s="149" t="inlineStr">
        <is>
          <t>Research labs, commercial pilots, and education programs evaluating a humanoid from Kepler Exploration Robot Co. (China) now listed as prototype.</t>
        </is>
      </c>
      <c r="BR99" s="149" t="inlineStr">
        <is>
          <t>Prototype</t>
        </is>
      </c>
      <c r="BS99" s="149" t="inlineStr">
        <is>
          <t>Prototype</t>
        </is>
      </c>
      <c r="BT99" s="145" t="n"/>
      <c r="BU99" s="145" t="inlineStr">
        <is>
          <t>Not verified</t>
        </is>
      </c>
      <c r="BV99" s="149" t="n"/>
      <c r="BW99" s="149" t="inlineStr">
        <is>
          <t>Origin &amp; status — China · Prototype · 2026 | Manipulation — Payload 33.1 lb | Sensing &amp; software — Sensor and compute package confirmed on formal quote | Buying notes — From $85,000 · 12 months manufacturer standard (typical research/commercial humanoid)</t>
        </is>
      </c>
      <c r="BX99" s="149" t="inlineStr">
        <is>
          <t>as_shipped|Kepler|85000|As shipped</t>
        </is>
      </c>
      <c r="BY99" s="145" t="inlineStr">
        <is>
          <t>kepler|Manufacturer finish|#e2e8f0|0</t>
        </is>
      </c>
      <c r="BZ99" s="145" t="inlineStr"/>
      <c r="CA99" s="149" t="n"/>
      <c r="CB99" s="149" t="inlineStr">
        <is>
          <t>12 months manufacturer standard (typical research/commercial humanoid)</t>
        </is>
      </c>
      <c r="CC99" s="147" t="n">
        <v>12</v>
      </c>
      <c r="CD99" s="149" t="inlineStr">
        <is>
          <t>+3 Year Extended ≈24% of configuration (default in configurator)</t>
        </is>
      </c>
      <c r="CE99" s="145" t="inlineStr">
        <is>
          <t>Humanoid category norm 2025–2026</t>
        </is>
      </c>
      <c r="CF99" s="145" t="inlineStr">
        <is>
          <t>Estimated</t>
        </is>
      </c>
      <c r="CG99" s="149" t="inlineStr">
        <is>
          <t>Confirm on formal OEM quote. EDU or enterprise packages may differ.</t>
        </is>
      </c>
      <c r="CH99" s="145" t="inlineStr">
        <is>
          <t>10%</t>
        </is>
      </c>
      <c r="CI99" s="145" t="inlineStr">
        <is>
          <t>17%</t>
        </is>
      </c>
      <c r="CJ99" s="145" t="inlineStr">
        <is>
          <t>24%</t>
        </is>
      </c>
      <c r="CK99" s="149" t="inlineStr">
        <is>
          <t>+1yr ≈10% | +2yr ≈17% | +3yr ≈24% of selected configuration price (parts &amp; labor beyond manufacturer standard).</t>
        </is>
      </c>
      <c r="CL9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99" s="145" t="inlineStr">
        <is>
          <t>12 months manufacturer standard (typical research/commercial humanoid)</t>
        </is>
      </c>
      <c r="CQ99" s="101" t="inlineStr">
        <is>
          <t>Height: 5 ft 7 in | Weight: 194 | Degrees of Freedom: 25 | Payload: 33.1 | Max Speed: 3.11 | Battery / Runtime: ≈ 2 hours</t>
        </is>
      </c>
    </row>
    <row r="100" ht="31.5" customHeight="1" s="102">
      <c r="A100" s="159" t="inlineStr">
        <is>
          <t>kepler_exploration_robotics_k2_forerunne</t>
        </is>
      </c>
      <c r="B100" s="144" t="inlineStr">
        <is>
          <t>Both</t>
        </is>
      </c>
      <c r="C100" s="152" t="inlineStr">
        <is>
          <t>Kepler Exploration Robotics</t>
        </is>
      </c>
      <c r="D100" s="152" t="inlineStr">
        <is>
          <t>Kepler K2</t>
        </is>
      </c>
      <c r="E100" s="152" t="inlineStr">
        <is>
          <t>[Kepler] K2 Forerunner (2025)</t>
        </is>
      </c>
      <c r="F100" s="146" t="inlineStr">
        <is>
          <t>humanoid</t>
        </is>
      </c>
      <c r="G100" s="152" t="inlineStr">
        <is>
          <t>China</t>
        </is>
      </c>
      <c r="H100" s="154" t="n">
        <v>2025</v>
      </c>
      <c r="I100" s="155" t="n">
        <v>20000</v>
      </c>
      <c r="J100" s="152" t="inlineStr">
        <is>
          <t>Robot Price Index Aug 2026 · entry</t>
        </is>
      </c>
      <c r="K100" s="156" t="inlineStr">
        <is>
          <t>The Kepler Forerunner K2 is a humanoid robot built for commercial and industrial use by Kepler Robotics.</t>
        </is>
      </c>
      <c r="L100" s="101" t="inlineStr">
        <is>
          <t>The Kepler Forerunner K2 is a humanoid robot built for commercial and industrial use by Kepler Robotics.</t>
        </is>
      </c>
      <c r="M100" s="101" t="inlineStr">
        <is>
          <t>K2 Forerunner is Kepler Exploration Robotics's humanoid, introduced around 2025 in China. The Kepler Forerunner K2 is a humanoid robot built for commercial and industrial use by Kepler Robotics. Public status is listed as enterprise only.</t>
        </is>
      </c>
      <c r="N100" s="157" t="inlineStr">
        <is>
          <t>https://humanoid.guide/product/kepler-k2/</t>
        </is>
      </c>
      <c r="O100" s="157" t="inlineStr">
        <is>
          <t>https://www.kepler-robotics.com</t>
        </is>
      </c>
      <c r="P100" s="152" t="inlineStr">
        <is>
          <t>5 ft 10 in</t>
        </is>
      </c>
      <c r="Q100" s="152" t="n">
        <v>178</v>
      </c>
      <c r="R100" s="152" t="n">
        <v>187.4</v>
      </c>
      <c r="S100" s="152" t="n">
        <v>85</v>
      </c>
      <c r="T100" s="156" t="inlineStr">
        <is>
          <t>Not disclosed</t>
        </is>
      </c>
      <c r="U100" s="152" t="n"/>
      <c r="V100" s="152" t="inlineStr">
        <is>
          <t>52</t>
        </is>
      </c>
      <c r="W100" s="156" t="inlineStr">
        <is>
          <t>Not disclosed</t>
        </is>
      </c>
      <c r="X100" s="152" t="n">
        <v>33.1</v>
      </c>
      <c r="Y100" s="152" t="n">
        <v>15</v>
      </c>
      <c r="Z100" s="152" t="n">
        <v>2.49</v>
      </c>
      <c r="AA100" s="152" t="n">
        <v>4</v>
      </c>
      <c r="AB100" s="152" t="n">
        <v>4</v>
      </c>
      <c r="AC100" s="156" t="inlineStr">
        <is>
          <t>≈ 3 hours</t>
        </is>
      </c>
      <c r="AD100" s="156" t="inlineStr">
        <is>
          <t>3</t>
        </is>
      </c>
      <c r="AE100" s="152" t="n"/>
      <c r="AF100" s="152" t="inlineStr">
        <is>
          <t>Not disclosed</t>
        </is>
      </c>
      <c r="AG100" s="156" t="inlineStr">
        <is>
          <t>Grippers or dexterous hands depending on configuration</t>
        </is>
      </c>
      <c r="AH100" s="152" t="inlineStr">
        <is>
          <t>Not disclosed</t>
        </is>
      </c>
      <c r="AI100" s="158" t="n">
        <v>2</v>
      </c>
      <c r="AJ100" s="156" t="inlineStr">
        <is>
          <t>RGB and/or depth cameras for navigation and manipulation (configuration specific)</t>
        </is>
      </c>
      <c r="AK100" s="156" t="n"/>
      <c r="AL100" s="152" t="inlineStr">
        <is>
          <t>Onboard streams for teleoperation and logging when equipped</t>
        </is>
      </c>
      <c r="AM100" s="152" t="n"/>
      <c r="AN100" s="152" t="inlineStr">
        <is>
          <t>Not disclosed</t>
        </is>
      </c>
      <c r="AO100" s="152" t="inlineStr">
        <is>
          <t>Microphone array on interaction-oriented builds</t>
        </is>
      </c>
      <c r="AP100" s="152" t="inlineStr">
        <is>
          <t>Not disclosed</t>
        </is>
      </c>
      <c r="AQ100" s="152" t="inlineStr">
        <is>
          <t>Not disclosed</t>
        </is>
      </c>
      <c r="AR100" s="152" t="n"/>
      <c r="AS100" s="152" t="n"/>
      <c r="AT100" s="156" t="inlineStr">
        <is>
          <t>Not disclosed</t>
        </is>
      </c>
      <c r="AU100" s="156" t="inlineStr">
        <is>
          <t>Not disclosed</t>
        </is>
      </c>
      <c r="AV100" s="152" t="inlineStr">
        <is>
          <t>Manufacturer app and/or SDK</t>
        </is>
      </c>
      <c r="AW100" s="156" t="inlineStr">
        <is>
          <t>Bipedal balance and walking controllers</t>
        </is>
      </c>
      <c r="AX100" s="158" t="n">
        <v>2</v>
      </c>
      <c r="AY100" s="156" t="inlineStr">
        <is>
          <t>Not disclosed</t>
        </is>
      </c>
      <c r="AZ100" s="156" t="inlineStr">
        <is>
          <t>Not disclosed</t>
        </is>
      </c>
      <c r="BA100" s="156" t="n"/>
      <c r="BB100" s="156" t="inlineStr">
        <is>
          <t>Not disclosed</t>
        </is>
      </c>
      <c r="BC100" s="156" t="inlineStr">
        <is>
          <t>Not disclosed</t>
        </is>
      </c>
      <c r="BD100" s="152" t="inlineStr">
        <is>
          <t>Not disclosed</t>
        </is>
      </c>
      <c r="BE100" s="152" t="inlineStr">
        <is>
          <t>Not disclosed</t>
        </is>
      </c>
      <c r="BF100" s="152" t="n"/>
      <c r="BG100" s="152" t="n"/>
      <c r="BH100" s="152" t="n"/>
      <c r="BI100" s="152" t="n"/>
      <c r="BJ100" s="152" t="n"/>
      <c r="BK100" s="152" t="n"/>
      <c r="BL100" s="152" t="n"/>
      <c r="BM100" s="152" t="inlineStr">
        <is>
          <t>Not disclosed</t>
        </is>
      </c>
      <c r="BN100" s="152" t="inlineStr">
        <is>
          <t>Not disclosed</t>
        </is>
      </c>
      <c r="BO100" s="156" t="inlineStr">
        <is>
          <t>Market: Industrial · Manipulation 2/4 · Navigation 2/4 · Peak 4 km/h · Walk 4 km/h · Runtime 3</t>
        </is>
      </c>
      <c r="BP100" s="152" t="n"/>
      <c r="BQ100" s="156" t="inlineStr">
        <is>
          <t>Industrial</t>
        </is>
      </c>
      <c r="BR100" s="156" t="inlineStr">
        <is>
          <t>Enterprise only</t>
        </is>
      </c>
      <c r="BS100" s="156" t="inlineStr">
        <is>
          <t>Prototype</t>
        </is>
      </c>
      <c r="BT100" s="152" t="n"/>
      <c r="BU100" s="152" t="inlineStr">
        <is>
          <t>Not verified</t>
        </is>
      </c>
      <c r="BV100" s="156" t="inlineStr">
        <is>
          <t>Humanoid.guide listed price $25,000.</t>
        </is>
      </c>
      <c r="BW100" s="156" t="inlineStr">
        <is>
          <t>Origin &amp; status — China · Enterprise only · 2025 | Manipulation — Grippers or dexterous hands depending on configuration · Payload 33.1 lb (15 kg) | Sensing &amp; software — RGB and/or depth cameras for navigation and manipulation (configuration specific) · Manufacturer app and/or SDK | Buying notes — From $20,000 · 12 months manufacturer standard (typical research/commercial humanoid) · Best fit: Industrial</t>
        </is>
      </c>
      <c r="BX100" s="156" t="inlineStr">
        <is>
          <t>as_shipped|K2 Forerunner|20000|As shipped</t>
        </is>
      </c>
      <c r="BY100" s="152" t="inlineStr">
        <is>
          <t>k2_forerunner|Manufacturer finish|#e2e8f0|0</t>
        </is>
      </c>
      <c r="BZ100" s="152" t="inlineStr"/>
      <c r="CA100" s="156" t="inlineStr">
        <is>
          <t>Add-ons: case; 2 color options; Multi-year extended warranty available</t>
        </is>
      </c>
      <c r="CB100" s="156" t="inlineStr">
        <is>
          <t>12 months manufacturer standard (typical research/commercial humanoid)</t>
        </is>
      </c>
      <c r="CC100" s="154" t="n">
        <v>12</v>
      </c>
      <c r="CD100" s="156" t="inlineStr">
        <is>
          <t>+3 Year Extended ≈24% of configuration (default in configurator)</t>
        </is>
      </c>
      <c r="CE100" s="152" t="inlineStr">
        <is>
          <t>Humanoid category norm 2025–2026</t>
        </is>
      </c>
      <c r="CF100" s="152" t="inlineStr">
        <is>
          <t>Estimated</t>
        </is>
      </c>
      <c r="CG100" s="156" t="inlineStr">
        <is>
          <t>EDU or enterprise packages may differ; confirm on formal quote.</t>
        </is>
      </c>
      <c r="CH100" s="152" t="inlineStr">
        <is>
          <t>10%</t>
        </is>
      </c>
      <c r="CI100" s="152" t="inlineStr">
        <is>
          <t>17%</t>
        </is>
      </c>
      <c r="CJ100" s="152" t="inlineStr">
        <is>
          <t>24%</t>
        </is>
      </c>
      <c r="CK100"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100"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00" s="152" t="inlineStr">
        <is>
          <t>12 months manufacturer standard (typical research/commercial humanoid)</t>
        </is>
      </c>
      <c r="CN100" s="203" t="inlineStr">
        <is>
          <t>https://aixzd.com/robot/kepler-k2</t>
        </is>
      </c>
      <c r="CQ100" s="101" t="inlineStr">
        <is>
          <t>Height: 5 ft 10 in | Weight: 187.4 | Degrees of Freedom: 52 | Payload: 33.1 | Max Speed: 2.49 | Battery / Runtime: ≈ 3 hours</t>
        </is>
      </c>
    </row>
    <row r="101" ht="31.5" customHeight="1" s="102">
      <c r="A101" s="145" t="inlineStr">
        <is>
          <t>kinetixai_kai</t>
        </is>
      </c>
      <c r="B101" s="153" t="inlineStr">
        <is>
          <t>Humanoid.guide</t>
        </is>
      </c>
      <c r="C101" s="145" t="inlineStr">
        <is>
          <t>KinetixAI</t>
        </is>
      </c>
      <c r="D101" s="145" t="inlineStr">
        <is>
          <t>KAI</t>
        </is>
      </c>
      <c r="E101" s="145" t="inlineStr">
        <is>
          <t>[KinetixAI] KAI (2026)</t>
        </is>
      </c>
      <c r="F101" s="146" t="inlineStr">
        <is>
          <t>humanoid</t>
        </is>
      </c>
      <c r="G101" s="145" t="inlineStr">
        <is>
          <t>China</t>
        </is>
      </c>
      <c r="H101" s="145" t="n"/>
      <c r="I101" s="148" t="n">
        <v>80000</v>
      </c>
      <c r="J101" s="145" t="inlineStr">
        <is>
          <t>Humanoid.guide list</t>
        </is>
      </c>
      <c r="K101" s="149" t="inlineStr">
        <is>
          <t>KAI is a humanoid robot by Kinetix AI designed for household and real-world tasks, combining advanced dexterity, tactile sensing, and AI-driven understanding.</t>
        </is>
      </c>
      <c r="L101" s="101" t="inlineStr">
        <is>
          <t>KAI is a humanoid robot by Kinetix AI designed for household and real-world tasks, combining advanced dexterity, tactile sensing, and AI-driven understanding.</t>
        </is>
      </c>
      <c r="M101" s="101" t="inlineStr">
        <is>
          <t>KAI is a humanoid robot by Kinetix AI designed for household and real-world tasks, combining advanced dexterity, tactile sensing, and AI-driven understanding. Public status is listed as prototype, and it is positioned for household services; light industrial; Research.</t>
        </is>
      </c>
      <c r="N101" s="150" t="inlineStr">
        <is>
          <t>https://humanoid.guide/product/kai/</t>
        </is>
      </c>
      <c r="O101" s="150" t="inlineStr">
        <is>
          <t>https://www.kinetixai.tech/en/</t>
        </is>
      </c>
      <c r="P101" s="145" t="inlineStr">
        <is>
          <t>5 ft 8 in</t>
        </is>
      </c>
      <c r="Q101" s="145" t="n">
        <v>173</v>
      </c>
      <c r="R101" s="145" t="n">
        <v>154.3</v>
      </c>
      <c r="S101" s="145" t="n">
        <v>70</v>
      </c>
      <c r="T101" s="149" t="inlineStr">
        <is>
          <t>Not disclosed</t>
        </is>
      </c>
      <c r="U101" s="145" t="n"/>
      <c r="V101" s="145" t="inlineStr">
        <is>
          <t>115</t>
        </is>
      </c>
      <c r="W101" s="149" t="inlineStr">
        <is>
          <t>72</t>
        </is>
      </c>
      <c r="X101" s="145" t="n">
        <v>44.1</v>
      </c>
      <c r="Y101" s="145" t="n">
        <v>20</v>
      </c>
      <c r="Z101" s="145" t="n">
        <v>3.11</v>
      </c>
      <c r="AA101" s="145" t="n">
        <v>5</v>
      </c>
      <c r="AB101" s="145" t="n"/>
      <c r="AC101" s="149" t="inlineStr">
        <is>
          <t>≈ 4 hours</t>
        </is>
      </c>
      <c r="AD101" s="149" t="inlineStr">
        <is>
          <t>4</t>
        </is>
      </c>
      <c r="AE101" s="145" t="n"/>
      <c r="AF101" s="145" t="inlineStr">
        <is>
          <t>Not disclosed</t>
        </is>
      </c>
      <c r="AG101" s="149" t="inlineStr">
        <is>
          <t>5 per hand</t>
        </is>
      </c>
      <c r="AH101" s="145" t="inlineStr">
        <is>
          <t>5 per hand</t>
        </is>
      </c>
      <c r="AI101" s="145" t="n"/>
      <c r="AJ101" s="149" t="inlineStr">
        <is>
          <t>Not disclosed</t>
        </is>
      </c>
      <c r="AK101" s="149" t="n"/>
      <c r="AL101" s="145" t="inlineStr">
        <is>
          <t>Not disclosed</t>
        </is>
      </c>
      <c r="AM101" s="145" t="n"/>
      <c r="AN101" s="145" t="inlineStr">
        <is>
          <t>Not disclosed</t>
        </is>
      </c>
      <c r="AO101" s="145" t="inlineStr">
        <is>
          <t>Not disclosed</t>
        </is>
      </c>
      <c r="AP101" s="145" t="inlineStr">
        <is>
          <t>Not disclosed</t>
        </is>
      </c>
      <c r="AQ101" s="145" t="inlineStr">
        <is>
          <t>Not disclosed</t>
        </is>
      </c>
      <c r="AR101" s="145" t="n"/>
      <c r="AS101" s="145" t="n"/>
      <c r="AT101" s="149" t="inlineStr">
        <is>
          <t>Not disclosed</t>
        </is>
      </c>
      <c r="AU101" s="149" t="inlineStr">
        <is>
          <t>Ethernet; Wi‑Fi</t>
        </is>
      </c>
      <c r="AV101" s="145" t="inlineStr">
        <is>
          <t>Not disclosed</t>
        </is>
      </c>
      <c r="AW101" s="149" t="inlineStr">
        <is>
          <t>Not disclosed</t>
        </is>
      </c>
      <c r="AX101" s="145" t="n"/>
      <c r="AY101" s="149" t="inlineStr">
        <is>
          <t>Not disclosed</t>
        </is>
      </c>
      <c r="AZ101" s="149" t="inlineStr">
        <is>
          <t>Yes</t>
        </is>
      </c>
      <c r="BA101" s="149" t="n"/>
      <c r="BB101" s="149" t="inlineStr">
        <is>
          <t>Electric servo motors</t>
        </is>
      </c>
      <c r="BC101" s="149" t="inlineStr">
        <is>
          <t>Not disclosed</t>
        </is>
      </c>
      <c r="BD101" s="145" t="inlineStr">
        <is>
          <t>Aluminum alloy + composite materials</t>
        </is>
      </c>
      <c r="BE101" s="145" t="inlineStr">
        <is>
          <t>Not disclosed</t>
        </is>
      </c>
      <c r="BF101" s="145" t="n"/>
      <c r="BG101" s="145" t="n"/>
      <c r="BH101" s="145" t="n"/>
      <c r="BI101" s="145" t="n"/>
      <c r="BJ101" s="145" t="n"/>
      <c r="BK101" s="145" t="n"/>
      <c r="BL101" s="145" t="n"/>
      <c r="BM101" s="145" t="inlineStr">
        <is>
          <t>Yes</t>
        </is>
      </c>
      <c r="BN101" s="145" t="inlineStr">
        <is>
          <t>Not disclosed</t>
        </is>
      </c>
      <c r="BO101" s="149" t="inlineStr">
        <is>
          <t>Market: household services; light industrial; Research · Human-safe: Yes · AI: Yes · Actuation: Electric servo motors · Peak 5 km/h · Runtime 4</t>
        </is>
      </c>
      <c r="BP101" s="145" t="n"/>
      <c r="BQ101" s="149" t="inlineStr">
        <is>
          <t>household services; light industrial; Research</t>
        </is>
      </c>
      <c r="BR101" s="149" t="inlineStr">
        <is>
          <t>Prototype</t>
        </is>
      </c>
      <c r="BS101" s="149" t="inlineStr">
        <is>
          <t>Prototype</t>
        </is>
      </c>
      <c r="BT101" s="145" t="n"/>
      <c r="BU101" s="145" t="n"/>
      <c r="BV101" s="149" t="n"/>
      <c r="BW101" s="149" t="inlineStr">
        <is>
          <t>Origin &amp; status — China · Prototype · 2026 | Manipulation — 5 per hand · 5 per hand fingers · Hand DOF 72 · Payload 44.1 lb | Sensing &amp; software — Yes | Buying notes — From $80,000 · 12 months manufacturer standard (typical research/commercial humanoid) · Best fit: household services</t>
        </is>
      </c>
      <c r="BX101" s="149" t="inlineStr">
        <is>
          <t>as_shipped|KAI|80000|As shipped</t>
        </is>
      </c>
      <c r="BY101" s="145" t="inlineStr">
        <is>
          <t>kai|Manufacturer finish|#e2e8f0|0</t>
        </is>
      </c>
      <c r="BZ101" s="145" t="inlineStr"/>
      <c r="CA101" s="149" t="n"/>
      <c r="CB101" s="149" t="inlineStr">
        <is>
          <t>12 months manufacturer standard (typical research/commercial humanoid)</t>
        </is>
      </c>
      <c r="CC101" s="147" t="n">
        <v>12</v>
      </c>
      <c r="CD101" s="149" t="inlineStr">
        <is>
          <t>+3 Year Extended ≈24% of configuration (default in configurator)</t>
        </is>
      </c>
      <c r="CE101" s="145" t="inlineStr">
        <is>
          <t>Humanoid category norm 2025–2026</t>
        </is>
      </c>
      <c r="CF101" s="145" t="inlineStr">
        <is>
          <t>Estimated</t>
        </is>
      </c>
      <c r="CG101" s="149" t="inlineStr">
        <is>
          <t>Confirm on formal OEM quote. EDU or enterprise packages may differ.</t>
        </is>
      </c>
      <c r="CH101" s="145" t="inlineStr">
        <is>
          <t>10%</t>
        </is>
      </c>
      <c r="CI101" s="145" t="inlineStr">
        <is>
          <t>17%</t>
        </is>
      </c>
      <c r="CJ101" s="145" t="inlineStr">
        <is>
          <t>24%</t>
        </is>
      </c>
      <c r="CK101" s="149" t="inlineStr">
        <is>
          <t>+1yr ≈10% | +2yr ≈17% | +3yr ≈24% of selected configuration price (parts &amp; labor beyond manufacturer standard).</t>
        </is>
      </c>
      <c r="CL10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01" s="145" t="inlineStr">
        <is>
          <t>12 months manufacturer standard (typical research/commercial humanoid)</t>
        </is>
      </c>
      <c r="CN101" s="203" t="inlineStr">
        <is>
          <t>https://aixzd.com/robot/kai</t>
        </is>
      </c>
      <c r="CQ101" s="101" t="inlineStr">
        <is>
          <t>Height: 5 ft 8 in | Weight: 154.3 | Degrees of Freedom: 115 | Payload: 44.1 | Max Speed: 3.11 | Battery / Runtime: ≈ 4 hours</t>
        </is>
      </c>
    </row>
    <row r="102" ht="31.5" customHeight="1" s="102">
      <c r="A102" s="152" t="inlineStr">
        <is>
          <t>kinisi_robotics_kinisi_01</t>
        </is>
      </c>
      <c r="B102" s="153" t="inlineStr">
        <is>
          <t>Humanoid.guide</t>
        </is>
      </c>
      <c r="C102" s="152" t="inlineStr">
        <is>
          <t>Kinisi Robotics</t>
        </is>
      </c>
      <c r="D102" s="152" t="inlineStr">
        <is>
          <t>Kinisi 01</t>
        </is>
      </c>
      <c r="E102" s="152" t="inlineStr">
        <is>
          <t>[Kinisi Robotics] Kinisi 01 (2026)</t>
        </is>
      </c>
      <c r="F102" s="146" t="inlineStr">
        <is>
          <t>humanoid</t>
        </is>
      </c>
      <c r="G102" s="152" t="inlineStr">
        <is>
          <t>USA</t>
        </is>
      </c>
      <c r="H102" s="152" t="n"/>
      <c r="I102" s="155" t="n">
        <v>75000</v>
      </c>
      <c r="J102" s="152" t="inlineStr">
        <is>
          <t>Humanoid.guide list</t>
        </is>
      </c>
      <c r="K102" s="156" t="inlineStr">
        <is>
          <t>Kinisi 01 / KR1 is a USD 75k wheeled humanoid‑form robot from California‑based Kinisi Robotics, built to handle 10 kg warehouse pick‑and‑place tasks for up to eight hours on a single, hot‑swappable battery.</t>
        </is>
      </c>
      <c r="L102" s="101" t="inlineStr">
        <is>
          <t>Kinisi 01 / KR1 is a USD 75k wheeled humanoid‑form robot from California‑based Kinisi Robotics, built to handle 10 kg warehouse pick‑and‑place tasks for up to eight hours on a single, hot‑swappable battery.</t>
        </is>
      </c>
      <c r="M102" s="101" t="inlineStr">
        <is>
          <t>Kinisi 01 / KR1 is a USD 75k wheeled humanoid‑form robot from California‑based Kinisi Robotics, built to handle 10 kg warehouse pick‑and‑place tasks for up to eight hours on a single, hot‑swappable battery. Public status is listed as prototype, and it is positioned for retail restocking; Warehouse &amp; logistics pick‑/place.</t>
        </is>
      </c>
      <c r="N102" s="157" t="inlineStr">
        <is>
          <t>https://humanoid.guide/product/kinisi-01/</t>
        </is>
      </c>
      <c r="O102" s="157" t="inlineStr">
        <is>
          <t>https://www.kinisi.com/</t>
        </is>
      </c>
      <c r="P102" s="152" t="n"/>
      <c r="Q102" s="152" t="n"/>
      <c r="R102" s="152" t="n"/>
      <c r="S102" s="152" t="n"/>
      <c r="T102" s="156" t="inlineStr">
        <is>
          <t>Not disclosed</t>
        </is>
      </c>
      <c r="U102" s="152" t="n"/>
      <c r="V102" s="152" t="inlineStr">
        <is>
          <t>Not disclosed</t>
        </is>
      </c>
      <c r="W102" s="156" t="inlineStr">
        <is>
          <t>Not disclosed</t>
        </is>
      </c>
      <c r="X102" s="152" t="n">
        <v>22</v>
      </c>
      <c r="Y102" s="152" t="n">
        <v>10</v>
      </c>
      <c r="Z102" s="152" t="n">
        <v>1.86</v>
      </c>
      <c r="AA102" s="152" t="n">
        <v>3</v>
      </c>
      <c r="AB102" s="152" t="n"/>
      <c r="AC102" s="156" t="inlineStr">
        <is>
          <t>8; hot‑swappable battery</t>
        </is>
      </c>
      <c r="AD102" s="156" t="inlineStr">
        <is>
          <t>8; hot‑swappable battery</t>
        </is>
      </c>
      <c r="AE102" s="152" t="n"/>
      <c r="AF102" s="152" t="inlineStr">
        <is>
          <t>Not disclosed</t>
        </is>
      </c>
      <c r="AG102" s="156" t="inlineStr">
        <is>
          <t>4</t>
        </is>
      </c>
      <c r="AH102" s="152" t="inlineStr">
        <is>
          <t>4</t>
        </is>
      </c>
      <c r="AI102" s="158" t="n">
        <v>2</v>
      </c>
      <c r="AJ102" s="156" t="inlineStr">
        <is>
          <t>Not disclosed</t>
        </is>
      </c>
      <c r="AK102" s="156" t="inlineStr">
        <is>
          <t>Not specified</t>
        </is>
      </c>
      <c r="AL102" s="152" t="inlineStr">
        <is>
          <t>Not disclosed</t>
        </is>
      </c>
      <c r="AM102" s="152" t="n"/>
      <c r="AN102" s="152" t="inlineStr">
        <is>
          <t>Not disclosed</t>
        </is>
      </c>
      <c r="AO102" s="152" t="inlineStr">
        <is>
          <t>Not disclosed</t>
        </is>
      </c>
      <c r="AP102" s="152" t="inlineStr">
        <is>
          <t>Not disclosed</t>
        </is>
      </c>
      <c r="AQ102" s="152" t="inlineStr">
        <is>
          <t>Not disclosed</t>
        </is>
      </c>
      <c r="AR102" s="152" t="n"/>
      <c r="AS102" s="152" t="n"/>
      <c r="AT102" s="156" t="inlineStr">
        <is>
          <t>Not disclosed</t>
        </is>
      </c>
      <c r="AU102" s="156" t="inlineStr">
        <is>
          <t>Not disclosed</t>
        </is>
      </c>
      <c r="AV102" s="152" t="inlineStr">
        <is>
          <t>Not disclosed</t>
        </is>
      </c>
      <c r="AW102" s="156" t="inlineStr">
        <is>
          <t>Not disclosed</t>
        </is>
      </c>
      <c r="AX102" s="158" t="n">
        <v>2</v>
      </c>
      <c r="AY102" s="156" t="inlineStr">
        <is>
          <t>Not disclosed</t>
        </is>
      </c>
      <c r="AZ102" s="156" t="inlineStr">
        <is>
          <t>Not disclosed</t>
        </is>
      </c>
      <c r="BA102" s="156" t="inlineStr">
        <is>
          <t>Not specified</t>
        </is>
      </c>
      <c r="BB102" s="156" t="inlineStr">
        <is>
          <t>Not disclosed</t>
        </is>
      </c>
      <c r="BC102" s="156" t="inlineStr">
        <is>
          <t>Not disclosed</t>
        </is>
      </c>
      <c r="BD102" s="152" t="inlineStr">
        <is>
          <t>Not disclosed</t>
        </is>
      </c>
      <c r="BE102" s="152" t="inlineStr">
        <is>
          <t>Not disclosed</t>
        </is>
      </c>
      <c r="BF102" s="152" t="inlineStr">
        <is>
          <t>Not specified</t>
        </is>
      </c>
      <c r="BG102" s="152" t="n"/>
      <c r="BH102" s="152" t="n"/>
      <c r="BI102" s="152" t="n"/>
      <c r="BJ102" s="152" t="n"/>
      <c r="BK102" s="152" t="n"/>
      <c r="BL102" s="152" t="n"/>
      <c r="BM102" s="152" t="inlineStr">
        <is>
          <t>Yes</t>
        </is>
      </c>
      <c r="BN102" s="152" t="inlineStr">
        <is>
          <t>Not disclosed</t>
        </is>
      </c>
      <c r="BO102" s="156" t="inlineStr">
        <is>
          <t>Market: retail restocking; Warehouse &amp; logistics pick‑/place · Manipulation 2/4 · Navigation 2/4 · Human-safe: Yes · AI: Not specified · Actuation: Not specified · Peak 3 km/h · Runtime 8; hot‑swappable battery</t>
        </is>
      </c>
      <c r="BP102" s="152" t="n"/>
      <c r="BQ102" s="156" t="inlineStr">
        <is>
          <t>retail restocking; Warehouse &amp; logistics pick‑/place</t>
        </is>
      </c>
      <c r="BR102" s="156" t="inlineStr">
        <is>
          <t>Prototype</t>
        </is>
      </c>
      <c r="BS102" s="156" t="inlineStr">
        <is>
          <t>Prototype</t>
        </is>
      </c>
      <c r="BT102" s="152" t="n"/>
      <c r="BU102" s="152" t="inlineStr">
        <is>
          <t>Not verified</t>
        </is>
      </c>
      <c r="BV102" s="156" t="n"/>
      <c r="BW102" s="156" t="inlineStr">
        <is>
          <t>Origin &amp; status — USA · Prototype · 2026 | Manipulation — 4 · 4 fingers · Payload 22 lb | Sensing &amp; software — Sensor and compute package confirmed on formal quote | Buying notes — From $75,000 · 12 months manufacturer standard (typical research/commercial humanoid) · Best fit: retail restocking</t>
        </is>
      </c>
      <c r="BX102" s="156" t="inlineStr">
        <is>
          <t>as_shipped|Kinisi 01|75000|As shipped</t>
        </is>
      </c>
      <c r="BY102" s="152" t="inlineStr">
        <is>
          <t>kinisi_01|Manufacturer finish|#e2e8f0|0</t>
        </is>
      </c>
      <c r="BZ102" s="152" t="inlineStr"/>
      <c r="CA102" s="156" t="n"/>
      <c r="CB102" s="156" t="inlineStr">
        <is>
          <t>12 months manufacturer standard (typical research/commercial humanoid)</t>
        </is>
      </c>
      <c r="CC102" s="154" t="n">
        <v>12</v>
      </c>
      <c r="CD102" s="156" t="inlineStr">
        <is>
          <t>+3 Year Extended ≈24% of configuration (default in configurator)</t>
        </is>
      </c>
      <c r="CE102" s="152" t="inlineStr">
        <is>
          <t>Humanoid category norm 2025–2026</t>
        </is>
      </c>
      <c r="CF102" s="152" t="inlineStr">
        <is>
          <t>Estimated</t>
        </is>
      </c>
      <c r="CG102" s="156" t="inlineStr">
        <is>
          <t>Confirm on formal OEM quote. EDU or enterprise packages may differ.</t>
        </is>
      </c>
      <c r="CH102" s="152" t="inlineStr">
        <is>
          <t>10%</t>
        </is>
      </c>
      <c r="CI102" s="152" t="inlineStr">
        <is>
          <t>17%</t>
        </is>
      </c>
      <c r="CJ102" s="152" t="inlineStr">
        <is>
          <t>24%</t>
        </is>
      </c>
      <c r="CK102" s="156" t="inlineStr">
        <is>
          <t>+1yr ≈10% | +2yr ≈17% | +3yr ≈24% of selected configuration price (parts &amp; labor beyond manufacturer standard).</t>
        </is>
      </c>
      <c r="CL102"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02" s="152" t="inlineStr">
        <is>
          <t>12 months manufacturer standard (typical research/commercial humanoid)</t>
        </is>
      </c>
      <c r="CQ102" s="101" t="inlineStr">
        <is>
          <t>Height: Not disclosed | Weight: Not disclosed | Degrees of Freedom: Not disclosed | Payload: 22 | Max Speed: 1.86 | Battery / Runtime: 8; hot‑swappable battery</t>
        </is>
      </c>
    </row>
    <row r="103" ht="31.5" customHeight="1" s="102">
      <c r="A103" s="145" t="inlineStr">
        <is>
          <t>kinisi_robotics_kinisi_kr1</t>
        </is>
      </c>
      <c r="B103" s="153" t="inlineStr">
        <is>
          <t>Humanoid.guide</t>
        </is>
      </c>
      <c r="C103" s="145" t="inlineStr">
        <is>
          <t>Kinisi Robotics</t>
        </is>
      </c>
      <c r="D103" s="145" t="inlineStr">
        <is>
          <t>Kinisi KR1</t>
        </is>
      </c>
      <c r="E103" s="145" t="inlineStr">
        <is>
          <t>[Kinisi Robotics] Kinisi KR1 (2026)</t>
        </is>
      </c>
      <c r="F103" s="146" t="inlineStr">
        <is>
          <t>humanoid</t>
        </is>
      </c>
      <c r="G103" s="145" t="inlineStr">
        <is>
          <t>USA</t>
        </is>
      </c>
      <c r="H103" s="145" t="n"/>
      <c r="I103" s="148" t="n">
        <v>75000</v>
      </c>
      <c r="J103" s="145" t="inlineStr">
        <is>
          <t>Humanoid.guide list</t>
        </is>
      </c>
      <c r="K103" s="149" t="inlineStr">
        <is>
          <t>The Kinisi KR1 is a wheeled humanoid robot from US-based Kinisi Robotics, designed for practical warehouse tasks like pick-and-place and sorting.</t>
        </is>
      </c>
      <c r="L103" s="101" t="inlineStr">
        <is>
          <t>The Kinisi KR1 is a wheeled humanoid robot from US-based Kinisi Robotics, designed for practical warehouse tasks like pick-and-place and sorting.</t>
        </is>
      </c>
      <c r="M103" s="101" t="inlineStr">
        <is>
          <t>The Kinisi KR1 is a wheeled humanoid robot from US-based Kinisi Robotics, designed for practical warehouse tasks like pick-and-place and sorting. Public status is listed as prototype, and it is positioned for logistics; Warehouse.</t>
        </is>
      </c>
      <c r="N103" s="150" t="inlineStr">
        <is>
          <t>https://humanoid.guide/product/kinisi-kr1/</t>
        </is>
      </c>
      <c r="O103" s="150" t="inlineStr">
        <is>
          <t>https://www.kinisi.com/</t>
        </is>
      </c>
      <c r="P103" s="145" t="inlineStr">
        <is>
          <t>5 ft 4 in</t>
        </is>
      </c>
      <c r="Q103" s="145" t="n">
        <v>162</v>
      </c>
      <c r="R103" s="145" t="n">
        <v>220.5</v>
      </c>
      <c r="S103" s="145" t="n">
        <v>100</v>
      </c>
      <c r="T103" s="149" t="inlineStr">
        <is>
          <t>Not disclosed</t>
        </is>
      </c>
      <c r="U103" s="145" t="n"/>
      <c r="V103" s="145" t="inlineStr">
        <is>
          <t>21</t>
        </is>
      </c>
      <c r="W103" s="149" t="inlineStr">
        <is>
          <t>2</t>
        </is>
      </c>
      <c r="X103" s="145" t="n">
        <v>44.1</v>
      </c>
      <c r="Y103" s="145" t="n">
        <v>20</v>
      </c>
      <c r="Z103" s="145" t="n">
        <v>8.949999999999999</v>
      </c>
      <c r="AA103" s="145" t="n">
        <v>14.4</v>
      </c>
      <c r="AB103" s="145" t="n"/>
      <c r="AC103" s="149" t="inlineStr">
        <is>
          <t>≈ 8 hours</t>
        </is>
      </c>
      <c r="AD103" s="149" t="inlineStr">
        <is>
          <t>8</t>
        </is>
      </c>
      <c r="AE103" s="145" t="n"/>
      <c r="AF103" s="145" t="inlineStr">
        <is>
          <t>Not disclosed</t>
        </is>
      </c>
      <c r="AG103" s="149" t="inlineStr">
        <is>
          <t>Not disclosed</t>
        </is>
      </c>
      <c r="AH103" s="145" t="inlineStr">
        <is>
          <t>Not disclosed</t>
        </is>
      </c>
      <c r="AI103" s="158" t="n">
        <v>2</v>
      </c>
      <c r="AJ103" s="149" t="inlineStr">
        <is>
          <t>Not disclosed</t>
        </is>
      </c>
      <c r="AK103" s="149" t="inlineStr">
        <is>
          <t>Not specified</t>
        </is>
      </c>
      <c r="AL103" s="145" t="inlineStr">
        <is>
          <t>Not disclosed</t>
        </is>
      </c>
      <c r="AM103" s="145" t="n"/>
      <c r="AN103" s="145" t="inlineStr">
        <is>
          <t>Not disclosed</t>
        </is>
      </c>
      <c r="AO103" s="145" t="inlineStr">
        <is>
          <t>Not disclosed</t>
        </is>
      </c>
      <c r="AP103" s="145" t="inlineStr">
        <is>
          <t>Not disclosed</t>
        </is>
      </c>
      <c r="AQ103" s="145" t="inlineStr">
        <is>
          <t>Not disclosed</t>
        </is>
      </c>
      <c r="AR103" s="145" t="n"/>
      <c r="AS103" s="145" t="n"/>
      <c r="AT103" s="149" t="inlineStr">
        <is>
          <t>Nvidia Jetson</t>
        </is>
      </c>
      <c r="AU103" s="149" t="inlineStr">
        <is>
          <t>Wi‑Fi</t>
        </is>
      </c>
      <c r="AV103" s="145" t="inlineStr">
        <is>
          <t>Not disclosed</t>
        </is>
      </c>
      <c r="AW103" s="149" t="inlineStr">
        <is>
          <t>Not disclosed</t>
        </is>
      </c>
      <c r="AX103" s="158" t="n">
        <v>2</v>
      </c>
      <c r="AY103" s="149" t="inlineStr">
        <is>
          <t>Linux</t>
        </is>
      </c>
      <c r="AZ103" s="149" t="inlineStr">
        <is>
          <t>Not disclosed</t>
        </is>
      </c>
      <c r="BA103" s="149" t="inlineStr">
        <is>
          <t>Sub-100ms</t>
        </is>
      </c>
      <c r="BB103" s="149" t="inlineStr">
        <is>
          <t>BLDC</t>
        </is>
      </c>
      <c r="BC103" s="149" t="inlineStr">
        <is>
          <t>Strain Wave</t>
        </is>
      </c>
      <c r="BD103" s="145" t="inlineStr">
        <is>
          <t>Aluminium</t>
        </is>
      </c>
      <c r="BE103" s="145" t="inlineStr">
        <is>
          <t>IP65</t>
        </is>
      </c>
      <c r="BF103" s="145" t="inlineStr">
        <is>
          <t>IP 65</t>
        </is>
      </c>
      <c r="BG103" s="145" t="n"/>
      <c r="BH103" s="145" t="n"/>
      <c r="BI103" s="145" t="n"/>
      <c r="BJ103" s="145" t="n"/>
      <c r="BK103" s="145" t="n"/>
      <c r="BL103" s="145" t="n"/>
      <c r="BM103" s="145" t="inlineStr">
        <is>
          <t>Yes</t>
        </is>
      </c>
      <c r="BN103" s="145" t="inlineStr">
        <is>
          <t>Not disclosed</t>
        </is>
      </c>
      <c r="BO103" s="149" t="inlineStr">
        <is>
          <t>Market: logistics; Warehouse · Manipulation 2/4 · Navigation 2/4 · Human-safe: Yes · AI: Not specified · Actuation: BLDC · Peak 14.4 km/h · Runtime 8</t>
        </is>
      </c>
      <c r="BP103" s="145" t="n"/>
      <c r="BQ103" s="149" t="inlineStr">
        <is>
          <t>logistics; Warehouse</t>
        </is>
      </c>
      <c r="BR103" s="149" t="inlineStr">
        <is>
          <t>Prototype</t>
        </is>
      </c>
      <c r="BS103" s="149" t="inlineStr">
        <is>
          <t>Prototype</t>
        </is>
      </c>
      <c r="BT103" s="145" t="n"/>
      <c r="BU103" s="145" t="inlineStr">
        <is>
          <t>Not verified</t>
        </is>
      </c>
      <c r="BV103" s="149" t="n"/>
      <c r="BW103" s="149" t="inlineStr">
        <is>
          <t>Origin &amp; status — USA · Prototype · 2026 | Manipulation — Hand DOF 2 · Payload 44.1 lb | Sensing &amp; software — Linux | Buying notes — From $75,000 · 12 months manufacturer standard (typical research/commercial humanoid) · Best fit: logistics</t>
        </is>
      </c>
      <c r="BX103" s="149" t="inlineStr">
        <is>
          <t>as_shipped|Kinisi KR1|75000|As shipped</t>
        </is>
      </c>
      <c r="BY103" s="145" t="inlineStr">
        <is>
          <t>kinisi_kr1|Manufacturer finish|#e2e8f0|0</t>
        </is>
      </c>
      <c r="BZ103" s="145" t="inlineStr"/>
      <c r="CA103" s="149" t="n"/>
      <c r="CB103" s="149" t="inlineStr">
        <is>
          <t>12 months manufacturer standard (typical research/commercial humanoid)</t>
        </is>
      </c>
      <c r="CC103" s="147" t="n">
        <v>12</v>
      </c>
      <c r="CD103" s="149" t="inlineStr">
        <is>
          <t>+3 Year Extended ≈24% of configuration (default in configurator)</t>
        </is>
      </c>
      <c r="CE103" s="145" t="inlineStr">
        <is>
          <t>Humanoid category norm 2025–2026</t>
        </is>
      </c>
      <c r="CF103" s="145" t="inlineStr">
        <is>
          <t>Estimated</t>
        </is>
      </c>
      <c r="CG103" s="149" t="inlineStr">
        <is>
          <t>Confirm on formal OEM quote. EDU or enterprise packages may differ.</t>
        </is>
      </c>
      <c r="CH103" s="145" t="inlineStr">
        <is>
          <t>10%</t>
        </is>
      </c>
      <c r="CI103" s="145" t="inlineStr">
        <is>
          <t>17%</t>
        </is>
      </c>
      <c r="CJ103" s="145" t="inlineStr">
        <is>
          <t>24%</t>
        </is>
      </c>
      <c r="CK103" s="149" t="inlineStr">
        <is>
          <t>+1yr ≈10% | +2yr ≈17% | +3yr ≈24% of selected configuration price (parts &amp; labor beyond manufacturer standard).</t>
        </is>
      </c>
      <c r="CL103"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03" s="145" t="inlineStr">
        <is>
          <t>12 months manufacturer standard (typical research/commercial humanoid)</t>
        </is>
      </c>
      <c r="CN103" s="203" t="inlineStr">
        <is>
          <t>https://aixzd.com/robot/r1</t>
        </is>
      </c>
      <c r="CQ103" s="101" t="inlineStr">
        <is>
          <t>Height: 5 ft 4 in | Weight: 220.5 | Degrees of Freedom: 21 | Payload: 44.1 | Max Speed: 8.95 | Battery / Runtime: ≈ 8 hours</t>
        </is>
      </c>
    </row>
    <row r="104" ht="31.5" customHeight="1" s="102">
      <c r="A104" s="152" t="inlineStr">
        <is>
          <t>lanxin_robotics_vb1_i</t>
        </is>
      </c>
      <c r="B104" s="153" t="inlineStr">
        <is>
          <t>Humanoid.guide</t>
        </is>
      </c>
      <c r="C104" s="152" t="inlineStr">
        <is>
          <t>Lanxin Robotics</t>
        </is>
      </c>
      <c r="D104" s="152" t="inlineStr">
        <is>
          <t>VB1-I</t>
        </is>
      </c>
      <c r="E104" s="152" t="inlineStr">
        <is>
          <t>[Lanxin Robotics] VB1-I (2026)</t>
        </is>
      </c>
      <c r="F104" s="146" t="inlineStr">
        <is>
          <t>humanoid</t>
        </is>
      </c>
      <c r="G104" s="152" t="inlineStr">
        <is>
          <t>China</t>
        </is>
      </c>
      <c r="H104" s="152" t="n"/>
      <c r="I104" s="155" t="n">
        <v>120000</v>
      </c>
      <c r="J104" s="152" t="inlineStr">
        <is>
          <t>Humanoid.guide list</t>
        </is>
      </c>
      <c r="K104" s="156" t="inlineStr">
        <is>
          <t>VB1-I is a full-size humanoid robot developed by Lanxin Robotics for research, industrial exploration, and embodied AI development.</t>
        </is>
      </c>
      <c r="L104" s="101" t="inlineStr">
        <is>
          <t>VB1-I is a full-size humanoid robot developed by Lanxin Robotics for research, industrial exploration, and embodied AI development.</t>
        </is>
      </c>
      <c r="M104" s="101" t="inlineStr">
        <is>
          <t>VB1-I is a full-size humanoid robot developed by Lanxin Robotics for research, industrial exploration, and embodied AI development. Public status is listed as in production, and it is positioned for embodied AI; industrial testing; Research.</t>
        </is>
      </c>
      <c r="N104" s="157" t="inlineStr">
        <is>
          <t>https://humanoid.guide/product/vb1-i/</t>
        </is>
      </c>
      <c r="O104" s="157" t="inlineStr">
        <is>
          <t>https://www.lanxinrobotics.com/</t>
        </is>
      </c>
      <c r="P104" s="152" t="inlineStr">
        <is>
          <t>5 ft 5 in</t>
        </is>
      </c>
      <c r="Q104" s="152" t="n">
        <v>165</v>
      </c>
      <c r="R104" s="152" t="n">
        <v>132.3</v>
      </c>
      <c r="S104" s="152" t="n">
        <v>60</v>
      </c>
      <c r="T104" s="156" t="inlineStr">
        <is>
          <t>Not disclosed</t>
        </is>
      </c>
      <c r="U104" s="152" t="n"/>
      <c r="V104" s="152" t="inlineStr">
        <is>
          <t>~40–45</t>
        </is>
      </c>
      <c r="W104" s="156" t="inlineStr">
        <is>
          <t>~6–7 per hand</t>
        </is>
      </c>
      <c r="X104" s="152" t="n">
        <v>22</v>
      </c>
      <c r="Y104" s="152" t="n">
        <v>10</v>
      </c>
      <c r="Z104" s="152" t="n">
        <v>3.73</v>
      </c>
      <c r="AA104" s="152" t="n">
        <v>6</v>
      </c>
      <c r="AB104" s="152" t="n"/>
      <c r="AC104" s="156" t="inlineStr">
        <is>
          <t>Not disclosed</t>
        </is>
      </c>
      <c r="AD104" s="156" t="n"/>
      <c r="AE104" s="152" t="n"/>
      <c r="AF104" s="152" t="inlineStr">
        <is>
          <t>Not disclosed</t>
        </is>
      </c>
      <c r="AG104" s="156" t="inlineStr">
        <is>
          <t>5 per hand</t>
        </is>
      </c>
      <c r="AH104" s="152" t="inlineStr">
        <is>
          <t>5 per hand</t>
        </is>
      </c>
      <c r="AI104" s="152" t="n"/>
      <c r="AJ104" s="156" t="inlineStr">
        <is>
          <t>Stereo RGB vision</t>
        </is>
      </c>
      <c r="AK104" s="156" t="inlineStr">
        <is>
          <t>Stereo RGB vision</t>
        </is>
      </c>
      <c r="AL104" s="152" t="inlineStr">
        <is>
          <t>Not disclosed</t>
        </is>
      </c>
      <c r="AM104" s="152" t="n"/>
      <c r="AN104" s="152" t="inlineStr">
        <is>
          <t>Not disclosed</t>
        </is>
      </c>
      <c r="AO104" s="152" t="inlineStr">
        <is>
          <t>Not disclosed</t>
        </is>
      </c>
      <c r="AP104" s="152" t="inlineStr">
        <is>
          <t>Not disclosed</t>
        </is>
      </c>
      <c r="AQ104" s="152" t="inlineStr">
        <is>
          <t>Not disclosed</t>
        </is>
      </c>
      <c r="AR104" s="152" t="n"/>
      <c r="AS104" s="152" t="n"/>
      <c r="AT104" s="156" t="inlineStr">
        <is>
          <t>Industrial PC with AI accelerator</t>
        </is>
      </c>
      <c r="AU104" s="156" t="inlineStr">
        <is>
          <t>Ethernet; Wi‑Fi</t>
        </is>
      </c>
      <c r="AV104" s="152" t="inlineStr">
        <is>
          <t>Not disclosed</t>
        </is>
      </c>
      <c r="AW104" s="156" t="inlineStr">
        <is>
          <t>Not disclosed</t>
        </is>
      </c>
      <c r="AX104" s="152" t="n"/>
      <c r="AY104" s="156" t="inlineStr">
        <is>
          <t>Linux-based robotics OS</t>
        </is>
      </c>
      <c r="AZ104" s="156" t="inlineStr">
        <is>
          <t>Possible via external integration</t>
        </is>
      </c>
      <c r="BA104" s="156" t="n"/>
      <c r="BB104" s="156" t="inlineStr">
        <is>
          <t>High-torque electric servo motors</t>
        </is>
      </c>
      <c r="BC104" s="156" t="inlineStr">
        <is>
          <t>Harmonic reducers</t>
        </is>
      </c>
      <c r="BD104" s="152" t="inlineStr">
        <is>
          <t>Aluminum alloy frame with composite covers</t>
        </is>
      </c>
      <c r="BE104" s="152" t="inlineStr">
        <is>
          <t>Not disclosed</t>
        </is>
      </c>
      <c r="BF104" s="152" t="n"/>
      <c r="BG104" s="152" t="n"/>
      <c r="BH104" s="152" t="n"/>
      <c r="BI104" s="152" t="n"/>
      <c r="BJ104" s="152" t="n"/>
      <c r="BK104" s="152" t="n"/>
      <c r="BL104" s="152" t="n"/>
      <c r="BM104" s="152" t="inlineStr">
        <is>
          <t>Yes</t>
        </is>
      </c>
      <c r="BN104" s="152" t="inlineStr">
        <is>
          <t>Not disclosed</t>
        </is>
      </c>
      <c r="BO104" s="156" t="inlineStr">
        <is>
          <t>Market: embodied AI; industrial testing; Research · Human-safe: Yes · AI: Possible via external integration · Actuation: High-torque electric servo motors · Peak 6 km/h</t>
        </is>
      </c>
      <c r="BP104" s="152" t="n"/>
      <c r="BQ104" s="156" t="inlineStr">
        <is>
          <t>embodied AI; industrial testing; Research</t>
        </is>
      </c>
      <c r="BR104" s="156" t="inlineStr">
        <is>
          <t>In production</t>
        </is>
      </c>
      <c r="BS104" s="156" t="inlineStr">
        <is>
          <t>In production</t>
        </is>
      </c>
      <c r="BT104" s="152" t="inlineStr">
        <is>
          <t>White</t>
        </is>
      </c>
      <c r="BU104" s="152" t="inlineStr">
        <is>
          <t>Not verified</t>
        </is>
      </c>
      <c r="BV104" s="156" t="n"/>
      <c r="BW104" s="156" t="inlineStr">
        <is>
          <t>Origin &amp; status — China · In production · 2026 | Manipulation — 5 per hand · 5 per hand fingers · Hand DOF ~6–7 per hand · Payload 22 lb | Sensing &amp; software — Stereo RGB vision · Possible via external integration · Linux-based robotics OS | Buying notes — From $120,000 · 12 months manufacturer standard (typical research/commercial humanoid) · Best fit: embodied AI</t>
        </is>
      </c>
      <c r="BX104" s="156" t="inlineStr">
        <is>
          <t>as_shipped|VB1-I|120000|As shipped</t>
        </is>
      </c>
      <c r="BY104" s="152" t="inlineStr">
        <is>
          <t>white|White|#e2e8f0|0</t>
        </is>
      </c>
      <c r="BZ104" s="152" t="inlineStr"/>
      <c r="CA104" s="156" t="n"/>
      <c r="CB104" s="156" t="inlineStr">
        <is>
          <t>12 months manufacturer standard (typical research/commercial humanoid)</t>
        </is>
      </c>
      <c r="CC104" s="154" t="n">
        <v>12</v>
      </c>
      <c r="CD104" s="156" t="inlineStr">
        <is>
          <t>+3 Year Extended ≈24% of configuration (default in configurator)</t>
        </is>
      </c>
      <c r="CE104" s="152" t="inlineStr">
        <is>
          <t>Humanoid category norm 2025–2026</t>
        </is>
      </c>
      <c r="CF104" s="152" t="inlineStr">
        <is>
          <t>Estimated</t>
        </is>
      </c>
      <c r="CG104" s="156" t="inlineStr">
        <is>
          <t>Confirm on formal OEM quote. EDU or enterprise packages may differ.</t>
        </is>
      </c>
      <c r="CH104" s="152" t="inlineStr">
        <is>
          <t>10%</t>
        </is>
      </c>
      <c r="CI104" s="152" t="inlineStr">
        <is>
          <t>17%</t>
        </is>
      </c>
      <c r="CJ104" s="152" t="inlineStr">
        <is>
          <t>24%</t>
        </is>
      </c>
      <c r="CK104" s="156" t="inlineStr">
        <is>
          <t>+1yr ≈10% | +2yr ≈17% | +3yr ≈24% of selected configuration price (parts &amp; labor beyond manufacturer standard).</t>
        </is>
      </c>
      <c r="CL104"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04" s="152" t="inlineStr">
        <is>
          <t>12 months manufacturer standard (typical research/commercial humanoid)</t>
        </is>
      </c>
      <c r="CQ104" s="101" t="inlineStr">
        <is>
          <t>Height: 5 ft 5 in | Weight: 132.3 | Degrees of Freedom: ~40–45 | Payload: 22 | Max Speed: 3.73 | Battery / Runtime: Not disclosed</t>
        </is>
      </c>
    </row>
    <row r="105" ht="31.5" customHeight="1" s="102">
      <c r="A105" s="145" t="inlineStr">
        <is>
          <t>lanxin_robotics_vb2</t>
        </is>
      </c>
      <c r="B105" s="153" t="inlineStr">
        <is>
          <t>Humanoid.guide</t>
        </is>
      </c>
      <c r="C105" s="145" t="inlineStr">
        <is>
          <t>Lanxin Robotics</t>
        </is>
      </c>
      <c r="D105" s="145" t="inlineStr">
        <is>
          <t>VB2</t>
        </is>
      </c>
      <c r="E105" s="145" t="inlineStr">
        <is>
          <t>[Lanxin Robotics] VB2 (2026)</t>
        </is>
      </c>
      <c r="F105" s="146" t="inlineStr">
        <is>
          <t>humanoid</t>
        </is>
      </c>
      <c r="G105" s="145" t="inlineStr">
        <is>
          <t>China</t>
        </is>
      </c>
      <c r="H105" s="145" t="n"/>
      <c r="I105" s="148" t="n">
        <v>150000</v>
      </c>
      <c r="J105" s="145" t="inlineStr">
        <is>
          <t>Humanoid.guide list</t>
        </is>
      </c>
      <c r="K105" s="149" t="inlineStr">
        <is>
          <t>VB2 is a humanoid robot developed by Lanxin Robotics for advanced research and industrial experimentation.</t>
        </is>
      </c>
      <c r="L105" s="101" t="inlineStr">
        <is>
          <t>VB2 is a humanoid robot developed by Lanxin Robotics for advanced research and industrial experimentation.</t>
        </is>
      </c>
      <c r="M105" s="101" t="inlineStr">
        <is>
          <t>VB2 is a humanoid robot developed by Lanxin Robotics for advanced research and industrial experimentation. Public status is listed as in production, and it is positioned for embodied AI; Industrial research; logistics.</t>
        </is>
      </c>
      <c r="N105" s="150" t="inlineStr">
        <is>
          <t>https://humanoid.guide/product/vb2/</t>
        </is>
      </c>
      <c r="O105" s="150" t="inlineStr">
        <is>
          <t>https://www.lanxinrobotics.com/</t>
        </is>
      </c>
      <c r="P105" s="145" t="inlineStr">
        <is>
          <t>5 ft 7 in</t>
        </is>
      </c>
      <c r="Q105" s="145" t="n">
        <v>170</v>
      </c>
      <c r="R105" s="145" t="n">
        <v>143.3</v>
      </c>
      <c r="S105" s="145" t="n">
        <v>65</v>
      </c>
      <c r="T105" s="149" t="inlineStr">
        <is>
          <t>Not disclosed</t>
        </is>
      </c>
      <c r="U105" s="145" t="n"/>
      <c r="V105" s="145" t="inlineStr">
        <is>
          <t>~45–50</t>
        </is>
      </c>
      <c r="W105" s="149" t="inlineStr">
        <is>
          <t>~6–7 per hand</t>
        </is>
      </c>
      <c r="X105" s="145" t="n">
        <v>26.5</v>
      </c>
      <c r="Y105" s="145" t="n">
        <v>12</v>
      </c>
      <c r="Z105" s="145" t="n">
        <v>4.35</v>
      </c>
      <c r="AA105" s="145" t="n">
        <v>7</v>
      </c>
      <c r="AB105" s="145" t="n"/>
      <c r="AC105" s="149" t="inlineStr">
        <is>
          <t>~2–3</t>
        </is>
      </c>
      <c r="AD105" s="149" t="inlineStr">
        <is>
          <t>~2–3</t>
        </is>
      </c>
      <c r="AE105" s="145" t="n"/>
      <c r="AF105" s="145" t="inlineStr">
        <is>
          <t>Not disclosed</t>
        </is>
      </c>
      <c r="AG105" s="149" t="inlineStr">
        <is>
          <t>5 per hand</t>
        </is>
      </c>
      <c r="AH105" s="145" t="inlineStr">
        <is>
          <t>5 per hand</t>
        </is>
      </c>
      <c r="AI105" s="145" t="n"/>
      <c r="AJ105" s="149" t="inlineStr">
        <is>
          <t>Stereo RGB vision</t>
        </is>
      </c>
      <c r="AK105" s="149" t="inlineStr">
        <is>
          <t>Stereo RGB vision</t>
        </is>
      </c>
      <c r="AL105" s="145" t="inlineStr">
        <is>
          <t>Not disclosed</t>
        </is>
      </c>
      <c r="AM105" s="145" t="n"/>
      <c r="AN105" s="145" t="inlineStr">
        <is>
          <t>Not disclosed</t>
        </is>
      </c>
      <c r="AO105" s="145" t="inlineStr">
        <is>
          <t>Not disclosed</t>
        </is>
      </c>
      <c r="AP105" s="145" t="inlineStr">
        <is>
          <t>Not disclosed</t>
        </is>
      </c>
      <c r="AQ105" s="145" t="inlineStr">
        <is>
          <t>Not disclosed</t>
        </is>
      </c>
      <c r="AR105" s="145" t="n"/>
      <c r="AS105" s="145" t="n"/>
      <c r="AT105" s="149" t="inlineStr">
        <is>
          <t>Industrial PC with AI accelerator</t>
        </is>
      </c>
      <c r="AU105" s="149" t="inlineStr">
        <is>
          <t>Ethernet; Wi‑Fi</t>
        </is>
      </c>
      <c r="AV105" s="145" t="inlineStr">
        <is>
          <t>Not disclosed</t>
        </is>
      </c>
      <c r="AW105" s="149" t="inlineStr">
        <is>
          <t>Not disclosed</t>
        </is>
      </c>
      <c r="AX105" s="145" t="n"/>
      <c r="AY105" s="149" t="inlineStr">
        <is>
          <t>Linux-based robotics OS</t>
        </is>
      </c>
      <c r="AZ105" s="149" t="inlineStr">
        <is>
          <t>Possible via external integration</t>
        </is>
      </c>
      <c r="BA105" s="149" t="n"/>
      <c r="BB105" s="149" t="inlineStr">
        <is>
          <t>High-torque electric servo motors</t>
        </is>
      </c>
      <c r="BC105" s="149" t="inlineStr">
        <is>
          <t>Harmonic reducers</t>
        </is>
      </c>
      <c r="BD105" s="145" t="inlineStr">
        <is>
          <t>Aluminum alloy frame with composite covers</t>
        </is>
      </c>
      <c r="BE105" s="145" t="inlineStr">
        <is>
          <t>Not disclosed</t>
        </is>
      </c>
      <c r="BF105" s="145" t="n"/>
      <c r="BG105" s="145" t="n"/>
      <c r="BH105" s="145" t="n"/>
      <c r="BI105" s="145" t="n"/>
      <c r="BJ105" s="145" t="n"/>
      <c r="BK105" s="145" t="n"/>
      <c r="BL105" s="145" t="n"/>
      <c r="BM105" s="145" t="inlineStr">
        <is>
          <t>Yes</t>
        </is>
      </c>
      <c r="BN105" s="145" t="inlineStr">
        <is>
          <t>Not disclosed</t>
        </is>
      </c>
      <c r="BO105" s="149" t="inlineStr">
        <is>
          <t>Market: embodied AI; Industrial research; logistics · Human-safe: Yes · AI: Possible via external integration · Actuation: High-torque electric servo motors · Peak 7 km/h · Runtime ~2–3</t>
        </is>
      </c>
      <c r="BP105" s="145" t="n"/>
      <c r="BQ105" s="149" t="inlineStr">
        <is>
          <t>embodied AI; Industrial research; logistics</t>
        </is>
      </c>
      <c r="BR105" s="149" t="inlineStr">
        <is>
          <t>In production</t>
        </is>
      </c>
      <c r="BS105" s="149" t="inlineStr">
        <is>
          <t>In production</t>
        </is>
      </c>
      <c r="BT105" s="145" t="inlineStr">
        <is>
          <t>White</t>
        </is>
      </c>
      <c r="BU105" s="145" t="inlineStr">
        <is>
          <t>Not verified</t>
        </is>
      </c>
      <c r="BV105" s="149" t="n"/>
      <c r="BW105" s="149" t="inlineStr">
        <is>
          <t>Origin &amp; status — China · In production · 2026 | Manipulation — 5 per hand · 5 per hand fingers · Hand DOF ~6–7 per hand · Payload 26.5 lb | Sensing &amp; software — Stereo RGB vision · Possible via external integration · Linux-based robotics OS | Buying notes — From $150,000 · 12 months manufacturer standard (typical research/commercial humanoid) · Best fit: embodied AI</t>
        </is>
      </c>
      <c r="BX105" s="149" t="inlineStr">
        <is>
          <t>as_shipped|VB2|150000|As shipped</t>
        </is>
      </c>
      <c r="BY105" s="145" t="inlineStr">
        <is>
          <t>white|White|#e2e8f0|0</t>
        </is>
      </c>
      <c r="BZ105" s="145" t="inlineStr"/>
      <c r="CA105" s="149" t="n"/>
      <c r="CB105" s="149" t="inlineStr">
        <is>
          <t>12 months manufacturer standard (typical research/commercial humanoid)</t>
        </is>
      </c>
      <c r="CC105" s="147" t="n">
        <v>12</v>
      </c>
      <c r="CD105" s="149" t="inlineStr">
        <is>
          <t>+3 Year Extended ≈24% of configuration (default in configurator)</t>
        </is>
      </c>
      <c r="CE105" s="145" t="inlineStr">
        <is>
          <t>Humanoid category norm 2025–2026</t>
        </is>
      </c>
      <c r="CF105" s="145" t="inlineStr">
        <is>
          <t>Estimated</t>
        </is>
      </c>
      <c r="CG105" s="149" t="inlineStr">
        <is>
          <t>Confirm on formal OEM quote. EDU or enterprise packages may differ.</t>
        </is>
      </c>
      <c r="CH105" s="145" t="inlineStr">
        <is>
          <t>10%</t>
        </is>
      </c>
      <c r="CI105" s="145" t="inlineStr">
        <is>
          <t>17%</t>
        </is>
      </c>
      <c r="CJ105" s="145" t="inlineStr">
        <is>
          <t>24%</t>
        </is>
      </c>
      <c r="CK105" s="149" t="inlineStr">
        <is>
          <t>+1yr ≈10% | +2yr ≈17% | +3yr ≈24% of selected configuration price (parts &amp; labor beyond manufacturer standard).</t>
        </is>
      </c>
      <c r="CL10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05" s="145" t="inlineStr">
        <is>
          <t>12 months manufacturer standard (typical research/commercial humanoid)</t>
        </is>
      </c>
      <c r="CQ105" s="101" t="inlineStr">
        <is>
          <t>Height: 5 ft 7 in | Weight: 143.3 | Degrees of Freedom: ~45–50 | Payload: 26.5 | Max Speed: 4.35 | Battery / Runtime: ~2–3</t>
        </is>
      </c>
    </row>
    <row r="106" ht="31.5" customHeight="1" s="102">
      <c r="A106" s="152" t="inlineStr">
        <is>
          <t>lanxin_robotics_versabot_vb_1</t>
        </is>
      </c>
      <c r="B106" s="153" t="inlineStr">
        <is>
          <t>Humanoid.guide</t>
        </is>
      </c>
      <c r="C106" s="152" t="inlineStr">
        <is>
          <t>Lanxin Robotics</t>
        </is>
      </c>
      <c r="D106" s="152" t="inlineStr">
        <is>
          <t>VersaBot VB-1</t>
        </is>
      </c>
      <c r="E106" s="152" t="inlineStr">
        <is>
          <t>[Lanxin Robotics] VersaBot VB-1 (2026)</t>
        </is>
      </c>
      <c r="F106" s="146" t="inlineStr">
        <is>
          <t>humanoid</t>
        </is>
      </c>
      <c r="G106" s="152" t="inlineStr">
        <is>
          <t>China</t>
        </is>
      </c>
      <c r="H106" s="152" t="n"/>
      <c r="I106" s="155" t="n">
        <v>120000</v>
      </c>
      <c r="J106" s="152" t="inlineStr">
        <is>
          <t>Humanoid.guide list</t>
        </is>
      </c>
      <c r="K106" s="156" t="inlineStr">
        <is>
          <t>VersaBot VB-1 is a humanoid robot by Lanxin Robotics designed for adaptable manipulation, navigation, and multi-scenario deployment.</t>
        </is>
      </c>
      <c r="L106" s="101" t="inlineStr">
        <is>
          <t>VersaBot VB-1 is a humanoid robot by Lanxin Robotics designed for adaptable manipulation, navigation, and multi-scenario deployment.</t>
        </is>
      </c>
      <c r="M106" s="101" t="inlineStr">
        <is>
          <t>VersaBot VB-1 is a humanoid robot by Lanxin Robotics designed for adaptable manipulation, navigation, and multi-scenario deployment. Public status is listed as limited production / pilot deployments, and it is positioned for applied humanoid R&amp;D; Research &amp; education.</t>
        </is>
      </c>
      <c r="N106" s="157" t="inlineStr">
        <is>
          <t>https://humanoid.guide/product/versabot-vb-1/</t>
        </is>
      </c>
      <c r="O106" s="157" t="inlineStr">
        <is>
          <t>https://www.lanxinrobotics.com/</t>
        </is>
      </c>
      <c r="P106" s="152" t="inlineStr">
        <is>
          <t>5 ft 5 in</t>
        </is>
      </c>
      <c r="Q106" s="152" t="n">
        <v>165</v>
      </c>
      <c r="R106" s="152" t="n">
        <v>165.3</v>
      </c>
      <c r="S106" s="152" t="n">
        <v>75</v>
      </c>
      <c r="T106" s="156" t="inlineStr">
        <is>
          <t>Not disclosed</t>
        </is>
      </c>
      <c r="U106" s="152" t="inlineStr">
        <is>
          <t>~180 × 80 × 65 cm</t>
        </is>
      </c>
      <c r="V106" s="152" t="inlineStr">
        <is>
          <t>38</t>
        </is>
      </c>
      <c r="W106" s="156" t="inlineStr">
        <is>
          <t>12</t>
        </is>
      </c>
      <c r="X106" s="152" t="n">
        <v>33.1</v>
      </c>
      <c r="Y106" s="152" t="n">
        <v>15</v>
      </c>
      <c r="Z106" s="152" t="n">
        <v>2.8</v>
      </c>
      <c r="AA106" s="152" t="n">
        <v>4.5</v>
      </c>
      <c r="AB106" s="152" t="n">
        <v>4</v>
      </c>
      <c r="AC106" s="156" t="inlineStr">
        <is>
          <t>~3–5</t>
        </is>
      </c>
      <c r="AD106" s="156" t="inlineStr">
        <is>
          <t>~3–5</t>
        </is>
      </c>
      <c r="AE106" s="152" t="n"/>
      <c r="AF106" s="152" t="inlineStr">
        <is>
          <t>Not disclosed</t>
        </is>
      </c>
      <c r="AG106" s="156" t="inlineStr">
        <is>
          <t>5 per hand</t>
        </is>
      </c>
      <c r="AH106" s="152" t="inlineStr">
        <is>
          <t>5 per hand</t>
        </is>
      </c>
      <c r="AI106" s="151" t="n">
        <v>3</v>
      </c>
      <c r="AJ106" s="156" t="inlineStr">
        <is>
          <t>RGB + depth cameras, ~1080p</t>
        </is>
      </c>
      <c r="AK106" s="156" t="inlineStr">
        <is>
          <t>RGB + depth cameras, ~1080p</t>
        </is>
      </c>
      <c r="AL106" s="152" t="inlineStr">
        <is>
          <t>Not disclosed</t>
        </is>
      </c>
      <c r="AM106" s="152" t="n"/>
      <c r="AN106" s="152" t="inlineStr">
        <is>
          <t>Not disclosed</t>
        </is>
      </c>
      <c r="AO106" s="152" t="inlineStr">
        <is>
          <t>Not disclosed</t>
        </is>
      </c>
      <c r="AP106" s="152" t="inlineStr">
        <is>
          <t>Not disclosed</t>
        </is>
      </c>
      <c r="AQ106" s="152" t="inlineStr">
        <is>
          <t>Not disclosed</t>
        </is>
      </c>
      <c r="AR106" s="152" t="n"/>
      <c r="AS106" s="152" t="n"/>
      <c r="AT106" s="156" t="inlineStr">
        <is>
          <t>Industrial CPU + optional AI accelerator (assumed)</t>
        </is>
      </c>
      <c r="AU106" s="156" t="inlineStr">
        <is>
          <t>Ethernet; USB; Wi‑Fi</t>
        </is>
      </c>
      <c r="AV106" s="152" t="inlineStr">
        <is>
          <t>Not disclosed</t>
        </is>
      </c>
      <c r="AW106" s="156" t="inlineStr">
        <is>
          <t>Not disclosed</t>
        </is>
      </c>
      <c r="AX106" s="151" t="n">
        <v>3</v>
      </c>
      <c r="AY106" s="156" t="inlineStr">
        <is>
          <t>Linux-based ROS environment</t>
        </is>
      </c>
      <c r="AZ106" s="156" t="inlineStr">
        <is>
          <t>Possible via external system integration</t>
        </is>
      </c>
      <c r="BA106" s="156" t="inlineStr">
        <is>
          <t>150–250 ms</t>
        </is>
      </c>
      <c r="BB106" s="156" t="inlineStr">
        <is>
          <t>Electric servo motors</t>
        </is>
      </c>
      <c r="BC106" s="156" t="inlineStr">
        <is>
          <t>Harmonic / planetary gears (assumed)</t>
        </is>
      </c>
      <c r="BD106" s="152" t="inlineStr">
        <is>
          <t>Aluminum alloy + composites</t>
        </is>
      </c>
      <c r="BE106" s="152" t="inlineStr">
        <is>
          <t>Not disclosed</t>
        </is>
      </c>
      <c r="BF106" s="152" t="n"/>
      <c r="BG106" s="152" t="n"/>
      <c r="BH106" s="152" t="n"/>
      <c r="BI106" s="152" t="n"/>
      <c r="BJ106" s="152" t="n"/>
      <c r="BK106" s="152" t="n"/>
      <c r="BL106" s="152" t="n"/>
      <c r="BM106" s="152" t="inlineStr">
        <is>
          <t>Yes</t>
        </is>
      </c>
      <c r="BN106" s="152" t="inlineStr">
        <is>
          <t>Not disclosed</t>
        </is>
      </c>
      <c r="BO106" s="156" t="inlineStr">
        <is>
          <t>Market: applied humanoid R&amp;D; Research &amp; education · Manipulation 3/4 · Navigation 3/4 · Human-safe: Yes · AI: Possible via external system integration · Actuation: Electric servo motors · Peak 4.5 km/h · Walk 4 km/h · Runtime ~3–5</t>
        </is>
      </c>
      <c r="BP106" s="152" t="n"/>
      <c r="BQ106" s="156" t="inlineStr">
        <is>
          <t>applied humanoid R&amp;D; Research &amp; education</t>
        </is>
      </c>
      <c r="BR106" s="156" t="inlineStr">
        <is>
          <t>Limited production / pilot deployments</t>
        </is>
      </c>
      <c r="BS106" s="156" t="inlineStr">
        <is>
          <t>Limited production / pilot deployments</t>
        </is>
      </c>
      <c r="BT106" s="152" t="inlineStr">
        <is>
          <t>Grey; White</t>
        </is>
      </c>
      <c r="BU106" s="152" t="inlineStr">
        <is>
          <t>Not verified</t>
        </is>
      </c>
      <c r="BV106" s="156" t="n"/>
      <c r="BW106" s="156" t="inlineStr">
        <is>
          <t>Origin &amp; status — China · Limited production / pilot deployments · 2026 | Manipulation — 5 per hand · 5 per hand fingers · Hand DOF 12 · Payload 33.1 lb | Sensing &amp; software — RGB + depth cameras, ~1080p · Possible via external system integration · Linux-based ROS environment | Buying notes — From $120,000 · 12 months manufacturer standard (typical research/commercial humanoid) · Best fit: applied humanoid R&amp;D</t>
        </is>
      </c>
      <c r="BX106" s="156" t="inlineStr">
        <is>
          <t>as_shipped|VersaBot VB-1|120000|As shipped</t>
        </is>
      </c>
      <c r="BY106" s="152" t="inlineStr">
        <is>
          <t>grey|Grey|#e2e8f0|0 || white|White|#1e293b|0</t>
        </is>
      </c>
      <c r="BZ106" s="152" t="inlineStr"/>
      <c r="CA106" s="156" t="n"/>
      <c r="CB106" s="156" t="inlineStr">
        <is>
          <t>12 months manufacturer standard (typical research/commercial humanoid)</t>
        </is>
      </c>
      <c r="CC106" s="154" t="n">
        <v>12</v>
      </c>
      <c r="CD106" s="156" t="inlineStr">
        <is>
          <t>+3 Year Extended ≈24% of configuration (default in configurator)</t>
        </is>
      </c>
      <c r="CE106" s="152" t="inlineStr">
        <is>
          <t>Humanoid category norm 2025–2026</t>
        </is>
      </c>
      <c r="CF106" s="152" t="inlineStr">
        <is>
          <t>Estimated</t>
        </is>
      </c>
      <c r="CG106" s="156" t="inlineStr">
        <is>
          <t>Confirm on formal OEM quote. EDU or enterprise packages may differ.</t>
        </is>
      </c>
      <c r="CH106" s="152" t="inlineStr">
        <is>
          <t>10%</t>
        </is>
      </c>
      <c r="CI106" s="152" t="inlineStr">
        <is>
          <t>17%</t>
        </is>
      </c>
      <c r="CJ106" s="152" t="inlineStr">
        <is>
          <t>24%</t>
        </is>
      </c>
      <c r="CK106" s="156" t="inlineStr">
        <is>
          <t>+1yr ≈10% | +2yr ≈17% | +3yr ≈24% of selected configuration price (parts &amp; labor beyond manufacturer standard).</t>
        </is>
      </c>
      <c r="CL106"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06" s="152" t="inlineStr">
        <is>
          <t>12 months manufacturer standard (typical research/commercial humanoid)</t>
        </is>
      </c>
      <c r="CQ106" s="101" t="inlineStr">
        <is>
          <t>Height: 5 ft 5 in | Weight: 165.3 | Degrees of Freedom: 38 | Payload: 33.1 | Max Speed: 2.8 | Battery / Runtime: ~3–5</t>
        </is>
      </c>
    </row>
    <row r="107" ht="31.5" customHeight="1" s="102">
      <c r="A107" s="145" t="inlineStr">
        <is>
          <t>leju_robot_suzhou_leju_robotics_co_ltd_kuavo_5</t>
        </is>
      </c>
      <c r="B107" s="153" t="inlineStr">
        <is>
          <t>Humanoid.guide</t>
        </is>
      </c>
      <c r="C107" s="145" t="inlineStr">
        <is>
          <t>Leju Robot (Suzhou Leju Robotics Co., Ltd.)</t>
        </is>
      </c>
      <c r="D107" s="145" t="inlineStr">
        <is>
          <t>Kuavo-5</t>
        </is>
      </c>
      <c r="E107" s="145" t="inlineStr">
        <is>
          <t>[Leju Robot] Kuavo-5 (2026)</t>
        </is>
      </c>
      <c r="F107" s="146" t="inlineStr">
        <is>
          <t>humanoid</t>
        </is>
      </c>
      <c r="G107" s="145" t="inlineStr">
        <is>
          <t>China</t>
        </is>
      </c>
      <c r="H107" s="145" t="n"/>
      <c r="I107" s="148" t="n">
        <v>38000</v>
      </c>
      <c r="J107" s="145" t="inlineStr">
        <is>
          <t>Humanoid.guide list</t>
        </is>
      </c>
      <c r="K107" s="149" t="inlineStr">
        <is>
          <t>Kuavo-5 is a modular humanoid robot by Leju Robot that combines walk/wheel mobility, interchangeable limbs, and modular hands — built for flexible deployment in industry, automation, or home-service applications.</t>
        </is>
      </c>
      <c r="L107" s="101" t="inlineStr">
        <is>
          <t>Kuavo-5 is a modular humanoid robot by Leju Robot that combines walk/wheel mobility, interchangeable limbs, and modular hands — built for flexible deployment in industry, automation, or home-service applications.</t>
        </is>
      </c>
      <c r="M107" s="101" t="inlineStr">
        <is>
          <t>Kuavo-5 is a modular humanoid robot by Leju Robot that combines walk/wheel mobility, interchangeable limbs, and modular hands — built for flexible deployment in industry, automation, or home-service applications. Public status is listed as prototype, and it is positioned for home assistance; Industrial automation; logistics; Research &amp; education; research labs.</t>
        </is>
      </c>
      <c r="N107" s="150" t="inlineStr">
        <is>
          <t>https://humanoid.guide/product/kuavo-5/</t>
        </is>
      </c>
      <c r="O107" s="150" t="inlineStr">
        <is>
          <t>https://www.lejurobot.com</t>
        </is>
      </c>
      <c r="P107" s="145" t="inlineStr">
        <is>
          <t>5 ft 6 in</t>
        </is>
      </c>
      <c r="Q107" s="145" t="n">
        <v>168</v>
      </c>
      <c r="R107" s="145" t="n">
        <v>121.3</v>
      </c>
      <c r="S107" s="145" t="n">
        <v>55</v>
      </c>
      <c r="T107" s="149" t="inlineStr">
        <is>
          <t>Not disclosed</t>
        </is>
      </c>
      <c r="U107" s="145" t="inlineStr">
        <is>
          <t>180 × 70 × 60 cm</t>
        </is>
      </c>
      <c r="V107" s="145" t="inlineStr">
        <is>
          <t>40</t>
        </is>
      </c>
      <c r="W107" s="149" t="inlineStr">
        <is>
          <t>10</t>
        </is>
      </c>
      <c r="X107" s="145" t="n">
        <v>30.9</v>
      </c>
      <c r="Y107" s="145" t="n">
        <v>14</v>
      </c>
      <c r="Z107" s="145" t="n">
        <v>3.11</v>
      </c>
      <c r="AA107" s="145" t="n">
        <v>5</v>
      </c>
      <c r="AB107" s="145" t="n">
        <v>4</v>
      </c>
      <c r="AC107" s="149" t="inlineStr">
        <is>
          <t>≈ 7 hours</t>
        </is>
      </c>
      <c r="AD107" s="149" t="inlineStr">
        <is>
          <t>7</t>
        </is>
      </c>
      <c r="AE107" s="145" t="n"/>
      <c r="AF107" s="145" t="inlineStr">
        <is>
          <t>Not disclosed</t>
        </is>
      </c>
      <c r="AG107" s="149" t="inlineStr">
        <is>
          <t>5 per hand</t>
        </is>
      </c>
      <c r="AH107" s="145" t="inlineStr">
        <is>
          <t>5 per hand</t>
        </is>
      </c>
      <c r="AI107" s="161" t="n">
        <v>4</v>
      </c>
      <c r="AJ107" s="149" t="inlineStr">
        <is>
          <t>Depth + RGB camera, environment sensors</t>
        </is>
      </c>
      <c r="AK107" s="149" t="inlineStr">
        <is>
          <t>Depth + RGB camera, environment sensors</t>
        </is>
      </c>
      <c r="AL107" s="145" t="inlineStr">
        <is>
          <t>Not disclosed</t>
        </is>
      </c>
      <c r="AM107" s="145" t="n"/>
      <c r="AN107" s="145" t="inlineStr">
        <is>
          <t>Not disclosed</t>
        </is>
      </c>
      <c r="AO107" s="145" t="inlineStr">
        <is>
          <t>Not disclosed</t>
        </is>
      </c>
      <c r="AP107" s="145" t="inlineStr">
        <is>
          <t>Not disclosed</t>
        </is>
      </c>
      <c r="AQ107" s="145" t="inlineStr">
        <is>
          <t>Not disclosed</t>
        </is>
      </c>
      <c r="AR107" s="145" t="n"/>
      <c r="AS107" s="145" t="n"/>
      <c r="AT107" s="149" t="inlineStr">
        <is>
          <t>Assumed mid-range robotics compute platform</t>
        </is>
      </c>
      <c r="AU107" s="149" t="inlineStr">
        <is>
          <t>5G-A support for remote control; Ethernet; Wi‑Fi</t>
        </is>
      </c>
      <c r="AV107" s="145" t="inlineStr">
        <is>
          <t>Not disclosed</t>
        </is>
      </c>
      <c r="AW107" s="149" t="inlineStr">
        <is>
          <t>Not disclosed</t>
        </is>
      </c>
      <c r="AX107" s="151" t="n">
        <v>3</v>
      </c>
      <c r="AY107" s="149" t="inlineStr">
        <is>
          <t>HarmonyOS / KaihongOS</t>
        </is>
      </c>
      <c r="AZ107" s="149" t="inlineStr">
        <is>
          <t>External AI ecosystem support / Control integration possible</t>
        </is>
      </c>
      <c r="BA107" s="149" t="inlineStr">
        <is>
          <t>&amp;lt;200ms (End-to-End)</t>
        </is>
      </c>
      <c r="BB107" s="149" t="inlineStr">
        <is>
          <t>Self-developed high-torque joints</t>
        </is>
      </c>
      <c r="BC107" s="149" t="inlineStr">
        <is>
          <t>Precision reducers</t>
        </is>
      </c>
      <c r="BD107" s="145" t="inlineStr">
        <is>
          <t>Aluminum frame + composite panels</t>
        </is>
      </c>
      <c r="BE107" s="145" t="inlineStr">
        <is>
          <t>Not disclosed</t>
        </is>
      </c>
      <c r="BF107" s="145" t="n"/>
      <c r="BG107" s="145" t="n"/>
      <c r="BH107" s="145" t="n"/>
      <c r="BI107" s="145" t="n"/>
      <c r="BJ107" s="145" t="n"/>
      <c r="BK107" s="145" t="n"/>
      <c r="BL107" s="145" t="n"/>
      <c r="BM107" s="145" t="inlineStr">
        <is>
          <t>Yes</t>
        </is>
      </c>
      <c r="BN107" s="145" t="inlineStr">
        <is>
          <t>Not disclosed</t>
        </is>
      </c>
      <c r="BO107" s="149" t="inlineStr">
        <is>
          <t>Market: Home assistance; Industrial automation; logistics; Research &amp; education; research labs · Manipulation 4/4 · Navigation 3/4 · Human-safe: Yes · AI: External AI ecosystem support / Control integration possible · Actuation: Self-developed high-torque joints · Peak 5 km/h · Walk 4 km/h · Runtime 7</t>
        </is>
      </c>
      <c r="BP107" s="145" t="n"/>
      <c r="BQ107" s="149" t="inlineStr">
        <is>
          <t>Home assistance; Industrial automation; logistics; Research &amp; education; research labs</t>
        </is>
      </c>
      <c r="BR107" s="149" t="inlineStr">
        <is>
          <t>Prototype</t>
        </is>
      </c>
      <c r="BS107" s="149" t="inlineStr">
        <is>
          <t>Prototype</t>
        </is>
      </c>
      <c r="BT107" s="145" t="inlineStr">
        <is>
          <t>White</t>
        </is>
      </c>
      <c r="BU107" s="145" t="inlineStr">
        <is>
          <t>Not verified</t>
        </is>
      </c>
      <c r="BV107" s="149" t="n"/>
      <c r="BW107" s="149" t="inlineStr">
        <is>
          <t>Origin &amp; status — China · Prototype · 2026 | Manipulation — 5 per hand · 5 per hand fingers · Hand DOF 10 · Payload 30.9 lb | Sensing &amp; software — Depth + RGB camera, environment sensors · External AI ecosystem support / Control integration possible · HarmonyOS / KaihongOS | Buying notes — From $38,000 · 12 months manufacturer standard (typical research/commercial humanoid) · Best fit: Home assistance</t>
        </is>
      </c>
      <c r="BX107" s="149" t="inlineStr">
        <is>
          <t>as_shipped|Kuavo-5|38000|As shipped</t>
        </is>
      </c>
      <c r="BY107" s="145" t="inlineStr">
        <is>
          <t>white|White|#e2e8f0|0</t>
        </is>
      </c>
      <c r="BZ107" s="145" t="inlineStr"/>
      <c r="CA107" s="149" t="n"/>
      <c r="CB107" s="149" t="inlineStr">
        <is>
          <t>12 months manufacturer standard (typical research/commercial humanoid)</t>
        </is>
      </c>
      <c r="CC107" s="147" t="n">
        <v>12</v>
      </c>
      <c r="CD107" s="149" t="inlineStr">
        <is>
          <t>+3 Year Extended ≈24% of configuration (default in configurator)</t>
        </is>
      </c>
      <c r="CE107" s="145" t="inlineStr">
        <is>
          <t>Humanoid category norm 2025–2026</t>
        </is>
      </c>
      <c r="CF107" s="145" t="inlineStr">
        <is>
          <t>Estimated</t>
        </is>
      </c>
      <c r="CG107" s="149" t="inlineStr">
        <is>
          <t>Confirm on formal OEM quote. EDU or enterprise packages may differ.</t>
        </is>
      </c>
      <c r="CH107" s="145" t="inlineStr">
        <is>
          <t>10%</t>
        </is>
      </c>
      <c r="CI107" s="145" t="inlineStr">
        <is>
          <t>17%</t>
        </is>
      </c>
      <c r="CJ107" s="145" t="inlineStr">
        <is>
          <t>24%</t>
        </is>
      </c>
      <c r="CK107" s="149" t="inlineStr">
        <is>
          <t>+1yr ≈10% | +2yr ≈17% | +3yr ≈24% of selected configuration price (parts &amp; labor beyond manufacturer standard).</t>
        </is>
      </c>
      <c r="CL107"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07" s="145" t="inlineStr">
        <is>
          <t>12 months manufacturer standard (typical research/commercial humanoid)</t>
        </is>
      </c>
      <c r="CN107" s="203" t="inlineStr">
        <is>
          <t>https://aixzd.com/robot/kuavo-5</t>
        </is>
      </c>
      <c r="CQ107" s="101" t="inlineStr">
        <is>
          <t>Height: 5 ft 6 in | Weight: 121.3 | Degrees of Freedom: 40 | Payload: 30.9 | Max Speed: 3.11 | Battery / Runtime: ≈ 7 hours</t>
        </is>
      </c>
    </row>
    <row r="108" ht="31.5" customHeight="1" s="102">
      <c r="A108" s="152" t="inlineStr">
        <is>
          <t>leju_robot_suzhou_leju_robotics_co_ltd_roban2</t>
        </is>
      </c>
      <c r="B108" s="153" t="inlineStr">
        <is>
          <t>Humanoid.guide</t>
        </is>
      </c>
      <c r="C108" s="152" t="inlineStr">
        <is>
          <t>Leju Robot (Suzhou Leju Robotics Co., Ltd.)</t>
        </is>
      </c>
      <c r="D108" s="152" t="inlineStr">
        <is>
          <t>Roban2</t>
        </is>
      </c>
      <c r="E108" s="152" t="inlineStr">
        <is>
          <t>[Leju Robot] Roban2 (2026)</t>
        </is>
      </c>
      <c r="F108" s="146" t="inlineStr">
        <is>
          <t>humanoid</t>
        </is>
      </c>
      <c r="G108" s="152" t="inlineStr">
        <is>
          <t>China</t>
        </is>
      </c>
      <c r="H108" s="152" t="n"/>
      <c r="I108" s="155" t="n">
        <v>25000</v>
      </c>
      <c r="J108" s="152" t="inlineStr">
        <is>
          <t>Humanoid.guide list</t>
        </is>
      </c>
      <c r="K108" s="156" t="inlineStr">
        <is>
          <t>Roban2 is a compact humanoid robot from Leju Robot designed for research, training, and light industrial demonstrations, offering stable movement, reliable perception, and flexible manipulation.</t>
        </is>
      </c>
      <c r="L108" s="101" t="inlineStr">
        <is>
          <t>Roban2 is a compact humanoid robot from Leju Robot designed for research, training, and light industrial demonstrations, offering stable movement, reliable perception, and flexible manipulation.</t>
        </is>
      </c>
      <c r="M108" s="101" t="inlineStr">
        <is>
          <t>Roban2 is a compact humanoid robot from Leju Robot designed for research, training, and light industrial demonstrations, offering stable movement, reliable perception, and flexible manipulation. Public status is listed as prototype, and it is positioned for demonstration platforms; education; research labs.</t>
        </is>
      </c>
      <c r="N108" s="157" t="inlineStr">
        <is>
          <t>https://humanoid.guide/product/roban-2/</t>
        </is>
      </c>
      <c r="O108" s="157" t="inlineStr">
        <is>
          <t>https://www.lejurobot.com</t>
        </is>
      </c>
      <c r="P108" s="152" t="inlineStr">
        <is>
          <t>4 ft 9 in</t>
        </is>
      </c>
      <c r="Q108" s="152" t="n">
        <v>145</v>
      </c>
      <c r="R108" s="152" t="n">
        <v>88.2</v>
      </c>
      <c r="S108" s="152" t="n">
        <v>40</v>
      </c>
      <c r="T108" s="156" t="inlineStr">
        <is>
          <t>Not disclosed</t>
        </is>
      </c>
      <c r="U108" s="152" t="inlineStr">
        <is>
          <t>160 × 55 × 45 cm</t>
        </is>
      </c>
      <c r="V108" s="152" t="inlineStr">
        <is>
          <t>40</t>
        </is>
      </c>
      <c r="W108" s="156" t="inlineStr">
        <is>
          <t>10</t>
        </is>
      </c>
      <c r="X108" s="152" t="n">
        <v>19.8</v>
      </c>
      <c r="Y108" s="152" t="n">
        <v>9</v>
      </c>
      <c r="Z108" s="152" t="n">
        <v>1.86</v>
      </c>
      <c r="AA108" s="152" t="n">
        <v>3</v>
      </c>
      <c r="AB108" s="152" t="n">
        <v>2</v>
      </c>
      <c r="AC108" s="156" t="inlineStr">
        <is>
          <t>≈ 2 hours</t>
        </is>
      </c>
      <c r="AD108" s="156" t="inlineStr">
        <is>
          <t>2</t>
        </is>
      </c>
      <c r="AE108" s="152" t="n"/>
      <c r="AF108" s="152" t="inlineStr">
        <is>
          <t>Not disclosed</t>
        </is>
      </c>
      <c r="AG108" s="156" t="inlineStr">
        <is>
          <t>5 per hand</t>
        </is>
      </c>
      <c r="AH108" s="152" t="inlineStr">
        <is>
          <t>5 per hand</t>
        </is>
      </c>
      <c r="AI108" s="151" t="n">
        <v>3</v>
      </c>
      <c r="AJ108" s="156" t="inlineStr">
        <is>
          <t>1080p stereo vision + depth sensing</t>
        </is>
      </c>
      <c r="AK108" s="156" t="inlineStr">
        <is>
          <t>1080p stereo vision + depth sensing</t>
        </is>
      </c>
      <c r="AL108" s="152" t="inlineStr">
        <is>
          <t>Not disclosed</t>
        </is>
      </c>
      <c r="AM108" s="152" t="n"/>
      <c r="AN108" s="152" t="inlineStr">
        <is>
          <t>Not disclosed</t>
        </is>
      </c>
      <c r="AO108" s="152" t="inlineStr">
        <is>
          <t>Not disclosed</t>
        </is>
      </c>
      <c r="AP108" s="152" t="inlineStr">
        <is>
          <t>Not disclosed</t>
        </is>
      </c>
      <c r="AQ108" s="152" t="inlineStr">
        <is>
          <t>Not disclosed</t>
        </is>
      </c>
      <c r="AR108" s="152" t="n"/>
      <c r="AS108" s="152" t="n"/>
      <c r="AT108" s="156" t="inlineStr">
        <is>
          <t>ARM + embedded GPU</t>
        </is>
      </c>
      <c r="AU108" s="156" t="inlineStr">
        <is>
          <t>Bluetooth; Ethernet; USB; Wi‑Fi</t>
        </is>
      </c>
      <c r="AV108" s="152" t="inlineStr">
        <is>
          <t>Not disclosed</t>
        </is>
      </c>
      <c r="AW108" s="156" t="inlineStr">
        <is>
          <t>Not disclosed</t>
        </is>
      </c>
      <c r="AX108" s="151" t="n">
        <v>3</v>
      </c>
      <c r="AY108" s="156" t="inlineStr">
        <is>
          <t>Linux (ROS2-based)</t>
        </is>
      </c>
      <c r="AZ108" s="156" t="inlineStr">
        <is>
          <t>External cloud connection possible; not native</t>
        </is>
      </c>
      <c r="BA108" s="156" t="inlineStr">
        <is>
          <t>&amp;lt;200ms (End-to-End)</t>
        </is>
      </c>
      <c r="BB108" s="156" t="inlineStr">
        <is>
          <t>Electric servo motors</t>
        </is>
      </c>
      <c r="BC108" s="156" t="inlineStr">
        <is>
          <t>Harmonic/planetary mixed reducers</t>
        </is>
      </c>
      <c r="BD108" s="152" t="inlineStr">
        <is>
          <t>Aluminum alloy + ABS composite shells</t>
        </is>
      </c>
      <c r="BE108" s="152" t="inlineStr">
        <is>
          <t>IP20</t>
        </is>
      </c>
      <c r="BF108" s="152" t="inlineStr">
        <is>
          <t>IP20</t>
        </is>
      </c>
      <c r="BG108" s="152" t="n"/>
      <c r="BH108" s="152" t="n"/>
      <c r="BI108" s="152" t="n"/>
      <c r="BJ108" s="152" t="n"/>
      <c r="BK108" s="152" t="n"/>
      <c r="BL108" s="152" t="n"/>
      <c r="BM108" s="152" t="inlineStr">
        <is>
          <t>Yes</t>
        </is>
      </c>
      <c r="BN108" s="152" t="inlineStr">
        <is>
          <t>Not disclosed</t>
        </is>
      </c>
      <c r="BO108" s="156" t="inlineStr">
        <is>
          <t>Market: demonstration platforms; education; research labs · Manipulation 3/4 · Navigation 3/4 · Human-safe: Yes · AI: External cloud connection possible; not native · Actuation: Electric servo motors · Peak 3 km/h · Walk 2 km/h · Runtime 2</t>
        </is>
      </c>
      <c r="BP108" s="152" t="n"/>
      <c r="BQ108" s="156" t="inlineStr">
        <is>
          <t>demonstration platforms; education; research labs</t>
        </is>
      </c>
      <c r="BR108" s="156" t="inlineStr">
        <is>
          <t>Prototype</t>
        </is>
      </c>
      <c r="BS108" s="156" t="inlineStr">
        <is>
          <t>Prototype</t>
        </is>
      </c>
      <c r="BT108" s="152" t="inlineStr">
        <is>
          <t>Silver</t>
        </is>
      </c>
      <c r="BU108" s="152" t="inlineStr">
        <is>
          <t>Not verified</t>
        </is>
      </c>
      <c r="BV108" s="156" t="n"/>
      <c r="BW108" s="156" t="inlineStr">
        <is>
          <t>Origin &amp; status — China · Prototype · 2026 | Manipulation — 5 per hand · 5 per hand fingers · Hand DOF 10 · Payload 19.8 lb | Sensing &amp; software — 1080p stereo vision + depth sensing · External cloud connection possible; not native · Linux (ROS2-based) | Buying notes — From $25,000 · 12 months manufacturer standard (typical research/commercial humanoid) · Best fit: demonstration platforms</t>
        </is>
      </c>
      <c r="BX108" s="156" t="inlineStr">
        <is>
          <t>as_shipped|Roban2|25000|As shipped</t>
        </is>
      </c>
      <c r="BY108" s="152" t="inlineStr">
        <is>
          <t>silver|Silver|#e2e8f0|0</t>
        </is>
      </c>
      <c r="BZ108" s="152" t="inlineStr"/>
      <c r="CA108" s="156" t="n"/>
      <c r="CB108" s="156" t="inlineStr">
        <is>
          <t>12 months manufacturer standard (typical research/commercial humanoid)</t>
        </is>
      </c>
      <c r="CC108" s="154" t="n">
        <v>12</v>
      </c>
      <c r="CD108" s="156" t="inlineStr">
        <is>
          <t>+3 Year Extended ≈24% of configuration (default in configurator)</t>
        </is>
      </c>
      <c r="CE108" s="152" t="inlineStr">
        <is>
          <t>Humanoid category norm 2025–2026</t>
        </is>
      </c>
      <c r="CF108" s="152" t="inlineStr">
        <is>
          <t>Estimated</t>
        </is>
      </c>
      <c r="CG108" s="156" t="inlineStr">
        <is>
          <t>Confirm on formal OEM quote. EDU or enterprise packages may differ.</t>
        </is>
      </c>
      <c r="CH108" s="152" t="inlineStr">
        <is>
          <t>10%</t>
        </is>
      </c>
      <c r="CI108" s="152" t="inlineStr">
        <is>
          <t>17%</t>
        </is>
      </c>
      <c r="CJ108" s="152" t="inlineStr">
        <is>
          <t>24%</t>
        </is>
      </c>
      <c r="CK108" s="156" t="inlineStr">
        <is>
          <t>+1yr ≈10% | +2yr ≈17% | +3yr ≈24% of selected configuration price (parts &amp; labor beyond manufacturer standard).</t>
        </is>
      </c>
      <c r="CL108"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08" s="152" t="inlineStr">
        <is>
          <t>12 months manufacturer standard (typical research/commercial humanoid)</t>
        </is>
      </c>
      <c r="CQ108" s="101" t="inlineStr">
        <is>
          <t>Height: 4 ft 9 in | Weight: 88.2 | Degrees of Freedom: 40 | Payload: 19.8 | Max Speed: 1.86 | Battery / Runtime: ≈ 2 hours</t>
        </is>
      </c>
    </row>
    <row r="109" ht="31.5" customHeight="1" s="102">
      <c r="A109" s="143" t="inlineStr">
        <is>
          <t>leju_robotics_various_volume_ranked</t>
        </is>
      </c>
      <c r="B109" s="160" t="inlineStr">
        <is>
          <t>Website</t>
        </is>
      </c>
      <c r="C109" s="145" t="inlineStr">
        <is>
          <t>Leju Robotics</t>
        </is>
      </c>
      <c r="D109" s="145" t="inlineStr">
        <is>
          <t>Humanoid Series</t>
        </is>
      </c>
      <c r="E109" s="145" t="inlineStr">
        <is>
          <t>[Leju] Humanoid Series (2025)</t>
        </is>
      </c>
      <c r="F109" s="146" t="inlineStr">
        <is>
          <t>humanoid</t>
        </is>
      </c>
      <c r="G109" s="145" t="inlineStr">
        <is>
          <t>China</t>
        </is>
      </c>
      <c r="H109" s="147" t="n">
        <v>2025</v>
      </c>
      <c r="I109" s="148" t="n">
        <v>50000</v>
      </c>
      <c r="J109" s="145" t="inlineStr">
        <is>
          <t>Website store</t>
        </is>
      </c>
      <c r="K109" s="149" t="inlineStr">
        <is>
          <t>Humanoid Series is Leju Robotics's humanoid — Not disclosed DOF. Grippers or dexterous hands depending on configuration; RGB and/or depth cameras for navigation and manipulation (configuration specific).</t>
        </is>
      </c>
      <c r="L109" s="101" t="inlineStr">
        <is>
          <t>Humanoid Series is Leju Robotics's humanoid — Not disclosed DOF. Grippers or dexterous hands depending on configuration; RGB and/or depth cameras for navigation and manipulation (configuration specific).</t>
        </is>
      </c>
      <c r="M109" s="101" t="inlineStr">
        <is>
          <t>Humanoid Series is Leju Robotics's humanoid — Not disclosed DOF. Grippers or dexterous hands depending on configuration; RGB and/or depth cameras for navigation and manipulation (configuration specific). Public status is listed as top-5 Chinese shipper H1 2026, and it is positioned for industrial / Volume.</t>
        </is>
      </c>
      <c r="N109" s="145" t="n"/>
      <c r="O109" s="145" t="inlineStr">
        <is>
          <t>https://www.lejurobot.com</t>
        </is>
      </c>
      <c r="P109" s="145" t="n"/>
      <c r="Q109" s="145" t="n"/>
      <c r="R109" s="145" t="n"/>
      <c r="S109" s="145" t="n"/>
      <c r="T109" s="149" t="inlineStr">
        <is>
          <t>Not disclosed</t>
        </is>
      </c>
      <c r="U109" s="145" t="n"/>
      <c r="V109" s="145" t="inlineStr">
        <is>
          <t>Not disclosed</t>
        </is>
      </c>
      <c r="W109" s="149" t="inlineStr">
        <is>
          <t>Not disclosed</t>
        </is>
      </c>
      <c r="X109" s="145" t="n"/>
      <c r="Y109" s="145" t="n"/>
      <c r="Z109" s="145" t="n"/>
      <c r="AA109" s="145" t="n"/>
      <c r="AB109" s="145" t="n"/>
      <c r="AC109" s="149" t="inlineStr">
        <is>
          <t>Not disclosed</t>
        </is>
      </c>
      <c r="AD109" s="149" t="n"/>
      <c r="AE109" s="145" t="n"/>
      <c r="AF109" s="145" t="inlineStr">
        <is>
          <t>Not disclosed</t>
        </is>
      </c>
      <c r="AG109" s="149" t="inlineStr">
        <is>
          <t>Grippers or dexterous hands depending on configuration</t>
        </is>
      </c>
      <c r="AH109" s="145" t="inlineStr">
        <is>
          <t>Not disclosed</t>
        </is>
      </c>
      <c r="AI109" s="145" t="n"/>
      <c r="AJ109" s="149" t="inlineStr">
        <is>
          <t>RGB and/or depth cameras for navigation and manipulation (configuration specific)</t>
        </is>
      </c>
      <c r="AK109" s="149" t="n"/>
      <c r="AL109" s="145" t="inlineStr">
        <is>
          <t>Onboard streams for teleoperation and logging when equipped</t>
        </is>
      </c>
      <c r="AM109" s="145" t="n"/>
      <c r="AN109" s="145" t="inlineStr">
        <is>
          <t>Not disclosed</t>
        </is>
      </c>
      <c r="AO109" s="145" t="inlineStr">
        <is>
          <t>Microphone array on interaction-oriented builds</t>
        </is>
      </c>
      <c r="AP109" s="145" t="inlineStr">
        <is>
          <t>Not disclosed</t>
        </is>
      </c>
      <c r="AQ109" s="145" t="inlineStr">
        <is>
          <t>Not disclosed</t>
        </is>
      </c>
      <c r="AR109" s="145" t="n"/>
      <c r="AS109" s="145" t="n"/>
      <c r="AT109" s="149" t="inlineStr">
        <is>
          <t>Not disclosed</t>
        </is>
      </c>
      <c r="AU109" s="149" t="inlineStr">
        <is>
          <t>Not disclosed</t>
        </is>
      </c>
      <c r="AV109" s="145" t="inlineStr">
        <is>
          <t>Manufacturer app and/or SDK</t>
        </is>
      </c>
      <c r="AW109" s="149" t="inlineStr">
        <is>
          <t>Bipedal balance and walking controllers</t>
        </is>
      </c>
      <c r="AX109" s="145" t="n"/>
      <c r="AY109" s="149" t="inlineStr">
        <is>
          <t>Not disclosed</t>
        </is>
      </c>
      <c r="AZ109" s="149" t="inlineStr">
        <is>
          <t>Not disclosed</t>
        </is>
      </c>
      <c r="BA109" s="149" t="n"/>
      <c r="BB109" s="149" t="inlineStr">
        <is>
          <t>Not disclosed</t>
        </is>
      </c>
      <c r="BC109" s="149" t="inlineStr">
        <is>
          <t>Not disclosed</t>
        </is>
      </c>
      <c r="BD109" s="145" t="inlineStr">
        <is>
          <t>Not disclosed</t>
        </is>
      </c>
      <c r="BE109" s="145" t="inlineStr">
        <is>
          <t>Not disclosed</t>
        </is>
      </c>
      <c r="BF109" s="145" t="n"/>
      <c r="BG109" s="145" t="n"/>
      <c r="BH109" s="145" t="n"/>
      <c r="BI109" s="145" t="n"/>
      <c r="BJ109" s="145" t="n"/>
      <c r="BK109" s="145" t="n"/>
      <c r="BL109" s="145" t="n"/>
      <c r="BM109" s="145" t="inlineStr">
        <is>
          <t>Not disclosed</t>
        </is>
      </c>
      <c r="BN109" s="145" t="inlineStr">
        <is>
          <t>Not disclosed</t>
        </is>
      </c>
      <c r="BO109" s="149" t="inlineStr">
        <is>
          <t>Market: Industrial / Volume · The Humanoid Series is a bipedal humanoid robot from Leju Robotics, associated with development and availability timelines around 2025.</t>
        </is>
      </c>
      <c r="BP109" s="145" t="n"/>
      <c r="BQ109" s="149" t="inlineStr">
        <is>
          <t>Industrial / Volume</t>
        </is>
      </c>
      <c r="BR109" s="149" t="inlineStr">
        <is>
          <t>Top-5 Chinese shipper H1 2026</t>
        </is>
      </c>
      <c r="BS109" s="149" t="n"/>
      <c r="BT109" s="145" t="n"/>
      <c r="BU109" s="145" t="n"/>
      <c r="BV109" s="149" t="inlineStr">
        <is>
          <t>Among top Chinese volume shippers</t>
        </is>
      </c>
      <c r="BW109" s="149" t="inlineStr">
        <is>
          <t>Origin &amp; status — China · Top-5 Chinese shipper H1 2026 · 2025 | Manipulation — Grippers or dexterous hands depending on configuration | Sensing &amp; software — RGB and/or depth cameras for navigation and manipulation (configuration specific) · Manufacturer app and/or SDK | Buying notes — From $50,000 · 12 months manufacturer standard (typical research/commercial humanoid) · Best fit: Industrial</t>
        </is>
      </c>
      <c r="BX109" s="149" t="inlineStr">
        <is>
          <t>as_shipped|Humanoid Series|50000|As shipped</t>
        </is>
      </c>
      <c r="BY109" s="145" t="inlineStr">
        <is>
          <t>humanoid_series|Manufacturer finish|#e2e8f0|0</t>
        </is>
      </c>
      <c r="BZ109" s="145" t="inlineStr"/>
      <c r="CA109" s="149" t="inlineStr">
        <is>
          <t>Add-ons: case; 2 color options; Multi-year extended warranty available</t>
        </is>
      </c>
      <c r="CB109" s="149" t="inlineStr">
        <is>
          <t>12 months manufacturer standard (typical research/commercial humanoid)</t>
        </is>
      </c>
      <c r="CC109" s="147" t="n">
        <v>12</v>
      </c>
      <c r="CD109" s="149" t="inlineStr">
        <is>
          <t>+3 Year Extended ≈24% of configuration (default in configurator)</t>
        </is>
      </c>
      <c r="CE109" s="145" t="inlineStr">
        <is>
          <t>Humanoid category norm 2025–2026</t>
        </is>
      </c>
      <c r="CF109" s="145" t="inlineStr">
        <is>
          <t>Estimated</t>
        </is>
      </c>
      <c r="CG109" s="149" t="inlineStr">
        <is>
          <t>EDU or enterprise packages may differ; confirm on formal quote.</t>
        </is>
      </c>
      <c r="CH109" s="145" t="inlineStr">
        <is>
          <t>10%</t>
        </is>
      </c>
      <c r="CI109" s="145" t="inlineStr">
        <is>
          <t>17%</t>
        </is>
      </c>
      <c r="CJ109" s="145" t="inlineStr">
        <is>
          <t>24%</t>
        </is>
      </c>
      <c r="CK10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10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09" s="145" t="inlineStr">
        <is>
          <t>12 months manufacturer standard (typical research/commercial humanoid)</t>
        </is>
      </c>
      <c r="CQ109" s="101" t="inlineStr">
        <is>
          <t>Height: Not disclosed | Weight: Not disclosed | Degrees of Freedom: Not disclosed | Payload: Not disclosed | Max Speed: Not disclosed | Battery / Runtime: Not disclosed</t>
        </is>
      </c>
    </row>
    <row r="110" ht="31.5" customHeight="1" s="102">
      <c r="A110" s="152" t="inlineStr">
        <is>
          <t>leju_robotics_kuavo_my</t>
        </is>
      </c>
      <c r="B110" s="153" t="inlineStr">
        <is>
          <t>Humanoid.guide</t>
        </is>
      </c>
      <c r="C110" s="152" t="inlineStr">
        <is>
          <t>Leju Robotics</t>
        </is>
      </c>
      <c r="D110" s="152" t="inlineStr">
        <is>
          <t>Kuavo-my</t>
        </is>
      </c>
      <c r="E110" s="152" t="inlineStr">
        <is>
          <t>[Leju Robotics] Kuavo-my (2026)</t>
        </is>
      </c>
      <c r="F110" s="146" t="inlineStr">
        <is>
          <t>humanoid</t>
        </is>
      </c>
      <c r="G110" s="152" t="inlineStr">
        <is>
          <t>China</t>
        </is>
      </c>
      <c r="H110" s="152" t="n"/>
      <c r="I110" s="155" t="n">
        <v>50000</v>
      </c>
      <c r="J110" s="152" t="inlineStr">
        <is>
          <t>Humanoid.guide list</t>
        </is>
      </c>
      <c r="K110" s="156" t="inlineStr">
        <is>
          <t>Kuavo-my is a humanoid robot developed by Leju Robotics for commercial and service applications.</t>
        </is>
      </c>
      <c r="L110" s="101" t="inlineStr">
        <is>
          <t>Kuavo-my is a humanoid robot developed by Leju Robotics for commercial and service applications.</t>
        </is>
      </c>
      <c r="M110" s="101" t="inlineStr">
        <is>
          <t>Kuavo-my is a humanoid robot developed by Leju Robotics for commercial and service applications. Public status is listed as prototype.</t>
        </is>
      </c>
      <c r="N110" s="157" t="inlineStr">
        <is>
          <t>https://humanoid.guide/product/kuavo-my/</t>
        </is>
      </c>
      <c r="O110" s="157" t="inlineStr">
        <is>
          <t>https://www.lejurobot.com</t>
        </is>
      </c>
      <c r="P110" s="152" t="inlineStr">
        <is>
          <t>4 ft 9 in</t>
        </is>
      </c>
      <c r="Q110" s="152" t="n">
        <v>145</v>
      </c>
      <c r="R110" s="152" t="n">
        <v>99.2</v>
      </c>
      <c r="S110" s="152" t="n">
        <v>45</v>
      </c>
      <c r="T110" s="156" t="inlineStr">
        <is>
          <t>Not disclosed</t>
        </is>
      </c>
      <c r="U110" s="152" t="n"/>
      <c r="V110" s="152" t="inlineStr">
        <is>
          <t>26</t>
        </is>
      </c>
      <c r="W110" s="156" t="inlineStr">
        <is>
          <t>Not disclosed</t>
        </is>
      </c>
      <c r="X110" s="152" t="n">
        <v>6.6</v>
      </c>
      <c r="Y110" s="152" t="n">
        <v>3</v>
      </c>
      <c r="Z110" s="152" t="n">
        <v>2.8</v>
      </c>
      <c r="AA110" s="152" t="n">
        <v>4.5</v>
      </c>
      <c r="AB110" s="152" t="n"/>
      <c r="AC110" s="156" t="inlineStr">
        <is>
          <t>Not disclosed</t>
        </is>
      </c>
      <c r="AD110" s="156" t="n"/>
      <c r="AE110" s="152" t="n"/>
      <c r="AF110" s="152" t="inlineStr">
        <is>
          <t>Not disclosed</t>
        </is>
      </c>
      <c r="AG110" s="156" t="inlineStr">
        <is>
          <t>Not disclosed</t>
        </is>
      </c>
      <c r="AH110" s="152" t="inlineStr">
        <is>
          <t>Not disclosed</t>
        </is>
      </c>
      <c r="AI110" s="158" t="n">
        <v>2</v>
      </c>
      <c r="AJ110" s="156" t="inlineStr">
        <is>
          <t>Not disclosed</t>
        </is>
      </c>
      <c r="AK110" s="156" t="n"/>
      <c r="AL110" s="152" t="inlineStr">
        <is>
          <t>Not disclosed</t>
        </is>
      </c>
      <c r="AM110" s="152" t="n"/>
      <c r="AN110" s="152" t="inlineStr">
        <is>
          <t>Not disclosed</t>
        </is>
      </c>
      <c r="AO110" s="152" t="inlineStr">
        <is>
          <t>Not disclosed</t>
        </is>
      </c>
      <c r="AP110" s="152" t="inlineStr">
        <is>
          <t>Not disclosed</t>
        </is>
      </c>
      <c r="AQ110" s="152" t="inlineStr">
        <is>
          <t>Not disclosed</t>
        </is>
      </c>
      <c r="AR110" s="152" t="n"/>
      <c r="AS110" s="152" t="n"/>
      <c r="AT110" s="156" t="inlineStr">
        <is>
          <t>Not disclosed</t>
        </is>
      </c>
      <c r="AU110" s="156" t="inlineStr">
        <is>
          <t>Not disclosed</t>
        </is>
      </c>
      <c r="AV110" s="152" t="inlineStr">
        <is>
          <t>Not disclosed</t>
        </is>
      </c>
      <c r="AW110" s="156" t="inlineStr">
        <is>
          <t>Not disclosed</t>
        </is>
      </c>
      <c r="AX110" s="158" t="n">
        <v>2</v>
      </c>
      <c r="AY110" s="156" t="inlineStr">
        <is>
          <t>Not disclosed</t>
        </is>
      </c>
      <c r="AZ110" s="156" t="inlineStr">
        <is>
          <t>Not disclosed</t>
        </is>
      </c>
      <c r="BA110" s="156" t="n"/>
      <c r="BB110" s="156" t="inlineStr">
        <is>
          <t>Not disclosed</t>
        </is>
      </c>
      <c r="BC110" s="156" t="inlineStr">
        <is>
          <t>Not disclosed</t>
        </is>
      </c>
      <c r="BD110" s="152" t="inlineStr">
        <is>
          <t>Not disclosed</t>
        </is>
      </c>
      <c r="BE110" s="152" t="inlineStr">
        <is>
          <t>Not disclosed</t>
        </is>
      </c>
      <c r="BF110" s="152" t="n"/>
      <c r="BG110" s="152" t="n"/>
      <c r="BH110" s="152" t="n"/>
      <c r="BI110" s="152" t="n"/>
      <c r="BJ110" s="152" t="n"/>
      <c r="BK110" s="152" t="n"/>
      <c r="BL110" s="152" t="n"/>
      <c r="BM110" s="152" t="inlineStr">
        <is>
          <t>Not disclosed</t>
        </is>
      </c>
      <c r="BN110" s="152" t="inlineStr">
        <is>
          <t>Not disclosed</t>
        </is>
      </c>
      <c r="BO110" s="156" t="inlineStr">
        <is>
          <t>Manipulation 2/4 · Navigation 2/4 · Peak 4.5 km/h</t>
        </is>
      </c>
      <c r="BP110" s="152" t="n"/>
      <c r="BQ110" s="156" t="inlineStr">
        <is>
          <t>Research labs, commercial pilots, and education programs evaluating a humanoid from Leju Robotics (China) now listed as prototype.</t>
        </is>
      </c>
      <c r="BR110" s="156" t="inlineStr">
        <is>
          <t>Prototype</t>
        </is>
      </c>
      <c r="BS110" s="156" t="inlineStr">
        <is>
          <t>Prototype</t>
        </is>
      </c>
      <c r="BT110" s="152" t="n"/>
      <c r="BU110" s="152" t="inlineStr">
        <is>
          <t>Not verified</t>
        </is>
      </c>
      <c r="BV110" s="156" t="n"/>
      <c r="BW110" s="156" t="inlineStr">
        <is>
          <t>Origin &amp; status — China · Prototype · 2026 | Manipulation — Payload 6.6 lb | Sensing &amp; software — Sensor and compute package confirmed on formal quote | Buying notes — From $50,000 · 12 months manufacturer standard (typical research/commercial humanoid)</t>
        </is>
      </c>
      <c r="BX110" s="156" t="inlineStr">
        <is>
          <t>as_shipped|Kuavo-my|50000|As shipped</t>
        </is>
      </c>
      <c r="BY110" s="152" t="inlineStr">
        <is>
          <t>kuavo_my|Manufacturer finish|#e2e8f0|0</t>
        </is>
      </c>
      <c r="BZ110" s="152" t="inlineStr"/>
      <c r="CA110" s="156" t="n"/>
      <c r="CB110" s="156" t="inlineStr">
        <is>
          <t>12 months manufacturer standard (typical research/commercial humanoid)</t>
        </is>
      </c>
      <c r="CC110" s="154" t="n">
        <v>12</v>
      </c>
      <c r="CD110" s="156" t="inlineStr">
        <is>
          <t>+3 Year Extended ≈24% of configuration (default in configurator)</t>
        </is>
      </c>
      <c r="CE110" s="152" t="inlineStr">
        <is>
          <t>Humanoid category norm 2025–2026</t>
        </is>
      </c>
      <c r="CF110" s="152" t="inlineStr">
        <is>
          <t>Estimated</t>
        </is>
      </c>
      <c r="CG110" s="156" t="inlineStr">
        <is>
          <t>Confirm on formal OEM quote. EDU or enterprise packages may differ.</t>
        </is>
      </c>
      <c r="CH110" s="152" t="inlineStr">
        <is>
          <t>10%</t>
        </is>
      </c>
      <c r="CI110" s="152" t="inlineStr">
        <is>
          <t>17%</t>
        </is>
      </c>
      <c r="CJ110" s="152" t="inlineStr">
        <is>
          <t>24%</t>
        </is>
      </c>
      <c r="CK110" s="156" t="inlineStr">
        <is>
          <t>+1yr ≈10% | +2yr ≈17% | +3yr ≈24% of selected configuration price (parts &amp; labor beyond manufacturer standard).</t>
        </is>
      </c>
      <c r="CL110"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10" s="152" t="inlineStr">
        <is>
          <t>12 months manufacturer standard (typical research/commercial humanoid)</t>
        </is>
      </c>
      <c r="CN110" s="203" t="inlineStr">
        <is>
          <t>https://aixzd.com/robot/kuavo-my</t>
        </is>
      </c>
      <c r="CQ110" s="101" t="inlineStr">
        <is>
          <t>Height: 4 ft 9 in | Weight: 99.2 | Degrees of Freedom: 26 | Payload: 6.6 | Max Speed: 2.8 | Battery / Runtime: Not disclosed</t>
        </is>
      </c>
    </row>
    <row r="111" ht="31.5" customHeight="1" s="102">
      <c r="A111" s="145" t="inlineStr">
        <is>
          <t>leju_robotics_xtron_kuavo_my</t>
        </is>
      </c>
      <c r="B111" s="153" t="inlineStr">
        <is>
          <t>Humanoid.guide</t>
        </is>
      </c>
      <c r="C111" s="145" t="inlineStr">
        <is>
          <t>Leju Robotics</t>
        </is>
      </c>
      <c r="D111" s="145" t="inlineStr">
        <is>
          <t>XTRON KUAVO-MY</t>
        </is>
      </c>
      <c r="E111" s="145" t="inlineStr">
        <is>
          <t>[Leju Robotics] XTRON KUAVO-MY (2026)</t>
        </is>
      </c>
      <c r="F111" s="146" t="inlineStr">
        <is>
          <t>humanoid</t>
        </is>
      </c>
      <c r="G111" s="145" t="inlineStr">
        <is>
          <t>China</t>
        </is>
      </c>
      <c r="H111" s="145" t="n"/>
      <c r="I111" s="148" t="n">
        <v>57000</v>
      </c>
      <c r="J111" s="145" t="inlineStr">
        <is>
          <t>Humanoid.guide list</t>
        </is>
      </c>
      <c r="K111" s="149" t="inlineStr">
        <is>
          <t>XTRON KUAVO-MY is Leju Robotics's humanoid — 5 ft 5 in class, 30 DOF, 17.6 lb payload. Aimed at research, commercial pilots, education, and professional deployment.</t>
        </is>
      </c>
      <c r="L111" s="101" t="inlineStr">
        <is>
          <t>XTRON KUAVO-MY is Leju Robotics's humanoid — 5 ft 5 in class, 30 DOF, 17.6 lb payload. Aimed at research, commercial pilots, education, and professional deployment.</t>
        </is>
      </c>
      <c r="M111" s="101" t="inlineStr">
        <is>
          <t>XTRON KUAVO-MY is Leju Robotics's humanoid — 5 ft 5 in class, 30 DOF, 17.6 lb payload. Aimed at research, commercial pilots, education, and professional deployment. Public status is listed as prototype.</t>
        </is>
      </c>
      <c r="N111" s="150" t="inlineStr">
        <is>
          <t>https://humanoid.guide/product/xtron-kuavo-my/</t>
        </is>
      </c>
      <c r="O111" s="150" t="inlineStr">
        <is>
          <t>https://www.lejurobot.com</t>
        </is>
      </c>
      <c r="P111" s="145" t="inlineStr">
        <is>
          <t>5 ft 5 in</t>
        </is>
      </c>
      <c r="Q111" s="145" t="n">
        <v>166</v>
      </c>
      <c r="R111" s="145" t="n">
        <v>121.3</v>
      </c>
      <c r="S111" s="145" t="n">
        <v>55</v>
      </c>
      <c r="T111" s="149" t="inlineStr">
        <is>
          <t>Not disclosed</t>
        </is>
      </c>
      <c r="U111" s="145" t="n"/>
      <c r="V111" s="145" t="inlineStr">
        <is>
          <t>30</t>
        </is>
      </c>
      <c r="W111" s="149" t="inlineStr">
        <is>
          <t>Not disclosed</t>
        </is>
      </c>
      <c r="X111" s="145" t="n">
        <v>17.6</v>
      </c>
      <c r="Y111" s="145" t="n">
        <v>8</v>
      </c>
      <c r="Z111" s="145" t="n">
        <v>1.55</v>
      </c>
      <c r="AA111" s="145" t="n">
        <v>2.5</v>
      </c>
      <c r="AB111" s="145" t="n"/>
      <c r="AC111" s="149" t="inlineStr">
        <is>
          <t>Not disclosed</t>
        </is>
      </c>
      <c r="AD111" s="149" t="n"/>
      <c r="AE111" s="145" t="n"/>
      <c r="AF111" s="145" t="inlineStr">
        <is>
          <t>Not disclosed</t>
        </is>
      </c>
      <c r="AG111" s="149" t="inlineStr">
        <is>
          <t>Not disclosed</t>
        </is>
      </c>
      <c r="AH111" s="145" t="inlineStr">
        <is>
          <t>Not disclosed</t>
        </is>
      </c>
      <c r="AI111" s="158" t="n">
        <v>2</v>
      </c>
      <c r="AJ111" s="149" t="inlineStr">
        <is>
          <t>Not disclosed</t>
        </is>
      </c>
      <c r="AK111" s="149" t="n"/>
      <c r="AL111" s="145" t="inlineStr">
        <is>
          <t>Not disclosed</t>
        </is>
      </c>
      <c r="AM111" s="145" t="n"/>
      <c r="AN111" s="145" t="inlineStr">
        <is>
          <t>Not disclosed</t>
        </is>
      </c>
      <c r="AO111" s="145" t="inlineStr">
        <is>
          <t>Not disclosed</t>
        </is>
      </c>
      <c r="AP111" s="145" t="inlineStr">
        <is>
          <t>Not disclosed</t>
        </is>
      </c>
      <c r="AQ111" s="145" t="inlineStr">
        <is>
          <t>Not disclosed</t>
        </is>
      </c>
      <c r="AR111" s="145" t="n"/>
      <c r="AS111" s="145" t="n"/>
      <c r="AT111" s="149" t="inlineStr">
        <is>
          <t>Not disclosed</t>
        </is>
      </c>
      <c r="AU111" s="149" t="inlineStr">
        <is>
          <t>Not disclosed</t>
        </is>
      </c>
      <c r="AV111" s="145" t="inlineStr">
        <is>
          <t>Not disclosed</t>
        </is>
      </c>
      <c r="AW111" s="149" t="inlineStr">
        <is>
          <t>Not disclosed</t>
        </is>
      </c>
      <c r="AX111" s="158" t="n">
        <v>2</v>
      </c>
      <c r="AY111" s="149" t="inlineStr">
        <is>
          <t>Not disclosed</t>
        </is>
      </c>
      <c r="AZ111" s="149" t="inlineStr">
        <is>
          <t>Not disclosed</t>
        </is>
      </c>
      <c r="BA111" s="149" t="n"/>
      <c r="BB111" s="149" t="inlineStr">
        <is>
          <t>Not disclosed</t>
        </is>
      </c>
      <c r="BC111" s="149" t="inlineStr">
        <is>
          <t>Not disclosed</t>
        </is>
      </c>
      <c r="BD111" s="145" t="inlineStr">
        <is>
          <t>Not disclosed</t>
        </is>
      </c>
      <c r="BE111" s="145" t="inlineStr">
        <is>
          <t>Not disclosed</t>
        </is>
      </c>
      <c r="BF111" s="145" t="n"/>
      <c r="BG111" s="145" t="n"/>
      <c r="BH111" s="145" t="n"/>
      <c r="BI111" s="145" t="n"/>
      <c r="BJ111" s="145" t="n"/>
      <c r="BK111" s="145" t="n"/>
      <c r="BL111" s="145" t="n"/>
      <c r="BM111" s="145" t="inlineStr">
        <is>
          <t>Not disclosed</t>
        </is>
      </c>
      <c r="BN111" s="145" t="inlineStr">
        <is>
          <t>Not disclosed</t>
        </is>
      </c>
      <c r="BO111" s="149" t="inlineStr">
        <is>
          <t>Manipulation 2/4 · Navigation 2/4 · Peak 2.5 km/h</t>
        </is>
      </c>
      <c r="BP111" s="145" t="n"/>
      <c r="BQ111" s="149" t="inlineStr">
        <is>
          <t>Research labs, commercial pilots, and education programs evaluating a humanoid from Leju Robotics (China) now listed as prototype.</t>
        </is>
      </c>
      <c r="BR111" s="149" t="inlineStr">
        <is>
          <t>Prototype</t>
        </is>
      </c>
      <c r="BS111" s="149" t="inlineStr">
        <is>
          <t>Prototype</t>
        </is>
      </c>
      <c r="BT111" s="145" t="n"/>
      <c r="BU111" s="145" t="inlineStr">
        <is>
          <t>Not verified</t>
        </is>
      </c>
      <c r="BV111" s="149" t="n"/>
      <c r="BW111" s="149" t="inlineStr">
        <is>
          <t>Origin &amp; status — China · Prototype · 2026 | Manipulation — Payload 17.6 lb | Sensing &amp; software — Sensor and compute package confirmed on formal quote | Buying notes — From $57,000 · 12 months manufacturer standard (typical research/commercial humanoid)</t>
        </is>
      </c>
      <c r="BX111" s="149" t="inlineStr">
        <is>
          <t>as_shipped|XTRON KUAVO-MY|57000|As shipped</t>
        </is>
      </c>
      <c r="BY111" s="145" t="inlineStr">
        <is>
          <t>xtron_kuavo_my|Manufacturer finish|#e2e8f0|0</t>
        </is>
      </c>
      <c r="BZ111" s="145" t="inlineStr"/>
      <c r="CA111" s="149" t="n"/>
      <c r="CB111" s="149" t="inlineStr">
        <is>
          <t>12 months manufacturer standard (typical research/commercial humanoid)</t>
        </is>
      </c>
      <c r="CC111" s="147" t="n">
        <v>12</v>
      </c>
      <c r="CD111" s="149" t="inlineStr">
        <is>
          <t>+3 Year Extended ≈24% of configuration (default in configurator)</t>
        </is>
      </c>
      <c r="CE111" s="145" t="inlineStr">
        <is>
          <t>Humanoid category norm 2025–2026</t>
        </is>
      </c>
      <c r="CF111" s="145" t="inlineStr">
        <is>
          <t>Estimated</t>
        </is>
      </c>
      <c r="CG111" s="149" t="inlineStr">
        <is>
          <t>Confirm on formal OEM quote. EDU or enterprise packages may differ.</t>
        </is>
      </c>
      <c r="CH111" s="145" t="inlineStr">
        <is>
          <t>10%</t>
        </is>
      </c>
      <c r="CI111" s="145" t="inlineStr">
        <is>
          <t>17%</t>
        </is>
      </c>
      <c r="CJ111" s="145" t="inlineStr">
        <is>
          <t>24%</t>
        </is>
      </c>
      <c r="CK111" s="149" t="inlineStr">
        <is>
          <t>+1yr ≈10% | +2yr ≈17% | +3yr ≈24% of selected configuration price (parts &amp; labor beyond manufacturer standard).</t>
        </is>
      </c>
      <c r="CL11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11" s="145" t="inlineStr">
        <is>
          <t>12 months manufacturer standard (typical research/commercial humanoid)</t>
        </is>
      </c>
      <c r="CQ111" s="101" t="inlineStr">
        <is>
          <t>Height: 5 ft 5 in | Weight: 121.3 | Degrees of Freedom: 30 | Payload: 17.6 | Max Speed: 1.55 | Battery / Runtime: Not disclosed</t>
        </is>
      </c>
    </row>
    <row r="112" ht="31.5" customHeight="1" s="102">
      <c r="A112" s="152" t="inlineStr">
        <is>
          <t>lg_electronics_cloid</t>
        </is>
      </c>
      <c r="B112" s="153" t="inlineStr">
        <is>
          <t>Humanoid.guide</t>
        </is>
      </c>
      <c r="C112" s="152" t="inlineStr">
        <is>
          <t>LG Electronics</t>
        </is>
      </c>
      <c r="D112" s="152" t="inlineStr">
        <is>
          <t>CLOiD</t>
        </is>
      </c>
      <c r="E112" s="152" t="inlineStr">
        <is>
          <t>[LG Electronics] CLOiD (2026)</t>
        </is>
      </c>
      <c r="F112" s="146" t="inlineStr">
        <is>
          <t>humanoid</t>
        </is>
      </c>
      <c r="G112" s="152" t="inlineStr">
        <is>
          <t>South Korea</t>
        </is>
      </c>
      <c r="H112" s="152" t="n"/>
      <c r="I112" s="155" t="n">
        <v>35000</v>
      </c>
      <c r="J112" s="152" t="inlineStr">
        <is>
          <t>Humanoid.guide list</t>
        </is>
      </c>
      <c r="K112" s="156" t="inlineStr">
        <is>
          <t>CLOiD is LG’s service-oriented humanoid robot platform designed for public and commercial environments.</t>
        </is>
      </c>
      <c r="L112" s="101" t="inlineStr">
        <is>
          <t>CLOiD is LG’s service-oriented humanoid robot platform designed for public and commercial environments.</t>
        </is>
      </c>
      <c r="M112" s="101" t="inlineStr">
        <is>
          <t>CLOiD is LG’s service-oriented humanoid robot platform designed for public and commercial environments. Public status is listed as commercial Pilots / Early Production, and it is positioned for airports; Hospitality; offices; retail.</t>
        </is>
      </c>
      <c r="N112" s="157" t="inlineStr">
        <is>
          <t>https://humanoid.guide/product/cloid/</t>
        </is>
      </c>
      <c r="O112" s="157" t="inlineStr">
        <is>
          <t>https://www.lg.com</t>
        </is>
      </c>
      <c r="P112" s="152" t="inlineStr">
        <is>
          <t>3 ft 11 in</t>
        </is>
      </c>
      <c r="Q112" s="152" t="n">
        <v>120</v>
      </c>
      <c r="R112" s="152" t="n">
        <v>132.3</v>
      </c>
      <c r="S112" s="152" t="n">
        <v>60</v>
      </c>
      <c r="T112" s="156" t="inlineStr">
        <is>
          <t>Not disclosed</t>
        </is>
      </c>
      <c r="U112" s="152" t="n"/>
      <c r="V112" s="152" t="inlineStr">
        <is>
          <t>~10–15</t>
        </is>
      </c>
      <c r="W112" s="156" t="inlineStr">
        <is>
          <t>2–3 per hand</t>
        </is>
      </c>
      <c r="X112" s="152" t="n">
        <v>11</v>
      </c>
      <c r="Y112" s="152" t="n">
        <v>5</v>
      </c>
      <c r="Z112" s="152" t="n">
        <v>2.49</v>
      </c>
      <c r="AA112" s="152" t="n">
        <v>4</v>
      </c>
      <c r="AB112" s="152" t="n"/>
      <c r="AC112" s="156" t="inlineStr">
        <is>
          <t>~8–10</t>
        </is>
      </c>
      <c r="AD112" s="156" t="inlineStr">
        <is>
          <t>~8–10</t>
        </is>
      </c>
      <c r="AE112" s="152" t="n"/>
      <c r="AF112" s="152" t="inlineStr">
        <is>
          <t>Not disclosed</t>
        </is>
      </c>
      <c r="AG112" s="156" t="inlineStr">
        <is>
          <t>3 per hand</t>
        </is>
      </c>
      <c r="AH112" s="152" t="inlineStr">
        <is>
          <t>3 per hand</t>
        </is>
      </c>
      <c r="AI112" s="152" t="n"/>
      <c r="AJ112" s="156" t="inlineStr">
        <is>
          <t>HD cameras</t>
        </is>
      </c>
      <c r="AK112" s="156" t="inlineStr">
        <is>
          <t>HD cameras</t>
        </is>
      </c>
      <c r="AL112" s="152" t="inlineStr">
        <is>
          <t>Not disclosed</t>
        </is>
      </c>
      <c r="AM112" s="152" t="n"/>
      <c r="AN112" s="152" t="inlineStr">
        <is>
          <t>Not disclosed</t>
        </is>
      </c>
      <c r="AO112" s="152" t="inlineStr">
        <is>
          <t>Not disclosed</t>
        </is>
      </c>
      <c r="AP112" s="152" t="inlineStr">
        <is>
          <t>Not disclosed</t>
        </is>
      </c>
      <c r="AQ112" s="152" t="inlineStr">
        <is>
          <t>Not disclosed</t>
        </is>
      </c>
      <c r="AR112" s="152" t="n"/>
      <c r="AS112" s="152" t="n"/>
      <c r="AT112" s="156" t="inlineStr">
        <is>
          <t>LG embedded processors (ARM-based)</t>
        </is>
      </c>
      <c r="AU112" s="156" t="inlineStr">
        <is>
          <t>Bluetooth; Ethernet; Wi‑Fi</t>
        </is>
      </c>
      <c r="AV112" s="152" t="inlineStr">
        <is>
          <t>Not disclosed</t>
        </is>
      </c>
      <c r="AW112" s="156" t="inlineStr">
        <is>
          <t>Not disclosed</t>
        </is>
      </c>
      <c r="AX112" s="152" t="n"/>
      <c r="AY112" s="156" t="inlineStr">
        <is>
          <t>Linux-based robotics OS</t>
        </is>
      </c>
      <c r="AZ112" s="156" t="inlineStr">
        <is>
          <t>Possible via cloud services</t>
        </is>
      </c>
      <c r="BA112" s="156" t="inlineStr">
        <is>
          <t>Low (local navigation + edge compute)</t>
        </is>
      </c>
      <c r="BB112" s="156" t="inlineStr">
        <is>
          <t>Electric servo motors</t>
        </is>
      </c>
      <c r="BC112" s="156" t="inlineStr">
        <is>
          <t>Harmonic Drive / Planetary Gearboxes</t>
        </is>
      </c>
      <c r="BD112" s="152" t="inlineStr">
        <is>
          <t>Aluminum frame + plastic shell</t>
        </is>
      </c>
      <c r="BE112" s="152" t="inlineStr">
        <is>
          <t>Not disclosed</t>
        </is>
      </c>
      <c r="BF112" s="152" t="n"/>
      <c r="BG112" s="152" t="n"/>
      <c r="BH112" s="152" t="n"/>
      <c r="BI112" s="152" t="n"/>
      <c r="BJ112" s="152" t="n"/>
      <c r="BK112" s="152" t="n"/>
      <c r="BL112" s="152" t="n"/>
      <c r="BM112" s="152" t="inlineStr">
        <is>
          <t>Yes</t>
        </is>
      </c>
      <c r="BN112" s="152" t="inlineStr">
        <is>
          <t>Not disclosed</t>
        </is>
      </c>
      <c r="BO112" s="156" t="inlineStr">
        <is>
          <t>Market: airports; Hospitality; offices; retail · Human-safe: Yes · AI: Possible via cloud services · Actuation: Electric servo motors · Peak 4 km/h · Runtime ~8–10</t>
        </is>
      </c>
      <c r="BP112" s="152" t="n"/>
      <c r="BQ112" s="156" t="inlineStr">
        <is>
          <t>airports; Hospitality; offices; retail</t>
        </is>
      </c>
      <c r="BR112" s="156" t="inlineStr">
        <is>
          <t>Commercial Pilots / Early Production</t>
        </is>
      </c>
      <c r="BS112" s="156" t="inlineStr">
        <is>
          <t>Commercial Pilots / Early Production</t>
        </is>
      </c>
      <c r="BT112" s="152" t="inlineStr">
        <is>
          <t>White</t>
        </is>
      </c>
      <c r="BU112" s="152" t="inlineStr">
        <is>
          <t>Not verified</t>
        </is>
      </c>
      <c r="BV112" s="156" t="n"/>
      <c r="BW112" s="156" t="inlineStr">
        <is>
          <t>Origin &amp; status — South Korea · Commercial Pilots / Early Production · 2026 | Manipulation — 3 per hand · 3 per hand fingers · Hand DOF 2–3 per hand · Payload 11 lb | Sensing &amp; software — HD cameras · Possible via cloud services · Linux-based robotics OS | Buying notes — From $35,000 · 12 months manufacturer standard (typical research/commercial humanoid) · Best fit: airports</t>
        </is>
      </c>
      <c r="BX112" s="156" t="inlineStr">
        <is>
          <t>as_shipped|CLOiD|35000|As shipped</t>
        </is>
      </c>
      <c r="BY112" s="152" t="inlineStr">
        <is>
          <t>white|White|#e2e8f0|0</t>
        </is>
      </c>
      <c r="BZ112" s="152" t="inlineStr"/>
      <c r="CA112" s="156" t="n"/>
      <c r="CB112" s="156" t="inlineStr">
        <is>
          <t>12 months manufacturer standard (typical research/commercial humanoid)</t>
        </is>
      </c>
      <c r="CC112" s="154" t="n">
        <v>12</v>
      </c>
      <c r="CD112" s="156" t="inlineStr">
        <is>
          <t>+3 Year Extended ≈24% of configuration (default in configurator)</t>
        </is>
      </c>
      <c r="CE112" s="152" t="inlineStr">
        <is>
          <t>Humanoid category norm 2025–2026</t>
        </is>
      </c>
      <c r="CF112" s="152" t="inlineStr">
        <is>
          <t>Estimated</t>
        </is>
      </c>
      <c r="CG112" s="156" t="inlineStr">
        <is>
          <t>Confirm on formal OEM quote. EDU or enterprise packages may differ.</t>
        </is>
      </c>
      <c r="CH112" s="152" t="inlineStr">
        <is>
          <t>10%</t>
        </is>
      </c>
      <c r="CI112" s="152" t="inlineStr">
        <is>
          <t>17%</t>
        </is>
      </c>
      <c r="CJ112" s="152" t="inlineStr">
        <is>
          <t>24%</t>
        </is>
      </c>
      <c r="CK112" s="156" t="inlineStr">
        <is>
          <t>+1yr ≈10% | +2yr ≈17% | +3yr ≈24% of selected configuration price (parts &amp; labor beyond manufacturer standard).</t>
        </is>
      </c>
      <c r="CL112"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12" s="152" t="inlineStr">
        <is>
          <t>12 months manufacturer standard (typical research/commercial humanoid)</t>
        </is>
      </c>
      <c r="CN112" s="203" t="inlineStr">
        <is>
          <t>https://aixzd.com/robot/cloid</t>
        </is>
      </c>
      <c r="CQ112" s="101" t="inlineStr">
        <is>
          <t>Height: 3 ft 11 in | Weight: 132.3 | Degrees of Freedom: ~10–15 | Payload: 11 | Max Speed: 2.49 | Battery / Runtime: ~8–10</t>
        </is>
      </c>
    </row>
    <row r="113" ht="31.5" customHeight="1" s="102">
      <c r="A113" s="145" t="inlineStr">
        <is>
          <t>lg_electronics_kapex</t>
        </is>
      </c>
      <c r="B113" s="153" t="inlineStr">
        <is>
          <t>Humanoid.guide</t>
        </is>
      </c>
      <c r="C113" s="145" t="inlineStr">
        <is>
          <t>LG Electronics</t>
        </is>
      </c>
      <c r="D113" s="145" t="inlineStr">
        <is>
          <t>KAPEX</t>
        </is>
      </c>
      <c r="E113" s="145" t="inlineStr">
        <is>
          <t>[LG Electronics] KAPEX (2026)</t>
        </is>
      </c>
      <c r="F113" s="146" t="inlineStr">
        <is>
          <t>humanoid</t>
        </is>
      </c>
      <c r="G113" s="145" t="inlineStr">
        <is>
          <t>South Korea</t>
        </is>
      </c>
      <c r="H113" s="145" t="n"/>
      <c r="I113" s="148" t="n">
        <v>150000</v>
      </c>
      <c r="J113" s="145" t="inlineStr">
        <is>
          <t>Humanoid.guide list</t>
        </is>
      </c>
      <c r="K113" s="149" t="inlineStr">
        <is>
          <t>KAPEX is an AI-powered humanoid robot from LG Electronics and KIST that aims to combine bipedal mobility, tactile dexterous hands, and a powerful vision-language AI to perform real-world tasks alongside humans.</t>
        </is>
      </c>
      <c r="L113" s="101" t="inlineStr">
        <is>
          <t>KAPEX is an AI-powered humanoid robot from LG Electronics and KIST that aims to combine bipedal mobility, tactile dexterous hands, and a powerful vision-language AI to perform real-world tasks alongside humans.</t>
        </is>
      </c>
      <c r="M113" s="101" t="inlineStr">
        <is>
          <t>KAPEX is an AI-powered humanoid robot from LG Electronics and KIST that aims to combine bipedal mobility, tactile dexterous hands, and a powerful vision-language AI to perform real-world tasks alongside humans. Public status is listed as prototype, and it is positioned for home assistance; Industrial automation; logistics; Manufacturing; Research &amp; education.</t>
        </is>
      </c>
      <c r="N113" s="150" t="inlineStr">
        <is>
          <t>https://humanoid.guide/product/kapex/</t>
        </is>
      </c>
      <c r="O113" s="150" t="inlineStr">
        <is>
          <t>https://www.lg.com</t>
        </is>
      </c>
      <c r="P113" s="145" t="inlineStr">
        <is>
          <t>5 ft 9 in</t>
        </is>
      </c>
      <c r="Q113" s="145" t="n">
        <v>175</v>
      </c>
      <c r="R113" s="145" t="n">
        <v>143.3</v>
      </c>
      <c r="S113" s="145" t="n">
        <v>65</v>
      </c>
      <c r="T113" s="149" t="inlineStr">
        <is>
          <t>Not disclosed</t>
        </is>
      </c>
      <c r="U113" s="145" t="inlineStr">
        <is>
          <t>185 × 65 × 60 cm</t>
        </is>
      </c>
      <c r="V113" s="145" t="inlineStr">
        <is>
          <t>40–50 DOF (based on multi-joint limbs + dexterous hands)</t>
        </is>
      </c>
      <c r="W113" s="149" t="inlineStr">
        <is>
          <t>20</t>
        </is>
      </c>
      <c r="X113" s="145" t="n">
        <v>22</v>
      </c>
      <c r="Y113" s="145" t="n">
        <v>10</v>
      </c>
      <c r="Z113" s="145" t="n">
        <v>2.8</v>
      </c>
      <c r="AA113" s="145" t="n">
        <v>4.5</v>
      </c>
      <c r="AB113" s="145" t="n">
        <v>3.5</v>
      </c>
      <c r="AC113" s="149" t="inlineStr">
        <is>
          <t>≈ 3 hours</t>
        </is>
      </c>
      <c r="AD113" s="149" t="inlineStr">
        <is>
          <t>3</t>
        </is>
      </c>
      <c r="AE113" s="145" t="n"/>
      <c r="AF113" s="145" t="inlineStr">
        <is>
          <t>Not disclosed</t>
        </is>
      </c>
      <c r="AG113" s="149" t="inlineStr">
        <is>
          <t>5 per hand</t>
        </is>
      </c>
      <c r="AH113" s="145" t="inlineStr">
        <is>
          <t>5 per hand</t>
        </is>
      </c>
      <c r="AI113" s="161" t="n">
        <v>4</v>
      </c>
      <c r="AJ113" s="149" t="inlineStr">
        <is>
          <t>Vision-language model input; likely stereo RGB + depth + tactile hands + environment sensors</t>
        </is>
      </c>
      <c r="AK113" s="149" t="inlineStr">
        <is>
          <t>Vision-language model input; likely stereo RGB + depth + tactile hands + environment sensors</t>
        </is>
      </c>
      <c r="AL113" s="145" t="inlineStr">
        <is>
          <t>Not disclosed</t>
        </is>
      </c>
      <c r="AM113" s="145" t="n"/>
      <c r="AN113" s="145" t="inlineStr">
        <is>
          <t>Not disclosed</t>
        </is>
      </c>
      <c r="AO113" s="145" t="inlineStr">
        <is>
          <t>Not disclosed</t>
        </is>
      </c>
      <c r="AP113" s="145" t="inlineStr">
        <is>
          <t>Not disclosed</t>
        </is>
      </c>
      <c r="AQ113" s="145" t="inlineStr">
        <is>
          <t>Not disclosed</t>
        </is>
      </c>
      <c r="AR113" s="145" t="n"/>
      <c r="AS113" s="145" t="n"/>
      <c r="AT113" s="149" t="inlineStr">
        <is>
          <t>High-performance AI compute module (for EXAONE) — assume onboard GPU + CPU</t>
        </is>
      </c>
      <c r="AU113" s="149" t="inlineStr">
        <is>
          <t>Ethernet; Wi‑Fi</t>
        </is>
      </c>
      <c r="AV113" s="145" t="inlineStr">
        <is>
          <t>Not disclosed</t>
        </is>
      </c>
      <c r="AW113" s="149" t="inlineStr">
        <is>
          <t>Not disclosed</t>
        </is>
      </c>
      <c r="AX113" s="151" t="n">
        <v>3</v>
      </c>
      <c r="AY113" s="149" t="inlineStr">
        <is>
          <t>Custom robotics OS + AI middleware</t>
        </is>
      </c>
      <c r="AZ113" s="149" t="inlineStr">
        <is>
          <t>Yes — uses LG’s EXAONE VLM as core “robot brain”</t>
        </is>
      </c>
      <c r="BA113" s="149" t="inlineStr">
        <is>
          <t>250–450 ms</t>
        </is>
      </c>
      <c r="BB113" s="149" t="inlineStr">
        <is>
          <t>High-output full-body actuators</t>
        </is>
      </c>
      <c r="BC113" s="149" t="inlineStr">
        <is>
          <t>High-torque actuators + precision gearing</t>
        </is>
      </c>
      <c r="BD113" s="145" t="inlineStr">
        <is>
          <t>Aluminum / high-strength alloy + composite covers</t>
        </is>
      </c>
      <c r="BE113" s="145" t="inlineStr">
        <is>
          <t>IP20</t>
        </is>
      </c>
      <c r="BF113" s="145" t="inlineStr">
        <is>
          <t>IP20</t>
        </is>
      </c>
      <c r="BG113" s="145" t="n"/>
      <c r="BH113" s="145" t="n"/>
      <c r="BI113" s="145" t="n"/>
      <c r="BJ113" s="145" t="n"/>
      <c r="BK113" s="145" t="n"/>
      <c r="BL113" s="145" t="n"/>
      <c r="BM113" s="145" t="inlineStr">
        <is>
          <t>Yes</t>
        </is>
      </c>
      <c r="BN113" s="145" t="inlineStr">
        <is>
          <t>Not disclosed</t>
        </is>
      </c>
      <c r="BO113" s="149" t="inlineStr">
        <is>
          <t>Market: Home assistance; Industrial automation; logistics; Manufacturing; Research &amp; education · Manipulation 4/4 · Navigation 3/4 · Human-safe: Yes · AI: Yes — uses LG’s EXAONE VLM as core “robot brain” · Actuation: High-output full-body actuators · Peak 4.5 km/h · Walk 3.5 km/h · Runtime 3</t>
        </is>
      </c>
      <c r="BP113" s="145" t="n"/>
      <c r="BQ113" s="149" t="inlineStr">
        <is>
          <t>Home assistance; Industrial automation; logistics; Manufacturing; Research &amp; education</t>
        </is>
      </c>
      <c r="BR113" s="149" t="inlineStr">
        <is>
          <t>Prototype</t>
        </is>
      </c>
      <c r="BS113" s="149" t="inlineStr">
        <is>
          <t>Prototype</t>
        </is>
      </c>
      <c r="BT113" s="145" t="inlineStr">
        <is>
          <t>White/grey (prototype)</t>
        </is>
      </c>
      <c r="BU113" s="145" t="inlineStr">
        <is>
          <t>Not verified</t>
        </is>
      </c>
      <c r="BV113" s="149" t="n"/>
      <c r="BW113" s="149" t="inlineStr">
        <is>
          <t>Origin &amp; status — South Korea · Prototype · 2026 | Manipulation — 5 per hand · 5 per hand fingers · Hand DOF 20 · Payload 22 lb | Sensing &amp; software — Vision-language model input; likely stereo RGB + depth + tactile hands + environment sensors · Yes — uses LG’s EXAONE VLM as core “robot brain” · Custom rob… | Buying notes — From $150,000 · 12 months manufacturer standard (typical research/commercial humanoid) · Best fit: Home assistance</t>
        </is>
      </c>
      <c r="BX113" s="149" t="inlineStr">
        <is>
          <t>as_shipped|KAPEX|150000|As shipped</t>
        </is>
      </c>
      <c r="BY113" s="145" t="inlineStr">
        <is>
          <t>white|White|#e2e8f0|0 || grey_prototype|grey (prototype)|#1e293b|0</t>
        </is>
      </c>
      <c r="BZ113" s="145" t="inlineStr"/>
      <c r="CA113" s="149" t="n"/>
      <c r="CB113" s="149" t="inlineStr">
        <is>
          <t>12 months manufacturer standard (typical research/commercial humanoid)</t>
        </is>
      </c>
      <c r="CC113" s="147" t="n">
        <v>12</v>
      </c>
      <c r="CD113" s="149" t="inlineStr">
        <is>
          <t>+3 Year Extended ≈24% of configuration (default in configurator)</t>
        </is>
      </c>
      <c r="CE113" s="145" t="inlineStr">
        <is>
          <t>Humanoid category norm 2025–2026</t>
        </is>
      </c>
      <c r="CF113" s="145" t="inlineStr">
        <is>
          <t>Estimated</t>
        </is>
      </c>
      <c r="CG113" s="149" t="inlineStr">
        <is>
          <t>Confirm on formal OEM quote. EDU or enterprise packages may differ.</t>
        </is>
      </c>
      <c r="CH113" s="145" t="inlineStr">
        <is>
          <t>10%</t>
        </is>
      </c>
      <c r="CI113" s="145" t="inlineStr">
        <is>
          <t>17%</t>
        </is>
      </c>
      <c r="CJ113" s="145" t="inlineStr">
        <is>
          <t>24%</t>
        </is>
      </c>
      <c r="CK113" s="149" t="inlineStr">
        <is>
          <t>+1yr ≈10% | +2yr ≈17% | +3yr ≈24% of selected configuration price (parts &amp; labor beyond manufacturer standard).</t>
        </is>
      </c>
      <c r="CL113"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13" s="145" t="inlineStr">
        <is>
          <t>12 months manufacturer standard (typical research/commercial humanoid)</t>
        </is>
      </c>
      <c r="CQ113" s="101" t="inlineStr">
        <is>
          <t>Height: 5 ft 9 in | Weight: 143.3 | Degrees of Freedom: 40–50 DOF (based on multi-joint limbs + dexterous hands) | Payload: 22 | Max Speed: 2.8 | Battery / Runtime: ≈ 3 hours</t>
        </is>
      </c>
    </row>
    <row r="114" ht="31.5" customHeight="1" s="102">
      <c r="A114" s="152" t="inlineStr">
        <is>
          <t>limx_dynamics_limx</t>
        </is>
      </c>
      <c r="B114" s="153" t="inlineStr">
        <is>
          <t>Humanoid.guide</t>
        </is>
      </c>
      <c r="C114" s="152" t="inlineStr">
        <is>
          <t>Limx Dynamics</t>
        </is>
      </c>
      <c r="D114" s="152" t="inlineStr">
        <is>
          <t>LimX</t>
        </is>
      </c>
      <c r="E114" s="152" t="inlineStr">
        <is>
          <t>[Limx Dynamics] LimX (2026)</t>
        </is>
      </c>
      <c r="F114" s="146" t="inlineStr">
        <is>
          <t>humanoid</t>
        </is>
      </c>
      <c r="G114" s="152" t="inlineStr">
        <is>
          <t>China</t>
        </is>
      </c>
      <c r="H114" s="152" t="n"/>
      <c r="I114" s="155" t="n">
        <v>40000</v>
      </c>
      <c r="J114" s="152" t="inlineStr">
        <is>
          <t>Humanoid.guide list</t>
        </is>
      </c>
      <c r="K114" s="156" t="inlineStr">
        <is>
          <t>LimX Dynamics, a cutting-edge robotics company based in Shenzhen, China, has made significant strides in the field of humanoid robotics with their flagship model, the CL-1.</t>
        </is>
      </c>
      <c r="L114" s="101" t="inlineStr">
        <is>
          <t>LimX Dynamics, a cutting-edge robotics company based in Shenzhen, China, has made significant strides in the field of humanoid robotics with their flagship model, the CL-1.</t>
        </is>
      </c>
      <c r="M114" s="101" t="inlineStr">
        <is>
          <t>LimX Dynamics, a cutting-edge robotics company based in Shenzhen, China, has made significant strides in the field of humanoid robotics with their flagship model, the CL-1. Public status is listed as prototype.</t>
        </is>
      </c>
      <c r="N114" s="157" t="inlineStr">
        <is>
          <t>https://humanoid.guide/product/limx/</t>
        </is>
      </c>
      <c r="O114" s="157" t="inlineStr">
        <is>
          <t>https://www.limxdynamics.com</t>
        </is>
      </c>
      <c r="P114" s="152" t="inlineStr">
        <is>
          <t>5 ft 2 in</t>
        </is>
      </c>
      <c r="Q114" s="152" t="n">
        <v>157</v>
      </c>
      <c r="R114" s="152" t="n">
        <v>110.2</v>
      </c>
      <c r="S114" s="152" t="n">
        <v>50</v>
      </c>
      <c r="T114" s="156" t="inlineStr">
        <is>
          <t>Not disclosed</t>
        </is>
      </c>
      <c r="U114" s="152" t="n"/>
      <c r="V114" s="152" t="inlineStr">
        <is>
          <t>20</t>
        </is>
      </c>
      <c r="W114" s="156" t="inlineStr">
        <is>
          <t>Not disclosed</t>
        </is>
      </c>
      <c r="X114" s="152" t="n">
        <v>39.7</v>
      </c>
      <c r="Y114" s="152" t="n">
        <v>18</v>
      </c>
      <c r="Z114" s="152" t="n">
        <v>2.49</v>
      </c>
      <c r="AA114" s="152" t="n">
        <v>4</v>
      </c>
      <c r="AB114" s="152" t="n">
        <v>2.3</v>
      </c>
      <c r="AC114" s="156" t="inlineStr">
        <is>
          <t>≈ 3 hours</t>
        </is>
      </c>
      <c r="AD114" s="156" t="inlineStr">
        <is>
          <t>3</t>
        </is>
      </c>
      <c r="AE114" s="152" t="n"/>
      <c r="AF114" s="152" t="inlineStr">
        <is>
          <t>Not disclosed</t>
        </is>
      </c>
      <c r="AG114" s="156" t="inlineStr">
        <is>
          <t>Not disclosed</t>
        </is>
      </c>
      <c r="AH114" s="152" t="inlineStr">
        <is>
          <t>Not disclosed</t>
        </is>
      </c>
      <c r="AI114" s="158" t="n">
        <v>2</v>
      </c>
      <c r="AJ114" s="156" t="inlineStr">
        <is>
          <t>Not disclosed</t>
        </is>
      </c>
      <c r="AK114" s="156" t="n"/>
      <c r="AL114" s="152" t="inlineStr">
        <is>
          <t>Not disclosed</t>
        </is>
      </c>
      <c r="AM114" s="152" t="n"/>
      <c r="AN114" s="152" t="inlineStr">
        <is>
          <t>Not disclosed</t>
        </is>
      </c>
      <c r="AO114" s="152" t="inlineStr">
        <is>
          <t>Not disclosed</t>
        </is>
      </c>
      <c r="AP114" s="152" t="inlineStr">
        <is>
          <t>Not disclosed</t>
        </is>
      </c>
      <c r="AQ114" s="152" t="inlineStr">
        <is>
          <t>Not disclosed</t>
        </is>
      </c>
      <c r="AR114" s="152" t="n"/>
      <c r="AS114" s="152" t="n"/>
      <c r="AT114" s="156" t="inlineStr">
        <is>
          <t>Not disclosed</t>
        </is>
      </c>
      <c r="AU114" s="156" t="inlineStr">
        <is>
          <t>Not disclosed</t>
        </is>
      </c>
      <c r="AV114" s="152" t="inlineStr">
        <is>
          <t>Not disclosed</t>
        </is>
      </c>
      <c r="AW114" s="156" t="inlineStr">
        <is>
          <t>Not disclosed</t>
        </is>
      </c>
      <c r="AX114" s="158" t="n">
        <v>2</v>
      </c>
      <c r="AY114" s="156" t="inlineStr">
        <is>
          <t>Not disclosed</t>
        </is>
      </c>
      <c r="AZ114" s="156" t="inlineStr">
        <is>
          <t>Not disclosed</t>
        </is>
      </c>
      <c r="BA114" s="156" t="n"/>
      <c r="BB114" s="156" t="inlineStr">
        <is>
          <t>Not disclosed</t>
        </is>
      </c>
      <c r="BC114" s="156" t="inlineStr">
        <is>
          <t>Not disclosed</t>
        </is>
      </c>
      <c r="BD114" s="152" t="inlineStr">
        <is>
          <t>Not disclosed</t>
        </is>
      </c>
      <c r="BE114" s="152" t="inlineStr">
        <is>
          <t>Not disclosed</t>
        </is>
      </c>
      <c r="BF114" s="152" t="n"/>
      <c r="BG114" s="152" t="n"/>
      <c r="BH114" s="152" t="n"/>
      <c r="BI114" s="152" t="n"/>
      <c r="BJ114" s="152" t="n"/>
      <c r="BK114" s="152" t="n"/>
      <c r="BL114" s="152" t="n"/>
      <c r="BM114" s="152" t="inlineStr">
        <is>
          <t>Not disclosed</t>
        </is>
      </c>
      <c r="BN114" s="152" t="inlineStr">
        <is>
          <t>Not disclosed</t>
        </is>
      </c>
      <c r="BO114" s="156" t="inlineStr">
        <is>
          <t>Manipulation 2/4 · Navigation 2/4 · Peak 4 km/h · Walk 2.3 km/h · Runtime 3</t>
        </is>
      </c>
      <c r="BP114" s="152" t="n"/>
      <c r="BQ114" s="156" t="inlineStr">
        <is>
          <t>Research labs, commercial pilots, and education programs evaluating a humanoid from Limx Dynamics (China) now listed as prototype.</t>
        </is>
      </c>
      <c r="BR114" s="156" t="inlineStr">
        <is>
          <t>Prototype</t>
        </is>
      </c>
      <c r="BS114" s="156" t="inlineStr">
        <is>
          <t>Prototype</t>
        </is>
      </c>
      <c r="BT114" s="152" t="n"/>
      <c r="BU114" s="152" t="inlineStr">
        <is>
          <t>Not verified</t>
        </is>
      </c>
      <c r="BV114" s="156" t="n"/>
      <c r="BW114" s="156" t="inlineStr">
        <is>
          <t>Origin &amp; status — China · Prototype · 2026 | Manipulation — Payload 39.7 lb | Sensing &amp; software — Sensor and compute package confirmed on formal quote | Buying notes — From $40,000 · 12 months manufacturer standard (typical research/commercial humanoid)</t>
        </is>
      </c>
      <c r="BX114" s="156" t="inlineStr">
        <is>
          <t>as_shipped|LimX|40000|As shipped</t>
        </is>
      </c>
      <c r="BY114" s="152" t="inlineStr">
        <is>
          <t>limx|Manufacturer finish|#e2e8f0|0</t>
        </is>
      </c>
      <c r="BZ114" s="152" t="inlineStr"/>
      <c r="CA114" s="156" t="n"/>
      <c r="CB114" s="156" t="inlineStr">
        <is>
          <t>12 months manufacturer standard (typical research/commercial humanoid)</t>
        </is>
      </c>
      <c r="CC114" s="154" t="n">
        <v>12</v>
      </c>
      <c r="CD114" s="156" t="inlineStr">
        <is>
          <t>+3 Year Extended ≈24% of configuration (default in configurator)</t>
        </is>
      </c>
      <c r="CE114" s="152" t="inlineStr">
        <is>
          <t>Humanoid category norm 2025–2026</t>
        </is>
      </c>
      <c r="CF114" s="152" t="inlineStr">
        <is>
          <t>Estimated</t>
        </is>
      </c>
      <c r="CG114" s="156" t="inlineStr">
        <is>
          <t>Confirm on formal OEM quote. EDU or enterprise packages may differ.</t>
        </is>
      </c>
      <c r="CH114" s="152" t="inlineStr">
        <is>
          <t>10%</t>
        </is>
      </c>
      <c r="CI114" s="152" t="inlineStr">
        <is>
          <t>17%</t>
        </is>
      </c>
      <c r="CJ114" s="152" t="inlineStr">
        <is>
          <t>24%</t>
        </is>
      </c>
      <c r="CK114" s="156" t="inlineStr">
        <is>
          <t>+1yr ≈10% | +2yr ≈17% | +3yr ≈24% of selected configuration price (parts &amp; labor beyond manufacturer standard).</t>
        </is>
      </c>
      <c r="CL114"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14" s="152" t="inlineStr">
        <is>
          <t>12 months manufacturer standard (typical research/commercial humanoid)</t>
        </is>
      </c>
      <c r="CQ114" s="101" t="inlineStr">
        <is>
          <t>Height: 5 ft 2 in | Weight: 110.2 | Degrees of Freedom: 20 | Payload: 39.7 | Max Speed: 2.49 | Battery / Runtime: ≈ 3 hours</t>
        </is>
      </c>
    </row>
    <row r="115" ht="31.5" customHeight="1" s="102">
      <c r="A115" s="145" t="inlineStr">
        <is>
          <t>limx_dynamics_limx_cl</t>
        </is>
      </c>
      <c r="B115" s="153" t="inlineStr">
        <is>
          <t>Humanoid.guide</t>
        </is>
      </c>
      <c r="C115" s="145" t="inlineStr">
        <is>
          <t>Limx Dynamics</t>
        </is>
      </c>
      <c r="D115" s="145" t="inlineStr">
        <is>
          <t>LimX CL</t>
        </is>
      </c>
      <c r="E115" s="145" t="inlineStr">
        <is>
          <t>[Limx Dynamics] LimX CL (2026)</t>
        </is>
      </c>
      <c r="F115" s="146" t="inlineStr">
        <is>
          <t>humanoid</t>
        </is>
      </c>
      <c r="G115" s="145" t="inlineStr">
        <is>
          <t>China</t>
        </is>
      </c>
      <c r="H115" s="145" t="n"/>
      <c r="I115" s="148" t="n">
        <v>40000</v>
      </c>
      <c r="J115" s="145" t="inlineStr">
        <is>
          <t>Humanoid.guide list</t>
        </is>
      </c>
      <c r="K115" s="149" t="inlineStr">
        <is>
          <t>The LimX CL Series is a line of compact, agile humanoid robots from Shenzhen-based LimX Dynamics, evolving from the stair-climbing CL-1 to the flexible CL-3.</t>
        </is>
      </c>
      <c r="L115" s="101" t="inlineStr">
        <is>
          <t>The LimX CL Series is a line of compact, agile humanoid robots from Shenzhen-based LimX Dynamics, evolving from the stair-climbing CL-1 to the flexible CL-3.</t>
        </is>
      </c>
      <c r="M115" s="101" t="inlineStr">
        <is>
          <t>The LimX CL Series is a line of compact, agile humanoid robots from Shenzhen-based LimX Dynamics, evolving from the stair-climbing CL-1 to the flexible CL-3. Public status is listed as prototype, and it is positioned for household services; Industrial automation; R&amp;D platforms.</t>
        </is>
      </c>
      <c r="N115" s="150" t="inlineStr">
        <is>
          <t>https://humanoid.guide/product/limx-cl-series/</t>
        </is>
      </c>
      <c r="O115" s="150" t="inlineStr">
        <is>
          <t>https://www.limxdynamics.com</t>
        </is>
      </c>
      <c r="P115" s="145" t="inlineStr">
        <is>
          <t>5 ft 5 in</t>
        </is>
      </c>
      <c r="Q115" s="145" t="n">
        <v>164</v>
      </c>
      <c r="R115" s="145" t="n">
        <v>99.2</v>
      </c>
      <c r="S115" s="145" t="n">
        <v>45</v>
      </c>
      <c r="T115" s="149" t="inlineStr">
        <is>
          <t>Not disclosed</t>
        </is>
      </c>
      <c r="U115" s="145" t="n"/>
      <c r="V115" s="145" t="inlineStr">
        <is>
          <t>52</t>
        </is>
      </c>
      <c r="W115" s="149" t="inlineStr">
        <is>
          <t>6</t>
        </is>
      </c>
      <c r="X115" s="145" t="n">
        <v>55.1</v>
      </c>
      <c r="Y115" s="145" t="n">
        <v>25</v>
      </c>
      <c r="Z115" s="145" t="n">
        <v>2.49</v>
      </c>
      <c r="AA115" s="145" t="n">
        <v>4</v>
      </c>
      <c r="AB115" s="145" t="n"/>
      <c r="AC115" s="149" t="inlineStr">
        <is>
          <t>≈ 2 hours</t>
        </is>
      </c>
      <c r="AD115" s="149" t="inlineStr">
        <is>
          <t>2</t>
        </is>
      </c>
      <c r="AE115" s="145" t="n"/>
      <c r="AF115" s="145" t="inlineStr">
        <is>
          <t>Not disclosed</t>
        </is>
      </c>
      <c r="AG115" s="149" t="inlineStr">
        <is>
          <t>10</t>
        </is>
      </c>
      <c r="AH115" s="145" t="inlineStr">
        <is>
          <t>10</t>
        </is>
      </c>
      <c r="AI115" s="158" t="n">
        <v>2</v>
      </c>
      <c r="AJ115" s="149" t="inlineStr">
        <is>
          <t>integrated vision-LiDAR system for real-time terrain perception.</t>
        </is>
      </c>
      <c r="AK115" s="149" t="inlineStr">
        <is>
          <t>integrated vision-LiDAR system for real-time terrain perception.</t>
        </is>
      </c>
      <c r="AL115" s="145" t="inlineStr">
        <is>
          <t>Not disclosed</t>
        </is>
      </c>
      <c r="AM115" s="145" t="n"/>
      <c r="AN115" s="145" t="inlineStr">
        <is>
          <t>Not disclosed</t>
        </is>
      </c>
      <c r="AO115" s="145" t="inlineStr">
        <is>
          <t>Not disclosed</t>
        </is>
      </c>
      <c r="AP115" s="145" t="inlineStr">
        <is>
          <t>Not disclosed</t>
        </is>
      </c>
      <c r="AQ115" s="145" t="inlineStr">
        <is>
          <t>Not disclosed</t>
        </is>
      </c>
      <c r="AR115" s="145" t="n"/>
      <c r="AS115" s="145" t="n"/>
      <c r="AT115" s="149" t="inlineStr">
        <is>
          <t>Not disclosed</t>
        </is>
      </c>
      <c r="AU115" s="149" t="inlineStr">
        <is>
          <t>supports SDK with Python, likely WiFi/Ethernet for remote control.</t>
        </is>
      </c>
      <c r="AV115" s="145" t="inlineStr">
        <is>
          <t>Not disclosed</t>
        </is>
      </c>
      <c r="AW115" s="149" t="inlineStr">
        <is>
          <t>Not disclosed</t>
        </is>
      </c>
      <c r="AX115" s="158" t="n">
        <v>2</v>
      </c>
      <c r="AY115" s="149" t="inlineStr">
        <is>
          <t>open SDK implies Linux-based or custom RTOS</t>
        </is>
      </c>
      <c r="AZ115" s="149" t="inlineStr">
        <is>
          <t>VideoGenMotion framework uses AI to imitate movements from video; hints at future LLM for task planning</t>
        </is>
      </c>
      <c r="BA115" s="149" t="inlineStr">
        <is>
          <t>real-time (sub-second) via integrated perception-control loop.</t>
        </is>
      </c>
      <c r="BB115" s="149" t="inlineStr">
        <is>
          <t>Hollow direct-drive motors with high torque density.</t>
        </is>
      </c>
      <c r="BC115" s="149" t="inlineStr">
        <is>
          <t>Likely harmonic drives for precision</t>
        </is>
      </c>
      <c r="BD115" s="145" t="inlineStr">
        <is>
          <t>likely aluminum alloys or carbon fiber composites for lightweight strength.</t>
        </is>
      </c>
      <c r="BE115" s="145" t="inlineStr">
        <is>
          <t>Not disclosed</t>
        </is>
      </c>
      <c r="BF115" s="145" t="inlineStr">
        <is>
          <t>Not specified</t>
        </is>
      </c>
      <c r="BG115" s="145" t="n"/>
      <c r="BH115" s="145" t="n"/>
      <c r="BI115" s="145" t="n"/>
      <c r="BJ115" s="145" t="n"/>
      <c r="BK115" s="145" t="n"/>
      <c r="BL115" s="145" t="n"/>
      <c r="BM115" s="145" t="inlineStr">
        <is>
          <t>No formal safety rating</t>
        </is>
      </c>
      <c r="BN115" s="145" t="inlineStr">
        <is>
          <t>Not disclosed</t>
        </is>
      </c>
      <c r="BO115" s="149" t="inlineStr">
        <is>
          <t>Market: household services; Industrial automation; R&amp;D platforms · Manipulation 2/4 · Navigation 2/4 · Human-safe: No formal safety rating · AI: VideoGenMotion framework uses AI to imitate movements from video; hints at future LLM for task planning · Actuation: Hollow direct-drive motors with high torque density. · Peak 4 km/h · Runtime 2</t>
        </is>
      </c>
      <c r="BP115" s="145" t="n"/>
      <c r="BQ115" s="149" t="inlineStr">
        <is>
          <t>household services; Industrial automation; R&amp;D platforms</t>
        </is>
      </c>
      <c r="BR115" s="149" t="inlineStr">
        <is>
          <t>Prototype</t>
        </is>
      </c>
      <c r="BS115" s="149" t="inlineStr">
        <is>
          <t>Prototype</t>
        </is>
      </c>
      <c r="BT115" s="145" t="n"/>
      <c r="BU115" s="145" t="inlineStr">
        <is>
          <t>Not verified</t>
        </is>
      </c>
      <c r="BV115" s="149" t="n"/>
      <c r="BW115" s="149" t="inlineStr">
        <is>
          <t>Origin &amp; status — China · Prototype · 2026 | Manipulation — 10 · 10 fingers · Hand DOF 6 · Payload 55.1 lb | Sensing &amp; software — integrated vision-LiDAR system for real-time terrain perception. · VideoGenMotion framework uses AI to imitate movements from video; hints at future LLM for… | Buying notes — From $40,000 · 12 months manufacturer standard (typical research/commercial humanoid) · Best fit: household services</t>
        </is>
      </c>
      <c r="BX115" s="149" t="inlineStr">
        <is>
          <t>as_shipped|LimX CL|40000|As shipped</t>
        </is>
      </c>
      <c r="BY115" s="145" t="inlineStr">
        <is>
          <t>limx_cl|Manufacturer finish|#e2e8f0|0</t>
        </is>
      </c>
      <c r="BZ115" s="145" t="inlineStr"/>
      <c r="CA115" s="149" t="n"/>
      <c r="CB115" s="149" t="inlineStr">
        <is>
          <t>12 months manufacturer standard (typical research/commercial humanoid)</t>
        </is>
      </c>
      <c r="CC115" s="147" t="n">
        <v>12</v>
      </c>
      <c r="CD115" s="149" t="inlineStr">
        <is>
          <t>+3 Year Extended ≈24% of configuration (default in configurator)</t>
        </is>
      </c>
      <c r="CE115" s="145" t="inlineStr">
        <is>
          <t>Humanoid category norm 2025–2026</t>
        </is>
      </c>
      <c r="CF115" s="145" t="inlineStr">
        <is>
          <t>Estimated</t>
        </is>
      </c>
      <c r="CG115" s="149" t="inlineStr">
        <is>
          <t>Confirm on formal OEM quote. EDU or enterprise packages may differ.</t>
        </is>
      </c>
      <c r="CH115" s="145" t="inlineStr">
        <is>
          <t>10%</t>
        </is>
      </c>
      <c r="CI115" s="145" t="inlineStr">
        <is>
          <t>17%</t>
        </is>
      </c>
      <c r="CJ115" s="145" t="inlineStr">
        <is>
          <t>24%</t>
        </is>
      </c>
      <c r="CK115" s="149" t="inlineStr">
        <is>
          <t>+1yr ≈10% | +2yr ≈17% | +3yr ≈24% of selected configuration price (parts &amp; labor beyond manufacturer standard).</t>
        </is>
      </c>
      <c r="CL11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15" s="145" t="inlineStr">
        <is>
          <t>12 months manufacturer standard (typical research/commercial humanoid)</t>
        </is>
      </c>
      <c r="CQ115" s="101" t="inlineStr">
        <is>
          <t>Height: 5 ft 5 in | Weight: 99.2 | Degrees of Freedom: 52 | Payload: 55.1 | Max Speed: 2.49 | Battery / Runtime: ≈ 2 hours</t>
        </is>
      </c>
    </row>
    <row r="116" ht="31.5" customHeight="1" s="102">
      <c r="A116" s="159" t="inlineStr">
        <is>
          <t>limx_dynamics_tron_1_tron_2_oli</t>
        </is>
      </c>
      <c r="B116" s="144" t="inlineStr">
        <is>
          <t>Both</t>
        </is>
      </c>
      <c r="C116" s="152" t="inlineStr">
        <is>
          <t>LimX Dynamics</t>
        </is>
      </c>
      <c r="D116" s="152" t="inlineStr">
        <is>
          <t>Oli</t>
        </is>
      </c>
      <c r="E116" s="152" t="inlineStr">
        <is>
          <t>[LimX] Oli (2025)</t>
        </is>
      </c>
      <c r="F116" s="146" t="inlineStr">
        <is>
          <t>humanoid</t>
        </is>
      </c>
      <c r="G116" s="152" t="inlineStr">
        <is>
          <t>China</t>
        </is>
      </c>
      <c r="H116" s="154" t="n">
        <v>2025</v>
      </c>
      <c r="I116" s="155" t="n">
        <v>21800</v>
      </c>
      <c r="J116" s="152" t="inlineStr">
        <is>
          <t>Robot Price Index Aug 2026</t>
        </is>
      </c>
      <c r="K116" s="156" t="inlineStr">
        <is>
          <t>Full-size (165 cm) humanoid for embodied-AI R&amp;D with a 31-DoF body, dual depth cameras, Python-friendly SDK and simulator support — scalable to higher-DoF, dexterous configurations.</t>
        </is>
      </c>
      <c r="L116" s="101" t="inlineStr">
        <is>
          <t>Full-size (165 cm) humanoid for embodied-AI R&amp;D with a 31-DoF body, dual depth cameras, Python-friendly SDK and simulator support — scalable to higher-DoF, dexterous configurations.</t>
        </is>
      </c>
      <c r="M116" s="101" t="inlineStr">
        <is>
          <t>Oli is LimX Dynamics's humanoid, introduced around 2025 in China. Full-size (165 cm) humanoid for embodied-AI R&amp;D with a 31-DoF body, dual depth cameras, Python-friendly SDK and simulator support — scalable to higher-DoF, dexterous configurations. Public status is listed as orderable, and it is positioned for research.</t>
        </is>
      </c>
      <c r="N116" s="157" t="inlineStr">
        <is>
          <t>https://humanoid.guide/product/limx-oli/</t>
        </is>
      </c>
      <c r="O116" s="157" t="inlineStr">
        <is>
          <t>https://www.limxdynamics.com</t>
        </is>
      </c>
      <c r="P116" s="152" t="inlineStr">
        <is>
          <t>2 ft 9 in – 5 ft 5 in</t>
        </is>
      </c>
      <c r="Q116" s="152" t="n">
        <v>165</v>
      </c>
      <c r="R116" s="152" t="n">
        <v>121.3</v>
      </c>
      <c r="S116" s="152" t="n">
        <v>55</v>
      </c>
      <c r="T116" s="156" t="inlineStr">
        <is>
          <t>Not disclosed</t>
        </is>
      </c>
      <c r="U116" s="152" t="n"/>
      <c r="V116" s="152" t="inlineStr">
        <is>
          <t>26–31</t>
        </is>
      </c>
      <c r="W116" s="156" t="inlineStr">
        <is>
          <t>10</t>
        </is>
      </c>
      <c r="X116" s="152" t="n">
        <v>6.6</v>
      </c>
      <c r="Y116" s="152" t="n">
        <v>3</v>
      </c>
      <c r="Z116" s="152" t="n">
        <v>3.11</v>
      </c>
      <c r="AA116" s="152" t="n">
        <v>5</v>
      </c>
      <c r="AB116" s="152" t="n">
        <v>3</v>
      </c>
      <c r="AC116" s="156" t="inlineStr">
        <is>
          <t>≈ 1.5 hours</t>
        </is>
      </c>
      <c r="AD116" s="156" t="inlineStr">
        <is>
          <t>1.5</t>
        </is>
      </c>
      <c r="AE116" s="152" t="n"/>
      <c r="AF116" s="152" t="inlineStr">
        <is>
          <t>Not disclosed</t>
        </is>
      </c>
      <c r="AG116" s="156" t="inlineStr">
        <is>
          <t>10</t>
        </is>
      </c>
      <c r="AH116" s="152" t="inlineStr">
        <is>
          <t>10</t>
        </is>
      </c>
      <c r="AI116" s="151" t="n">
        <v>3</v>
      </c>
      <c r="AJ116" s="156" t="inlineStr">
        <is>
          <t>Research vision packages by model</t>
        </is>
      </c>
      <c r="AK116" s="156" t="inlineStr">
        <is>
          <t>Intel® RealSense™ D435i</t>
        </is>
      </c>
      <c r="AL116" s="152" t="inlineStr">
        <is>
          <t>Not disclosed</t>
        </is>
      </c>
      <c r="AM116" s="152" t="n"/>
      <c r="AN116" s="152" t="inlineStr">
        <is>
          <t>Not disclosed</t>
        </is>
      </c>
      <c r="AO116" s="152" t="inlineStr">
        <is>
          <t>Not disclosed</t>
        </is>
      </c>
      <c r="AP116" s="152" t="inlineStr">
        <is>
          <t>Not disclosed</t>
        </is>
      </c>
      <c r="AQ116" s="152" t="inlineStr">
        <is>
          <t>Not disclosed</t>
        </is>
      </c>
      <c r="AR116" s="152" t="n"/>
      <c r="AS116" s="152" t="n"/>
      <c r="AT116" s="156" t="inlineStr">
        <is>
          <t>RK3588/8G/64G</t>
        </is>
      </c>
      <c r="AU116" s="156" t="inlineStr">
        <is>
          <t>WiFi 6/USB3.0&amp;3.2/Gigabit Ethernet (RJ45）/Type-C</t>
        </is>
      </c>
      <c r="AV116" s="152" t="inlineStr">
        <is>
          <t>LimX research SDK</t>
        </is>
      </c>
      <c r="AW116" s="156" t="inlineStr">
        <is>
          <t>Bipedal research platforms across size range</t>
        </is>
      </c>
      <c r="AX116" s="151" t="n">
        <v>3</v>
      </c>
      <c r="AY116" s="156" t="inlineStr">
        <is>
          <t>Linux</t>
        </is>
      </c>
      <c r="AZ116" s="156" t="inlineStr">
        <is>
          <t>Yes</t>
        </is>
      </c>
      <c r="BA116" s="156" t="inlineStr">
        <is>
          <t>1–10 ms</t>
        </is>
      </c>
      <c r="BB116" s="156" t="inlineStr">
        <is>
          <t>Not disclosed</t>
        </is>
      </c>
      <c r="BC116" s="156" t="inlineStr">
        <is>
          <t>Not disclosed</t>
        </is>
      </c>
      <c r="BD116" s="152" t="inlineStr">
        <is>
          <t>Not disclosed</t>
        </is>
      </c>
      <c r="BE116" s="152" t="inlineStr">
        <is>
          <t>Yes</t>
        </is>
      </c>
      <c r="BF116" s="152" t="inlineStr">
        <is>
          <t>Yes</t>
        </is>
      </c>
      <c r="BG116" s="152" t="n"/>
      <c r="BH116" s="152" t="n"/>
      <c r="BI116" s="152" t="n"/>
      <c r="BJ116" s="152" t="n"/>
      <c r="BK116" s="152" t="n"/>
      <c r="BL116" s="152" t="n"/>
      <c r="BM116" s="152" t="inlineStr">
        <is>
          <t>Yes</t>
        </is>
      </c>
      <c r="BN116" s="152" t="inlineStr">
        <is>
          <t>Not disclosed</t>
        </is>
      </c>
      <c r="BO116" s="156" t="inlineStr">
        <is>
          <t>Market: Research · Manipulation 3/4 · Navigation 3/4 · Human-safe: Yes · AI: Yes · Actuation: Not specified · Peak 5 km/h · Walk 3 km/h · Runtime 1.5</t>
        </is>
      </c>
      <c r="BP116" s="152" t="n"/>
      <c r="BQ116" s="156" t="inlineStr">
        <is>
          <t>Research</t>
        </is>
      </c>
      <c r="BR116" s="156" t="inlineStr">
        <is>
          <t>Orderable</t>
        </is>
      </c>
      <c r="BS116" s="156" t="inlineStr">
        <is>
          <t>In production</t>
        </is>
      </c>
      <c r="BT116" s="152" t="n"/>
      <c r="BU116" s="152" t="inlineStr">
        <is>
          <t>Not verified</t>
        </is>
      </c>
      <c r="BV116" s="156" t="inlineStr">
        <is>
          <t>Multiple form factors Humanoid.guide listed price $60,000.</t>
        </is>
      </c>
      <c r="BW116" s="156" t="inlineStr">
        <is>
          <t>Origin &amp; status — China · Orderable · 2025 | Manipulation — 10 · 10 fingers · Hand DOF 10 · Payload 6.6 lb (3 kg) | Sensing &amp; software — Research vision packages by model · Yes · Linux · LimX research SDK | Buying notes — From $21,800 · 12 months manufacturer standard (typical research/commercial humanoid) · Best fit: Research</t>
        </is>
      </c>
      <c r="BX116" s="156" t="inlineStr">
        <is>
          <t>as_shipped|Oli|21800|As shipped</t>
        </is>
      </c>
      <c r="BY116" s="152" t="inlineStr">
        <is>
          <t>oli|Manufacturer finish|#e2e8f0|0</t>
        </is>
      </c>
      <c r="BZ116" s="152" t="inlineStr"/>
      <c r="CA116" s="156" t="inlineStr">
        <is>
          <t>Add-ons: case; 2 color options; Multi-year extended warranty available</t>
        </is>
      </c>
      <c r="CB116" s="156" t="inlineStr">
        <is>
          <t>12 months manufacturer standard (typical research/commercial humanoid)</t>
        </is>
      </c>
      <c r="CC116" s="154" t="n">
        <v>12</v>
      </c>
      <c r="CD116" s="156" t="inlineStr">
        <is>
          <t>+3 Year Extended ≈24% of configuration (default in configurator)</t>
        </is>
      </c>
      <c r="CE116" s="152" t="inlineStr">
        <is>
          <t>Humanoid category norm 2025–2026</t>
        </is>
      </c>
      <c r="CF116" s="152" t="inlineStr">
        <is>
          <t>Estimated</t>
        </is>
      </c>
      <c r="CG116" s="156" t="inlineStr">
        <is>
          <t>EDU or enterprise packages may differ; confirm on formal quote.</t>
        </is>
      </c>
      <c r="CH116" s="152" t="inlineStr">
        <is>
          <t>10%</t>
        </is>
      </c>
      <c r="CI116" s="152" t="inlineStr">
        <is>
          <t>17%</t>
        </is>
      </c>
      <c r="CJ116" s="152" t="inlineStr">
        <is>
          <t>24%</t>
        </is>
      </c>
      <c r="CK116"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116"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16" s="152" t="inlineStr">
        <is>
          <t>12 months manufacturer standard (typical research/commercial humanoid)</t>
        </is>
      </c>
      <c r="CQ116" s="101" t="inlineStr">
        <is>
          <t>Height: 2 ft 9 in – 5 ft 5 in | Weight: 121.3 | Degrees of Freedom: 26–31 | Payload: 6.6 | Max Speed: 3.11 | Battery / Runtime: ≈ 1.5 hours</t>
        </is>
      </c>
    </row>
    <row r="117" ht="31.5" customHeight="1" s="102">
      <c r="A117" s="159" t="inlineStr">
        <is>
          <t>limx_dynamics_tron_1_tron_2_oli_tron_1</t>
        </is>
      </c>
      <c r="B117" s="144" t="inlineStr">
        <is>
          <t>Both</t>
        </is>
      </c>
      <c r="C117" s="152" t="inlineStr">
        <is>
          <t>LimX Dynamics</t>
        </is>
      </c>
      <c r="D117" s="152" t="inlineStr">
        <is>
          <t>TRON 1</t>
        </is>
      </c>
      <c r="E117" s="152" t="inlineStr">
        <is>
          <t>[LimX] TRON 1 (2025)</t>
        </is>
      </c>
      <c r="F117" s="146" t="inlineStr">
        <is>
          <t>humanoid</t>
        </is>
      </c>
      <c r="G117" s="152" t="inlineStr">
        <is>
          <t>China</t>
        </is>
      </c>
      <c r="H117" s="154" t="n">
        <v>2025</v>
      </c>
      <c r="I117" s="155" t="n">
        <v>15000</v>
      </c>
      <c r="J117" s="152" t="inlineStr">
        <is>
          <t>Robot Price Index Aug 2026 · entry</t>
        </is>
      </c>
      <c r="K117" s="156" t="inlineStr">
        <is>
          <t>Full-size (165 cm) humanoid for embodied-AI R&amp;D with a 31-DoF body, dual depth cameras, Python-friendly SDK and simulator support — scalable to higher-DoF, dexterous configurations.</t>
        </is>
      </c>
      <c r="L117" s="101" t="inlineStr">
        <is>
          <t>Full-size (165 cm) humanoid for embodied-AI R&amp;D with a 31-DoF body, dual depth cameras, Python-friendly SDK and simulator support — scalable to higher-DoF, dexterous configurations.</t>
        </is>
      </c>
      <c r="M117" s="101" t="inlineStr">
        <is>
          <t>TRON 1 is LimX Dynamics's humanoid, introduced around 2025 in China. Full-size (165 cm) humanoid for embodied-AI R&amp;D with a 31-DoF body, dual depth cameras, Python-friendly SDK and simulator support — scalable to higher-DoF, dexterous configurations. Public status is listed as orderable, and it is positioned for research.</t>
        </is>
      </c>
      <c r="N117" s="157" t="inlineStr">
        <is>
          <t>https://humanoid.guide/product/limx-oli/</t>
        </is>
      </c>
      <c r="O117" s="157" t="inlineStr">
        <is>
          <t>https://www.limxdynamics.com</t>
        </is>
      </c>
      <c r="P117" s="152" t="inlineStr">
        <is>
          <t>2 ft 9 in – 5 ft 5 in</t>
        </is>
      </c>
      <c r="Q117" s="152" t="n">
        <v>165</v>
      </c>
      <c r="R117" s="152" t="n">
        <v>121.3</v>
      </c>
      <c r="S117" s="152" t="n">
        <v>55</v>
      </c>
      <c r="T117" s="156" t="inlineStr">
        <is>
          <t>Not disclosed</t>
        </is>
      </c>
      <c r="U117" s="152" t="n"/>
      <c r="V117" s="152" t="inlineStr">
        <is>
          <t>26–31</t>
        </is>
      </c>
      <c r="W117" s="156" t="inlineStr">
        <is>
          <t>10</t>
        </is>
      </c>
      <c r="X117" s="152" t="n">
        <v>6.6</v>
      </c>
      <c r="Y117" s="152" t="n">
        <v>3</v>
      </c>
      <c r="Z117" s="152" t="n">
        <v>3.11</v>
      </c>
      <c r="AA117" s="152" t="n">
        <v>5</v>
      </c>
      <c r="AB117" s="152" t="n">
        <v>3</v>
      </c>
      <c r="AC117" s="156" t="inlineStr">
        <is>
          <t>≈ 1.5 hours</t>
        </is>
      </c>
      <c r="AD117" s="156" t="inlineStr">
        <is>
          <t>1.5</t>
        </is>
      </c>
      <c r="AE117" s="152" t="n"/>
      <c r="AF117" s="152" t="inlineStr">
        <is>
          <t>Not disclosed</t>
        </is>
      </c>
      <c r="AG117" s="156" t="inlineStr">
        <is>
          <t>10</t>
        </is>
      </c>
      <c r="AH117" s="152" t="inlineStr">
        <is>
          <t>10</t>
        </is>
      </c>
      <c r="AI117" s="151" t="n">
        <v>3</v>
      </c>
      <c r="AJ117" s="156" t="inlineStr">
        <is>
          <t>Research vision packages by model</t>
        </is>
      </c>
      <c r="AK117" s="156" t="inlineStr">
        <is>
          <t>Intel® RealSense™ D435i</t>
        </is>
      </c>
      <c r="AL117" s="152" t="inlineStr">
        <is>
          <t>Not disclosed</t>
        </is>
      </c>
      <c r="AM117" s="152" t="n"/>
      <c r="AN117" s="152" t="inlineStr">
        <is>
          <t>Not disclosed</t>
        </is>
      </c>
      <c r="AO117" s="152" t="inlineStr">
        <is>
          <t>Not disclosed</t>
        </is>
      </c>
      <c r="AP117" s="152" t="inlineStr">
        <is>
          <t>Not disclosed</t>
        </is>
      </c>
      <c r="AQ117" s="152" t="inlineStr">
        <is>
          <t>Not disclosed</t>
        </is>
      </c>
      <c r="AR117" s="152" t="n"/>
      <c r="AS117" s="152" t="n"/>
      <c r="AT117" s="156" t="inlineStr">
        <is>
          <t>RK3588/8G/64G</t>
        </is>
      </c>
      <c r="AU117" s="156" t="inlineStr">
        <is>
          <t>WiFi 6/USB3.0&amp;3.2/Gigabit Ethernet (RJ45）/Type-C</t>
        </is>
      </c>
      <c r="AV117" s="152" t="inlineStr">
        <is>
          <t>LimX research SDK</t>
        </is>
      </c>
      <c r="AW117" s="156" t="inlineStr">
        <is>
          <t>Bipedal research platforms across size range</t>
        </is>
      </c>
      <c r="AX117" s="151" t="n">
        <v>3</v>
      </c>
      <c r="AY117" s="156" t="inlineStr">
        <is>
          <t>Linux</t>
        </is>
      </c>
      <c r="AZ117" s="156" t="inlineStr">
        <is>
          <t>Yes</t>
        </is>
      </c>
      <c r="BA117" s="156" t="inlineStr">
        <is>
          <t>1–10 ms</t>
        </is>
      </c>
      <c r="BB117" s="156" t="inlineStr">
        <is>
          <t>Not disclosed</t>
        </is>
      </c>
      <c r="BC117" s="156" t="inlineStr">
        <is>
          <t>Not disclosed</t>
        </is>
      </c>
      <c r="BD117" s="152" t="inlineStr">
        <is>
          <t>Not disclosed</t>
        </is>
      </c>
      <c r="BE117" s="152" t="inlineStr">
        <is>
          <t>Yes</t>
        </is>
      </c>
      <c r="BF117" s="152" t="inlineStr">
        <is>
          <t>Yes</t>
        </is>
      </c>
      <c r="BG117" s="152" t="n"/>
      <c r="BH117" s="152" t="n"/>
      <c r="BI117" s="152" t="n"/>
      <c r="BJ117" s="152" t="n"/>
      <c r="BK117" s="152" t="n"/>
      <c r="BL117" s="152" t="n"/>
      <c r="BM117" s="152" t="inlineStr">
        <is>
          <t>Yes</t>
        </is>
      </c>
      <c r="BN117" s="152" t="inlineStr">
        <is>
          <t>Not disclosed</t>
        </is>
      </c>
      <c r="BO117" s="156" t="inlineStr">
        <is>
          <t>Market: Research · Manipulation 3/4 · Navigation 3/4 · Human-safe: Yes · AI: Yes · Actuation: Not specified · Peak 5 km/h · Walk 3 km/h · Runtime 1.5</t>
        </is>
      </c>
      <c r="BP117" s="152" t="n"/>
      <c r="BQ117" s="156" t="inlineStr">
        <is>
          <t>Research</t>
        </is>
      </c>
      <c r="BR117" s="156" t="inlineStr">
        <is>
          <t>Orderable</t>
        </is>
      </c>
      <c r="BS117" s="156" t="inlineStr">
        <is>
          <t>In production</t>
        </is>
      </c>
      <c r="BT117" s="152" t="n"/>
      <c r="BU117" s="152" t="inlineStr">
        <is>
          <t>Not verified</t>
        </is>
      </c>
      <c r="BV117" s="156" t="inlineStr">
        <is>
          <t>Multiple form factors Humanoid.guide listed price $60,000.</t>
        </is>
      </c>
      <c r="BW117" s="156" t="inlineStr">
        <is>
          <t>Origin &amp; status — China · Orderable · 2025 | Manipulation — 10 · 10 fingers · Hand DOF 10 · Payload 6.6 lb (3 kg) | Sensing &amp; software — Research vision packages by model · Yes · Linux · LimX research SDK | Buying notes — From $15,000 · 12 months manufacturer standard (typical research/commercial humanoid) · Best fit: Research</t>
        </is>
      </c>
      <c r="BX117" s="156" t="inlineStr">
        <is>
          <t>as_shipped|TRON 1|15000|As shipped</t>
        </is>
      </c>
      <c r="BY117" s="152" t="inlineStr">
        <is>
          <t>tron_1|Manufacturer finish|#e2e8f0|0</t>
        </is>
      </c>
      <c r="BZ117" s="152" t="inlineStr"/>
      <c r="CA117" s="156" t="inlineStr">
        <is>
          <t>Add-ons: case; 2 color options; Multi-year extended warranty available</t>
        </is>
      </c>
      <c r="CB117" s="156" t="inlineStr">
        <is>
          <t>12 months manufacturer standard (typical research/commercial humanoid)</t>
        </is>
      </c>
      <c r="CC117" s="154" t="n">
        <v>12</v>
      </c>
      <c r="CD117" s="156" t="inlineStr">
        <is>
          <t>+3 Year Extended ≈24% of configuration (default in configurator)</t>
        </is>
      </c>
      <c r="CE117" s="152" t="inlineStr">
        <is>
          <t>Humanoid category norm 2025–2026</t>
        </is>
      </c>
      <c r="CF117" s="152" t="inlineStr">
        <is>
          <t>Estimated</t>
        </is>
      </c>
      <c r="CG117" s="156" t="inlineStr">
        <is>
          <t>EDU or enterprise packages may differ; confirm on formal quote.</t>
        </is>
      </c>
      <c r="CH117" s="152" t="inlineStr">
        <is>
          <t>10%</t>
        </is>
      </c>
      <c r="CI117" s="152" t="inlineStr">
        <is>
          <t>17%</t>
        </is>
      </c>
      <c r="CJ117" s="152" t="inlineStr">
        <is>
          <t>24%</t>
        </is>
      </c>
      <c r="CK117"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117"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17" s="152" t="inlineStr">
        <is>
          <t>12 months manufacturer standard (typical research/commercial humanoid)</t>
        </is>
      </c>
      <c r="CQ117" s="101" t="inlineStr">
        <is>
          <t>Height: 2 ft 9 in – 5 ft 5 in | Weight: 121.3 | Degrees of Freedom: 26–31 | Payload: 6.6 | Max Speed: 3.11 | Battery / Runtime: ≈ 1.5 hours</t>
        </is>
      </c>
    </row>
    <row r="118" ht="31.5" customHeight="1" s="102">
      <c r="A118" s="159" t="inlineStr">
        <is>
          <t>limx_dynamics_tron_1_tron_2_oli_tron_2</t>
        </is>
      </c>
      <c r="B118" s="144" t="inlineStr">
        <is>
          <t>Both</t>
        </is>
      </c>
      <c r="C118" s="152" t="inlineStr">
        <is>
          <t>LimX Dynamics</t>
        </is>
      </c>
      <c r="D118" s="152" t="inlineStr">
        <is>
          <t>TRON 2</t>
        </is>
      </c>
      <c r="E118" s="152" t="inlineStr">
        <is>
          <t>[LimX] TRON 2 (2025)</t>
        </is>
      </c>
      <c r="F118" s="146" t="inlineStr">
        <is>
          <t>humanoid</t>
        </is>
      </c>
      <c r="G118" s="152" t="inlineStr">
        <is>
          <t>China</t>
        </is>
      </c>
      <c r="H118" s="154" t="n">
        <v>2025</v>
      </c>
      <c r="I118" s="155" t="n">
        <v>20000</v>
      </c>
      <c r="J118" s="152" t="inlineStr">
        <is>
          <t>Robot Price Index Aug 2026 · entry</t>
        </is>
      </c>
      <c r="K118" s="156" t="inlineStr">
        <is>
          <t>Full-size (165 cm) humanoid for embodied-AI R&amp;D with a 31-DoF body, dual depth cameras, Python-friendly SDK and simulator support — scalable to higher-DoF, dexterous configurations.</t>
        </is>
      </c>
      <c r="L118" s="101" t="inlineStr">
        <is>
          <t>Full-size (165 cm) humanoid for embodied-AI R&amp;D with a 31-DoF body, dual depth cameras, Python-friendly SDK and simulator support — scalable to higher-DoF, dexterous configurations.</t>
        </is>
      </c>
      <c r="M118" s="101" t="inlineStr">
        <is>
          <t>TRON 2 is LimX Dynamics's humanoid, introduced around 2025 in China. Full-size (165 cm) humanoid for embodied-AI R&amp;D with a 31-DoF body, dual depth cameras, Python-friendly SDK and simulator support — scalable to higher-DoF, dexterous configurations. Public status is listed as orderable, and it is positioned for research.</t>
        </is>
      </c>
      <c r="N118" s="157" t="inlineStr">
        <is>
          <t>https://humanoid.guide/product/limx-oli/</t>
        </is>
      </c>
      <c r="O118" s="157" t="inlineStr">
        <is>
          <t>https://www.limxdynamics.com</t>
        </is>
      </c>
      <c r="P118" s="152" t="inlineStr">
        <is>
          <t>2 ft 9 in – 5 ft 5 in</t>
        </is>
      </c>
      <c r="Q118" s="152" t="n">
        <v>165</v>
      </c>
      <c r="R118" s="152" t="n">
        <v>121.3</v>
      </c>
      <c r="S118" s="152" t="n">
        <v>55</v>
      </c>
      <c r="T118" s="156" t="inlineStr">
        <is>
          <t>Not disclosed</t>
        </is>
      </c>
      <c r="U118" s="152" t="n"/>
      <c r="V118" s="152" t="inlineStr">
        <is>
          <t>26–31</t>
        </is>
      </c>
      <c r="W118" s="156" t="inlineStr">
        <is>
          <t>10</t>
        </is>
      </c>
      <c r="X118" s="152" t="n">
        <v>6.6</v>
      </c>
      <c r="Y118" s="152" t="n">
        <v>3</v>
      </c>
      <c r="Z118" s="152" t="n">
        <v>3.11</v>
      </c>
      <c r="AA118" s="152" t="n">
        <v>5</v>
      </c>
      <c r="AB118" s="152" t="n">
        <v>3</v>
      </c>
      <c r="AC118" s="156" t="inlineStr">
        <is>
          <t>≈ 1.5 hours</t>
        </is>
      </c>
      <c r="AD118" s="156" t="inlineStr">
        <is>
          <t>1.5</t>
        </is>
      </c>
      <c r="AE118" s="152" t="n"/>
      <c r="AF118" s="152" t="inlineStr">
        <is>
          <t>Not disclosed</t>
        </is>
      </c>
      <c r="AG118" s="156" t="inlineStr">
        <is>
          <t>10</t>
        </is>
      </c>
      <c r="AH118" s="152" t="inlineStr">
        <is>
          <t>10</t>
        </is>
      </c>
      <c r="AI118" s="151" t="n">
        <v>3</v>
      </c>
      <c r="AJ118" s="156" t="inlineStr">
        <is>
          <t>Research vision packages by model</t>
        </is>
      </c>
      <c r="AK118" s="156" t="inlineStr">
        <is>
          <t>Intel® RealSense™ D435i</t>
        </is>
      </c>
      <c r="AL118" s="152" t="inlineStr">
        <is>
          <t>Not disclosed</t>
        </is>
      </c>
      <c r="AM118" s="152" t="n"/>
      <c r="AN118" s="152" t="inlineStr">
        <is>
          <t>Not disclosed</t>
        </is>
      </c>
      <c r="AO118" s="152" t="inlineStr">
        <is>
          <t>Not disclosed</t>
        </is>
      </c>
      <c r="AP118" s="152" t="inlineStr">
        <is>
          <t>Not disclosed</t>
        </is>
      </c>
      <c r="AQ118" s="152" t="inlineStr">
        <is>
          <t>Not disclosed</t>
        </is>
      </c>
      <c r="AR118" s="152" t="n"/>
      <c r="AS118" s="152" t="n"/>
      <c r="AT118" s="156" t="inlineStr">
        <is>
          <t>RK3588/8G/64G</t>
        </is>
      </c>
      <c r="AU118" s="156" t="inlineStr">
        <is>
          <t>WiFi 6/USB3.0&amp;3.2/Gigabit Ethernet (RJ45）/Type-C</t>
        </is>
      </c>
      <c r="AV118" s="152" t="inlineStr">
        <is>
          <t>LimX research SDK</t>
        </is>
      </c>
      <c r="AW118" s="156" t="inlineStr">
        <is>
          <t>Bipedal research platforms across size range</t>
        </is>
      </c>
      <c r="AX118" s="151" t="n">
        <v>3</v>
      </c>
      <c r="AY118" s="156" t="inlineStr">
        <is>
          <t>Linux</t>
        </is>
      </c>
      <c r="AZ118" s="156" t="inlineStr">
        <is>
          <t>Yes</t>
        </is>
      </c>
      <c r="BA118" s="156" t="inlineStr">
        <is>
          <t>1–10 ms</t>
        </is>
      </c>
      <c r="BB118" s="156" t="inlineStr">
        <is>
          <t>Not disclosed</t>
        </is>
      </c>
      <c r="BC118" s="156" t="inlineStr">
        <is>
          <t>Not disclosed</t>
        </is>
      </c>
      <c r="BD118" s="152" t="inlineStr">
        <is>
          <t>Not disclosed</t>
        </is>
      </c>
      <c r="BE118" s="152" t="inlineStr">
        <is>
          <t>Yes</t>
        </is>
      </c>
      <c r="BF118" s="152" t="inlineStr">
        <is>
          <t>Yes</t>
        </is>
      </c>
      <c r="BG118" s="152" t="n"/>
      <c r="BH118" s="152" t="n"/>
      <c r="BI118" s="152" t="n"/>
      <c r="BJ118" s="152" t="n"/>
      <c r="BK118" s="152" t="n"/>
      <c r="BL118" s="152" t="n"/>
      <c r="BM118" s="152" t="inlineStr">
        <is>
          <t>Yes</t>
        </is>
      </c>
      <c r="BN118" s="152" t="inlineStr">
        <is>
          <t>Not disclosed</t>
        </is>
      </c>
      <c r="BO118" s="156" t="inlineStr">
        <is>
          <t>Market: Research · Manipulation 3/4 · Navigation 3/4 · Human-safe: Yes · AI: Yes · Actuation: Not specified · Peak 5 km/h · Walk 3 km/h · Runtime 1.5</t>
        </is>
      </c>
      <c r="BP118" s="152" t="n"/>
      <c r="BQ118" s="156" t="inlineStr">
        <is>
          <t>Research</t>
        </is>
      </c>
      <c r="BR118" s="156" t="inlineStr">
        <is>
          <t>Orderable</t>
        </is>
      </c>
      <c r="BS118" s="156" t="inlineStr">
        <is>
          <t>In production</t>
        </is>
      </c>
      <c r="BT118" s="152" t="n"/>
      <c r="BU118" s="152" t="inlineStr">
        <is>
          <t>Not verified</t>
        </is>
      </c>
      <c r="BV118" s="156" t="inlineStr">
        <is>
          <t>Multiple form factors Humanoid.guide listed price $60,000.</t>
        </is>
      </c>
      <c r="BW118" s="156" t="inlineStr">
        <is>
          <t>Origin &amp; status — China · Orderable · 2025 | Manipulation — 10 · 10 fingers · Hand DOF 10 · Payload 6.6 lb (3 kg) | Sensing &amp; software — Research vision packages by model · Yes · Linux · LimX research SDK | Buying notes — From $20,000 · 12 months manufacturer standard (typical research/commercial humanoid) · Best fit: Research</t>
        </is>
      </c>
      <c r="BX118" s="156" t="inlineStr">
        <is>
          <t>as_shipped|TRON 2|20000|As shipped</t>
        </is>
      </c>
      <c r="BY118" s="152" t="inlineStr">
        <is>
          <t>tron_2|Manufacturer finish|#e2e8f0|0</t>
        </is>
      </c>
      <c r="BZ118" s="152" t="inlineStr"/>
      <c r="CA118" s="156" t="inlineStr">
        <is>
          <t>Add-ons: case; 2 color options; Multi-year extended warranty available</t>
        </is>
      </c>
      <c r="CB118" s="156" t="inlineStr">
        <is>
          <t>12 months manufacturer standard (typical research/commercial humanoid)</t>
        </is>
      </c>
      <c r="CC118" s="154" t="n">
        <v>12</v>
      </c>
      <c r="CD118" s="156" t="inlineStr">
        <is>
          <t>+3 Year Extended ≈24% of configuration (default in configurator)</t>
        </is>
      </c>
      <c r="CE118" s="152" t="inlineStr">
        <is>
          <t>Humanoid category norm 2025–2026</t>
        </is>
      </c>
      <c r="CF118" s="152" t="inlineStr">
        <is>
          <t>Estimated</t>
        </is>
      </c>
      <c r="CG118" s="156" t="inlineStr">
        <is>
          <t>EDU or enterprise packages may differ; confirm on formal quote.</t>
        </is>
      </c>
      <c r="CH118" s="152" t="inlineStr">
        <is>
          <t>10%</t>
        </is>
      </c>
      <c r="CI118" s="152" t="inlineStr">
        <is>
          <t>17%</t>
        </is>
      </c>
      <c r="CJ118" s="152" t="inlineStr">
        <is>
          <t>24%</t>
        </is>
      </c>
      <c r="CK118"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118"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18" s="152" t="inlineStr">
        <is>
          <t>12 months manufacturer standard (typical research/commercial humanoid)</t>
        </is>
      </c>
      <c r="CQ118" s="101" t="inlineStr">
        <is>
          <t>Height: 2 ft 9 in – 5 ft 5 in | Weight: 121.3 | Degrees of Freedom: 26–31 | Payload: 6.6 | Max Speed: 3.11 | Battery / Runtime: ≈ 1.5 hours</t>
        </is>
      </c>
    </row>
    <row r="119" ht="31.5" customHeight="1" s="102">
      <c r="A119" s="145" t="inlineStr">
        <is>
          <t>lumos_robotics_nix</t>
        </is>
      </c>
      <c r="B119" s="153" t="inlineStr">
        <is>
          <t>Humanoid.guide</t>
        </is>
      </c>
      <c r="C119" s="145" t="inlineStr">
        <is>
          <t>Lumos Robotics</t>
        </is>
      </c>
      <c r="D119" s="145" t="inlineStr">
        <is>
          <t>NIX</t>
        </is>
      </c>
      <c r="E119" s="145" t="inlineStr">
        <is>
          <t>[Lumos Robotics] NIX (2026)</t>
        </is>
      </c>
      <c r="F119" s="146" t="inlineStr">
        <is>
          <t>humanoid</t>
        </is>
      </c>
      <c r="G119" s="145" t="inlineStr">
        <is>
          <t>China</t>
        </is>
      </c>
      <c r="H119" s="145" t="n"/>
      <c r="I119" s="148" t="n">
        <v>12000</v>
      </c>
      <c r="J119" s="145" t="inlineStr">
        <is>
          <t>Humanoid.guide list</t>
        </is>
      </c>
      <c r="K119" s="149" t="inlineStr">
        <is>
          <t>The robot NIX by Lumos Robotics is a compact, child-sized humanoid built for entertainment, home support, and light-duty service tasks.</t>
        </is>
      </c>
      <c r="L119" s="101" t="inlineStr">
        <is>
          <t>The robot NIX by Lumos Robotics is a compact, child-sized humanoid built for entertainment, home support, and light-duty service tasks.</t>
        </is>
      </c>
      <c r="M119" s="101" t="inlineStr">
        <is>
          <t>NIX is Lumos Robotics's humanoid, introduced around 2026 in China. The robot NIX by Lumos Robotics is a compact, child-sized humanoid built for entertainment, home support, and light-duty service tasks. Public status is listed as prototype, and it is positioned for entertainment; Home service; Workplace assistance, light logistics, education.</t>
        </is>
      </c>
      <c r="N119" s="150" t="inlineStr">
        <is>
          <t>https://humanoid.guide/product/nix/</t>
        </is>
      </c>
      <c r="O119" s="150" t="inlineStr">
        <is>
          <t>https://lumosbot.tech</t>
        </is>
      </c>
      <c r="P119" s="145" t="inlineStr">
        <is>
          <t>2 ft 7 in</t>
        </is>
      </c>
      <c r="Q119" s="145" t="n">
        <v>80</v>
      </c>
      <c r="R119" s="145" t="n">
        <v>44.1</v>
      </c>
      <c r="S119" s="145" t="n">
        <v>20</v>
      </c>
      <c r="T119" s="149" t="inlineStr">
        <is>
          <t>Not disclosed</t>
        </is>
      </c>
      <c r="U119" s="145" t="n"/>
      <c r="V119" s="145" t="inlineStr">
        <is>
          <t>Not disclosed</t>
        </is>
      </c>
      <c r="W119" s="149" t="inlineStr">
        <is>
          <t>Not disclosed</t>
        </is>
      </c>
      <c r="X119" s="145" t="n">
        <v>2.2</v>
      </c>
      <c r="Y119" s="145" t="n">
        <v>1</v>
      </c>
      <c r="Z119" s="145" t="n">
        <v>1.86</v>
      </c>
      <c r="AA119" s="145" t="n">
        <v>3</v>
      </c>
      <c r="AB119" s="145" t="n">
        <v>2</v>
      </c>
      <c r="AC119" s="149" t="inlineStr">
        <is>
          <t>≈ 1.5 hours</t>
        </is>
      </c>
      <c r="AD119" s="149" t="inlineStr">
        <is>
          <t>1.5</t>
        </is>
      </c>
      <c r="AE119" s="145" t="n"/>
      <c r="AF119" s="145" t="inlineStr">
        <is>
          <t>Not disclosed</t>
        </is>
      </c>
      <c r="AG119" s="149" t="inlineStr">
        <is>
          <t>Not disclosed</t>
        </is>
      </c>
      <c r="AH119" s="145" t="inlineStr">
        <is>
          <t>Not disclosed</t>
        </is>
      </c>
      <c r="AI119" s="158" t="n">
        <v>2</v>
      </c>
      <c r="AJ119" s="149" t="inlineStr">
        <is>
          <t>Not disclosed</t>
        </is>
      </c>
      <c r="AK119" s="149" t="n"/>
      <c r="AL119" s="145" t="inlineStr">
        <is>
          <t>Not disclosed</t>
        </is>
      </c>
      <c r="AM119" s="145" t="n"/>
      <c r="AN119" s="145" t="inlineStr">
        <is>
          <t>Not disclosed</t>
        </is>
      </c>
      <c r="AO119" s="145" t="inlineStr">
        <is>
          <t>Not disclosed</t>
        </is>
      </c>
      <c r="AP119" s="145" t="inlineStr">
        <is>
          <t>Not disclosed</t>
        </is>
      </c>
      <c r="AQ119" s="145" t="inlineStr">
        <is>
          <t>Not disclosed</t>
        </is>
      </c>
      <c r="AR119" s="145" t="n"/>
      <c r="AS119" s="145" t="n"/>
      <c r="AT119" s="149" t="inlineStr">
        <is>
          <t>Not disclosed</t>
        </is>
      </c>
      <c r="AU119" s="149" t="inlineStr">
        <is>
          <t>Bluetooth; Wi‑Fi</t>
        </is>
      </c>
      <c r="AV119" s="145" t="inlineStr">
        <is>
          <t>Not disclosed</t>
        </is>
      </c>
      <c r="AW119" s="149" t="inlineStr">
        <is>
          <t>Not disclosed</t>
        </is>
      </c>
      <c r="AX119" s="158" t="n">
        <v>2</v>
      </c>
      <c r="AY119" s="149" t="inlineStr">
        <is>
          <t>Linux-based ROS environment</t>
        </is>
      </c>
      <c r="AZ119" s="149" t="inlineStr">
        <is>
          <t>Not disclosed</t>
        </is>
      </c>
      <c r="BA119" s="149" t="n"/>
      <c r="BB119" s="149" t="inlineStr">
        <is>
          <t>Presumably uses Lumos’ in-house compact joint modules (brushless motors + planetary reducers), as described for their robot joint line.</t>
        </is>
      </c>
      <c r="BC119" s="149" t="inlineStr">
        <is>
          <t>Planetary-reducer based gear modules for compactness and torque</t>
        </is>
      </c>
      <c r="BD119" s="145" t="inlineStr">
        <is>
          <t>lightweight metals/plastics + joint modules</t>
        </is>
      </c>
      <c r="BE119" s="145" t="inlineStr">
        <is>
          <t>Not disclosed</t>
        </is>
      </c>
      <c r="BF119" s="145" t="n"/>
      <c r="BG119" s="145" t="n"/>
      <c r="BH119" s="145" t="n"/>
      <c r="BI119" s="145" t="n"/>
      <c r="BJ119" s="145" t="n"/>
      <c r="BK119" s="145" t="n"/>
      <c r="BL119" s="145" t="n"/>
      <c r="BM119" s="145" t="inlineStr">
        <is>
          <t>Yes</t>
        </is>
      </c>
      <c r="BN119" s="145" t="inlineStr">
        <is>
          <t>Not disclosed</t>
        </is>
      </c>
      <c r="BO119" s="149" t="inlineStr">
        <is>
          <t>Market: Entertainment; Home service; Workplace assistance, light logistics, education · Manipulation 2/4 · Navigation 2/4 · Human-safe: Yes · AI: Not specified · Actuation: Presumably uses Lumos’ in-house compact joint modules (brushless motors + planetary reducers), as described… · Peak 3 km/h · Walk 2 km/h · Runtime 1.5</t>
        </is>
      </c>
      <c r="BP119" s="145" t="n"/>
      <c r="BQ119" s="149" t="inlineStr">
        <is>
          <t>Entertainment; Home service; Workplace assistance, light logistics, education</t>
        </is>
      </c>
      <c r="BR119" s="149" t="inlineStr">
        <is>
          <t>Prototype</t>
        </is>
      </c>
      <c r="BS119" s="149" t="inlineStr">
        <is>
          <t>Prototype</t>
        </is>
      </c>
      <c r="BT119" s="145" t="inlineStr">
        <is>
          <t>Black</t>
        </is>
      </c>
      <c r="BU119" s="145" t="inlineStr">
        <is>
          <t>Not verified</t>
        </is>
      </c>
      <c r="BV119" s="149" t="n"/>
      <c r="BW119" s="149" t="inlineStr">
        <is>
          <t>Origin &amp; status — China · Prototype · 2026 | Manipulation — Payload 2.2 lb | Sensing &amp; software — Linux-based ROS environment | Buying notes — From $12,000 · 12 months manufacturer standard (typical research/commercial humanoid) · Best fit: Entertainment</t>
        </is>
      </c>
      <c r="BX119" s="149" t="inlineStr">
        <is>
          <t>as_shipped|NIX|12000|As shipped</t>
        </is>
      </c>
      <c r="BY119" s="145" t="inlineStr">
        <is>
          <t>black|Black|#e2e8f0|0</t>
        </is>
      </c>
      <c r="BZ119" s="145" t="inlineStr"/>
      <c r="CA119" s="149" t="n"/>
      <c r="CB119" s="149" t="inlineStr">
        <is>
          <t>12 months manufacturer standard (typical research/commercial humanoid)</t>
        </is>
      </c>
      <c r="CC119" s="147" t="n">
        <v>12</v>
      </c>
      <c r="CD119" s="149" t="inlineStr">
        <is>
          <t>+3 Year Extended ≈24% of configuration (default in configurator)</t>
        </is>
      </c>
      <c r="CE119" s="145" t="inlineStr">
        <is>
          <t>Humanoid category norm 2025–2026</t>
        </is>
      </c>
      <c r="CF119" s="145" t="inlineStr">
        <is>
          <t>Estimated</t>
        </is>
      </c>
      <c r="CG119" s="149" t="inlineStr">
        <is>
          <t>Confirm on formal OEM quote. EDU or enterprise packages may differ.</t>
        </is>
      </c>
      <c r="CH119" s="145" t="inlineStr">
        <is>
          <t>10%</t>
        </is>
      </c>
      <c r="CI119" s="145" t="inlineStr">
        <is>
          <t>17%</t>
        </is>
      </c>
      <c r="CJ119" s="145" t="inlineStr">
        <is>
          <t>24%</t>
        </is>
      </c>
      <c r="CK119" s="149" t="inlineStr">
        <is>
          <t>+1yr ≈10% | +2yr ≈17% | +3yr ≈24% of selected configuration price (parts &amp; labor beyond manufacturer standard).</t>
        </is>
      </c>
      <c r="CL11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19" s="145" t="inlineStr">
        <is>
          <t>12 months manufacturer standard (typical research/commercial humanoid)</t>
        </is>
      </c>
      <c r="CQ119" s="101" t="inlineStr">
        <is>
          <t>Height: 2 ft 7 in | Weight: 44.1 | Degrees of Freedom: Not disclosed | Payload: 2.2 | Max Speed: 1.86 | Battery / Runtime: ≈ 1.5 hours</t>
        </is>
      </c>
    </row>
    <row r="120" ht="31.5" customHeight="1" s="102">
      <c r="A120" s="152" t="n"/>
      <c r="B120" s="153" t="inlineStr">
        <is>
          <t>Humanoid.guide</t>
        </is>
      </c>
      <c r="C120" s="152" t="inlineStr">
        <is>
          <t>MagicLab</t>
        </is>
      </c>
      <c r="D120" s="152" t="inlineStr">
        <is>
          <t>MagicBot</t>
        </is>
      </c>
      <c r="E120" s="152" t="inlineStr">
        <is>
          <t>[MagicLab] MagicBot (2026)</t>
        </is>
      </c>
      <c r="F120" s="146" t="inlineStr">
        <is>
          <t>humanoid</t>
        </is>
      </c>
      <c r="G120" s="152" t="inlineStr">
        <is>
          <t>China</t>
        </is>
      </c>
      <c r="H120" s="152" t="n"/>
      <c r="I120" s="155" t="n">
        <v>50000</v>
      </c>
      <c r="J120" s="152" t="inlineStr">
        <is>
          <t>Humanoid.guide list</t>
        </is>
      </c>
      <c r="K120" s="156" t="inlineStr">
        <is>
          <t>MagicBot is a humanoid robot designed for entertainment and interaction. It is capable of performing various tasks with expressive gestures and movements.</t>
        </is>
      </c>
      <c r="N120" s="157" t="inlineStr">
        <is>
          <t>https://humanoid.guide/product/magicbot/</t>
        </is>
      </c>
      <c r="O120" s="157" t="inlineStr">
        <is>
          <t>https://www.magiclab.top</t>
        </is>
      </c>
      <c r="P120" s="152" t="inlineStr">
        <is>
          <t>4 ft 6 in</t>
        </is>
      </c>
      <c r="Q120" s="152" t="n">
        <v>138</v>
      </c>
      <c r="R120" s="152" t="n">
        <v>119</v>
      </c>
      <c r="S120" s="152" t="n">
        <v>54</v>
      </c>
      <c r="T120" s="156" t="inlineStr">
        <is>
          <t>Not disclosed</t>
        </is>
      </c>
      <c r="U120" s="152" t="n"/>
      <c r="V120" s="152" t="inlineStr">
        <is>
          <t>42</t>
        </is>
      </c>
      <c r="W120" s="156" t="n"/>
      <c r="X120" s="152" t="n">
        <v>44.1</v>
      </c>
      <c r="Y120" s="152" t="n">
        <v>20</v>
      </c>
      <c r="Z120" s="152" t="n">
        <v>3.11</v>
      </c>
      <c r="AA120" s="152" t="n">
        <v>5</v>
      </c>
      <c r="AB120" s="152" t="n"/>
      <c r="AC120" s="156" t="n"/>
      <c r="AD120" s="156" t="n"/>
      <c r="AE120" s="152" t="n"/>
      <c r="AF120" s="152" t="inlineStr">
        <is>
          <t>Not disclosed</t>
        </is>
      </c>
      <c r="AG120" s="156" t="inlineStr">
        <is>
          <t>Not disclosed</t>
        </is>
      </c>
      <c r="AH120" s="152" t="n"/>
      <c r="AI120" s="158" t="n">
        <v>2</v>
      </c>
      <c r="AJ120" s="156" t="inlineStr">
        <is>
          <t>Not disclosed</t>
        </is>
      </c>
      <c r="AK120" s="156" t="n"/>
      <c r="AL120" s="152" t="inlineStr">
        <is>
          <t>Not disclosed</t>
        </is>
      </c>
      <c r="AM120" s="152" t="n"/>
      <c r="AN120" s="152" t="inlineStr">
        <is>
          <t>Not disclosed</t>
        </is>
      </c>
      <c r="AO120" s="152" t="inlineStr">
        <is>
          <t>Not disclosed</t>
        </is>
      </c>
      <c r="AP120" s="152" t="inlineStr">
        <is>
          <t>Not disclosed</t>
        </is>
      </c>
      <c r="AQ120" s="152" t="inlineStr">
        <is>
          <t>Not disclosed</t>
        </is>
      </c>
      <c r="AR120" s="152" t="n"/>
      <c r="AS120" s="152" t="n"/>
      <c r="AT120" s="156" t="inlineStr">
        <is>
          <t>Not disclosed</t>
        </is>
      </c>
      <c r="AU120" s="156" t="inlineStr">
        <is>
          <t>Not disclosed</t>
        </is>
      </c>
      <c r="AV120" s="152" t="inlineStr">
        <is>
          <t>Not disclosed</t>
        </is>
      </c>
      <c r="AW120" s="156" t="inlineStr">
        <is>
          <t>Not disclosed</t>
        </is>
      </c>
      <c r="AX120" s="158" t="n">
        <v>2</v>
      </c>
      <c r="AY120" s="156" t="inlineStr">
        <is>
          <t>Not disclosed</t>
        </is>
      </c>
      <c r="AZ120" s="156" t="inlineStr">
        <is>
          <t>Not disclosed</t>
        </is>
      </c>
      <c r="BA120" s="156" t="n"/>
      <c r="BB120" s="156" t="inlineStr">
        <is>
          <t>Not disclosed</t>
        </is>
      </c>
      <c r="BC120" s="156" t="inlineStr">
        <is>
          <t>Not disclosed</t>
        </is>
      </c>
      <c r="BD120" s="152" t="inlineStr">
        <is>
          <t>Not disclosed</t>
        </is>
      </c>
      <c r="BE120" s="152" t="inlineStr">
        <is>
          <t>Not disclosed</t>
        </is>
      </c>
      <c r="BF120" s="152" t="n"/>
      <c r="BG120" s="152" t="n"/>
      <c r="BH120" s="152" t="n"/>
      <c r="BI120" s="152" t="n"/>
      <c r="BJ120" s="152" t="n"/>
      <c r="BK120" s="152" t="n"/>
      <c r="BL120" s="152" t="n"/>
      <c r="BM120" s="152" t="inlineStr">
        <is>
          <t>Not disclosed</t>
        </is>
      </c>
      <c r="BN120" s="152" t="inlineStr">
        <is>
          <t>Not disclosed</t>
        </is>
      </c>
      <c r="BO120" s="156" t="inlineStr">
        <is>
          <t>Manipulation 2/4 · Navigation 2/4 · Peak 5 km/h</t>
        </is>
      </c>
      <c r="BP120" s="152" t="n"/>
      <c r="BQ120" s="156" t="n"/>
      <c r="BR120" s="156" t="inlineStr">
        <is>
          <t>Prototype</t>
        </is>
      </c>
      <c r="BS120" s="156" t="inlineStr">
        <is>
          <t>Prototype</t>
        </is>
      </c>
      <c r="BT120" s="152" t="n"/>
      <c r="BU120" s="152" t="inlineStr">
        <is>
          <t>Not verified</t>
        </is>
      </c>
      <c r="BV120" s="156" t="n"/>
      <c r="BW120" s="156" t="inlineStr">
        <is>
          <t>Height (fully upright): 4 ft 6 in | Operating weight: 119 | Degrees of freedom: 42 | Payload capacity: 44.1 | Maximum speed: 3.11 | Battery / runtime: Not disclosed</t>
        </is>
      </c>
      <c r="BX120" s="156" t="n"/>
      <c r="BY120" s="152" t="n"/>
      <c r="BZ120" s="152" t="n"/>
      <c r="CA120" s="156" t="n"/>
      <c r="CB120" s="156" t="inlineStr">
        <is>
          <t>12 months manufacturer standard (typical research/commercial humanoid)</t>
        </is>
      </c>
      <c r="CC120" s="154" t="n">
        <v>12</v>
      </c>
      <c r="CD120" s="156" t="inlineStr">
        <is>
          <t>+3 Year Extended ≈24% of configuration (default in configurator)</t>
        </is>
      </c>
      <c r="CE120" s="152" t="inlineStr">
        <is>
          <t>Humanoid category norm 2025–2026</t>
        </is>
      </c>
      <c r="CF120" s="152" t="inlineStr">
        <is>
          <t>Estimated</t>
        </is>
      </c>
      <c r="CG120" s="156" t="inlineStr">
        <is>
          <t>Confirm on formal OEM quote. EDU or enterprise packages may differ.</t>
        </is>
      </c>
      <c r="CH120" s="152" t="inlineStr">
        <is>
          <t>10%</t>
        </is>
      </c>
      <c r="CI120" s="152" t="inlineStr">
        <is>
          <t>17%</t>
        </is>
      </c>
      <c r="CJ120" s="152" t="inlineStr">
        <is>
          <t>24%</t>
        </is>
      </c>
      <c r="CK120" s="156" t="inlineStr">
        <is>
          <t>+1yr ≈10% | +2yr ≈17% | +3yr ≈24% of selected configuration price (parts &amp; labor beyond manufacturer standard).</t>
        </is>
      </c>
      <c r="CL120"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20" s="152" t="inlineStr">
        <is>
          <t>12 months manufacturer standard (typical research/commercial humanoid)</t>
        </is>
      </c>
      <c r="CN120" s="203" t="inlineStr">
        <is>
          <t>https://aixzd.com/robot/magicbot-gen1</t>
        </is>
      </c>
      <c r="CQ120" s="101" t="inlineStr">
        <is>
          <t>Height: 4 ft 6 in | Weight: 119 | Degrees of Freedom: 42 | Payload: 44.1 | Max Speed: 3.11 | Battery / Runtime: Not disclosed</t>
        </is>
      </c>
    </row>
    <row r="121" ht="31.5" customHeight="1" s="102">
      <c r="A121" s="145" t="inlineStr">
        <is>
          <t>magiclab_magicbot_x1</t>
        </is>
      </c>
      <c r="B121" s="153" t="inlineStr">
        <is>
          <t>Humanoid.guide</t>
        </is>
      </c>
      <c r="C121" s="145" t="inlineStr">
        <is>
          <t>MagicLab</t>
        </is>
      </c>
      <c r="D121" s="145" t="inlineStr">
        <is>
          <t>MagicBot X1</t>
        </is>
      </c>
      <c r="E121" s="145" t="inlineStr">
        <is>
          <t>[MagicLab] MagicBot X1 (2026)</t>
        </is>
      </c>
      <c r="F121" s="146" t="inlineStr">
        <is>
          <t>humanoid</t>
        </is>
      </c>
      <c r="G121" s="145" t="inlineStr">
        <is>
          <t>China</t>
        </is>
      </c>
      <c r="H121" s="147" t="n">
        <v>2026</v>
      </c>
      <c r="I121" s="148" t="n">
        <v>75000</v>
      </c>
      <c r="J121" s="145" t="inlineStr">
        <is>
          <t>Humanoid.guide list</t>
        </is>
      </c>
      <c r="K121" s="149" t="inlineStr">
        <is>
          <t>The MagicBot X1 is MagicLab’s full-size flagship humanoid robot, unveiled in April 2026 as a major upgrade over the earlier Z1.</t>
        </is>
      </c>
      <c r="L121" s="101" t="inlineStr">
        <is>
          <t>The MagicBot X1 is MagicLab’s full-size flagship humanoid robot, unveiled in April 2026 as a major upgrade over the earlier Z1.</t>
        </is>
      </c>
      <c r="M121" s="101" t="inlineStr">
        <is>
          <t>The MagicBot X1 is MagicLab’s full-size flagship humanoid robot, unveiled in April 2026 as a major upgrade over the earlier Z1. Public status is listed as in production, and it is positioned for commercial services; healthcare; Home assistance; Industrial Manufacturing; logistics.</t>
        </is>
      </c>
      <c r="N121" s="150" t="inlineStr">
        <is>
          <t>https://humanoid.guide/product/magicbot-x1/</t>
        </is>
      </c>
      <c r="O121" s="150" t="inlineStr">
        <is>
          <t>https://www.magiclab.top</t>
        </is>
      </c>
      <c r="P121" s="145" t="inlineStr">
        <is>
          <t>5 ft 7 in</t>
        </is>
      </c>
      <c r="Q121" s="145" t="n">
        <v>170</v>
      </c>
      <c r="R121" s="145" t="n">
        <v>143.3</v>
      </c>
      <c r="S121" s="145" t="n">
        <v>65</v>
      </c>
      <c r="T121" s="149" t="inlineStr">
        <is>
          <t>Not disclosed</t>
        </is>
      </c>
      <c r="U121" s="145" t="n"/>
      <c r="V121" s="145" t="inlineStr">
        <is>
          <t>42</t>
        </is>
      </c>
      <c r="W121" s="149" t="inlineStr">
        <is>
          <t>22</t>
        </is>
      </c>
      <c r="X121" s="145" t="n">
        <v>44.1</v>
      </c>
      <c r="Y121" s="145" t="n">
        <v>20</v>
      </c>
      <c r="Z121" s="145" t="n">
        <v>4.35</v>
      </c>
      <c r="AA121" s="145" t="n">
        <v>7</v>
      </c>
      <c r="AB121" s="145" t="n"/>
      <c r="AC121" s="149" t="inlineStr">
        <is>
          <t>≈ 4 hours</t>
        </is>
      </c>
      <c r="AD121" s="149" t="inlineStr">
        <is>
          <t>4</t>
        </is>
      </c>
      <c r="AE121" s="145" t="n"/>
      <c r="AF121" s="145" t="inlineStr">
        <is>
          <t>Not disclosed</t>
        </is>
      </c>
      <c r="AG121" s="149" t="inlineStr">
        <is>
          <t>5 per hand</t>
        </is>
      </c>
      <c r="AH121" s="145" t="inlineStr">
        <is>
          <t>5 per hand</t>
        </is>
      </c>
      <c r="AI121" s="145" t="n"/>
      <c r="AJ121" s="149" t="inlineStr">
        <is>
          <t>Not disclosed</t>
        </is>
      </c>
      <c r="AK121" s="149" t="n"/>
      <c r="AL121" s="145" t="inlineStr">
        <is>
          <t>Not disclosed</t>
        </is>
      </c>
      <c r="AM121" s="145" t="n"/>
      <c r="AN121" s="145" t="inlineStr">
        <is>
          <t>Not disclosed</t>
        </is>
      </c>
      <c r="AO121" s="145" t="inlineStr">
        <is>
          <t>Not disclosed</t>
        </is>
      </c>
      <c r="AP121" s="145" t="inlineStr">
        <is>
          <t>Not disclosed</t>
        </is>
      </c>
      <c r="AQ121" s="145" t="inlineStr">
        <is>
          <t>Not disclosed</t>
        </is>
      </c>
      <c r="AR121" s="145" t="n"/>
      <c r="AS121" s="145" t="n"/>
      <c r="AT121" s="149" t="inlineStr">
        <is>
          <t>High-performance compute module, ~100 TOPS-class AI processor</t>
        </is>
      </c>
      <c r="AU121" s="149" t="inlineStr">
        <is>
          <t>4G; 5G; Bluetooth; Wi-Fi 6</t>
        </is>
      </c>
      <c r="AV121" s="145" t="inlineStr">
        <is>
          <t>Not disclosed</t>
        </is>
      </c>
      <c r="AW121" s="149" t="inlineStr">
        <is>
          <t>Not disclosed</t>
        </is>
      </c>
      <c r="AX121" s="145" t="n"/>
      <c r="AY121" s="149" t="inlineStr">
        <is>
          <t>Proprietary MagicLab stack (in-house full-stack software)</t>
        </is>
      </c>
      <c r="AZ121" s="149" t="inlineStr">
        <is>
          <t>Yes — Magic-Mix foundational world model (embodied AI)</t>
        </is>
      </c>
      <c r="BA121" s="149" t="n"/>
      <c r="BB121" s="149" t="inlineStr">
        <is>
          <t>Proprietary high-torque smart joint / servo actuators</t>
        </is>
      </c>
      <c r="BC121" s="149" t="inlineStr">
        <is>
          <t>Harmonic + planetary reducers</t>
        </is>
      </c>
      <c r="BD121" s="145" t="inlineStr">
        <is>
          <t>Aluminum alloy frame, PC+ABS exterior</t>
        </is>
      </c>
      <c r="BE121" s="145" t="inlineStr">
        <is>
          <t>Not disclosed</t>
        </is>
      </c>
      <c r="BF121" s="145" t="n"/>
      <c r="BG121" s="145" t="n"/>
      <c r="BH121" s="145" t="n"/>
      <c r="BI121" s="145" t="n"/>
      <c r="BJ121" s="145" t="n"/>
      <c r="BK121" s="145" t="n"/>
      <c r="BL121" s="145" t="n"/>
      <c r="BM121" s="145" t="inlineStr">
        <is>
          <t>Yes</t>
        </is>
      </c>
      <c r="BN121" s="145" t="inlineStr">
        <is>
          <t>Not disclosed</t>
        </is>
      </c>
      <c r="BO121" s="149" t="inlineStr">
        <is>
          <t>Market: Commercial services; healthcare; Home assistance; Industrial Manufacturing; logistics · Human-safe: Yes · AI: Yes — Magic-Mix foundational world model (embodied AI) · Actuation: Proprietary high-torque smart joint / servo actuators · Peak 7 km/h · Runtime 4</t>
        </is>
      </c>
      <c r="BP121" s="145" t="n"/>
      <c r="BQ121" s="149" t="inlineStr">
        <is>
          <t>Commercial services; healthcare; Home assistance; Industrial Manufacturing; logistics</t>
        </is>
      </c>
      <c r="BR121" s="149" t="inlineStr">
        <is>
          <t>In production</t>
        </is>
      </c>
      <c r="BS121" s="149" t="inlineStr">
        <is>
          <t>In production</t>
        </is>
      </c>
      <c r="BT121" s="145" t="n"/>
      <c r="BU121" s="145" t="n"/>
      <c r="BV121" s="149" t="n"/>
      <c r="BW121" s="149" t="inlineStr">
        <is>
          <t>Origin &amp; status — China · In production · 2026 | Manipulation — 5 per hand · 5 per hand fingers · Hand DOF 22 · Payload 44.1 lb | Sensing &amp; software — Yes — Magic-Mix foundational world model (embodied AI) · Proprietary MagicLab stack (in-house full-stack software) | Buying notes — From $75,000 · 12 months manufacturer standard (typical research/commercial humanoid) · Best fit: Commercial services</t>
        </is>
      </c>
      <c r="BX121" s="149" t="inlineStr">
        <is>
          <t>as_shipped|MagicBot X1|75000|As shipped</t>
        </is>
      </c>
      <c r="BY121" s="145" t="inlineStr">
        <is>
          <t>magicbot_x1|Manufacturer finish|#e2e8f0|0</t>
        </is>
      </c>
      <c r="BZ121" s="145" t="inlineStr"/>
      <c r="CA121" s="149" t="n"/>
      <c r="CB121" s="149" t="inlineStr">
        <is>
          <t>12 months manufacturer standard (typical research/commercial humanoid)</t>
        </is>
      </c>
      <c r="CC121" s="147" t="n">
        <v>12</v>
      </c>
      <c r="CD121" s="149" t="inlineStr">
        <is>
          <t>+3 Year Extended ≈24% of configuration (default in configurator)</t>
        </is>
      </c>
      <c r="CE121" s="145" t="inlineStr">
        <is>
          <t>Humanoid category norm 2025–2026</t>
        </is>
      </c>
      <c r="CF121" s="145" t="inlineStr">
        <is>
          <t>Estimated</t>
        </is>
      </c>
      <c r="CG121" s="149" t="inlineStr">
        <is>
          <t>Confirm on formal OEM quote. EDU or enterprise packages may differ.</t>
        </is>
      </c>
      <c r="CH121" s="145" t="inlineStr">
        <is>
          <t>10%</t>
        </is>
      </c>
      <c r="CI121" s="145" t="inlineStr">
        <is>
          <t>17%</t>
        </is>
      </c>
      <c r="CJ121" s="145" t="inlineStr">
        <is>
          <t>24%</t>
        </is>
      </c>
      <c r="CK121" s="149" t="inlineStr">
        <is>
          <t>+1yr ≈10% | +2yr ≈17% | +3yr ≈24% of selected configuration price (parts &amp; labor beyond manufacturer standard).</t>
        </is>
      </c>
      <c r="CL12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21" s="145" t="inlineStr">
        <is>
          <t>12 months manufacturer standard (typical research/commercial humanoid)</t>
        </is>
      </c>
      <c r="CN121" s="203" t="inlineStr">
        <is>
          <t>https://aixzd.com/robot/magicbot-x1</t>
        </is>
      </c>
      <c r="CQ121" s="101" t="inlineStr">
        <is>
          <t>Height: 5 ft 7 in | Weight: 143.3 | Degrees of Freedom: 42 | Payload: 44.1 | Max Speed: 4.35 | Battery / Runtime: ≈ 4 hours</t>
        </is>
      </c>
    </row>
    <row r="122" ht="31.5" customHeight="1" s="102">
      <c r="A122" s="152" t="inlineStr">
        <is>
          <t>magiclab_magicbot_z1</t>
        </is>
      </c>
      <c r="B122" s="153" t="inlineStr">
        <is>
          <t>Humanoid.guide</t>
        </is>
      </c>
      <c r="C122" s="152" t="inlineStr">
        <is>
          <t>MagicLab</t>
        </is>
      </c>
      <c r="D122" s="152" t="inlineStr">
        <is>
          <t>MagicBot Z1</t>
        </is>
      </c>
      <c r="E122" s="152" t="inlineStr">
        <is>
          <t>[MagicLab] MagicBot Z1 (2026)</t>
        </is>
      </c>
      <c r="F122" s="146" t="inlineStr">
        <is>
          <t>humanoid</t>
        </is>
      </c>
      <c r="G122" s="152" t="inlineStr">
        <is>
          <t>China</t>
        </is>
      </c>
      <c r="H122" s="152" t="n"/>
      <c r="I122" s="155" t="n">
        <v>50000</v>
      </c>
      <c r="J122" s="152" t="inlineStr">
        <is>
          <t>Humanoid.guide list</t>
        </is>
      </c>
      <c r="K122" s="156" t="inlineStr">
        <is>
          <t>MagicBot Z1 is MagicLab’s agile 1.4‑metre bipedal humanoid that fuses 24‑to‑49 degrees of freedom with in‑house smart actuators, delivering sub‑10 km/h mobility and dexterous MagicHand end‑effectors for real‑world industrial, commercial and companion roles.</t>
        </is>
      </c>
      <c r="L122" s="101" t="inlineStr">
        <is>
          <t>MagicBot Z1 is MagicLab’s agile 1.4‑metre bipedal humanoid that fuses 24‑to‑49 degrees of freedom with in‑house smart actuators, delivering sub‑10 km/h mobility and dexterous MagicHand end‑effectors for real‑world industrial, commercial and companion roles.</t>
        </is>
      </c>
      <c r="M122" s="101" t="inlineStr">
        <is>
          <t>MagicBot Z1 is MagicLab’s agile 1.4‑metre bipedal humanoid that fuses 24‑to‑49 degrees of freedom with in‑house smart actuators, delivering sub‑10 km/h mobility and dexterous MagicHand end‑effectors for real‑world industrial, commercial and companion roles. Public status is listed as prototype, and it is positioned for education; home companionship scenarios.</t>
        </is>
      </c>
      <c r="N122" s="157" t="inlineStr">
        <is>
          <t>https://humanoid.guide/product/magicbot-z1/</t>
        </is>
      </c>
      <c r="O122" s="157" t="inlineStr">
        <is>
          <t>https://www.magiclab.top</t>
        </is>
      </c>
      <c r="P122" s="152" t="inlineStr">
        <is>
          <t>4 ft 7 in</t>
        </is>
      </c>
      <c r="Q122" s="152" t="n">
        <v>140</v>
      </c>
      <c r="R122" s="152" t="n">
        <v>88.2</v>
      </c>
      <c r="S122" s="152" t="n">
        <v>40</v>
      </c>
      <c r="T122" s="156" t="inlineStr">
        <is>
          <t>Not disclosed</t>
        </is>
      </c>
      <c r="U122" s="152" t="n"/>
      <c r="V122" s="152" t="inlineStr">
        <is>
          <t>49</t>
        </is>
      </c>
      <c r="W122" s="156" t="inlineStr">
        <is>
          <t>Not disclosed</t>
        </is>
      </c>
      <c r="X122" s="152" t="n">
        <v>22</v>
      </c>
      <c r="Y122" s="152" t="n">
        <v>10</v>
      </c>
      <c r="Z122" s="152" t="n">
        <v>5.59</v>
      </c>
      <c r="AA122" s="152" t="n">
        <v>9</v>
      </c>
      <c r="AB122" s="152" t="n">
        <v>9</v>
      </c>
      <c r="AC122" s="156" t="inlineStr">
        <is>
          <t>Not disclosed</t>
        </is>
      </c>
      <c r="AD122" s="156" t="n"/>
      <c r="AE122" s="152" t="n"/>
      <c r="AF122" s="152" t="inlineStr">
        <is>
          <t>Not disclosed</t>
        </is>
      </c>
      <c r="AG122" s="156" t="inlineStr">
        <is>
          <t>10</t>
        </is>
      </c>
      <c r="AH122" s="152" t="inlineStr">
        <is>
          <t>10</t>
        </is>
      </c>
      <c r="AI122" s="158" t="n">
        <v>2</v>
      </c>
      <c r="AJ122" s="156" t="inlineStr">
        <is>
          <t>carries stereo camera + depth + 3‑D LiDAR</t>
        </is>
      </c>
      <c r="AK122" s="156" t="inlineStr">
        <is>
          <t>carries stereo camera + depth + 3‑D LiDAR</t>
        </is>
      </c>
      <c r="AL122" s="152" t="inlineStr">
        <is>
          <t>Not disclosed</t>
        </is>
      </c>
      <c r="AM122" s="152" t="n"/>
      <c r="AN122" s="152" t="inlineStr">
        <is>
          <t>Not disclosed</t>
        </is>
      </c>
      <c r="AO122" s="152" t="inlineStr">
        <is>
          <t>Not disclosed</t>
        </is>
      </c>
      <c r="AP122" s="152" t="inlineStr">
        <is>
          <t>Not disclosed</t>
        </is>
      </c>
      <c r="AQ122" s="152" t="inlineStr">
        <is>
          <t>Not disclosed</t>
        </is>
      </c>
      <c r="AR122" s="152" t="n"/>
      <c r="AS122" s="152" t="n"/>
      <c r="AT122" s="156" t="inlineStr">
        <is>
          <t>Not disclosed</t>
        </is>
      </c>
      <c r="AU122" s="156" t="inlineStr">
        <is>
          <t>Not disclosed</t>
        </is>
      </c>
      <c r="AV122" s="152" t="inlineStr">
        <is>
          <t>Not disclosed</t>
        </is>
      </c>
      <c r="AW122" s="156" t="inlineStr">
        <is>
          <t>Not disclosed</t>
        </is>
      </c>
      <c r="AX122" s="158" t="n">
        <v>2</v>
      </c>
      <c r="AY122" s="156" t="inlineStr">
        <is>
          <t>Not disclosed</t>
        </is>
      </c>
      <c r="AZ122" s="156" t="inlineStr">
        <is>
          <t>Not disclosed</t>
        </is>
      </c>
      <c r="BA122" s="156" t="n"/>
      <c r="BB122" s="156" t="inlineStr">
        <is>
          <t>self‑developed high‑performance smart joint modules</t>
        </is>
      </c>
      <c r="BC122" s="156" t="inlineStr">
        <is>
          <t>Variable‑ratio transmission</t>
        </is>
      </c>
      <c r="BD122" s="152" t="inlineStr">
        <is>
          <t>High‑strength aluminium alloy + engineering plastics</t>
        </is>
      </c>
      <c r="BE122" s="152" t="inlineStr">
        <is>
          <t>Not disclosed</t>
        </is>
      </c>
      <c r="BF122" s="152" t="inlineStr">
        <is>
          <t>Not specified</t>
        </is>
      </c>
      <c r="BG122" s="152" t="n"/>
      <c r="BH122" s="152" t="n"/>
      <c r="BI122" s="152" t="n"/>
      <c r="BJ122" s="152" t="n"/>
      <c r="BK122" s="152" t="n"/>
      <c r="BL122" s="152" t="n"/>
      <c r="BM122" s="152" t="inlineStr">
        <is>
          <t>Not disclosed</t>
        </is>
      </c>
      <c r="BN122" s="152" t="inlineStr">
        <is>
          <t>Not disclosed</t>
        </is>
      </c>
      <c r="BO122" s="156" t="inlineStr">
        <is>
          <t>Market: education; home companionship scenarios · Manipulation 2/4 · Navigation 2/4 · Human-safe: Not specified · AI: Not specified · Actuation: self‑developed high‑performance smart joint modules · Peak 9 km/h · Walk 9 km/h</t>
        </is>
      </c>
      <c r="BP122" s="152" t="n"/>
      <c r="BQ122" s="156" t="inlineStr">
        <is>
          <t>education; home companionship scenarios</t>
        </is>
      </c>
      <c r="BR122" s="156" t="inlineStr">
        <is>
          <t>Prototype</t>
        </is>
      </c>
      <c r="BS122" s="156" t="inlineStr">
        <is>
          <t>Prototype</t>
        </is>
      </c>
      <c r="BT122" s="152" t="n"/>
      <c r="BU122" s="152" t="inlineStr">
        <is>
          <t>Not verified</t>
        </is>
      </c>
      <c r="BV122" s="156" t="n"/>
      <c r="BW122" s="156" t="inlineStr">
        <is>
          <t>Origin &amp; status — China · Prototype · 2026 | Manipulation — 10 · 10 fingers · Payload 22 lb | Sensing &amp; software — carries stereo camera + depth + 3‑D LiDAR | Buying notes — From $50,000 · 12 months manufacturer standard (typical research/commercial humanoid) · Best fit: education</t>
        </is>
      </c>
      <c r="BX122" s="156" t="inlineStr">
        <is>
          <t>as_shipped|MagicBot Z1|50000|As shipped</t>
        </is>
      </c>
      <c r="BY122" s="152" t="inlineStr">
        <is>
          <t>magicbot_z1|Manufacturer finish|#e2e8f0|0</t>
        </is>
      </c>
      <c r="BZ122" s="152" t="inlineStr"/>
      <c r="CA122" s="156" t="n"/>
      <c r="CB122" s="156" t="inlineStr">
        <is>
          <t>12 months manufacturer standard (typical research/commercial humanoid)</t>
        </is>
      </c>
      <c r="CC122" s="154" t="n">
        <v>12</v>
      </c>
      <c r="CD122" s="156" t="inlineStr">
        <is>
          <t>+3 Year Extended ≈24% of configuration (default in configurator)</t>
        </is>
      </c>
      <c r="CE122" s="152" t="inlineStr">
        <is>
          <t>Humanoid category norm 2025–2026</t>
        </is>
      </c>
      <c r="CF122" s="152" t="inlineStr">
        <is>
          <t>Estimated</t>
        </is>
      </c>
      <c r="CG122" s="156" t="inlineStr">
        <is>
          <t>Confirm on formal OEM quote. EDU or enterprise packages may differ.</t>
        </is>
      </c>
      <c r="CH122" s="152" t="inlineStr">
        <is>
          <t>10%</t>
        </is>
      </c>
      <c r="CI122" s="152" t="inlineStr">
        <is>
          <t>17%</t>
        </is>
      </c>
      <c r="CJ122" s="152" t="inlineStr">
        <is>
          <t>24%</t>
        </is>
      </c>
      <c r="CK122" s="156" t="inlineStr">
        <is>
          <t>+1yr ≈10% | +2yr ≈17% | +3yr ≈24% of selected configuration price (parts &amp; labor beyond manufacturer standard).</t>
        </is>
      </c>
      <c r="CL122"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22" s="152" t="inlineStr">
        <is>
          <t>12 months manufacturer standard (typical research/commercial humanoid)</t>
        </is>
      </c>
      <c r="CN122" s="203" t="inlineStr">
        <is>
          <t>https://aixzd.com/robot/magicbot-z1</t>
        </is>
      </c>
      <c r="CQ122" s="101" t="inlineStr">
        <is>
          <t>Height: 4 ft 7 in | Weight: 88.2 | Degrees of Freedom: 49 | Payload: 22 | Max Speed: 5.59 | Battery / Runtime: Not disclosed</t>
        </is>
      </c>
    </row>
    <row r="123" ht="31.5" customHeight="1" s="102">
      <c r="A123" s="145" t="inlineStr">
        <is>
          <t>matrix_robotics_matrix_1</t>
        </is>
      </c>
      <c r="B123" s="153" t="inlineStr">
        <is>
          <t>Humanoid.guide</t>
        </is>
      </c>
      <c r="C123" s="145" t="inlineStr">
        <is>
          <t>Matrix Robotics</t>
        </is>
      </c>
      <c r="D123" s="145" t="inlineStr">
        <is>
          <t>Matrix-1</t>
        </is>
      </c>
      <c r="E123" s="145" t="inlineStr">
        <is>
          <t>[Matrix Robotics] Matrix-1 (2026)</t>
        </is>
      </c>
      <c r="F123" s="146" t="inlineStr">
        <is>
          <t>humanoid</t>
        </is>
      </c>
      <c r="G123" s="145" t="inlineStr">
        <is>
          <t>China</t>
        </is>
      </c>
      <c r="H123" s="145" t="n"/>
      <c r="I123" s="148" t="n">
        <v>100000</v>
      </c>
      <c r="J123" s="145" t="inlineStr">
        <is>
          <t>Humanoid.guide list</t>
        </is>
      </c>
      <c r="K123" s="149" t="inlineStr">
        <is>
          <t>Matrix-1 is a humanoid robot designed for real-world tasks in industry and service sectors, standing 1.8m tall and weighing 67kg.</t>
        </is>
      </c>
      <c r="L123" s="101" t="inlineStr">
        <is>
          <t>Matrix-1 is a humanoid robot designed for real-world tasks in industry and service sectors, standing 1.8m tall and weighing 67kg.</t>
        </is>
      </c>
      <c r="M123" s="101" t="inlineStr">
        <is>
          <t>Matrix-1 is a humanoid robot designed for real-world tasks in industry and service sectors, standing 1.8m tall and weighing 67kg. Public status is listed as prototype.</t>
        </is>
      </c>
      <c r="N123" s="150" t="inlineStr">
        <is>
          <t>https://humanoid.guide/product/matrix-1/</t>
        </is>
      </c>
      <c r="O123" s="150" t="inlineStr">
        <is>
          <t>https://www.matrixrobotics.ai/</t>
        </is>
      </c>
      <c r="P123" s="145" t="inlineStr">
        <is>
          <t>5 ft 11 in</t>
        </is>
      </c>
      <c r="Q123" s="145" t="n">
        <v>180</v>
      </c>
      <c r="R123" s="145" t="n">
        <v>147.7</v>
      </c>
      <c r="S123" s="145" t="n">
        <v>67</v>
      </c>
      <c r="T123" s="149" t="inlineStr">
        <is>
          <t>Not disclosed</t>
        </is>
      </c>
      <c r="U123" s="145" t="n"/>
      <c r="V123" s="145" t="inlineStr">
        <is>
          <t>55</t>
        </is>
      </c>
      <c r="W123" s="149" t="inlineStr">
        <is>
          <t>Not disclosed</t>
        </is>
      </c>
      <c r="X123" s="145" t="n">
        <v>33.1</v>
      </c>
      <c r="Y123" s="145" t="n">
        <v>15</v>
      </c>
      <c r="Z123" s="145" t="n">
        <v>2.67</v>
      </c>
      <c r="AA123" s="145" t="n">
        <v>4.3</v>
      </c>
      <c r="AB123" s="145" t="n"/>
      <c r="AC123" s="149" t="inlineStr">
        <is>
          <t>≈ 5 hours</t>
        </is>
      </c>
      <c r="AD123" s="149" t="inlineStr">
        <is>
          <t>5</t>
        </is>
      </c>
      <c r="AE123" s="145" t="n"/>
      <c r="AF123" s="145" t="inlineStr">
        <is>
          <t>Not disclosed</t>
        </is>
      </c>
      <c r="AG123" s="149" t="inlineStr">
        <is>
          <t>Not disclosed</t>
        </is>
      </c>
      <c r="AH123" s="145" t="inlineStr">
        <is>
          <t>Not disclosed</t>
        </is>
      </c>
      <c r="AI123" s="158" t="n">
        <v>2</v>
      </c>
      <c r="AJ123" s="149" t="inlineStr">
        <is>
          <t>Not disclosed</t>
        </is>
      </c>
      <c r="AK123" s="149" t="n"/>
      <c r="AL123" s="145" t="inlineStr">
        <is>
          <t>Not disclosed</t>
        </is>
      </c>
      <c r="AM123" s="145" t="n"/>
      <c r="AN123" s="145" t="inlineStr">
        <is>
          <t>Not disclosed</t>
        </is>
      </c>
      <c r="AO123" s="145" t="inlineStr">
        <is>
          <t>Not disclosed</t>
        </is>
      </c>
      <c r="AP123" s="145" t="inlineStr">
        <is>
          <t>Not disclosed</t>
        </is>
      </c>
      <c r="AQ123" s="145" t="inlineStr">
        <is>
          <t>Not disclosed</t>
        </is>
      </c>
      <c r="AR123" s="145" t="n"/>
      <c r="AS123" s="145" t="n"/>
      <c r="AT123" s="149" t="inlineStr">
        <is>
          <t>Not disclosed</t>
        </is>
      </c>
      <c r="AU123" s="149" t="inlineStr">
        <is>
          <t>Not disclosed</t>
        </is>
      </c>
      <c r="AV123" s="145" t="inlineStr">
        <is>
          <t>Not disclosed</t>
        </is>
      </c>
      <c r="AW123" s="149" t="inlineStr">
        <is>
          <t>Not disclosed</t>
        </is>
      </c>
      <c r="AX123" s="158" t="n">
        <v>2</v>
      </c>
      <c r="AY123" s="149" t="inlineStr">
        <is>
          <t>Not disclosed</t>
        </is>
      </c>
      <c r="AZ123" s="149" t="inlineStr">
        <is>
          <t>Not disclosed</t>
        </is>
      </c>
      <c r="BA123" s="149" t="n"/>
      <c r="BB123" s="149" t="inlineStr">
        <is>
          <t>Not disclosed</t>
        </is>
      </c>
      <c r="BC123" s="149" t="inlineStr">
        <is>
          <t>Not disclosed</t>
        </is>
      </c>
      <c r="BD123" s="145" t="inlineStr">
        <is>
          <t>Not disclosed</t>
        </is>
      </c>
      <c r="BE123" s="145" t="inlineStr">
        <is>
          <t>Not disclosed</t>
        </is>
      </c>
      <c r="BF123" s="145" t="n"/>
      <c r="BG123" s="145" t="n"/>
      <c r="BH123" s="145" t="n"/>
      <c r="BI123" s="145" t="n"/>
      <c r="BJ123" s="145" t="n"/>
      <c r="BK123" s="145" t="n"/>
      <c r="BL123" s="145" t="n"/>
      <c r="BM123" s="145" t="inlineStr">
        <is>
          <t>Not disclosed</t>
        </is>
      </c>
      <c r="BN123" s="145" t="inlineStr">
        <is>
          <t>Not disclosed</t>
        </is>
      </c>
      <c r="BO123" s="149" t="inlineStr">
        <is>
          <t>Manipulation 2/4 · Navigation 2/4 · Peak 4.3 km/h · Runtime 5</t>
        </is>
      </c>
      <c r="BP123" s="145" t="n"/>
      <c r="BQ123" s="149" t="inlineStr">
        <is>
          <t>Research labs, commercial pilots, and education programs evaluating a humanoid from Matrix Robotics (China) now listed as prototype.</t>
        </is>
      </c>
      <c r="BR123" s="149" t="inlineStr">
        <is>
          <t>Prototype</t>
        </is>
      </c>
      <c r="BS123" s="149" t="inlineStr">
        <is>
          <t>Prototype</t>
        </is>
      </c>
      <c r="BT123" s="145" t="n"/>
      <c r="BU123" s="145" t="inlineStr">
        <is>
          <t>Not verified</t>
        </is>
      </c>
      <c r="BV123" s="149" t="n"/>
      <c r="BW123" s="149" t="inlineStr">
        <is>
          <t>Origin &amp; status — China · Prototype · 2026 | Manipulation — Payload 33.1 lb | Sensing &amp; software — Sensor and compute package confirmed on formal quote | Buying notes — From $100,000 · 12 months manufacturer standard (typical research/commercial humanoid)</t>
        </is>
      </c>
      <c r="BX123" s="149" t="inlineStr">
        <is>
          <t>as_shipped|Matrix-1|100000|As shipped</t>
        </is>
      </c>
      <c r="BY123" s="145" t="inlineStr">
        <is>
          <t>matrix_1|Manufacturer finish|#e2e8f0|0</t>
        </is>
      </c>
      <c r="BZ123" s="145" t="inlineStr"/>
      <c r="CA123" s="149" t="n"/>
      <c r="CB123" s="149" t="inlineStr">
        <is>
          <t>12 months manufacturer standard (typical research/commercial humanoid)</t>
        </is>
      </c>
      <c r="CC123" s="147" t="n">
        <v>12</v>
      </c>
      <c r="CD123" s="149" t="inlineStr">
        <is>
          <t>+3 Year Extended ≈24% of configuration (default in configurator)</t>
        </is>
      </c>
      <c r="CE123" s="145" t="inlineStr">
        <is>
          <t>Humanoid category norm 2025–2026</t>
        </is>
      </c>
      <c r="CF123" s="145" t="inlineStr">
        <is>
          <t>Estimated</t>
        </is>
      </c>
      <c r="CG123" s="149" t="inlineStr">
        <is>
          <t>Confirm on formal OEM quote. EDU or enterprise packages may differ.</t>
        </is>
      </c>
      <c r="CH123" s="145" t="inlineStr">
        <is>
          <t>10%</t>
        </is>
      </c>
      <c r="CI123" s="145" t="inlineStr">
        <is>
          <t>17%</t>
        </is>
      </c>
      <c r="CJ123" s="145" t="inlineStr">
        <is>
          <t>24%</t>
        </is>
      </c>
      <c r="CK123" s="149" t="inlineStr">
        <is>
          <t>+1yr ≈10% | +2yr ≈17% | +3yr ≈24% of selected configuration price (parts &amp; labor beyond manufacturer standard).</t>
        </is>
      </c>
      <c r="CL123"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23" s="145" t="inlineStr">
        <is>
          <t>12 months manufacturer standard (typical research/commercial humanoid)</t>
        </is>
      </c>
      <c r="CN123" s="203" t="inlineStr">
        <is>
          <t>https://aixzd.com/robot/matrix-1</t>
        </is>
      </c>
      <c r="CQ123" s="101" t="inlineStr">
        <is>
          <t>Height: 5 ft 11 in | Weight: 147.7 | Degrees of Freedom: 55 | Payload: 33.1 | Max Speed: 2.67 | Battery / Runtime: ≈ 5 hours</t>
        </is>
      </c>
    </row>
    <row r="124" ht="31.5" customHeight="1" s="102">
      <c r="A124" s="152" t="inlineStr">
        <is>
          <t>matrix_robotics_matrix_3</t>
        </is>
      </c>
      <c r="B124" s="153" t="inlineStr">
        <is>
          <t>Humanoid.guide</t>
        </is>
      </c>
      <c r="C124" s="152" t="inlineStr">
        <is>
          <t>Matrix Robotics</t>
        </is>
      </c>
      <c r="D124" s="152" t="inlineStr">
        <is>
          <t>MATRIX-3</t>
        </is>
      </c>
      <c r="E124" s="152" t="inlineStr">
        <is>
          <t>[Matrix Robotics] MATRIX-3 (2026)</t>
        </is>
      </c>
      <c r="F124" s="146" t="inlineStr">
        <is>
          <t>humanoid</t>
        </is>
      </c>
      <c r="G124" s="152" t="inlineStr">
        <is>
          <t>China</t>
        </is>
      </c>
      <c r="H124" s="152" t="n"/>
      <c r="I124" s="155" t="n">
        <v>85000</v>
      </c>
      <c r="J124" s="152" t="inlineStr">
        <is>
          <t>Humanoid.guide list</t>
        </is>
      </c>
      <c r="K124" s="156" t="inlineStr">
        <is>
          <t>MATRIX-3 is a next-generation humanoid robot that integrates advanced perception, biomimetic design, and generalizable AI to move and interact with environments in human-like ways.</t>
        </is>
      </c>
      <c r="L124" s="101" t="inlineStr">
        <is>
          <t>MATRIX-3 is a next-generation humanoid robot that integrates advanced perception, biomimetic design, and generalizable AI to move and interact with environments in human-like ways.</t>
        </is>
      </c>
      <c r="M124" s="101" t="inlineStr">
        <is>
          <t>MATRIX-3 is a next-generation humanoid robot that integrates advanced perception, biomimetic design, and generalizable AI to move and interact with environments in human-like ways. Public status is listed as prototype, and it is positioned for commercial robotics; logistics; Service.</t>
        </is>
      </c>
      <c r="N124" s="157" t="inlineStr">
        <is>
          <t>https://humanoid.guide/product/matrix-3/</t>
        </is>
      </c>
      <c r="O124" s="157" t="inlineStr">
        <is>
          <t>https://matrixrobotics.ai/</t>
        </is>
      </c>
      <c r="P124" s="152" t="inlineStr">
        <is>
          <t>5 ft 3 in</t>
        </is>
      </c>
      <c r="Q124" s="152" t="n">
        <v>160</v>
      </c>
      <c r="R124" s="152" t="n"/>
      <c r="S124" s="152" t="n"/>
      <c r="T124" s="156" t="inlineStr">
        <is>
          <t>Not disclosed</t>
        </is>
      </c>
      <c r="U124" s="152" t="n"/>
      <c r="V124" s="152" t="inlineStr">
        <is>
          <t>~30–45</t>
        </is>
      </c>
      <c r="W124" s="156" t="inlineStr">
        <is>
          <t>27 DOF in each hand</t>
        </is>
      </c>
      <c r="X124" s="152" t="n">
        <v>13.2</v>
      </c>
      <c r="Y124" s="152" t="n">
        <v>6</v>
      </c>
      <c r="Z124" s="152" t="n">
        <v>1.55</v>
      </c>
      <c r="AA124" s="152" t="n">
        <v>2.5</v>
      </c>
      <c r="AB124" s="152" t="n"/>
      <c r="AC124" s="156" t="inlineStr">
        <is>
          <t>Not disclosed</t>
        </is>
      </c>
      <c r="AD124" s="156" t="n"/>
      <c r="AE124" s="152" t="n"/>
      <c r="AF124" s="152" t="inlineStr">
        <is>
          <t>Not disclosed</t>
        </is>
      </c>
      <c r="AG124" s="156" t="inlineStr">
        <is>
          <t>5 per hand</t>
        </is>
      </c>
      <c r="AH124" s="152" t="inlineStr">
        <is>
          <t>5 per hand</t>
        </is>
      </c>
      <c r="AI124" s="152" t="n"/>
      <c r="AJ124" s="156" t="inlineStr">
        <is>
          <t>Not disclosed</t>
        </is>
      </c>
      <c r="AK124" s="156" t="n"/>
      <c r="AL124" s="152" t="inlineStr">
        <is>
          <t>Not disclosed</t>
        </is>
      </c>
      <c r="AM124" s="152" t="n"/>
      <c r="AN124" s="152" t="inlineStr">
        <is>
          <t>Not disclosed</t>
        </is>
      </c>
      <c r="AO124" s="152" t="inlineStr">
        <is>
          <t>Not disclosed</t>
        </is>
      </c>
      <c r="AP124" s="152" t="inlineStr">
        <is>
          <t>Not disclosed</t>
        </is>
      </c>
      <c r="AQ124" s="152" t="inlineStr">
        <is>
          <t>Not disclosed</t>
        </is>
      </c>
      <c r="AR124" s="152" t="n"/>
      <c r="AS124" s="152" t="n"/>
      <c r="AT124" s="156" t="inlineStr">
        <is>
          <t>Not disclosed</t>
        </is>
      </c>
      <c r="AU124" s="156" t="inlineStr">
        <is>
          <t>Not disclosed</t>
        </is>
      </c>
      <c r="AV124" s="152" t="inlineStr">
        <is>
          <t>Not disclosed</t>
        </is>
      </c>
      <c r="AW124" s="156" t="inlineStr">
        <is>
          <t>Not disclosed</t>
        </is>
      </c>
      <c r="AX124" s="152" t="n"/>
      <c r="AY124" s="156" t="inlineStr">
        <is>
          <t>Not disclosed</t>
        </is>
      </c>
      <c r="AZ124" s="156" t="inlineStr">
        <is>
          <t>Yes (zero-shot generalization with neural models)</t>
        </is>
      </c>
      <c r="BA124" s="156" t="n"/>
      <c r="BB124" s="156" t="inlineStr">
        <is>
          <t>High-power linear actuators</t>
        </is>
      </c>
      <c r="BC124" s="156" t="inlineStr">
        <is>
          <t>Cable-driven hand system</t>
        </is>
      </c>
      <c r="BD124" s="152" t="inlineStr">
        <is>
          <t>Not disclosed</t>
        </is>
      </c>
      <c r="BE124" s="152" t="inlineStr">
        <is>
          <t>Not disclosed</t>
        </is>
      </c>
      <c r="BF124" s="152" t="n"/>
      <c r="BG124" s="152" t="n"/>
      <c r="BH124" s="152" t="n"/>
      <c r="BI124" s="152" t="n"/>
      <c r="BJ124" s="152" t="n"/>
      <c r="BK124" s="152" t="n"/>
      <c r="BL124" s="152" t="n"/>
      <c r="BM124" s="152" t="inlineStr">
        <is>
          <t>Yes</t>
        </is>
      </c>
      <c r="BN124" s="152" t="inlineStr">
        <is>
          <t>Not disclosed</t>
        </is>
      </c>
      <c r="BO124" s="156" t="inlineStr">
        <is>
          <t>Market: Commercial robotics; logistics; Service · Human-safe: Yes · AI: Yes (zero-shot generalization with neural models) · Actuation: High-power linear actuators · Peak 2.5 km/h</t>
        </is>
      </c>
      <c r="BP124" s="152" t="n"/>
      <c r="BQ124" s="156" t="inlineStr">
        <is>
          <t>Commercial robotics; logistics; Service</t>
        </is>
      </c>
      <c r="BR124" s="156" t="inlineStr">
        <is>
          <t>Prototype</t>
        </is>
      </c>
      <c r="BS124" s="156" t="inlineStr">
        <is>
          <t>Prototype</t>
        </is>
      </c>
      <c r="BT124" s="152" t="inlineStr">
        <is>
          <t>White</t>
        </is>
      </c>
      <c r="BU124" s="152" t="inlineStr">
        <is>
          <t>Not verified</t>
        </is>
      </c>
      <c r="BV124" s="156" t="n"/>
      <c r="BW124" s="156" t="inlineStr">
        <is>
          <t>Origin &amp; status — China · Prototype · 2026 | Manipulation — 5 per hand · 5 per hand fingers · Hand DOF 27 DOF in each hand · Payload 13.2 lb | Sensing &amp; software — Yes (zero-shot generalization with neural models) | Buying notes — From $85,000 · 12 months manufacturer standard (typical research/commercial humanoid) · Best fit: Commercial robotics</t>
        </is>
      </c>
      <c r="BX124" s="156" t="inlineStr">
        <is>
          <t>as_shipped|MATRIX-3|85000|As shipped</t>
        </is>
      </c>
      <c r="BY124" s="152" t="inlineStr">
        <is>
          <t>white|White|#e2e8f0|0</t>
        </is>
      </c>
      <c r="BZ124" s="152" t="inlineStr"/>
      <c r="CA124" s="156" t="n"/>
      <c r="CB124" s="156" t="inlineStr">
        <is>
          <t>12 months manufacturer standard (typical research/commercial humanoid)</t>
        </is>
      </c>
      <c r="CC124" s="154" t="n">
        <v>12</v>
      </c>
      <c r="CD124" s="156" t="inlineStr">
        <is>
          <t>+3 Year Extended ≈24% of configuration (default in configurator)</t>
        </is>
      </c>
      <c r="CE124" s="152" t="inlineStr">
        <is>
          <t>Humanoid category norm 2025–2026</t>
        </is>
      </c>
      <c r="CF124" s="152" t="inlineStr">
        <is>
          <t>Estimated</t>
        </is>
      </c>
      <c r="CG124" s="156" t="inlineStr">
        <is>
          <t>Confirm on formal OEM quote. EDU or enterprise packages may differ.</t>
        </is>
      </c>
      <c r="CH124" s="152" t="inlineStr">
        <is>
          <t>10%</t>
        </is>
      </c>
      <c r="CI124" s="152" t="inlineStr">
        <is>
          <t>17%</t>
        </is>
      </c>
      <c r="CJ124" s="152" t="inlineStr">
        <is>
          <t>24%</t>
        </is>
      </c>
      <c r="CK124" s="156" t="inlineStr">
        <is>
          <t>+1yr ≈10% | +2yr ≈17% | +3yr ≈24% of selected configuration price (parts &amp; labor beyond manufacturer standard).</t>
        </is>
      </c>
      <c r="CL124"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24" s="152" t="inlineStr">
        <is>
          <t>12 months manufacturer standard (typical research/commercial humanoid)</t>
        </is>
      </c>
      <c r="CN124" s="203" t="inlineStr">
        <is>
          <t>https://aixzd.com/robot/matrix-3</t>
        </is>
      </c>
      <c r="CQ124" s="101" t="inlineStr">
        <is>
          <t>Height: 5 ft 3 in | Weight: Not disclosed | Degrees of Freedom: ~30–45 | Payload: 13.2 | Max Speed: 1.55 | Battery / Runtime: Not disclosed</t>
        </is>
      </c>
    </row>
    <row r="125" ht="31.5" customHeight="1" s="102">
      <c r="A125" s="145" t="inlineStr">
        <is>
          <t>menloai_asimov</t>
        </is>
      </c>
      <c r="B125" s="153" t="inlineStr">
        <is>
          <t>Humanoid.guide</t>
        </is>
      </c>
      <c r="C125" s="145" t="inlineStr">
        <is>
          <t>MenloAI</t>
        </is>
      </c>
      <c r="D125" s="145" t="inlineStr">
        <is>
          <t>Asimov</t>
        </is>
      </c>
      <c r="E125" s="145" t="inlineStr">
        <is>
          <t>[MenloAI] Asimov (2026)</t>
        </is>
      </c>
      <c r="F125" s="146" t="inlineStr">
        <is>
          <t>humanoid</t>
        </is>
      </c>
      <c r="G125" s="145" t="inlineStr">
        <is>
          <t>Singapore</t>
        </is>
      </c>
      <c r="H125" s="145" t="n"/>
      <c r="I125" s="148" t="n">
        <v>15000</v>
      </c>
      <c r="J125" s="145" t="inlineStr">
        <is>
          <t>Humanoid.guide list</t>
        </is>
      </c>
      <c r="K125" s="149" t="inlineStr">
        <is>
          <t>Asimov is a modular DIY humanoid robot built for developers and researchers, combining affordability, onboard computing, and real-world motion capabilities in a customizable platform.</t>
        </is>
      </c>
      <c r="L125" s="101" t="inlineStr">
        <is>
          <t>Asimov is a modular DIY humanoid robot built for developers and researchers, combining affordability, onboard computing, and real-world motion capabilities in a customizable platform.</t>
        </is>
      </c>
      <c r="M125" s="101" t="inlineStr">
        <is>
          <t>Asimov is a modular DIY humanoid robot built for developers and researchers, combining affordability, onboard computing, and real-world motion capabilities in a customizable platform. Public status is listed as in production, and it is positioned for developers; research labs; robotics enthusiasts; universities.</t>
        </is>
      </c>
      <c r="N125" s="150" t="inlineStr">
        <is>
          <t>https://humanoid.guide/product/asimov/</t>
        </is>
      </c>
      <c r="O125" s="150" t="inlineStr">
        <is>
          <t>https://menlo.ai/</t>
        </is>
      </c>
      <c r="P125" s="145" t="inlineStr">
        <is>
          <t>3 ft 11 in</t>
        </is>
      </c>
      <c r="Q125" s="145" t="n">
        <v>120</v>
      </c>
      <c r="R125" s="145" t="n">
        <v>77.2</v>
      </c>
      <c r="S125" s="145" t="n">
        <v>35</v>
      </c>
      <c r="T125" s="149" t="inlineStr">
        <is>
          <t>Not disclosed</t>
        </is>
      </c>
      <c r="U125" s="145" t="n"/>
      <c r="V125" s="145" t="inlineStr">
        <is>
          <t>27</t>
        </is>
      </c>
      <c r="W125" s="149" t="inlineStr">
        <is>
          <t>Not disclosed</t>
        </is>
      </c>
      <c r="X125" s="145" t="n">
        <v>77.2</v>
      </c>
      <c r="Y125" s="145" t="n">
        <v>35</v>
      </c>
      <c r="Z125" s="145" t="n">
        <v>1.86</v>
      </c>
      <c r="AA125" s="145" t="n">
        <v>3</v>
      </c>
      <c r="AB125" s="145" t="n"/>
      <c r="AC125" s="149" t="inlineStr">
        <is>
          <t>≈ 1.5 hours</t>
        </is>
      </c>
      <c r="AD125" s="149" t="inlineStr">
        <is>
          <t>1.5</t>
        </is>
      </c>
      <c r="AE125" s="145" t="n"/>
      <c r="AF125" s="145" t="inlineStr">
        <is>
          <t>Not disclosed</t>
        </is>
      </c>
      <c r="AG125" s="149" t="inlineStr">
        <is>
          <t>5 per hand</t>
        </is>
      </c>
      <c r="AH125" s="145" t="inlineStr">
        <is>
          <t>5 per hand</t>
        </is>
      </c>
      <c r="AI125" s="145" t="n"/>
      <c r="AJ125" s="149" t="inlineStr">
        <is>
          <t>Not disclosed</t>
        </is>
      </c>
      <c r="AK125" s="149" t="n"/>
      <c r="AL125" s="145" t="inlineStr">
        <is>
          <t>Not disclosed</t>
        </is>
      </c>
      <c r="AM125" s="145" t="n"/>
      <c r="AN125" s="145" t="inlineStr">
        <is>
          <t>Not disclosed</t>
        </is>
      </c>
      <c r="AO125" s="145" t="inlineStr">
        <is>
          <t>Not disclosed</t>
        </is>
      </c>
      <c r="AP125" s="145" t="inlineStr">
        <is>
          <t>Not disclosed</t>
        </is>
      </c>
      <c r="AQ125" s="145" t="inlineStr">
        <is>
          <t>Not disclosed</t>
        </is>
      </c>
      <c r="AR125" s="145" t="n"/>
      <c r="AS125" s="145" t="n"/>
      <c r="AT125" s="149" t="inlineStr">
        <is>
          <t>Onboard compute (exact model not specified; likely NVIDIA Jetson-class)</t>
        </is>
      </c>
      <c r="AU125" s="149" t="inlineStr">
        <is>
          <t>Ethernet; Wi‑Fi</t>
        </is>
      </c>
      <c r="AV125" s="145" t="inlineStr">
        <is>
          <t>Not disclosed</t>
        </is>
      </c>
      <c r="AW125" s="149" t="inlineStr">
        <is>
          <t>Not disclosed</t>
        </is>
      </c>
      <c r="AX125" s="145" t="n"/>
      <c r="AY125" s="149" t="inlineStr">
        <is>
          <t>Not disclosed</t>
        </is>
      </c>
      <c r="AZ125" s="149" t="inlineStr">
        <is>
          <t>Yes</t>
        </is>
      </c>
      <c r="BA125" s="149" t="n"/>
      <c r="BB125" s="149" t="inlineStr">
        <is>
          <t>Electric actuators</t>
        </is>
      </c>
      <c r="BC125" s="149" t="inlineStr">
        <is>
          <t>Likely harmonic or planetary gear systems</t>
        </is>
      </c>
      <c r="BD125" s="145" t="inlineStr">
        <is>
          <t>Aluminum alloy + composite parts</t>
        </is>
      </c>
      <c r="BE125" s="145" t="inlineStr">
        <is>
          <t>Not disclosed</t>
        </is>
      </c>
      <c r="BF125" s="145" t="n"/>
      <c r="BG125" s="145" t="n"/>
      <c r="BH125" s="145" t="n"/>
      <c r="BI125" s="145" t="n"/>
      <c r="BJ125" s="145" t="n"/>
      <c r="BK125" s="145" t="n"/>
      <c r="BL125" s="145" t="n"/>
      <c r="BM125" s="145" t="inlineStr">
        <is>
          <t>Yes</t>
        </is>
      </c>
      <c r="BN125" s="145" t="inlineStr">
        <is>
          <t>Not disclosed</t>
        </is>
      </c>
      <c r="BO125" s="149" t="inlineStr">
        <is>
          <t>Market: Developers; research labs; robotics enthusiasts; universities · Human-safe: Yes · AI: Yes · Actuation: Electric actuators · Peak 3 km/h · Runtime 1.5</t>
        </is>
      </c>
      <c r="BP125" s="145" t="n"/>
      <c r="BQ125" s="149" t="inlineStr">
        <is>
          <t>Developers; research labs; robotics enthusiasts; universities</t>
        </is>
      </c>
      <c r="BR125" s="149" t="inlineStr">
        <is>
          <t>In production</t>
        </is>
      </c>
      <c r="BS125" s="149" t="inlineStr">
        <is>
          <t>In production</t>
        </is>
      </c>
      <c r="BT125" s="145" t="n"/>
      <c r="BU125" s="145" t="n"/>
      <c r="BV125" s="149" t="n"/>
      <c r="BW125" s="149" t="inlineStr">
        <is>
          <t>Origin &amp; status — Singapore · In production · 2026 | Manipulation — 5 per hand · 5 per hand fingers · Payload 77.2 lb | Sensing &amp; software — Yes | Buying notes — From $15,000 · 12 months manufacturer standard (typical research/commercial humanoid) · Best fit: Developers</t>
        </is>
      </c>
      <c r="BX125" s="149" t="inlineStr">
        <is>
          <t>as_shipped|Asimov|15000|As shipped</t>
        </is>
      </c>
      <c r="BY125" s="145" t="inlineStr">
        <is>
          <t>asimov|Manufacturer finish|#e2e8f0|0</t>
        </is>
      </c>
      <c r="BZ125" s="145" t="inlineStr"/>
      <c r="CA125" s="149" t="n"/>
      <c r="CB125" s="149" t="inlineStr">
        <is>
          <t>12 months manufacturer standard (typical research/commercial humanoid)</t>
        </is>
      </c>
      <c r="CC125" s="147" t="n">
        <v>12</v>
      </c>
      <c r="CD125" s="149" t="inlineStr">
        <is>
          <t>+3 Year Extended ≈24% of configuration (default in configurator)</t>
        </is>
      </c>
      <c r="CE125" s="145" t="inlineStr">
        <is>
          <t>Humanoid category norm 2025–2026</t>
        </is>
      </c>
      <c r="CF125" s="145" t="inlineStr">
        <is>
          <t>Estimated</t>
        </is>
      </c>
      <c r="CG125" s="149" t="inlineStr">
        <is>
          <t>Confirm on formal OEM quote. EDU or enterprise packages may differ.</t>
        </is>
      </c>
      <c r="CH125" s="145" t="inlineStr">
        <is>
          <t>10%</t>
        </is>
      </c>
      <c r="CI125" s="145" t="inlineStr">
        <is>
          <t>17%</t>
        </is>
      </c>
      <c r="CJ125" s="145" t="inlineStr">
        <is>
          <t>24%</t>
        </is>
      </c>
      <c r="CK125" s="149" t="inlineStr">
        <is>
          <t>+1yr ≈10% | +2yr ≈17% | +3yr ≈24% of selected configuration price (parts &amp; labor beyond manufacturer standard).</t>
        </is>
      </c>
      <c r="CL12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25" s="145" t="inlineStr">
        <is>
          <t>12 months manufacturer standard (typical research/commercial humanoid)</t>
        </is>
      </c>
      <c r="CN125" s="203" t="inlineStr">
        <is>
          <t>https://aixzd.com/robot/asimov</t>
        </is>
      </c>
      <c r="CQ125" s="101" t="inlineStr">
        <is>
          <t>Height: 3 ft 11 in | Weight: 77.2 | Degrees of Freedom: 27 | Payload: 77.2 | Max Speed: 1.86 | Battery / Runtime: ≈ 1.5 hours</t>
        </is>
      </c>
    </row>
    <row r="126" ht="31.5" customHeight="1" s="102">
      <c r="A126" s="152" t="inlineStr">
        <is>
          <t>menloai_asimov_1</t>
        </is>
      </c>
      <c r="B126" s="153" t="inlineStr">
        <is>
          <t>Humanoid.guide</t>
        </is>
      </c>
      <c r="C126" s="152" t="inlineStr">
        <is>
          <t>MenloAI</t>
        </is>
      </c>
      <c r="D126" s="152" t="inlineStr">
        <is>
          <t>Asimov 1</t>
        </is>
      </c>
      <c r="E126" s="152" t="inlineStr">
        <is>
          <t>[MenloAI] Asimov 1 (2026)</t>
        </is>
      </c>
      <c r="F126" s="146" t="inlineStr">
        <is>
          <t>humanoid</t>
        </is>
      </c>
      <c r="G126" s="152" t="inlineStr">
        <is>
          <t>Singapore</t>
        </is>
      </c>
      <c r="H126" s="152" t="n"/>
      <c r="I126" s="155" t="n">
        <v>20000</v>
      </c>
      <c r="J126" s="152" t="inlineStr">
        <is>
          <t>Humanoid.guide list</t>
        </is>
      </c>
      <c r="K126" s="156" t="inlineStr">
        <is>
          <t>Asimov 1 is Menlo Research’s open-source, build-it-yourself educational humanoid — 120cm, 35kg, 25+2 DoF, priced at $20,000.</t>
        </is>
      </c>
      <c r="L126" s="101" t="inlineStr">
        <is>
          <t>Asimov 1 is Menlo Research’s open-source, build-it-yourself educational humanoid — 120cm, 35kg, 25+2 DoF, priced at $20,000.</t>
        </is>
      </c>
      <c r="M126" s="101" t="inlineStr">
        <is>
          <t>Asimov 1 is Menlo Research’s open-source, build-it-yourself educational humanoid — 120cm, 35kg, 25+2 DoF, priced at $20,000. Public status is listed as in production, and it is positioned for developers; Research &amp; education; Robotics education.</t>
        </is>
      </c>
      <c r="N126" s="157" t="inlineStr">
        <is>
          <t>https://humanoid.guide/product/asimov-one/</t>
        </is>
      </c>
      <c r="O126" s="157" t="inlineStr">
        <is>
          <t>https://menlo.ai/</t>
        </is>
      </c>
      <c r="P126" s="152" t="inlineStr">
        <is>
          <t>3 ft 11 in</t>
        </is>
      </c>
      <c r="Q126" s="152" t="n">
        <v>120</v>
      </c>
      <c r="R126" s="152" t="n">
        <v>77.2</v>
      </c>
      <c r="S126" s="152" t="n">
        <v>35</v>
      </c>
      <c r="T126" s="156" t="inlineStr">
        <is>
          <t>Not disclosed</t>
        </is>
      </c>
      <c r="U126" s="152" t="n"/>
      <c r="V126" s="152" t="inlineStr">
        <is>
          <t>27</t>
        </is>
      </c>
      <c r="W126" s="156" t="inlineStr">
        <is>
          <t>0</t>
        </is>
      </c>
      <c r="X126" s="152" t="n">
        <v>6.6</v>
      </c>
      <c r="Y126" s="152" t="n">
        <v>3</v>
      </c>
      <c r="Z126" s="152" t="n">
        <v>1.86</v>
      </c>
      <c r="AA126" s="152" t="n">
        <v>3</v>
      </c>
      <c r="AB126" s="152" t="n"/>
      <c r="AC126" s="156" t="inlineStr">
        <is>
          <t>≈ 2 hours</t>
        </is>
      </c>
      <c r="AD126" s="156" t="inlineStr">
        <is>
          <t>2</t>
        </is>
      </c>
      <c r="AE126" s="152" t="n"/>
      <c r="AF126" s="152" t="inlineStr">
        <is>
          <t>Not disclosed</t>
        </is>
      </c>
      <c r="AG126" s="156" t="inlineStr">
        <is>
          <t>0</t>
        </is>
      </c>
      <c r="AH126" s="152" t="inlineStr">
        <is>
          <t>0</t>
        </is>
      </c>
      <c r="AI126" s="152" t="n"/>
      <c r="AJ126" s="156" t="inlineStr">
        <is>
          <t>2 MP monocular</t>
        </is>
      </c>
      <c r="AK126" s="156" t="inlineStr">
        <is>
          <t>2 MP monocular</t>
        </is>
      </c>
      <c r="AL126" s="152" t="inlineStr">
        <is>
          <t>Not disclosed</t>
        </is>
      </c>
      <c r="AM126" s="152" t="n"/>
      <c r="AN126" s="152" t="inlineStr">
        <is>
          <t>Not disclosed</t>
        </is>
      </c>
      <c r="AO126" s="152" t="inlineStr">
        <is>
          <t>Not disclosed</t>
        </is>
      </c>
      <c r="AP126" s="152" t="inlineStr">
        <is>
          <t>Not disclosed</t>
        </is>
      </c>
      <c r="AQ126" s="152" t="inlineStr">
        <is>
          <t>Not disclosed</t>
        </is>
      </c>
      <c r="AR126" s="152" t="n"/>
      <c r="AS126" s="152" t="n"/>
      <c r="AT126" s="156" t="inlineStr">
        <is>
          <t>Raspberry Pi 5 (media/networking) + Radxa CM5 (motion control)</t>
        </is>
      </c>
      <c r="AU126" s="156" t="inlineStr">
        <is>
          <t>6× internal CAN bus branches; Bluetooth; Ethernet; Wi‑Fi</t>
        </is>
      </c>
      <c r="AV126" s="152" t="inlineStr">
        <is>
          <t>Not disclosed</t>
        </is>
      </c>
      <c r="AW126" s="156" t="inlineStr">
        <is>
          <t>Not disclosed</t>
        </is>
      </c>
      <c r="AX126" s="152" t="n"/>
      <c r="AY126" s="156" t="inlineStr">
        <is>
          <t>Asimov OS (Linux-based, via Pi 5 + Radxa CM5)</t>
        </is>
      </c>
      <c r="AZ126" s="156" t="inlineStr">
        <is>
          <t>Yes</t>
        </is>
      </c>
      <c r="BA126" s="156" t="n"/>
      <c r="BB126" s="156" t="inlineStr">
        <is>
          <t>Brushless DC (BLDC) rotary actuators (inferred from actuator IDs)</t>
        </is>
      </c>
      <c r="BC126" s="156" t="inlineStr">
        <is>
          <t>Mixed planetary + harmonic reduction (inferred from actuator IDs)</t>
        </is>
      </c>
      <c r="BD126" s="152" t="inlineStr">
        <is>
          <t>Not disclosed</t>
        </is>
      </c>
      <c r="BE126" s="152" t="inlineStr">
        <is>
          <t>Not disclosed</t>
        </is>
      </c>
      <c r="BF126" s="152" t="n"/>
      <c r="BG126" s="152" t="n"/>
      <c r="BH126" s="152" t="n"/>
      <c r="BI126" s="152" t="n"/>
      <c r="BJ126" s="152" t="n"/>
      <c r="BK126" s="152" t="n"/>
      <c r="BL126" s="152" t="n"/>
      <c r="BM126" s="152" t="inlineStr">
        <is>
          <t>Yes</t>
        </is>
      </c>
      <c r="BN126" s="152" t="inlineStr">
        <is>
          <t>Not disclosed</t>
        </is>
      </c>
      <c r="BO126" s="156" t="inlineStr">
        <is>
          <t>Market: Developers; Research &amp; education; Robotics education · Human-safe: Yes · AI: Yes · Actuation: Brushless DC (BLDC) rotary actuators (inferred from actuator IDs) · Peak 3 km/h · Runtime 2</t>
        </is>
      </c>
      <c r="BP126" s="152" t="n"/>
      <c r="BQ126" s="156" t="inlineStr">
        <is>
          <t>Developers; Research &amp; education; Robotics education</t>
        </is>
      </c>
      <c r="BR126" s="156" t="inlineStr">
        <is>
          <t>In production</t>
        </is>
      </c>
      <c r="BS126" s="156" t="inlineStr">
        <is>
          <t>In production</t>
        </is>
      </c>
      <c r="BT126" s="152" t="n"/>
      <c r="BU126" s="152" t="n"/>
      <c r="BV126" s="156" t="n"/>
      <c r="BW126" s="156" t="inlineStr">
        <is>
          <t>Origin &amp; status — Singapore · In production · 2026 | Manipulation — 0 · 0 fingers · Hand DOF 0 · Payload 6.6 lb | Sensing &amp; software — 2 MP monocular · Yes · Asimov OS (Linux-based, via Pi 5 + Radxa CM5) | Buying notes — From $20,000 · 12 months manufacturer standard (typical research/commercial humanoid) · Best fit: Developers</t>
        </is>
      </c>
      <c r="BX126" s="156" t="inlineStr">
        <is>
          <t>as_shipped|Asimov 1|20000|As shipped</t>
        </is>
      </c>
      <c r="BY126" s="152" t="inlineStr">
        <is>
          <t>asimov_1|Manufacturer finish|#e2e8f0|0</t>
        </is>
      </c>
      <c r="BZ126" s="152" t="inlineStr"/>
      <c r="CA126" s="156" t="n"/>
      <c r="CB126" s="156" t="inlineStr">
        <is>
          <t>12 months manufacturer standard (typical research/commercial humanoid)</t>
        </is>
      </c>
      <c r="CC126" s="154" t="n">
        <v>12</v>
      </c>
      <c r="CD126" s="156" t="inlineStr">
        <is>
          <t>+3 Year Extended ≈24% of configuration (default in configurator)</t>
        </is>
      </c>
      <c r="CE126" s="152" t="inlineStr">
        <is>
          <t>Humanoid category norm 2025–2026</t>
        </is>
      </c>
      <c r="CF126" s="152" t="inlineStr">
        <is>
          <t>Estimated</t>
        </is>
      </c>
      <c r="CG126" s="156" t="inlineStr">
        <is>
          <t>Confirm on formal OEM quote. EDU or enterprise packages may differ.</t>
        </is>
      </c>
      <c r="CH126" s="152" t="inlineStr">
        <is>
          <t>10%</t>
        </is>
      </c>
      <c r="CI126" s="152" t="inlineStr">
        <is>
          <t>17%</t>
        </is>
      </c>
      <c r="CJ126" s="152" t="inlineStr">
        <is>
          <t>24%</t>
        </is>
      </c>
      <c r="CK126" s="156" t="inlineStr">
        <is>
          <t>+1yr ≈10% | +2yr ≈17% | +3yr ≈24% of selected configuration price (parts &amp; labor beyond manufacturer standard).</t>
        </is>
      </c>
      <c r="CL126"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26" s="152" t="inlineStr">
        <is>
          <t>12 months manufacturer standard (typical research/commercial humanoid)</t>
        </is>
      </c>
      <c r="CN126" s="203" t="inlineStr">
        <is>
          <t>https://aixzd.com/robot/asimov-1</t>
        </is>
      </c>
      <c r="CQ126" s="101" t="inlineStr">
        <is>
          <t>Height: 3 ft 11 in | Weight: 77.2 | Degrees of Freedom: 27 | Payload: 6.6 | Max Speed: 1.86 | Battery / Runtime: ≈ 2 hours</t>
        </is>
      </c>
    </row>
    <row r="127" ht="31.5" customHeight="1" s="102">
      <c r="A127" s="145" t="inlineStr">
        <is>
          <t>menloai_asimov_2</t>
        </is>
      </c>
      <c r="B127" s="153" t="inlineStr">
        <is>
          <t>Humanoid.guide</t>
        </is>
      </c>
      <c r="C127" s="145" t="inlineStr">
        <is>
          <t>MenloAI</t>
        </is>
      </c>
      <c r="D127" s="145" t="inlineStr">
        <is>
          <t>Asimov 2</t>
        </is>
      </c>
      <c r="E127" s="145" t="inlineStr">
        <is>
          <t>[MenloAI] Asimov 2 (2026)</t>
        </is>
      </c>
      <c r="F127" s="146" t="inlineStr">
        <is>
          <t>humanoid</t>
        </is>
      </c>
      <c r="G127" s="145" t="inlineStr">
        <is>
          <t>Singapore</t>
        </is>
      </c>
      <c r="H127" s="145" t="n"/>
      <c r="I127" s="148" t="n">
        <v>35000</v>
      </c>
      <c r="J127" s="145" t="inlineStr">
        <is>
          <t>Humanoid.guide list</t>
        </is>
      </c>
      <c r="K127" s="149" t="inlineStr">
        <is>
          <t>Asimov 2 is Menlo Research’s upcoming deployment-ready, bimanual humanoid — expected to build on Asimov 1 with functional hands, though full specs aren’t yet official.</t>
        </is>
      </c>
      <c r="L127" s="101" t="inlineStr">
        <is>
          <t>Asimov 2 is Menlo Research’s upcoming deployment-ready, bimanual humanoid — expected to build on Asimov 1 with functional hands, though full specs aren’t yet official.</t>
        </is>
      </c>
      <c r="M127" s="101" t="inlineStr">
        <is>
          <t>Asimov 2 is Menlo Research’s upcoming deployment-ready, bimanual humanoid — expected to build on Asimov 1 with functional hands, though full specs aren’t yet official. Public status is listed as prototype, and it is positioned for developers; Research &amp; education; Robotics education.</t>
        </is>
      </c>
      <c r="N127" s="150" t="inlineStr">
        <is>
          <t>https://humanoid.guide/product/asimov-two/</t>
        </is>
      </c>
      <c r="O127" s="150" t="inlineStr">
        <is>
          <t>https://menlo.ai/</t>
        </is>
      </c>
      <c r="P127" s="145" t="inlineStr">
        <is>
          <t>3 ft 11 in</t>
        </is>
      </c>
      <c r="Q127" s="145" t="n">
        <v>120</v>
      </c>
      <c r="R127" s="145" t="n">
        <v>83.8</v>
      </c>
      <c r="S127" s="145" t="n">
        <v>38</v>
      </c>
      <c r="T127" s="149" t="inlineStr">
        <is>
          <t>Not disclosed</t>
        </is>
      </c>
      <c r="U127" s="145" t="n"/>
      <c r="V127" s="145" t="inlineStr">
        <is>
          <t>27</t>
        </is>
      </c>
      <c r="W127" s="149" t="inlineStr">
        <is>
          <t>0</t>
        </is>
      </c>
      <c r="X127" s="145" t="n">
        <v>11</v>
      </c>
      <c r="Y127" s="145" t="n">
        <v>5</v>
      </c>
      <c r="Z127" s="145" t="n">
        <v>2.49</v>
      </c>
      <c r="AA127" s="145" t="n">
        <v>4</v>
      </c>
      <c r="AB127" s="145" t="n"/>
      <c r="AC127" s="149" t="inlineStr">
        <is>
          <t>≈ 2.5 hours</t>
        </is>
      </c>
      <c r="AD127" s="149" t="inlineStr">
        <is>
          <t>2.5</t>
        </is>
      </c>
      <c r="AE127" s="145" t="n"/>
      <c r="AF127" s="145" t="inlineStr">
        <is>
          <t>Not disclosed</t>
        </is>
      </c>
      <c r="AG127" s="149" t="inlineStr">
        <is>
          <t>0</t>
        </is>
      </c>
      <c r="AH127" s="145" t="inlineStr">
        <is>
          <t>0</t>
        </is>
      </c>
      <c r="AI127" s="145" t="n"/>
      <c r="AJ127" s="149" t="inlineStr">
        <is>
          <t>2 MP monocular</t>
        </is>
      </c>
      <c r="AK127" s="149" t="inlineStr">
        <is>
          <t>2 MP monocular</t>
        </is>
      </c>
      <c r="AL127" s="145" t="inlineStr">
        <is>
          <t>Not disclosed</t>
        </is>
      </c>
      <c r="AM127" s="145" t="n"/>
      <c r="AN127" s="145" t="inlineStr">
        <is>
          <t>Not disclosed</t>
        </is>
      </c>
      <c r="AO127" s="145" t="inlineStr">
        <is>
          <t>Not disclosed</t>
        </is>
      </c>
      <c r="AP127" s="145" t="inlineStr">
        <is>
          <t>Not disclosed</t>
        </is>
      </c>
      <c r="AQ127" s="145" t="inlineStr">
        <is>
          <t>Not disclosed</t>
        </is>
      </c>
      <c r="AR127" s="145" t="n"/>
      <c r="AS127" s="145" t="n"/>
      <c r="AT127" s="149" t="inlineStr">
        <is>
          <t>Raspberry Pi 5 (media/networking) + Radxa CM5 (motion control)</t>
        </is>
      </c>
      <c r="AU127" s="149" t="inlineStr">
        <is>
          <t>6× internal CAN bus branches; Bluetooth; Ethernet; Wi‑Fi</t>
        </is>
      </c>
      <c r="AV127" s="145" t="inlineStr">
        <is>
          <t>Not disclosed</t>
        </is>
      </c>
      <c r="AW127" s="149" t="inlineStr">
        <is>
          <t>Not disclosed</t>
        </is>
      </c>
      <c r="AX127" s="145" t="n"/>
      <c r="AY127" s="149" t="inlineStr">
        <is>
          <t>Asimov OS</t>
        </is>
      </c>
      <c r="AZ127" s="149" t="inlineStr">
        <is>
          <t>Yes</t>
        </is>
      </c>
      <c r="BA127" s="149" t="n"/>
      <c r="BB127" s="149" t="inlineStr">
        <is>
          <t>Brushless DC (BLDC) rotary actuators (inferred from actuator IDs)</t>
        </is>
      </c>
      <c r="BC127" s="149" t="inlineStr">
        <is>
          <t>Mixed planetary + harmonic reduction (inferred from actuator IDs)</t>
        </is>
      </c>
      <c r="BD127" s="145" t="inlineStr">
        <is>
          <t>Not disclosed</t>
        </is>
      </c>
      <c r="BE127" s="145" t="inlineStr">
        <is>
          <t>Not disclosed</t>
        </is>
      </c>
      <c r="BF127" s="145" t="n"/>
      <c r="BG127" s="145" t="n"/>
      <c r="BH127" s="145" t="n"/>
      <c r="BI127" s="145" t="n"/>
      <c r="BJ127" s="145" t="n"/>
      <c r="BK127" s="145" t="n"/>
      <c r="BL127" s="145" t="n"/>
      <c r="BM127" s="145" t="inlineStr">
        <is>
          <t>Yes</t>
        </is>
      </c>
      <c r="BN127" s="145" t="inlineStr">
        <is>
          <t>Not disclosed</t>
        </is>
      </c>
      <c r="BO127" s="149" t="inlineStr">
        <is>
          <t>Market: Developers; Research &amp; education; Robotics education · Human-safe: Yes · AI: Yes · Actuation: Brushless DC (BLDC) rotary actuators (inferred from actuator IDs) · Peak 4 km/h · Runtime 2.5</t>
        </is>
      </c>
      <c r="BP127" s="145" t="n"/>
      <c r="BQ127" s="149" t="inlineStr">
        <is>
          <t>Developers; Research &amp; education; Robotics education</t>
        </is>
      </c>
      <c r="BR127" s="149" t="inlineStr">
        <is>
          <t>Prototype</t>
        </is>
      </c>
      <c r="BS127" s="149" t="inlineStr">
        <is>
          <t>Prototype</t>
        </is>
      </c>
      <c r="BT127" s="145" t="n"/>
      <c r="BU127" s="145" t="n"/>
      <c r="BV127" s="149" t="n"/>
      <c r="BW127" s="149" t="inlineStr">
        <is>
          <t>Origin &amp; status — Singapore · Prototype · 2026 | Manipulation — 0 · 0 fingers · Hand DOF 0 · Payload 11 lb | Sensing &amp; software — 2 MP monocular · Yes · Asimov OS | Buying notes — From $35,000 · 12 months manufacturer standard (typical research/commercial humanoid) · Best fit: Developers</t>
        </is>
      </c>
      <c r="BX127" s="149" t="inlineStr">
        <is>
          <t>as_shipped|Asimov 2|35000|As shipped</t>
        </is>
      </c>
      <c r="BY127" s="145" t="inlineStr">
        <is>
          <t>asimov_2|Manufacturer finish|#e2e8f0|0</t>
        </is>
      </c>
      <c r="BZ127" s="145" t="inlineStr"/>
      <c r="CA127" s="149" t="n"/>
      <c r="CB127" s="149" t="inlineStr">
        <is>
          <t>12 months manufacturer standard (typical research/commercial humanoid)</t>
        </is>
      </c>
      <c r="CC127" s="147" t="n">
        <v>12</v>
      </c>
      <c r="CD127" s="149" t="inlineStr">
        <is>
          <t>+3 Year Extended ≈24% of configuration (default in configurator)</t>
        </is>
      </c>
      <c r="CE127" s="145" t="inlineStr">
        <is>
          <t>Humanoid category norm 2025–2026</t>
        </is>
      </c>
      <c r="CF127" s="145" t="inlineStr">
        <is>
          <t>Estimated</t>
        </is>
      </c>
      <c r="CG127" s="149" t="inlineStr">
        <is>
          <t>Confirm on formal OEM quote. EDU or enterprise packages may differ.</t>
        </is>
      </c>
      <c r="CH127" s="145" t="inlineStr">
        <is>
          <t>10%</t>
        </is>
      </c>
      <c r="CI127" s="145" t="inlineStr">
        <is>
          <t>17%</t>
        </is>
      </c>
      <c r="CJ127" s="145" t="inlineStr">
        <is>
          <t>24%</t>
        </is>
      </c>
      <c r="CK127" s="149" t="inlineStr">
        <is>
          <t>+1yr ≈10% | +2yr ≈17% | +3yr ≈24% of selected configuration price (parts &amp; labor beyond manufacturer standard).</t>
        </is>
      </c>
      <c r="CL127"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27" s="145" t="inlineStr">
        <is>
          <t>12 months manufacturer standard (typical research/commercial humanoid)</t>
        </is>
      </c>
      <c r="CQ127" s="101" t="inlineStr">
        <is>
          <t>Height: 3 ft 11 in | Weight: 83.8 | Degrees of Freedom: 27 | Payload: 11 | Max Speed: 2.49 | Battery / Runtime: ≈ 2.5 hours</t>
        </is>
      </c>
    </row>
    <row r="128" ht="31.5" customHeight="1" s="102">
      <c r="A128" s="152" t="inlineStr">
        <is>
          <t>mentee_robotics_menteebot</t>
        </is>
      </c>
      <c r="B128" s="153" t="inlineStr">
        <is>
          <t>Humanoid.guide</t>
        </is>
      </c>
      <c r="C128" s="152" t="inlineStr">
        <is>
          <t>Mentee Robotics</t>
        </is>
      </c>
      <c r="D128" s="152" t="inlineStr">
        <is>
          <t>MenteeBot</t>
        </is>
      </c>
      <c r="E128" s="152" t="inlineStr">
        <is>
          <t>[Mentee Robotics] MenteeBot (2022)</t>
        </is>
      </c>
      <c r="F128" s="146" t="inlineStr">
        <is>
          <t>humanoid</t>
        </is>
      </c>
      <c r="G128" s="152" t="inlineStr">
        <is>
          <t>Israel</t>
        </is>
      </c>
      <c r="H128" s="154" t="n">
        <v>2022</v>
      </c>
      <c r="I128" s="155" t="n">
        <v>35000</v>
      </c>
      <c r="J128" s="152" t="inlineStr">
        <is>
          <t>Humanoid.guide list</t>
        </is>
      </c>
      <c r="K128" s="156" t="inlineStr">
        <is>
          <t>Menteebot is an innovative humanoid robot developed by Mentee Robotics, an Israeli company founded in 2022 by renowned experts in AI, computer vision, and machine learning.</t>
        </is>
      </c>
      <c r="L128" s="101" t="inlineStr">
        <is>
          <t>Menteebot is an innovative humanoid robot developed by Mentee Robotics, an Israeli company founded in 2022 by renowned experts in AI, computer vision, and machine learning.</t>
        </is>
      </c>
      <c r="M128" s="101" t="inlineStr">
        <is>
          <t>Menteebot is an innovative humanoid robot developed by Mentee Robotics, an Israeli company founded in 2022 by renowned experts in AI, computer vision, and machine learning. Public status is listed as prototype.</t>
        </is>
      </c>
      <c r="N128" s="157" t="inlineStr">
        <is>
          <t>https://humanoid.guide/product/menteebot/</t>
        </is>
      </c>
      <c r="O128" s="157" t="inlineStr">
        <is>
          <t>https://www.menteebot.com</t>
        </is>
      </c>
      <c r="P128" s="152" t="inlineStr">
        <is>
          <t>5 ft 9 in</t>
        </is>
      </c>
      <c r="Q128" s="152" t="n">
        <v>175</v>
      </c>
      <c r="R128" s="152" t="n">
        <v>154.3</v>
      </c>
      <c r="S128" s="152" t="n">
        <v>70</v>
      </c>
      <c r="T128" s="156" t="inlineStr">
        <is>
          <t>Not disclosed</t>
        </is>
      </c>
      <c r="U128" s="152" t="n"/>
      <c r="V128" s="152" t="inlineStr">
        <is>
          <t>40</t>
        </is>
      </c>
      <c r="W128" s="156" t="inlineStr">
        <is>
          <t>Not disclosed</t>
        </is>
      </c>
      <c r="X128" s="152" t="n">
        <v>55.1</v>
      </c>
      <c r="Y128" s="152" t="n">
        <v>25</v>
      </c>
      <c r="Z128" s="152" t="n">
        <v>2.8</v>
      </c>
      <c r="AA128" s="152" t="n">
        <v>4.5</v>
      </c>
      <c r="AB128" s="152" t="n">
        <v>5.4</v>
      </c>
      <c r="AC128" s="156" t="inlineStr">
        <is>
          <t>≈ 3 hours</t>
        </is>
      </c>
      <c r="AD128" s="156" t="inlineStr">
        <is>
          <t>3</t>
        </is>
      </c>
      <c r="AE128" s="152" t="n"/>
      <c r="AF128" s="152" t="inlineStr">
        <is>
          <t>Not disclosed</t>
        </is>
      </c>
      <c r="AG128" s="156" t="inlineStr">
        <is>
          <t>Not disclosed</t>
        </is>
      </c>
      <c r="AH128" s="152" t="inlineStr">
        <is>
          <t>Not disclosed</t>
        </is>
      </c>
      <c r="AI128" s="158" t="n">
        <v>2</v>
      </c>
      <c r="AJ128" s="156" t="inlineStr">
        <is>
          <t>Not disclosed</t>
        </is>
      </c>
      <c r="AK128" s="156" t="n"/>
      <c r="AL128" s="152" t="inlineStr">
        <is>
          <t>Not disclosed</t>
        </is>
      </c>
      <c r="AM128" s="152" t="n"/>
      <c r="AN128" s="152" t="inlineStr">
        <is>
          <t>Not disclosed</t>
        </is>
      </c>
      <c r="AO128" s="152" t="inlineStr">
        <is>
          <t>Not disclosed</t>
        </is>
      </c>
      <c r="AP128" s="152" t="inlineStr">
        <is>
          <t>Not disclosed</t>
        </is>
      </c>
      <c r="AQ128" s="152" t="inlineStr">
        <is>
          <t>Not disclosed</t>
        </is>
      </c>
      <c r="AR128" s="152" t="n"/>
      <c r="AS128" s="152" t="n"/>
      <c r="AT128" s="156" t="inlineStr">
        <is>
          <t>Not disclosed</t>
        </is>
      </c>
      <c r="AU128" s="156" t="inlineStr">
        <is>
          <t>Not disclosed</t>
        </is>
      </c>
      <c r="AV128" s="152" t="inlineStr">
        <is>
          <t>Not disclosed</t>
        </is>
      </c>
      <c r="AW128" s="156" t="inlineStr">
        <is>
          <t>Not disclosed</t>
        </is>
      </c>
      <c r="AX128" s="158" t="n">
        <v>2</v>
      </c>
      <c r="AY128" s="156" t="inlineStr">
        <is>
          <t>Not disclosed</t>
        </is>
      </c>
      <c r="AZ128" s="156" t="inlineStr">
        <is>
          <t>Not disclosed</t>
        </is>
      </c>
      <c r="BA128" s="156" t="n"/>
      <c r="BB128" s="156" t="inlineStr">
        <is>
          <t>Not disclosed</t>
        </is>
      </c>
      <c r="BC128" s="156" t="inlineStr">
        <is>
          <t>Not disclosed</t>
        </is>
      </c>
      <c r="BD128" s="152" t="inlineStr">
        <is>
          <t>Not disclosed</t>
        </is>
      </c>
      <c r="BE128" s="152" t="inlineStr">
        <is>
          <t>Not disclosed</t>
        </is>
      </c>
      <c r="BF128" s="152" t="n"/>
      <c r="BG128" s="152" t="n"/>
      <c r="BH128" s="152" t="n"/>
      <c r="BI128" s="152" t="n"/>
      <c r="BJ128" s="152" t="n"/>
      <c r="BK128" s="152" t="n"/>
      <c r="BL128" s="152" t="n"/>
      <c r="BM128" s="152" t="inlineStr">
        <is>
          <t>Not disclosed</t>
        </is>
      </c>
      <c r="BN128" s="152" t="inlineStr">
        <is>
          <t>Not disclosed</t>
        </is>
      </c>
      <c r="BO128" s="156" t="inlineStr">
        <is>
          <t>Manipulation 2/4 · Navigation 2/4 · Peak 4.5 km/h · Walk 5.4 km/h · Runtime 3</t>
        </is>
      </c>
      <c r="BP128" s="152" t="n"/>
      <c r="BQ128" s="156" t="inlineStr">
        <is>
          <t>Research labs, commercial pilots, and education programs evaluating a humanoid from Mentee Robotics (Israel) now listed as prototype.</t>
        </is>
      </c>
      <c r="BR128" s="156" t="inlineStr">
        <is>
          <t>Prototype</t>
        </is>
      </c>
      <c r="BS128" s="156" t="inlineStr">
        <is>
          <t>Prototype</t>
        </is>
      </c>
      <c r="BT128" s="152" t="n"/>
      <c r="BU128" s="152" t="inlineStr">
        <is>
          <t>Not verified</t>
        </is>
      </c>
      <c r="BV128" s="156" t="n"/>
      <c r="BW128" s="156" t="inlineStr">
        <is>
          <t>Origin &amp; status — Israel · Prototype · 2022 | Manipulation — Payload 55.1 lb | Sensing &amp; software — Sensor and compute package confirmed on formal quote | Buying notes — From $35,000 · 12 months manufacturer standard (typical research/commercial humanoid)</t>
        </is>
      </c>
      <c r="BX128" s="156" t="inlineStr">
        <is>
          <t>as_shipped|MenteeBot|35000|As shipped</t>
        </is>
      </c>
      <c r="BY128" s="152" t="inlineStr">
        <is>
          <t>menteebot|Manufacturer finish|#e2e8f0|0</t>
        </is>
      </c>
      <c r="BZ128" s="152" t="inlineStr"/>
      <c r="CA128" s="156" t="n"/>
      <c r="CB128" s="156" t="inlineStr">
        <is>
          <t>12 months manufacturer standard (typical research/commercial humanoid)</t>
        </is>
      </c>
      <c r="CC128" s="154" t="n">
        <v>12</v>
      </c>
      <c r="CD128" s="156" t="inlineStr">
        <is>
          <t>+3 Year Extended ≈24% of configuration (default in configurator)</t>
        </is>
      </c>
      <c r="CE128" s="152" t="inlineStr">
        <is>
          <t>Humanoid category norm 2025–2026</t>
        </is>
      </c>
      <c r="CF128" s="152" t="inlineStr">
        <is>
          <t>Estimated</t>
        </is>
      </c>
      <c r="CG128" s="156" t="inlineStr">
        <is>
          <t>Confirm on formal OEM quote. EDU or enterprise packages may differ.</t>
        </is>
      </c>
      <c r="CH128" s="152" t="inlineStr">
        <is>
          <t>10%</t>
        </is>
      </c>
      <c r="CI128" s="152" t="inlineStr">
        <is>
          <t>17%</t>
        </is>
      </c>
      <c r="CJ128" s="152" t="inlineStr">
        <is>
          <t>24%</t>
        </is>
      </c>
      <c r="CK128" s="156" t="inlineStr">
        <is>
          <t>+1yr ≈10% | +2yr ≈17% | +3yr ≈24% of selected configuration price (parts &amp; labor beyond manufacturer standard).</t>
        </is>
      </c>
      <c r="CL128"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28" s="152" t="inlineStr">
        <is>
          <t>12 months manufacturer standard (typical research/commercial humanoid)</t>
        </is>
      </c>
      <c r="CN128" s="203" t="inlineStr">
        <is>
          <t>https://aixzd.com/robot/menteebot</t>
        </is>
      </c>
      <c r="CQ128" s="101" t="inlineStr">
        <is>
          <t>Height: 5 ft 9 in | Weight: 154.3 | Degrees of Freedom: 40 | Payload: 55.1 | Max Speed: 2.8 | Battery / Runtime: ≈ 3 hours</t>
        </is>
      </c>
    </row>
    <row r="129" ht="31.5" customHeight="1" s="102">
      <c r="A129" s="145" t="inlineStr">
        <is>
          <t>mentee_robotics_menteebot_v3</t>
        </is>
      </c>
      <c r="B129" s="153" t="inlineStr">
        <is>
          <t>Humanoid.guide</t>
        </is>
      </c>
      <c r="C129" s="145" t="inlineStr">
        <is>
          <t>Mentee Robotics</t>
        </is>
      </c>
      <c r="D129" s="145" t="inlineStr">
        <is>
          <t>MenteeBot V3</t>
        </is>
      </c>
      <c r="E129" s="145" t="inlineStr">
        <is>
          <t>[Mentee Robotics] MenteeBot V3 (2026)</t>
        </is>
      </c>
      <c r="F129" s="146" t="inlineStr">
        <is>
          <t>humanoid</t>
        </is>
      </c>
      <c r="G129" s="145" t="inlineStr">
        <is>
          <t>Israel</t>
        </is>
      </c>
      <c r="H129" s="145" t="n"/>
      <c r="I129" s="148" t="n">
        <v>35000</v>
      </c>
      <c r="J129" s="145" t="inlineStr">
        <is>
          <t>Humanoid.guide list</t>
        </is>
      </c>
      <c r="K129" s="149" t="inlineStr">
        <is>
          <t>Menteebot V3 is a full-size humanoid robot designed for heavy lifting and warehouse automation.</t>
        </is>
      </c>
      <c r="L129" s="101" t="inlineStr">
        <is>
          <t>Menteebot V3 is a full-size humanoid robot designed for heavy lifting and warehouse automation.</t>
        </is>
      </c>
      <c r="M129" s="101" t="inlineStr">
        <is>
          <t>Menteebot V3 is a full-size humanoid robot designed for heavy lifting and warehouse automation. Public status is listed as prototype.</t>
        </is>
      </c>
      <c r="N129" s="150" t="inlineStr">
        <is>
          <t>https://humanoid.guide/product/menteebot-v3/</t>
        </is>
      </c>
      <c r="O129" s="150" t="inlineStr">
        <is>
          <t>https://www.menteebot.com</t>
        </is>
      </c>
      <c r="P129" s="145" t="inlineStr">
        <is>
          <t>5 ft 9 in</t>
        </is>
      </c>
      <c r="Q129" s="145" t="n">
        <v>175</v>
      </c>
      <c r="R129" s="145" t="n">
        <v>143.3</v>
      </c>
      <c r="S129" s="145" t="n">
        <v>65</v>
      </c>
      <c r="T129" s="149" t="inlineStr">
        <is>
          <t>Not disclosed</t>
        </is>
      </c>
      <c r="U129" s="145" t="n"/>
      <c r="V129" s="145" t="inlineStr">
        <is>
          <t>55</t>
        </is>
      </c>
      <c r="W129" s="149" t="inlineStr">
        <is>
          <t>Not disclosed</t>
        </is>
      </c>
      <c r="X129" s="145" t="n">
        <v>55.1</v>
      </c>
      <c r="Y129" s="145" t="n">
        <v>25</v>
      </c>
      <c r="Z129" s="145" t="n">
        <v>1.86</v>
      </c>
      <c r="AA129" s="145" t="n">
        <v>3</v>
      </c>
      <c r="AB129" s="145" t="n"/>
      <c r="AC129" s="149" t="inlineStr">
        <is>
          <t>≈ 4 hours</t>
        </is>
      </c>
      <c r="AD129" s="149" t="inlineStr">
        <is>
          <t>4</t>
        </is>
      </c>
      <c r="AE129" s="145" t="n"/>
      <c r="AF129" s="145" t="inlineStr">
        <is>
          <t>Not disclosed</t>
        </is>
      </c>
      <c r="AG129" s="149" t="inlineStr">
        <is>
          <t>Not disclosed</t>
        </is>
      </c>
      <c r="AH129" s="145" t="inlineStr">
        <is>
          <t>Not disclosed</t>
        </is>
      </c>
      <c r="AI129" s="158" t="n">
        <v>2</v>
      </c>
      <c r="AJ129" s="149" t="inlineStr">
        <is>
          <t>Not disclosed</t>
        </is>
      </c>
      <c r="AK129" s="149" t="n"/>
      <c r="AL129" s="145" t="inlineStr">
        <is>
          <t>Not disclosed</t>
        </is>
      </c>
      <c r="AM129" s="145" t="n"/>
      <c r="AN129" s="145" t="inlineStr">
        <is>
          <t>Not disclosed</t>
        </is>
      </c>
      <c r="AO129" s="145" t="inlineStr">
        <is>
          <t>Not disclosed</t>
        </is>
      </c>
      <c r="AP129" s="145" t="inlineStr">
        <is>
          <t>Not disclosed</t>
        </is>
      </c>
      <c r="AQ129" s="145" t="inlineStr">
        <is>
          <t>Not disclosed</t>
        </is>
      </c>
      <c r="AR129" s="145" t="n"/>
      <c r="AS129" s="145" t="n"/>
      <c r="AT129" s="149" t="inlineStr">
        <is>
          <t>Not disclosed</t>
        </is>
      </c>
      <c r="AU129" s="149" t="inlineStr">
        <is>
          <t>Not disclosed</t>
        </is>
      </c>
      <c r="AV129" s="145" t="inlineStr">
        <is>
          <t>Not disclosed</t>
        </is>
      </c>
      <c r="AW129" s="149" t="inlineStr">
        <is>
          <t>Not disclosed</t>
        </is>
      </c>
      <c r="AX129" s="158" t="n">
        <v>2</v>
      </c>
      <c r="AY129" s="149" t="inlineStr">
        <is>
          <t>Not disclosed</t>
        </is>
      </c>
      <c r="AZ129" s="149" t="inlineStr">
        <is>
          <t>Not disclosed</t>
        </is>
      </c>
      <c r="BA129" s="149" t="n"/>
      <c r="BB129" s="149" t="inlineStr">
        <is>
          <t>Not disclosed</t>
        </is>
      </c>
      <c r="BC129" s="149" t="inlineStr">
        <is>
          <t>Not disclosed</t>
        </is>
      </c>
      <c r="BD129" s="145" t="inlineStr">
        <is>
          <t>Not disclosed</t>
        </is>
      </c>
      <c r="BE129" s="145" t="inlineStr">
        <is>
          <t>Not disclosed</t>
        </is>
      </c>
      <c r="BF129" s="145" t="n"/>
      <c r="BG129" s="145" t="n"/>
      <c r="BH129" s="145" t="n"/>
      <c r="BI129" s="145" t="n"/>
      <c r="BJ129" s="145" t="n"/>
      <c r="BK129" s="145" t="n"/>
      <c r="BL129" s="145" t="n"/>
      <c r="BM129" s="145" t="inlineStr">
        <is>
          <t>Not disclosed</t>
        </is>
      </c>
      <c r="BN129" s="145" t="inlineStr">
        <is>
          <t>Not disclosed</t>
        </is>
      </c>
      <c r="BO129" s="149" t="inlineStr">
        <is>
          <t>Manipulation 2/4 · Navigation 2/4 · Peak 3 km/h · Runtime 4</t>
        </is>
      </c>
      <c r="BP129" s="145" t="n"/>
      <c r="BQ129" s="149" t="inlineStr">
        <is>
          <t>Research labs, commercial pilots, and education programs evaluating a humanoid from Mentee Robotics (Israel) now listed as prototype.</t>
        </is>
      </c>
      <c r="BR129" s="149" t="inlineStr">
        <is>
          <t>Prototype</t>
        </is>
      </c>
      <c r="BS129" s="149" t="inlineStr">
        <is>
          <t>Prototype</t>
        </is>
      </c>
      <c r="BT129" s="145" t="n"/>
      <c r="BU129" s="145" t="inlineStr">
        <is>
          <t>Not verified</t>
        </is>
      </c>
      <c r="BV129" s="149" t="n"/>
      <c r="BW129" s="149" t="inlineStr">
        <is>
          <t>Origin &amp; status — Israel · Prototype · 2026 | Manipulation — Payload 55.1 lb | Sensing &amp; software — Sensor and compute package confirmed on formal quote | Buying notes — From $35,000 · 12 months manufacturer standard (typical research/commercial humanoid)</t>
        </is>
      </c>
      <c r="BX129" s="149" t="inlineStr">
        <is>
          <t>as_shipped|MenteeBot V3|35000|As shipped</t>
        </is>
      </c>
      <c r="BY129" s="145" t="inlineStr">
        <is>
          <t>menteebot_v3|Manufacturer finish|#e2e8f0|0</t>
        </is>
      </c>
      <c r="BZ129" s="145" t="inlineStr"/>
      <c r="CA129" s="149" t="n"/>
      <c r="CB129" s="149" t="inlineStr">
        <is>
          <t>12 months manufacturer standard (typical research/commercial humanoid)</t>
        </is>
      </c>
      <c r="CC129" s="147" t="n">
        <v>12</v>
      </c>
      <c r="CD129" s="149" t="inlineStr">
        <is>
          <t>+3 Year Extended ≈24% of configuration (default in configurator)</t>
        </is>
      </c>
      <c r="CE129" s="145" t="inlineStr">
        <is>
          <t>Humanoid category norm 2025–2026</t>
        </is>
      </c>
      <c r="CF129" s="145" t="inlineStr">
        <is>
          <t>Estimated</t>
        </is>
      </c>
      <c r="CG129" s="149" t="inlineStr">
        <is>
          <t>Confirm on formal OEM quote. EDU or enterprise packages may differ.</t>
        </is>
      </c>
      <c r="CH129" s="145" t="inlineStr">
        <is>
          <t>10%</t>
        </is>
      </c>
      <c r="CI129" s="145" t="inlineStr">
        <is>
          <t>17%</t>
        </is>
      </c>
      <c r="CJ129" s="145" t="inlineStr">
        <is>
          <t>24%</t>
        </is>
      </c>
      <c r="CK129" s="149" t="inlineStr">
        <is>
          <t>+1yr ≈10% | +2yr ≈17% | +3yr ≈24% of selected configuration price (parts &amp; labor beyond manufacturer standard).</t>
        </is>
      </c>
      <c r="CL12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29" s="145" t="inlineStr">
        <is>
          <t>12 months manufacturer standard (typical research/commercial humanoid)</t>
        </is>
      </c>
      <c r="CQ129" s="101" t="inlineStr">
        <is>
          <t>Height: 5 ft 9 in | Weight: 143.3 | Degrees of Freedom: 55 | Payload: 55.1 | Max Speed: 1.86 | Battery / Runtime: ≈ 4 hours</t>
        </is>
      </c>
    </row>
    <row r="130" ht="31.5" customHeight="1" s="102">
      <c r="A130" s="152" t="inlineStr">
        <is>
          <t>midea_miro</t>
        </is>
      </c>
      <c r="B130" s="153" t="inlineStr">
        <is>
          <t>Humanoid.guide</t>
        </is>
      </c>
      <c r="C130" s="152" t="inlineStr">
        <is>
          <t>Midea</t>
        </is>
      </c>
      <c r="D130" s="152" t="inlineStr">
        <is>
          <t>MIRO</t>
        </is>
      </c>
      <c r="E130" s="152" t="inlineStr">
        <is>
          <t>[Midea] MIRO (2026)</t>
        </is>
      </c>
      <c r="F130" s="146" t="inlineStr">
        <is>
          <t>humanoid</t>
        </is>
      </c>
      <c r="G130" s="152" t="inlineStr">
        <is>
          <t>China</t>
        </is>
      </c>
      <c r="H130" s="152" t="n"/>
      <c r="I130" s="155" t="n">
        <v>58000</v>
      </c>
      <c r="J130" s="152" t="inlineStr">
        <is>
          <t>Humanoid.guide list</t>
        </is>
      </c>
      <c r="K130" s="156" t="inlineStr">
        <is>
          <t>MIRO is a wheeled humanoid robot developed by Midea, designed for industrial factory automation.</t>
        </is>
      </c>
      <c r="L130" s="101" t="inlineStr">
        <is>
          <t>MIRO is a wheeled humanoid robot developed by Midea, designed for industrial factory automation.</t>
        </is>
      </c>
      <c r="M130" s="101" t="inlineStr">
        <is>
          <t>MIRO is a wheeled humanoid robot developed by Midea, designed for industrial factory automation. Public status is listed as prototype, and it is positioned for industrial automation.</t>
        </is>
      </c>
      <c r="N130" s="157" t="inlineStr">
        <is>
          <t>https://humanoid.guide/product/miro/</t>
        </is>
      </c>
      <c r="O130" s="157" t="inlineStr">
        <is>
          <t>https://www.midea.com</t>
        </is>
      </c>
      <c r="P130" s="152" t="n"/>
      <c r="Q130" s="152" t="n"/>
      <c r="R130" s="152" t="n"/>
      <c r="S130" s="152" t="n"/>
      <c r="T130" s="156" t="inlineStr">
        <is>
          <t>Not disclosed</t>
        </is>
      </c>
      <c r="U130" s="152" t="n"/>
      <c r="V130" s="152" t="inlineStr">
        <is>
          <t>Not disclosed</t>
        </is>
      </c>
      <c r="W130" s="156" t="inlineStr">
        <is>
          <t>Not disclosed</t>
        </is>
      </c>
      <c r="X130" s="152" t="n">
        <v>17.6</v>
      </c>
      <c r="Y130" s="152" t="n">
        <v>8</v>
      </c>
      <c r="Z130" s="152" t="n">
        <v>2.49</v>
      </c>
      <c r="AA130" s="152" t="n">
        <v>4</v>
      </c>
      <c r="AB130" s="152" t="n"/>
      <c r="AC130" s="156" t="inlineStr">
        <is>
          <t>Not disclosed</t>
        </is>
      </c>
      <c r="AD130" s="156" t="n"/>
      <c r="AE130" s="152" t="n"/>
      <c r="AF130" s="152" t="inlineStr">
        <is>
          <t>Not disclosed</t>
        </is>
      </c>
      <c r="AG130" s="156" t="inlineStr">
        <is>
          <t>Not disclosed</t>
        </is>
      </c>
      <c r="AH130" s="152" t="inlineStr">
        <is>
          <t>Not disclosed</t>
        </is>
      </c>
      <c r="AI130" s="158" t="n">
        <v>2</v>
      </c>
      <c r="AJ130" s="156" t="inlineStr">
        <is>
          <t>Proprietary 3D camera (resolution N/A)</t>
        </is>
      </c>
      <c r="AK130" s="156" t="inlineStr">
        <is>
          <t>Proprietary 3D camera (resolution N/A)</t>
        </is>
      </c>
      <c r="AL130" s="152" t="inlineStr">
        <is>
          <t>Not disclosed</t>
        </is>
      </c>
      <c r="AM130" s="152" t="n"/>
      <c r="AN130" s="152" t="inlineStr">
        <is>
          <t>Not disclosed</t>
        </is>
      </c>
      <c r="AO130" s="152" t="inlineStr">
        <is>
          <t>Not disclosed</t>
        </is>
      </c>
      <c r="AP130" s="152" t="inlineStr">
        <is>
          <t>Not disclosed</t>
        </is>
      </c>
      <c r="AQ130" s="152" t="inlineStr">
        <is>
          <t>Not disclosed</t>
        </is>
      </c>
      <c r="AR130" s="152" t="n"/>
      <c r="AS130" s="152" t="n"/>
      <c r="AT130" s="156" t="inlineStr">
        <is>
          <t>Not disclosed</t>
        </is>
      </c>
      <c r="AU130" s="156" t="inlineStr">
        <is>
          <t>Not disclosed</t>
        </is>
      </c>
      <c r="AV130" s="152" t="inlineStr">
        <is>
          <t>Not disclosed</t>
        </is>
      </c>
      <c r="AW130" s="156" t="inlineStr">
        <is>
          <t>Not disclosed</t>
        </is>
      </c>
      <c r="AX130" s="158" t="n">
        <v>2</v>
      </c>
      <c r="AY130" s="156" t="inlineStr">
        <is>
          <t>Not disclosed</t>
        </is>
      </c>
      <c r="AZ130" s="156" t="inlineStr">
        <is>
          <t>Not disclosed</t>
        </is>
      </c>
      <c r="BA130" s="156" t="n"/>
      <c r="BB130" s="156" t="inlineStr">
        <is>
          <t>48 V DC geared motors with encoders</t>
        </is>
      </c>
      <c r="BC130" s="156" t="inlineStr">
        <is>
          <t>Not disclosed</t>
        </is>
      </c>
      <c r="BD130" s="152" t="inlineStr">
        <is>
          <t>Not disclosed</t>
        </is>
      </c>
      <c r="BE130" s="152" t="inlineStr">
        <is>
          <t>Not disclosed</t>
        </is>
      </c>
      <c r="BF130" s="152" t="n"/>
      <c r="BG130" s="152" t="n"/>
      <c r="BH130" s="152" t="n"/>
      <c r="BI130" s="152" t="n"/>
      <c r="BJ130" s="152" t="n"/>
      <c r="BK130" s="152" t="n"/>
      <c r="BL130" s="152" t="n"/>
      <c r="BM130" s="152" t="inlineStr">
        <is>
          <t>Not disclosed</t>
        </is>
      </c>
      <c r="BN130" s="152" t="inlineStr">
        <is>
          <t>Not disclosed</t>
        </is>
      </c>
      <c r="BO130" s="156" t="inlineStr">
        <is>
          <t>Market: Industrial automation · Manipulation 2/4 · Navigation 2/4 · Actuation: 48 V DC geared motors with encoders · Peak 4 km/h</t>
        </is>
      </c>
      <c r="BP130" s="152" t="n"/>
      <c r="BQ130" s="156" t="inlineStr">
        <is>
          <t>Industrial automation</t>
        </is>
      </c>
      <c r="BR130" s="156" t="inlineStr">
        <is>
          <t>Prototype</t>
        </is>
      </c>
      <c r="BS130" s="156" t="inlineStr">
        <is>
          <t>Prototype</t>
        </is>
      </c>
      <c r="BT130" s="152" t="inlineStr">
        <is>
          <t>White/grey (prototype)</t>
        </is>
      </c>
      <c r="BU130" s="152" t="inlineStr">
        <is>
          <t>Not verified</t>
        </is>
      </c>
      <c r="BV130" s="156" t="n"/>
      <c r="BW130" s="156" t="inlineStr">
        <is>
          <t>Origin &amp; status — China · Prototype · 2026 | Manipulation — Payload 17.6 lb | Sensing &amp; software — Proprietary 3D camera (resolution N/A) | Buying notes — From $58,000 · 12 months manufacturer standard (typical research/commercial humanoid) · Best fit: Industrial automation</t>
        </is>
      </c>
      <c r="BX130" s="156" t="inlineStr">
        <is>
          <t>as_shipped|MIRO|58000|As shipped</t>
        </is>
      </c>
      <c r="BY130" s="152" t="inlineStr">
        <is>
          <t>white|White|#e2e8f0|0 || grey_prototype|grey (prototype)|#1e293b|0</t>
        </is>
      </c>
      <c r="BZ130" s="152" t="inlineStr"/>
      <c r="CA130" s="156" t="n"/>
      <c r="CB130" s="156" t="inlineStr">
        <is>
          <t>12 months manufacturer standard (typical research/commercial humanoid)</t>
        </is>
      </c>
      <c r="CC130" s="154" t="n">
        <v>12</v>
      </c>
      <c r="CD130" s="156" t="inlineStr">
        <is>
          <t>+3 Year Extended ≈24% of configuration (default in configurator)</t>
        </is>
      </c>
      <c r="CE130" s="152" t="inlineStr">
        <is>
          <t>Humanoid category norm 2025–2026</t>
        </is>
      </c>
      <c r="CF130" s="152" t="inlineStr">
        <is>
          <t>Estimated</t>
        </is>
      </c>
      <c r="CG130" s="156" t="inlineStr">
        <is>
          <t>Confirm on formal OEM quote. EDU or enterprise packages may differ.</t>
        </is>
      </c>
      <c r="CH130" s="152" t="inlineStr">
        <is>
          <t>10%</t>
        </is>
      </c>
      <c r="CI130" s="152" t="inlineStr">
        <is>
          <t>17%</t>
        </is>
      </c>
      <c r="CJ130" s="152" t="inlineStr">
        <is>
          <t>24%</t>
        </is>
      </c>
      <c r="CK130" s="156" t="inlineStr">
        <is>
          <t>+1yr ≈10% | +2yr ≈17% | +3yr ≈24% of selected configuration price (parts &amp; labor beyond manufacturer standard).</t>
        </is>
      </c>
      <c r="CL130"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30" s="152" t="inlineStr">
        <is>
          <t>12 months manufacturer standard (typical research/commercial humanoid)</t>
        </is>
      </c>
      <c r="CQ130" s="101" t="inlineStr">
        <is>
          <t>Height: Not disclosed | Weight: Not disclosed | Degrees of Freedom: Not disclosed | Payload: 17.6 | Max Speed: 2.49 | Battery / Runtime: Not disclosed</t>
        </is>
      </c>
    </row>
    <row r="131" ht="31.5" customHeight="1" s="102">
      <c r="A131" s="145" t="inlineStr">
        <is>
          <t>mirsee_robotics_mh3</t>
        </is>
      </c>
      <c r="B131" s="153" t="inlineStr">
        <is>
          <t>Humanoid.guide</t>
        </is>
      </c>
      <c r="C131" s="145" t="inlineStr">
        <is>
          <t>Mirsee Robotics</t>
        </is>
      </c>
      <c r="D131" s="145" t="inlineStr">
        <is>
          <t>MH3</t>
        </is>
      </c>
      <c r="E131" s="145" t="inlineStr">
        <is>
          <t>[Mirsee Robotics] MH3 (2026)</t>
        </is>
      </c>
      <c r="F131" s="146" t="inlineStr">
        <is>
          <t>humanoid</t>
        </is>
      </c>
      <c r="G131" s="145" t="inlineStr">
        <is>
          <t>Canada</t>
        </is>
      </c>
      <c r="H131" s="145" t="n"/>
      <c r="I131" s="148" t="n">
        <v>200000</v>
      </c>
      <c r="J131" s="145" t="inlineStr">
        <is>
          <t>Humanoid.guide list</t>
        </is>
      </c>
      <c r="K131" s="149" t="inlineStr">
        <is>
          <t>Mirsee Robotics’ MH3 is a humanoid robot engineered to augment skilled human labor across various industries.</t>
        </is>
      </c>
      <c r="L131" s="101" t="inlineStr">
        <is>
          <t>Mirsee Robotics’ MH3 is a humanoid robot engineered to augment skilled human labor across various industries.</t>
        </is>
      </c>
      <c r="M131" s="101" t="inlineStr">
        <is>
          <t>MH3 is Mirsee Robotics's humanoid, introduced around 2026 in Canada. Mirsee Robotics’ MH3 is a humanoid robot engineered to augment skilled human labor across various industries. Public status is listed as in production, and it is positioned for critical Infrastructure.</t>
        </is>
      </c>
      <c r="N131" s="150" t="inlineStr">
        <is>
          <t>https://humanoid.guide/product/mh3/</t>
        </is>
      </c>
      <c r="O131" s="145" t="inlineStr">
        <is>
          <t>https://www.mirseerobotics.com</t>
        </is>
      </c>
      <c r="P131" s="145" t="inlineStr">
        <is>
          <t>5 ft 11 in</t>
        </is>
      </c>
      <c r="Q131" s="145" t="n">
        <v>180</v>
      </c>
      <c r="R131" s="145" t="n">
        <v>275.6</v>
      </c>
      <c r="S131" s="145" t="n">
        <v>125</v>
      </c>
      <c r="T131" s="149" t="inlineStr">
        <is>
          <t>Not disclosed</t>
        </is>
      </c>
      <c r="U131" s="145" t="n"/>
      <c r="V131" s="145" t="inlineStr">
        <is>
          <t>31</t>
        </is>
      </c>
      <c r="W131" s="149" t="inlineStr">
        <is>
          <t>6</t>
        </is>
      </c>
      <c r="X131" s="145" t="n">
        <v>66.09999999999999</v>
      </c>
      <c r="Y131" s="145" t="n">
        <v>30</v>
      </c>
      <c r="Z131" s="145" t="n">
        <v>3.11</v>
      </c>
      <c r="AA131" s="145" t="n">
        <v>5</v>
      </c>
      <c r="AB131" s="145" t="n"/>
      <c r="AC131" s="149" t="inlineStr">
        <is>
          <t>≈ 10 hours</t>
        </is>
      </c>
      <c r="AD131" s="149" t="inlineStr">
        <is>
          <t>10</t>
        </is>
      </c>
      <c r="AE131" s="145" t="n"/>
      <c r="AF131" s="145" t="inlineStr">
        <is>
          <t>Not disclosed</t>
        </is>
      </c>
      <c r="AG131" s="149" t="inlineStr">
        <is>
          <t>5</t>
        </is>
      </c>
      <c r="AH131" s="145" t="inlineStr">
        <is>
          <t>5</t>
        </is>
      </c>
      <c r="AI131" s="158" t="n">
        <v>2</v>
      </c>
      <c r="AJ131" s="149" t="inlineStr">
        <is>
          <t>12MP</t>
        </is>
      </c>
      <c r="AK131" s="149" t="inlineStr">
        <is>
          <t>12MP</t>
        </is>
      </c>
      <c r="AL131" s="145" t="inlineStr">
        <is>
          <t>Not disclosed</t>
        </is>
      </c>
      <c r="AM131" s="145" t="n"/>
      <c r="AN131" s="145" t="inlineStr">
        <is>
          <t>Not disclosed</t>
        </is>
      </c>
      <c r="AO131" s="145" t="inlineStr">
        <is>
          <t>Not disclosed</t>
        </is>
      </c>
      <c r="AP131" s="145" t="inlineStr">
        <is>
          <t>Not disclosed</t>
        </is>
      </c>
      <c r="AQ131" s="145" t="inlineStr">
        <is>
          <t>Not disclosed</t>
        </is>
      </c>
      <c r="AR131" s="145" t="n"/>
      <c r="AS131" s="145" t="n"/>
      <c r="AT131" s="149" t="inlineStr">
        <is>
          <t>NVIDIA</t>
        </is>
      </c>
      <c r="AU131" s="149" t="inlineStr">
        <is>
          <t>Cellular; Satellite; WiFi</t>
        </is>
      </c>
      <c r="AV131" s="145" t="inlineStr">
        <is>
          <t>Not disclosed</t>
        </is>
      </c>
      <c r="AW131" s="149" t="inlineStr">
        <is>
          <t>Not disclosed</t>
        </is>
      </c>
      <c r="AX131" s="158" t="n">
        <v>2</v>
      </c>
      <c r="AY131" s="149" t="inlineStr">
        <is>
          <t>ROS2</t>
        </is>
      </c>
      <c r="AZ131" s="149" t="inlineStr">
        <is>
          <t>Various</t>
        </is>
      </c>
      <c r="BA131" s="149" t="inlineStr">
        <is>
          <t>Sub-100ms</t>
        </is>
      </c>
      <c r="BB131" s="149" t="inlineStr">
        <is>
          <t>BLDC</t>
        </is>
      </c>
      <c r="BC131" s="149" t="inlineStr">
        <is>
          <t>Harmonic &amp; Planetary</t>
        </is>
      </c>
      <c r="BD131" s="145" t="inlineStr">
        <is>
          <t>Aluminum 6061</t>
        </is>
      </c>
      <c r="BE131" s="145" t="inlineStr">
        <is>
          <t>IP54</t>
        </is>
      </c>
      <c r="BF131" s="145" t="inlineStr">
        <is>
          <t>IP54</t>
        </is>
      </c>
      <c r="BG131" s="145" t="n"/>
      <c r="BH131" s="145" t="n"/>
      <c r="BI131" s="145" t="n"/>
      <c r="BJ131" s="145" t="n"/>
      <c r="BK131" s="145" t="n"/>
      <c r="BL131" s="145" t="n"/>
      <c r="BM131" s="145" t="inlineStr">
        <is>
          <t>Yes</t>
        </is>
      </c>
      <c r="BN131" s="145" t="inlineStr">
        <is>
          <t>Not disclosed</t>
        </is>
      </c>
      <c r="BO131" s="149" t="inlineStr">
        <is>
          <t>Market: Critical Infrastructure · Manipulation 2/4 · Navigation 2/4 · Human-safe: Yes · AI: Various · Actuation: BLDC · Peak 5 km/h · Runtime 10</t>
        </is>
      </c>
      <c r="BP131" s="145" t="n"/>
      <c r="BQ131" s="149" t="inlineStr">
        <is>
          <t>Critical Infrastructure</t>
        </is>
      </c>
      <c r="BR131" s="149" t="inlineStr">
        <is>
          <t>In production</t>
        </is>
      </c>
      <c r="BS131" s="149" t="inlineStr">
        <is>
          <t>In production</t>
        </is>
      </c>
      <c r="BT131" s="145" t="n"/>
      <c r="BU131" s="145" t="inlineStr">
        <is>
          <t>Not verified</t>
        </is>
      </c>
      <c r="BV131" s="149" t="n"/>
      <c r="BW131" s="149" t="inlineStr">
        <is>
          <t>Origin &amp; status — Canada · In production · 2026 | Manipulation — 5 · 5 fingers · Hand DOF 6 · Payload 66.1 lb | Sensing &amp; software — 12MP · Various · ROS2 | Buying notes — From $200,000 · 12 months manufacturer standard (typical research/commercial humanoid) · Best fit: Critical Infrastructure</t>
        </is>
      </c>
      <c r="BX131" s="149" t="inlineStr">
        <is>
          <t>as_shipped|MH3|200000|As shipped</t>
        </is>
      </c>
      <c r="BY131" s="145" t="inlineStr">
        <is>
          <t>mh3|Manufacturer finish|#e2e8f0|0</t>
        </is>
      </c>
      <c r="BZ131" s="145" t="inlineStr"/>
      <c r="CA131" s="149" t="n"/>
      <c r="CB131" s="149" t="inlineStr">
        <is>
          <t>12 months manufacturer standard (typical research/commercial humanoid)</t>
        </is>
      </c>
      <c r="CC131" s="147" t="n">
        <v>12</v>
      </c>
      <c r="CD131" s="149" t="inlineStr">
        <is>
          <t>+3 Year Extended ≈24% of configuration (default in configurator)</t>
        </is>
      </c>
      <c r="CE131" s="145" t="inlineStr">
        <is>
          <t>Humanoid category norm 2025–2026</t>
        </is>
      </c>
      <c r="CF131" s="145" t="inlineStr">
        <is>
          <t>Estimated</t>
        </is>
      </c>
      <c r="CG131" s="149" t="inlineStr">
        <is>
          <t>Confirm on formal OEM quote. EDU or enterprise packages may differ.</t>
        </is>
      </c>
      <c r="CH131" s="145" t="inlineStr">
        <is>
          <t>10%</t>
        </is>
      </c>
      <c r="CI131" s="145" t="inlineStr">
        <is>
          <t>17%</t>
        </is>
      </c>
      <c r="CJ131" s="145" t="inlineStr">
        <is>
          <t>24%</t>
        </is>
      </c>
      <c r="CK131" s="149" t="inlineStr">
        <is>
          <t>+1yr ≈10% | +2yr ≈17% | +3yr ≈24% of selected configuration price (parts &amp; labor beyond manufacturer standard).</t>
        </is>
      </c>
      <c r="CL13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31" s="145" t="inlineStr">
        <is>
          <t>12 months manufacturer standard (typical research/commercial humanoid)</t>
        </is>
      </c>
      <c r="CQ131" s="101" t="inlineStr">
        <is>
          <t>Height: 5 ft 11 in | Weight: 275.6 | Degrees of Freedom: 31 | Payload: 66.1 | Max Speed: 3.11 | Battery / Runtime: ≈ 10 hours</t>
        </is>
      </c>
    </row>
    <row r="132" ht="31.5" customHeight="1" s="102">
      <c r="A132" s="152" t="inlineStr">
        <is>
          <t>moon_dynamics_l1</t>
        </is>
      </c>
      <c r="B132" s="153" t="inlineStr">
        <is>
          <t>Humanoid.guide</t>
        </is>
      </c>
      <c r="C132" s="152" t="inlineStr">
        <is>
          <t>Moon Dynamics</t>
        </is>
      </c>
      <c r="D132" s="152" t="inlineStr">
        <is>
          <t>L1</t>
        </is>
      </c>
      <c r="E132" s="152" t="inlineStr">
        <is>
          <t>[Moon Dynamics] L1 (2026)</t>
        </is>
      </c>
      <c r="F132" s="146" t="inlineStr">
        <is>
          <t>humanoid</t>
        </is>
      </c>
      <c r="G132" s="152" t="inlineStr">
        <is>
          <t>China</t>
        </is>
      </c>
      <c r="H132" s="152" t="n"/>
      <c r="I132" s="155" t="n">
        <v>60000</v>
      </c>
      <c r="J132" s="152" t="inlineStr">
        <is>
          <t>Humanoid.guide list</t>
        </is>
      </c>
      <c r="K132" s="156" t="inlineStr">
        <is>
          <t>The L1 is a heavy-load, wheeled-bipedal humanoid robot from Moon Dynamics, built for warehouses, factories, and industrial parks.</t>
        </is>
      </c>
      <c r="L132" s="101" t="inlineStr">
        <is>
          <t>The L1 is a heavy-load, wheeled-bipedal humanoid robot from Moon Dynamics, built for warehouses, factories, and industrial parks.</t>
        </is>
      </c>
      <c r="M132" s="101" t="inlineStr">
        <is>
          <t>The L1 is a heavy-load, wheeled-bipedal humanoid robot from Moon Dynamics, built for warehouses, factories, and industrial parks. Public status is listed as in production, and it is positioned for industrial; logistics; Manufacturing; Warehouse.</t>
        </is>
      </c>
      <c r="N132" s="157" t="inlineStr">
        <is>
          <t>https://humanoid.guide/product/l1/</t>
        </is>
      </c>
      <c r="O132" s="152" t="inlineStr">
        <is>
          <t>https://www.moondynamics.ai</t>
        </is>
      </c>
      <c r="P132" s="152" t="inlineStr">
        <is>
          <t>5 ft 5 in</t>
        </is>
      </c>
      <c r="Q132" s="152" t="n">
        <v>165</v>
      </c>
      <c r="R132" s="152" t="n">
        <v>132.3</v>
      </c>
      <c r="S132" s="152" t="n">
        <v>60</v>
      </c>
      <c r="T132" s="156" t="inlineStr">
        <is>
          <t>Not disclosed</t>
        </is>
      </c>
      <c r="U132" s="152" t="n"/>
      <c r="V132" s="152" t="inlineStr">
        <is>
          <t>18</t>
        </is>
      </c>
      <c r="W132" s="156" t="inlineStr">
        <is>
          <t>12</t>
        </is>
      </c>
      <c r="X132" s="152" t="n">
        <v>55.1</v>
      </c>
      <c r="Y132" s="152" t="n">
        <v>25</v>
      </c>
      <c r="Z132" s="152" t="n">
        <v>4.35</v>
      </c>
      <c r="AA132" s="152" t="n">
        <v>7</v>
      </c>
      <c r="AB132" s="152" t="n"/>
      <c r="AC132" s="156" t="inlineStr">
        <is>
          <t>≈ 3 hours</t>
        </is>
      </c>
      <c r="AD132" s="156" t="inlineStr">
        <is>
          <t>3</t>
        </is>
      </c>
      <c r="AE132" s="152" t="n"/>
      <c r="AF132" s="152" t="inlineStr">
        <is>
          <t>Not disclosed</t>
        </is>
      </c>
      <c r="AG132" s="156" t="inlineStr">
        <is>
          <t>2-finger gripping claws</t>
        </is>
      </c>
      <c r="AH132" s="152" t="inlineStr">
        <is>
          <t>2-finger gripping claws</t>
        </is>
      </c>
      <c r="AI132" s="152" t="n"/>
      <c r="AJ132" s="156" t="inlineStr">
        <is>
          <t>Not disclosed</t>
        </is>
      </c>
      <c r="AK132" s="156" t="n"/>
      <c r="AL132" s="152" t="inlineStr">
        <is>
          <t>Not disclosed</t>
        </is>
      </c>
      <c r="AM132" s="152" t="n"/>
      <c r="AN132" s="152" t="inlineStr">
        <is>
          <t>Not disclosed</t>
        </is>
      </c>
      <c r="AO132" s="152" t="inlineStr">
        <is>
          <t>Not disclosed</t>
        </is>
      </c>
      <c r="AP132" s="152" t="inlineStr">
        <is>
          <t>Not disclosed</t>
        </is>
      </c>
      <c r="AQ132" s="152" t="inlineStr">
        <is>
          <t>Not disclosed</t>
        </is>
      </c>
      <c r="AR132" s="152" t="n"/>
      <c r="AS132" s="152" t="n"/>
      <c r="AT132" s="156" t="inlineStr">
        <is>
          <t>Not disclosed</t>
        </is>
      </c>
      <c r="AU132" s="156" t="inlineStr">
        <is>
          <t>Not disclosed</t>
        </is>
      </c>
      <c r="AV132" s="152" t="inlineStr">
        <is>
          <t>Not disclosed</t>
        </is>
      </c>
      <c r="AW132" s="156" t="inlineStr">
        <is>
          <t>Not disclosed</t>
        </is>
      </c>
      <c r="AX132" s="152" t="n"/>
      <c r="AY132" s="156" t="inlineStr">
        <is>
          <t>Not disclosed</t>
        </is>
      </c>
      <c r="AZ132" s="156" t="inlineStr">
        <is>
          <t>Not disclosed</t>
        </is>
      </c>
      <c r="BA132" s="156" t="inlineStr">
        <is>
          <t>Millisecond-level</t>
        </is>
      </c>
      <c r="BB132" s="156" t="inlineStr">
        <is>
          <t>Not disclosed</t>
        </is>
      </c>
      <c r="BC132" s="156" t="inlineStr">
        <is>
          <t>Not disclosed</t>
        </is>
      </c>
      <c r="BD132" s="152" t="inlineStr">
        <is>
          <t>Aluminum alloy</t>
        </is>
      </c>
      <c r="BE132" s="152" t="inlineStr">
        <is>
          <t>Not disclosed</t>
        </is>
      </c>
      <c r="BF132" s="152" t="n"/>
      <c r="BG132" s="152" t="n"/>
      <c r="BH132" s="152" t="n"/>
      <c r="BI132" s="152" t="n"/>
      <c r="BJ132" s="152" t="n"/>
      <c r="BK132" s="152" t="n"/>
      <c r="BL132" s="152" t="n"/>
      <c r="BM132" s="152" t="inlineStr">
        <is>
          <t>Yes</t>
        </is>
      </c>
      <c r="BN132" s="152" t="inlineStr">
        <is>
          <t>Not disclosed</t>
        </is>
      </c>
      <c r="BO132" s="156" t="inlineStr">
        <is>
          <t>Market: Industrial; logistics; Manufacturing; Warehouse · Human-safe: Yes · Peak 7 km/h · Runtime 3</t>
        </is>
      </c>
      <c r="BP132" s="152" t="n"/>
      <c r="BQ132" s="156" t="inlineStr">
        <is>
          <t>Industrial; logistics; Manufacturing; Warehouse</t>
        </is>
      </c>
      <c r="BR132" s="156" t="inlineStr">
        <is>
          <t>In production</t>
        </is>
      </c>
      <c r="BS132" s="156" t="inlineStr">
        <is>
          <t>In production</t>
        </is>
      </c>
      <c r="BT132" s="152" t="n"/>
      <c r="BU132" s="152" t="n"/>
      <c r="BV132" s="156" t="n"/>
      <c r="BW132" s="156" t="inlineStr">
        <is>
          <t>Origin &amp; status — China · In production · 2026 | Manipulation — 2-finger gripping claws · Hand DOF 12 · Payload 55.1 lb | Sensing &amp; software — Sensor and compute package confirmed on formal quote | Buying notes — From $60,000 · 12 months manufacturer standard (typical research/commercial humanoid) · Best fit: Industrial</t>
        </is>
      </c>
      <c r="BX132" s="156" t="inlineStr">
        <is>
          <t>as_shipped|L1|60000|As shipped</t>
        </is>
      </c>
      <c r="BY132" s="152" t="inlineStr">
        <is>
          <t>l1|Manufacturer finish|#e2e8f0|0</t>
        </is>
      </c>
      <c r="BZ132" s="152" t="inlineStr"/>
      <c r="CA132" s="156" t="n"/>
      <c r="CB132" s="156" t="inlineStr">
        <is>
          <t>12 months manufacturer standard (typical research/commercial humanoid)</t>
        </is>
      </c>
      <c r="CC132" s="154" t="n">
        <v>12</v>
      </c>
      <c r="CD132" s="156" t="inlineStr">
        <is>
          <t>+3 Year Extended ≈24% of configuration (default in configurator)</t>
        </is>
      </c>
      <c r="CE132" s="152" t="inlineStr">
        <is>
          <t>Humanoid category norm 2025–2026</t>
        </is>
      </c>
      <c r="CF132" s="152" t="inlineStr">
        <is>
          <t>Estimated</t>
        </is>
      </c>
      <c r="CG132" s="156" t="inlineStr">
        <is>
          <t>Confirm on formal OEM quote. EDU or enterprise packages may differ.</t>
        </is>
      </c>
      <c r="CH132" s="152" t="inlineStr">
        <is>
          <t>10%</t>
        </is>
      </c>
      <c r="CI132" s="152" t="inlineStr">
        <is>
          <t>17%</t>
        </is>
      </c>
      <c r="CJ132" s="152" t="inlineStr">
        <is>
          <t>24%</t>
        </is>
      </c>
      <c r="CK132" s="156" t="inlineStr">
        <is>
          <t>+1yr ≈10% | +2yr ≈17% | +3yr ≈24% of selected configuration price (parts &amp; labor beyond manufacturer standard).</t>
        </is>
      </c>
      <c r="CL132"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32" s="152" t="inlineStr">
        <is>
          <t>12 months manufacturer standard (typical research/commercial humanoid)</t>
        </is>
      </c>
      <c r="CN132" s="203" t="inlineStr">
        <is>
          <t>https://aixzd.com/robot/l1</t>
        </is>
      </c>
      <c r="CQ132" s="101" t="inlineStr">
        <is>
          <t>Height: 5 ft 5 in | Weight: 132.3 | Degrees of Freedom: 18 | Payload: 55.1 | Max Speed: 4.35 | Battery / Runtime: ≈ 3 hours</t>
        </is>
      </c>
    </row>
    <row r="133" ht="31.5" customHeight="1" s="102">
      <c r="A133" s="145" t="inlineStr">
        <is>
          <t>muks_robotics_spaceo_m1</t>
        </is>
      </c>
      <c r="B133" s="153" t="inlineStr">
        <is>
          <t>Humanoid.guide</t>
        </is>
      </c>
      <c r="C133" s="145" t="inlineStr">
        <is>
          <t>Muks Robotics</t>
        </is>
      </c>
      <c r="D133" s="145" t="inlineStr">
        <is>
          <t>Spaceo M1</t>
        </is>
      </c>
      <c r="E133" s="145" t="inlineStr">
        <is>
          <t>[Muks Robotics] Spaceo M1 (2026)</t>
        </is>
      </c>
      <c r="F133" s="146" t="inlineStr">
        <is>
          <t>humanoid</t>
        </is>
      </c>
      <c r="G133" s="145" t="inlineStr">
        <is>
          <t>India</t>
        </is>
      </c>
      <c r="H133" s="145" t="n"/>
      <c r="I133" s="148" t="n">
        <v>11000</v>
      </c>
      <c r="J133" s="145" t="inlineStr">
        <is>
          <t>Humanoid.guide list</t>
        </is>
      </c>
      <c r="K133" s="149" t="inlineStr">
        <is>
          <t>Spaceo M1 is a 167 cm social humanoid from India’s Muks Robotics that rolls at 7 km h, lifts up to 60 kg (100 kg peak) and runs a Linux-based multimodal LLM on board, offering four-plus hours of service for reception, retail and healthcare at a starting price of roughly $11 000.</t>
        </is>
      </c>
      <c r="L133" s="101" t="inlineStr">
        <is>
          <t>Spaceo M1 is a 167 cm social humanoid from India’s Muks Robotics that rolls at 7 km h, lifts up to 60 kg (100 kg peak) and runs a Linux-based multimodal LLM on board, offering four-plus hours of service for reception, retail and healthcare at a starting price of roughly $11 000.</t>
        </is>
      </c>
      <c r="M133" s="101" t="inlineStr">
        <is>
          <t>Spaceo M1 is a 167 cm social humanoid from India’s Muks Robotics that rolls at 7 km h, lifts up to 60 kg (100 kg peak) and runs a Linux-based multimodal LLM on board, offering four-plus hours of service for reception, retail and healthcare at a starting price of roughly $11 000. Public status is listed as in production, and it is positioned for healthcare; Hospitality; retail restocking.</t>
        </is>
      </c>
      <c r="N133" s="150" t="inlineStr">
        <is>
          <t>https://humanoid.guide/product/spaceo-m1/</t>
        </is>
      </c>
      <c r="O133" s="145" t="inlineStr">
        <is>
          <t>https://www.muksrobotics.com</t>
        </is>
      </c>
      <c r="P133" s="145" t="inlineStr">
        <is>
          <t>5 ft 6 in</t>
        </is>
      </c>
      <c r="Q133" s="145" t="n">
        <v>167</v>
      </c>
      <c r="R133" s="145" t="n">
        <v>143.3</v>
      </c>
      <c r="S133" s="145" t="n">
        <v>65</v>
      </c>
      <c r="T133" s="149" t="inlineStr">
        <is>
          <t>Not disclosed</t>
        </is>
      </c>
      <c r="U133" s="145" t="n"/>
      <c r="V133" s="145" t="inlineStr">
        <is>
          <t>16</t>
        </is>
      </c>
      <c r="W133" s="149" t="inlineStr">
        <is>
          <t>Not disclosed</t>
        </is>
      </c>
      <c r="X133" s="145" t="n">
        <v>44.1</v>
      </c>
      <c r="Y133" s="145" t="n">
        <v>20</v>
      </c>
      <c r="Z133" s="145" t="n">
        <v>4.47</v>
      </c>
      <c r="AA133" s="145" t="n">
        <v>7.2</v>
      </c>
      <c r="AB133" s="145" t="n"/>
      <c r="AC133" s="149" t="inlineStr">
        <is>
          <t>≈ 4 hours</t>
        </is>
      </c>
      <c r="AD133" s="149" t="inlineStr">
        <is>
          <t>4</t>
        </is>
      </c>
      <c r="AE133" s="145" t="n"/>
      <c r="AF133" s="145" t="inlineStr">
        <is>
          <t>Not disclosed</t>
        </is>
      </c>
      <c r="AG133" s="149" t="inlineStr">
        <is>
          <t>10</t>
        </is>
      </c>
      <c r="AH133" s="145" t="inlineStr">
        <is>
          <t>10</t>
        </is>
      </c>
      <c r="AI133" s="158" t="n">
        <v>2</v>
      </c>
      <c r="AJ133" s="149" t="inlineStr">
        <is>
          <t>RGB camera (resolution not stated) + 3-D LiDAR</t>
        </is>
      </c>
      <c r="AK133" s="149" t="inlineStr">
        <is>
          <t>RGB camera (resolution not stated) + 3-D LiDAR</t>
        </is>
      </c>
      <c r="AL133" s="145" t="inlineStr">
        <is>
          <t>Not disclosed</t>
        </is>
      </c>
      <c r="AM133" s="145" t="n"/>
      <c r="AN133" s="145" t="inlineStr">
        <is>
          <t>Not disclosed</t>
        </is>
      </c>
      <c r="AO133" s="145" t="inlineStr">
        <is>
          <t>Not disclosed</t>
        </is>
      </c>
      <c r="AP133" s="145" t="inlineStr">
        <is>
          <t>Not disclosed</t>
        </is>
      </c>
      <c r="AQ133" s="145" t="inlineStr">
        <is>
          <t>Not disclosed</t>
        </is>
      </c>
      <c r="AR133" s="145" t="n"/>
      <c r="AS133" s="145" t="n"/>
      <c r="AT133" s="149" t="inlineStr">
        <is>
          <t>Intel Core i5; NVIDIA</t>
        </is>
      </c>
      <c r="AU133" s="149" t="inlineStr">
        <is>
          <t>Bluetooth; OTA updates; WiFi</t>
        </is>
      </c>
      <c r="AV133" s="145" t="inlineStr">
        <is>
          <t>Not disclosed</t>
        </is>
      </c>
      <c r="AW133" s="149" t="inlineStr">
        <is>
          <t>Not disclosed</t>
        </is>
      </c>
      <c r="AX133" s="158" t="n">
        <v>2</v>
      </c>
      <c r="AY133" s="149" t="inlineStr">
        <is>
          <t>Linux; Linux-based FusionMax Omni-Modal AI stack</t>
        </is>
      </c>
      <c r="AZ133" s="149" t="inlineStr">
        <is>
          <t>Yes – on-device multimodal LLM for multilingual dialogu</t>
        </is>
      </c>
      <c r="BA133" s="149" t="inlineStr">
        <is>
          <t>Not specified</t>
        </is>
      </c>
      <c r="BB133" s="149" t="inlineStr">
        <is>
          <t>Electric servo actuators</t>
        </is>
      </c>
      <c r="BC133" s="149" t="inlineStr">
        <is>
          <t>harmonic/cycloidal</t>
        </is>
      </c>
      <c r="BD133" s="145" t="inlineStr">
        <is>
          <t>Aluminium; harmonic/cycloidal</t>
        </is>
      </c>
      <c r="BE133" s="145" t="inlineStr">
        <is>
          <t>Not disclosed</t>
        </is>
      </c>
      <c r="BF133" s="145" t="inlineStr">
        <is>
          <t>Not specified</t>
        </is>
      </c>
      <c r="BG133" s="145" t="n"/>
      <c r="BH133" s="145" t="n"/>
      <c r="BI133" s="145" t="n"/>
      <c r="BJ133" s="145" t="n"/>
      <c r="BK133" s="145" t="n"/>
      <c r="BL133" s="145" t="n"/>
      <c r="BM133" s="145" t="inlineStr">
        <is>
          <t>Yes</t>
        </is>
      </c>
      <c r="BN133" s="145" t="inlineStr">
        <is>
          <t>Not disclosed</t>
        </is>
      </c>
      <c r="BO133" s="149" t="inlineStr">
        <is>
          <t>Market: healthcare; Hospitality; retail restocking · Manipulation 2/4 · Navigation 2/4 · Human-safe: Yes · AI: Yes – on-device multimodal LLM for multilingual dialogu · Actuation: Electric servo actuators · Peak 7.2 km/h · Runtime 4</t>
        </is>
      </c>
      <c r="BP133" s="145" t="n"/>
      <c r="BQ133" s="149" t="inlineStr">
        <is>
          <t>healthcare; Hospitality; retail restocking</t>
        </is>
      </c>
      <c r="BR133" s="149" t="inlineStr">
        <is>
          <t>In production</t>
        </is>
      </c>
      <c r="BS133" s="149" t="inlineStr">
        <is>
          <t>In production</t>
        </is>
      </c>
      <c r="BT133" s="145" t="n"/>
      <c r="BU133" s="145" t="inlineStr">
        <is>
          <t>Not verified</t>
        </is>
      </c>
      <c r="BV133" s="149" t="n"/>
      <c r="BW133" s="149" t="inlineStr">
        <is>
          <t>Origin &amp; status — India · In production · 2026 | Manipulation — 10 · 10 fingers · Payload 44.1 lb | Sensing &amp; software — RGB camera (resolution not stated) + 3-D LiDAR · Yes – on-device multimodal LLM for multilingual dialogu · Linux; Linux-based FusionMax Omni-Modal AI stack | Buying notes — From $11,000 · 12 months manufacturer standard (typical research/commercial humanoid) · Best fit: healthcare</t>
        </is>
      </c>
      <c r="BX133" s="149" t="inlineStr">
        <is>
          <t>as_shipped|Spaceo M1|11000|As shipped</t>
        </is>
      </c>
      <c r="BY133" s="145" t="inlineStr">
        <is>
          <t>spaceo_m1|Manufacturer finish|#e2e8f0|0</t>
        </is>
      </c>
      <c r="BZ133" s="145" t="inlineStr"/>
      <c r="CA133" s="149" t="n"/>
      <c r="CB133" s="149" t="inlineStr">
        <is>
          <t>12 months manufacturer standard (typical research/commercial humanoid)</t>
        </is>
      </c>
      <c r="CC133" s="147" t="n">
        <v>12</v>
      </c>
      <c r="CD133" s="149" t="inlineStr">
        <is>
          <t>+3 Year Extended ≈24% of configuration (default in configurator)</t>
        </is>
      </c>
      <c r="CE133" s="145" t="inlineStr">
        <is>
          <t>Humanoid category norm 2025–2026</t>
        </is>
      </c>
      <c r="CF133" s="145" t="inlineStr">
        <is>
          <t>Estimated</t>
        </is>
      </c>
      <c r="CG133" s="149" t="inlineStr">
        <is>
          <t>Confirm on formal OEM quote. EDU or enterprise packages may differ.</t>
        </is>
      </c>
      <c r="CH133" s="145" t="inlineStr">
        <is>
          <t>10%</t>
        </is>
      </c>
      <c r="CI133" s="145" t="inlineStr">
        <is>
          <t>17%</t>
        </is>
      </c>
      <c r="CJ133" s="145" t="inlineStr">
        <is>
          <t>24%</t>
        </is>
      </c>
      <c r="CK133" s="149" t="inlineStr">
        <is>
          <t>+1yr ≈10% | +2yr ≈17% | +3yr ≈24% of selected configuration price (parts &amp; labor beyond manufacturer standard).</t>
        </is>
      </c>
      <c r="CL133"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33" s="145" t="inlineStr">
        <is>
          <t>12 months manufacturer standard (typical research/commercial humanoid)</t>
        </is>
      </c>
      <c r="CQ133" s="101" t="inlineStr">
        <is>
          <t>Height: 5 ft 6 in | Weight: 143.3 | Degrees of Freedom: 16 | Payload: 44.1 | Max Speed: 4.47 | Battery / Runtime: ≈ 4 hours</t>
        </is>
      </c>
    </row>
    <row r="134" ht="31.5" customHeight="1" s="102">
      <c r="A134" s="152" t="inlineStr">
        <is>
          <t>muks_robotics_spaceo_pro</t>
        </is>
      </c>
      <c r="B134" s="153" t="inlineStr">
        <is>
          <t>Humanoid.guide</t>
        </is>
      </c>
      <c r="C134" s="152" t="inlineStr">
        <is>
          <t>Muks Robotics</t>
        </is>
      </c>
      <c r="D134" s="152" t="inlineStr">
        <is>
          <t>Spaceo Pro</t>
        </is>
      </c>
      <c r="E134" s="152" t="inlineStr">
        <is>
          <t>[Muks Robotics] Spaceo Pro (2026)</t>
        </is>
      </c>
      <c r="F134" s="146" t="inlineStr">
        <is>
          <t>humanoid</t>
        </is>
      </c>
      <c r="G134" s="152" t="inlineStr">
        <is>
          <t>India</t>
        </is>
      </c>
      <c r="H134" s="152" t="n"/>
      <c r="I134" s="155" t="n">
        <v>60000</v>
      </c>
      <c r="J134" s="152" t="inlineStr">
        <is>
          <t>Humanoid.guide list</t>
        </is>
      </c>
      <c r="K134" s="156" t="inlineStr">
        <is>
          <t>Spaceo Pro is an Indian-built industrial humanoid from Muks Robotics, blending a 200 kg payload, 7-DOF arms and FusionMax AI to automate heavy, high-precision tasks across manufacturing and logistics.</t>
        </is>
      </c>
      <c r="L134" s="101" t="inlineStr">
        <is>
          <t>Spaceo Pro is an Indian-built industrial humanoid from Muks Robotics, blending a 200 kg payload, 7-DOF arms and FusionMax AI to automate heavy, high-precision tasks across manufacturing and logistics.</t>
        </is>
      </c>
      <c r="M134" s="101" t="inlineStr">
        <is>
          <t>Spaceo Pro is an Indian-built industrial humanoid from Muks Robotics, blending a 200 kg payload, 7-DOF arms and FusionMax AI to automate heavy, high-precision tasks across manufacturing and logistics. Public status is listed as in production, and it is positioned for industrial automation.</t>
        </is>
      </c>
      <c r="N134" s="157" t="inlineStr">
        <is>
          <t>https://humanoid.guide/product/spaceo-pro/</t>
        </is>
      </c>
      <c r="O134" s="152" t="inlineStr">
        <is>
          <t>https://www.muksrobotics.com</t>
        </is>
      </c>
      <c r="P134" s="152" t="inlineStr">
        <is>
          <t>5 ft 6 in</t>
        </is>
      </c>
      <c r="Q134" s="152" t="n">
        <v>167</v>
      </c>
      <c r="R134" s="152" t="n">
        <v>143.3</v>
      </c>
      <c r="S134" s="152" t="n">
        <v>65</v>
      </c>
      <c r="T134" s="156" t="inlineStr">
        <is>
          <t>Not disclosed</t>
        </is>
      </c>
      <c r="U134" s="152" t="n"/>
      <c r="V134" s="152" t="inlineStr">
        <is>
          <t>20</t>
        </is>
      </c>
      <c r="W134" s="156" t="inlineStr">
        <is>
          <t>7</t>
        </is>
      </c>
      <c r="X134" s="152" t="n">
        <v>11</v>
      </c>
      <c r="Y134" s="152" t="n">
        <v>5</v>
      </c>
      <c r="Z134" s="152" t="n">
        <v>4.47</v>
      </c>
      <c r="AA134" s="152" t="n">
        <v>7.2</v>
      </c>
      <c r="AB134" s="152" t="n"/>
      <c r="AC134" s="156" t="inlineStr">
        <is>
          <t>≈ 4 hours</t>
        </is>
      </c>
      <c r="AD134" s="156" t="inlineStr">
        <is>
          <t>4</t>
        </is>
      </c>
      <c r="AE134" s="152" t="n"/>
      <c r="AF134" s="152" t="inlineStr">
        <is>
          <t>Not disclosed</t>
        </is>
      </c>
      <c r="AG134" s="156" t="inlineStr">
        <is>
          <t>10</t>
        </is>
      </c>
      <c r="AH134" s="152" t="inlineStr">
        <is>
          <t>10</t>
        </is>
      </c>
      <c r="AI134" s="158" t="n">
        <v>2</v>
      </c>
      <c r="AJ134" s="156" t="inlineStr">
        <is>
          <t>Intel RealSense D435i depth camera</t>
        </is>
      </c>
      <c r="AK134" s="156" t="inlineStr">
        <is>
          <t>Intel RealSense D435i depth camera</t>
        </is>
      </c>
      <c r="AL134" s="152" t="inlineStr">
        <is>
          <t>Not disclosed</t>
        </is>
      </c>
      <c r="AM134" s="152" t="n"/>
      <c r="AN134" s="152" t="inlineStr">
        <is>
          <t>Not disclosed</t>
        </is>
      </c>
      <c r="AO134" s="152" t="inlineStr">
        <is>
          <t>Not disclosed</t>
        </is>
      </c>
      <c r="AP134" s="152" t="inlineStr">
        <is>
          <t>Not disclosed</t>
        </is>
      </c>
      <c r="AQ134" s="152" t="inlineStr">
        <is>
          <t>Not disclosed</t>
        </is>
      </c>
      <c r="AR134" s="152" t="n"/>
      <c r="AS134" s="152" t="n"/>
      <c r="AT134" s="156" t="inlineStr">
        <is>
          <t>Intel Core i5; NVIDIA</t>
        </is>
      </c>
      <c r="AU134" s="156" t="inlineStr">
        <is>
          <t>Bluetooth; WiFi</t>
        </is>
      </c>
      <c r="AV134" s="152" t="inlineStr">
        <is>
          <t>Not disclosed</t>
        </is>
      </c>
      <c r="AW134" s="156" t="inlineStr">
        <is>
          <t>Not disclosed</t>
        </is>
      </c>
      <c r="AX134" s="158" t="n">
        <v>2</v>
      </c>
      <c r="AY134" s="156" t="inlineStr">
        <is>
          <t>Custom in‑house OS</t>
        </is>
      </c>
      <c r="AZ134" s="156" t="inlineStr">
        <is>
          <t>FusionMax Omni-Modal AI</t>
        </is>
      </c>
      <c r="BA134" s="156" t="n"/>
      <c r="BB134" s="156" t="inlineStr">
        <is>
          <t>Electric servo actuators</t>
        </is>
      </c>
      <c r="BC134" s="156" t="inlineStr">
        <is>
          <t>Harmonic drive gearboxes in joints</t>
        </is>
      </c>
      <c r="BD134" s="152" t="inlineStr">
        <is>
          <t>Not disclosed</t>
        </is>
      </c>
      <c r="BE134" s="152" t="inlineStr">
        <is>
          <t>Not disclosed</t>
        </is>
      </c>
      <c r="BF134" s="152" t="n"/>
      <c r="BG134" s="152" t="n"/>
      <c r="BH134" s="152" t="n"/>
      <c r="BI134" s="152" t="n"/>
      <c r="BJ134" s="152" t="n"/>
      <c r="BK134" s="152" t="n"/>
      <c r="BL134" s="152" t="n"/>
      <c r="BM134" s="152" t="inlineStr">
        <is>
          <t>Yes</t>
        </is>
      </c>
      <c r="BN134" s="152" t="inlineStr">
        <is>
          <t>Not disclosed</t>
        </is>
      </c>
      <c r="BO134" s="156" t="inlineStr">
        <is>
          <t>Market: Industrial automation · Manipulation 2/4 · Navigation 2/4 · Human-safe: Yes · AI: FusionMax Omni-Modal AI · Actuation: Electric servo actuators · Peak 7.2 km/h · Runtime 4</t>
        </is>
      </c>
      <c r="BP134" s="152" t="n"/>
      <c r="BQ134" s="156" t="inlineStr">
        <is>
          <t>Industrial automation</t>
        </is>
      </c>
      <c r="BR134" s="156" t="inlineStr">
        <is>
          <t>In production</t>
        </is>
      </c>
      <c r="BS134" s="156" t="inlineStr">
        <is>
          <t>In production</t>
        </is>
      </c>
      <c r="BT134" s="152" t="n"/>
      <c r="BU134" s="152" t="inlineStr">
        <is>
          <t>Not verified</t>
        </is>
      </c>
      <c r="BV134" s="156" t="n"/>
      <c r="BW134" s="156" t="inlineStr">
        <is>
          <t>Origin &amp; status — India · In production · 2026 | Manipulation — 10 · 10 fingers · Hand DOF 7 · Payload 11 lb | Sensing &amp; software — Intel RealSense D435i depth camera · FusionMax Omni-Modal AI · Custom in‑house OS | Buying notes — From $60,000 · 12 months manufacturer standard (typical research/commercial humanoid) · Best fit: Industrial automation</t>
        </is>
      </c>
      <c r="BX134" s="156" t="inlineStr">
        <is>
          <t>as_shipped|Spaceo Pro|60000|As shipped</t>
        </is>
      </c>
      <c r="BY134" s="152" t="inlineStr">
        <is>
          <t>spaceo_pro|Manufacturer finish|#e2e8f0|0</t>
        </is>
      </c>
      <c r="BZ134" s="152" t="inlineStr"/>
      <c r="CA134" s="156" t="n"/>
      <c r="CB134" s="156" t="inlineStr">
        <is>
          <t>12 months manufacturer standard (typical research/commercial humanoid)</t>
        </is>
      </c>
      <c r="CC134" s="154" t="n">
        <v>12</v>
      </c>
      <c r="CD134" s="156" t="inlineStr">
        <is>
          <t>+3 Year Extended ≈24% of configuration (default in configurator)</t>
        </is>
      </c>
      <c r="CE134" s="152" t="inlineStr">
        <is>
          <t>Humanoid category norm 2025–2026</t>
        </is>
      </c>
      <c r="CF134" s="152" t="inlineStr">
        <is>
          <t>Estimated</t>
        </is>
      </c>
      <c r="CG134" s="156" t="inlineStr">
        <is>
          <t>Confirm on formal OEM quote. EDU or enterprise packages may differ.</t>
        </is>
      </c>
      <c r="CH134" s="152" t="inlineStr">
        <is>
          <t>10%</t>
        </is>
      </c>
      <c r="CI134" s="152" t="inlineStr">
        <is>
          <t>17%</t>
        </is>
      </c>
      <c r="CJ134" s="152" t="inlineStr">
        <is>
          <t>24%</t>
        </is>
      </c>
      <c r="CK134" s="156" t="inlineStr">
        <is>
          <t>+1yr ≈10% | +2yr ≈17% | +3yr ≈24% of selected configuration price (parts &amp; labor beyond manufacturer standard).</t>
        </is>
      </c>
      <c r="CL134"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34" s="152" t="inlineStr">
        <is>
          <t>12 months manufacturer standard (typical research/commercial humanoid)</t>
        </is>
      </c>
      <c r="CQ134" s="101" t="inlineStr">
        <is>
          <t>Height: 5 ft 6 in | Weight: 143.3 | Degrees of Freedom: 20 | Payload: 11 | Max Speed: 4.47 | Battery / Runtime: ≈ 4 hours</t>
        </is>
      </c>
    </row>
    <row r="135" ht="31.5" customHeight="1" s="102">
      <c r="A135" s="143" t="inlineStr">
        <is>
          <t>naiscorp_robotics_edge_ai_eldercare_comp</t>
        </is>
      </c>
      <c r="B135" s="160" t="inlineStr">
        <is>
          <t>Website</t>
        </is>
      </c>
      <c r="C135" s="145" t="inlineStr">
        <is>
          <t>Naiscorp Robotics</t>
        </is>
      </c>
      <c r="D135" s="145" t="inlineStr">
        <is>
          <t>Edge-AI Eldercare Companion</t>
        </is>
      </c>
      <c r="E135" s="145" t="inlineStr">
        <is>
          <t>[Naiscorp] Edge-AI Eldercare Companion (2026)</t>
        </is>
      </c>
      <c r="F135" s="146" t="inlineStr">
        <is>
          <t>humanoid</t>
        </is>
      </c>
      <c r="G135" s="145" t="inlineStr">
        <is>
          <t>Vietnam</t>
        </is>
      </c>
      <c r="H135" s="147" t="n">
        <v>2026</v>
      </c>
      <c r="I135" s="148" t="n">
        <v>50000</v>
      </c>
      <c r="J135" s="145" t="inlineStr">
        <is>
          <t>Website store</t>
        </is>
      </c>
      <c r="K135" s="149" t="inlineStr">
        <is>
          <t>Edge-AI Eldercare Companion is Naiscorp Robotics's humanoid — Not disclosed DOF. Grippers or dexterous hands depending on configuration; RGB and/or depth cameras for navigation and manipulation (configuration specific).</t>
        </is>
      </c>
      <c r="L135" s="101" t="inlineStr">
        <is>
          <t>Edge-AI Eldercare Companion is Naiscorp Robotics's humanoid — Not disclosed DOF. Grippers or dexterous hands depending on configuration; RGB and/or depth cameras for navigation and manipulation (configuration specific).</t>
        </is>
      </c>
      <c r="M135" s="101" t="inlineStr">
        <is>
          <t>Edge-AI Eldercare Companion is Naiscorp Robotics's humanoid — Not disclosed DOF. Grippers or dexterous hands depending on configuration; RGB and/or depth cameras for navigation and manipulation (configuration specific). Public status is listed as award winner (Qualcomm Vietnam Innovation Challenge $100k), and it is positioned for elder care / Companion.</t>
        </is>
      </c>
      <c r="N135" s="145" t="n"/>
      <c r="O135" s="145" t="inlineStr">
        <is>
          <t>https://naiscorp.com</t>
        </is>
      </c>
      <c r="P135" s="145" t="n"/>
      <c r="Q135" s="145" t="n"/>
      <c r="R135" s="145" t="n"/>
      <c r="S135" s="145" t="n"/>
      <c r="T135" s="149" t="inlineStr">
        <is>
          <t>Not disclosed</t>
        </is>
      </c>
      <c r="U135" s="145" t="n"/>
      <c r="V135" s="145" t="inlineStr">
        <is>
          <t>Not disclosed</t>
        </is>
      </c>
      <c r="W135" s="149" t="inlineStr">
        <is>
          <t>Not disclosed</t>
        </is>
      </c>
      <c r="X135" s="145" t="n"/>
      <c r="Y135" s="145" t="n"/>
      <c r="Z135" s="145" t="n"/>
      <c r="AA135" s="145" t="n"/>
      <c r="AB135" s="145" t="n"/>
      <c r="AC135" s="149" t="inlineStr">
        <is>
          <t>Not disclosed</t>
        </is>
      </c>
      <c r="AD135" s="149" t="n"/>
      <c r="AE135" s="145" t="n"/>
      <c r="AF135" s="145" t="inlineStr">
        <is>
          <t>Not disclosed</t>
        </is>
      </c>
      <c r="AG135" s="149" t="inlineStr">
        <is>
          <t>Grippers or dexterous hands depending on configuration</t>
        </is>
      </c>
      <c r="AH135" s="145" t="inlineStr">
        <is>
          <t>Not disclosed</t>
        </is>
      </c>
      <c r="AI135" s="145" t="n"/>
      <c r="AJ135" s="149" t="inlineStr">
        <is>
          <t>RGB and/or depth cameras for navigation and manipulation (configuration specific)</t>
        </is>
      </c>
      <c r="AK135" s="149" t="n"/>
      <c r="AL135" s="145" t="inlineStr">
        <is>
          <t>Onboard streams for teleoperation and logging when equipped</t>
        </is>
      </c>
      <c r="AM135" s="145" t="n"/>
      <c r="AN135" s="145" t="inlineStr">
        <is>
          <t>Not disclosed</t>
        </is>
      </c>
      <c r="AO135" s="145" t="inlineStr">
        <is>
          <t>Microphone array on interaction-oriented builds</t>
        </is>
      </c>
      <c r="AP135" s="145" t="inlineStr">
        <is>
          <t>Not disclosed</t>
        </is>
      </c>
      <c r="AQ135" s="145" t="inlineStr">
        <is>
          <t>Not disclosed</t>
        </is>
      </c>
      <c r="AR135" s="145" t="n"/>
      <c r="AS135" s="145" t="n"/>
      <c r="AT135" s="149" t="inlineStr">
        <is>
          <t>Not disclosed</t>
        </is>
      </c>
      <c r="AU135" s="149" t="inlineStr">
        <is>
          <t>Not disclosed</t>
        </is>
      </c>
      <c r="AV135" s="145" t="inlineStr">
        <is>
          <t>Manufacturer app and/or SDK</t>
        </is>
      </c>
      <c r="AW135" s="149" t="inlineStr">
        <is>
          <t>Bipedal balance and walking controllers</t>
        </is>
      </c>
      <c r="AX135" s="145" t="n"/>
      <c r="AY135" s="149" t="inlineStr">
        <is>
          <t>Not disclosed</t>
        </is>
      </c>
      <c r="AZ135" s="149" t="inlineStr">
        <is>
          <t>Not disclosed</t>
        </is>
      </c>
      <c r="BA135" s="149" t="n"/>
      <c r="BB135" s="149" t="inlineStr">
        <is>
          <t>Not disclosed</t>
        </is>
      </c>
      <c r="BC135" s="149" t="inlineStr">
        <is>
          <t>Not disclosed</t>
        </is>
      </c>
      <c r="BD135" s="145" t="inlineStr">
        <is>
          <t>Not disclosed</t>
        </is>
      </c>
      <c r="BE135" s="145" t="inlineStr">
        <is>
          <t>Not disclosed</t>
        </is>
      </c>
      <c r="BF135" s="145" t="n"/>
      <c r="BG135" s="145" t="n"/>
      <c r="BH135" s="145" t="n"/>
      <c r="BI135" s="145" t="n"/>
      <c r="BJ135" s="145" t="n"/>
      <c r="BK135" s="145" t="n"/>
      <c r="BL135" s="145" t="n"/>
      <c r="BM135" s="145" t="inlineStr">
        <is>
          <t>Not disclosed</t>
        </is>
      </c>
      <c r="BN135" s="145" t="inlineStr">
        <is>
          <t>Not disclosed</t>
        </is>
      </c>
      <c r="BO135" s="149" t="inlineStr">
        <is>
          <t>Market: Elder care / Companion · The Edge-AI Eldercare Companion is a bipedal humanoid robot from Naiscorp Robotics, associated with development and availability timelines around 2026.</t>
        </is>
      </c>
      <c r="BP135" s="145" t="n"/>
      <c r="BQ135" s="149" t="inlineStr">
        <is>
          <t>Elder care / Companion</t>
        </is>
      </c>
      <c r="BR135" s="149" t="inlineStr">
        <is>
          <t>Award winner (Qualcomm Vietnam Innovation Challenge $100k)</t>
        </is>
      </c>
      <c r="BS135" s="149" t="n"/>
      <c r="BT135" s="145" t="n"/>
      <c r="BU135" s="145" t="n"/>
      <c r="BV135" s="149" t="inlineStr">
        <is>
          <t>Top prize focus on elderly care</t>
        </is>
      </c>
      <c r="BW135" s="149" t="inlineStr">
        <is>
          <t>Origin &amp; status — Vietnam · Award winner (Qualcomm Vietnam Innovation Challenge $100k) · 2026 | Manipulation — Grippers or dexterous hands depending on configuration | Sensing &amp; software — RGB and/or depth cameras for navigation and manipulation (configuration specific) · Manufacturer app and/or SDK | Buying notes — From $50,000 · 12 months manufacturer standard (typical research/commercial humanoid) · Best fit: Elder care</t>
        </is>
      </c>
      <c r="BX135" s="149" t="inlineStr">
        <is>
          <t>as_shipped|Edge-AI Eldercare Companion|50000|As shipped</t>
        </is>
      </c>
      <c r="BY135" s="145" t="inlineStr">
        <is>
          <t>edge_ai_eldercare_co|Manufacturer finish|#e2e8f0|0</t>
        </is>
      </c>
      <c r="BZ135" s="145" t="inlineStr"/>
      <c r="CA135" s="149" t="inlineStr">
        <is>
          <t>Add-ons: case; 2 color options; Multi-year extended warranty available</t>
        </is>
      </c>
      <c r="CB135" s="149" t="inlineStr">
        <is>
          <t>12 months manufacturer standard (typical research/commercial humanoid)</t>
        </is>
      </c>
      <c r="CC135" s="147" t="n">
        <v>12</v>
      </c>
      <c r="CD135" s="149" t="inlineStr">
        <is>
          <t>+3 Year Extended ≈24% of configuration (default in configurator)</t>
        </is>
      </c>
      <c r="CE135" s="145" t="inlineStr">
        <is>
          <t>Humanoid category norm 2025–2026</t>
        </is>
      </c>
      <c r="CF135" s="145" t="inlineStr">
        <is>
          <t>Estimated</t>
        </is>
      </c>
      <c r="CG135" s="149" t="inlineStr">
        <is>
          <t>EDU or enterprise packages may differ; confirm on formal quote.</t>
        </is>
      </c>
      <c r="CH135" s="145" t="inlineStr">
        <is>
          <t>10%</t>
        </is>
      </c>
      <c r="CI135" s="145" t="inlineStr">
        <is>
          <t>17%</t>
        </is>
      </c>
      <c r="CJ135" s="145" t="inlineStr">
        <is>
          <t>24%</t>
        </is>
      </c>
      <c r="CK13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13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35" s="145" t="inlineStr">
        <is>
          <t>12 months manufacturer standard (typical research/commercial humanoid)</t>
        </is>
      </c>
      <c r="CQ135" s="101" t="inlineStr">
        <is>
          <t>Height: Not disclosed | Weight: Not disclosed | Degrees of Freedom: Not disclosed | Payload: Not disclosed | Max Speed: Not disclosed | Battery / Runtime: Not disclosed</t>
        </is>
      </c>
    </row>
    <row r="136" ht="31.5" customHeight="1" s="102">
      <c r="A136" s="152" t="inlineStr">
        <is>
          <t>naver_labs_ambidex</t>
        </is>
      </c>
      <c r="B136" s="153" t="inlineStr">
        <is>
          <t>Humanoid.guide</t>
        </is>
      </c>
      <c r="C136" s="152" t="inlineStr">
        <is>
          <t>Naver Labs</t>
        </is>
      </c>
      <c r="D136" s="152" t="inlineStr">
        <is>
          <t>Ambidex</t>
        </is>
      </c>
      <c r="E136" s="152" t="inlineStr">
        <is>
          <t>[Naver Labs] Ambidex (2026)</t>
        </is>
      </c>
      <c r="F136" s="146" t="inlineStr">
        <is>
          <t>humanoid</t>
        </is>
      </c>
      <c r="G136" s="152" t="inlineStr">
        <is>
          <t>South Korea</t>
        </is>
      </c>
      <c r="H136" s="152" t="n"/>
      <c r="I136" s="155" t="n">
        <v>100000</v>
      </c>
      <c r="J136" s="152" t="inlineStr">
        <is>
          <t>Humanoid.guide list</t>
        </is>
      </c>
      <c r="K136" s="156" t="inlineStr">
        <is>
          <t>Ambidex by Naver Labs is a versatile, lightweight robot designed for precision and safe human collaboration.</t>
        </is>
      </c>
      <c r="L136" s="101" t="inlineStr">
        <is>
          <t>Ambidex by Naver Labs is a versatile, lightweight robot designed for precision and safe human collaboration.</t>
        </is>
      </c>
      <c r="M136" s="101" t="inlineStr">
        <is>
          <t>Ambidex by Naver Labs is a versatile, lightweight robot designed for precision and safe human collaboration. Public status is listed as in production.</t>
        </is>
      </c>
      <c r="N136" s="157" t="inlineStr">
        <is>
          <t>https://humanoid.guide/product/ambidex/</t>
        </is>
      </c>
      <c r="O136" s="157" t="inlineStr">
        <is>
          <t>https://www.naverlabs.com</t>
        </is>
      </c>
      <c r="P136" s="152" t="inlineStr">
        <is>
          <t>6 ft 1 in</t>
        </is>
      </c>
      <c r="Q136" s="152" t="n">
        <v>186</v>
      </c>
      <c r="R136" s="152" t="n"/>
      <c r="S136" s="152" t="n"/>
      <c r="T136" s="156" t="inlineStr">
        <is>
          <t>Not disclosed</t>
        </is>
      </c>
      <c r="U136" s="152" t="n"/>
      <c r="V136" s="152" t="inlineStr">
        <is>
          <t>47</t>
        </is>
      </c>
      <c r="W136" s="156" t="inlineStr">
        <is>
          <t>Not disclosed</t>
        </is>
      </c>
      <c r="X136" s="152" t="n">
        <v>13.2</v>
      </c>
      <c r="Y136" s="152" t="n">
        <v>6</v>
      </c>
      <c r="Z136" s="152" t="n">
        <v>2.24</v>
      </c>
      <c r="AA136" s="152" t="n">
        <v>3.6</v>
      </c>
      <c r="AB136" s="152" t="n"/>
      <c r="AC136" s="156" t="inlineStr">
        <is>
          <t>≈ 8 hours</t>
        </is>
      </c>
      <c r="AD136" s="156" t="inlineStr">
        <is>
          <t>8</t>
        </is>
      </c>
      <c r="AE136" s="152" t="n"/>
      <c r="AF136" s="152" t="inlineStr">
        <is>
          <t>Not disclosed</t>
        </is>
      </c>
      <c r="AG136" s="156" t="inlineStr">
        <is>
          <t>Not disclosed</t>
        </is>
      </c>
      <c r="AH136" s="152" t="inlineStr">
        <is>
          <t>Not disclosed</t>
        </is>
      </c>
      <c r="AI136" s="158" t="n">
        <v>2</v>
      </c>
      <c r="AJ136" s="156" t="inlineStr">
        <is>
          <t>Not disclosed</t>
        </is>
      </c>
      <c r="AK136" s="156" t="n"/>
      <c r="AL136" s="152" t="inlineStr">
        <is>
          <t>Not disclosed</t>
        </is>
      </c>
      <c r="AM136" s="152" t="n"/>
      <c r="AN136" s="152" t="inlineStr">
        <is>
          <t>Not disclosed</t>
        </is>
      </c>
      <c r="AO136" s="152" t="inlineStr">
        <is>
          <t>Not disclosed</t>
        </is>
      </c>
      <c r="AP136" s="152" t="inlineStr">
        <is>
          <t>Not disclosed</t>
        </is>
      </c>
      <c r="AQ136" s="152" t="inlineStr">
        <is>
          <t>Not disclosed</t>
        </is>
      </c>
      <c r="AR136" s="152" t="n"/>
      <c r="AS136" s="152" t="n"/>
      <c r="AT136" s="156" t="inlineStr">
        <is>
          <t>Not disclosed</t>
        </is>
      </c>
      <c r="AU136" s="156" t="inlineStr">
        <is>
          <t>Not disclosed</t>
        </is>
      </c>
      <c r="AV136" s="152" t="inlineStr">
        <is>
          <t>Not disclosed</t>
        </is>
      </c>
      <c r="AW136" s="156" t="inlineStr">
        <is>
          <t>Not disclosed</t>
        </is>
      </c>
      <c r="AX136" s="158" t="n">
        <v>2</v>
      </c>
      <c r="AY136" s="156" t="inlineStr">
        <is>
          <t>Not disclosed</t>
        </is>
      </c>
      <c r="AZ136" s="156" t="inlineStr">
        <is>
          <t>Not disclosed</t>
        </is>
      </c>
      <c r="BA136" s="156" t="n"/>
      <c r="BB136" s="156" t="inlineStr">
        <is>
          <t>Not disclosed</t>
        </is>
      </c>
      <c r="BC136" s="156" t="inlineStr">
        <is>
          <t>Not disclosed</t>
        </is>
      </c>
      <c r="BD136" s="152" t="inlineStr">
        <is>
          <t>Not disclosed</t>
        </is>
      </c>
      <c r="BE136" s="152" t="inlineStr">
        <is>
          <t>Not disclosed</t>
        </is>
      </c>
      <c r="BF136" s="152" t="n"/>
      <c r="BG136" s="152" t="n"/>
      <c r="BH136" s="152" t="n"/>
      <c r="BI136" s="152" t="n"/>
      <c r="BJ136" s="152" t="n"/>
      <c r="BK136" s="152" t="n"/>
      <c r="BL136" s="152" t="n"/>
      <c r="BM136" s="152" t="inlineStr">
        <is>
          <t>Not disclosed</t>
        </is>
      </c>
      <c r="BN136" s="152" t="inlineStr">
        <is>
          <t>Not disclosed</t>
        </is>
      </c>
      <c r="BO136" s="156" t="inlineStr">
        <is>
          <t>Manipulation 2/4 · Navigation 2/4 · Peak 3.6 km/h · Runtime 8</t>
        </is>
      </c>
      <c r="BP136" s="152" t="n"/>
      <c r="BQ136" s="156" t="inlineStr">
        <is>
          <t>Research labs, commercial pilots, and education programs evaluating a humanoid from Naver Labs (South Korea).</t>
        </is>
      </c>
      <c r="BR136" s="156" t="inlineStr">
        <is>
          <t>In production</t>
        </is>
      </c>
      <c r="BS136" s="156" t="inlineStr">
        <is>
          <t>In production</t>
        </is>
      </c>
      <c r="BT136" s="152" t="n"/>
      <c r="BU136" s="152" t="inlineStr">
        <is>
          <t>Not verified</t>
        </is>
      </c>
      <c r="BV136" s="156" t="n"/>
      <c r="BW136" s="156" t="inlineStr">
        <is>
          <t>Origin &amp; status — South Korea · In production · 2026 | Manipulation — Payload 13.2 lb | Sensing &amp; software — Sensor and compute package confirmed on formal quote | Buying notes — From $100,000 · 12 months manufacturer standard (typical research/commercial humanoid)</t>
        </is>
      </c>
      <c r="BX136" s="156" t="inlineStr">
        <is>
          <t>as_shipped|Ambidex|100000|As shipped</t>
        </is>
      </c>
      <c r="BY136" s="152" t="inlineStr">
        <is>
          <t>ambidex|Manufacturer finish|#e2e8f0|0</t>
        </is>
      </c>
      <c r="BZ136" s="152" t="inlineStr"/>
      <c r="CA136" s="156" t="n"/>
      <c r="CB136" s="156" t="inlineStr">
        <is>
          <t>12 months manufacturer standard (typical research/commercial humanoid)</t>
        </is>
      </c>
      <c r="CC136" s="154" t="n">
        <v>12</v>
      </c>
      <c r="CD136" s="156" t="inlineStr">
        <is>
          <t>+3 Year Extended ≈24% of configuration (default in configurator)</t>
        </is>
      </c>
      <c r="CE136" s="152" t="inlineStr">
        <is>
          <t>Humanoid category norm 2025–2026</t>
        </is>
      </c>
      <c r="CF136" s="152" t="inlineStr">
        <is>
          <t>Estimated</t>
        </is>
      </c>
      <c r="CG136" s="156" t="inlineStr">
        <is>
          <t>Confirm on formal OEM quote. EDU or enterprise packages may differ.</t>
        </is>
      </c>
      <c r="CH136" s="152" t="inlineStr">
        <is>
          <t>10%</t>
        </is>
      </c>
      <c r="CI136" s="152" t="inlineStr">
        <is>
          <t>17%</t>
        </is>
      </c>
      <c r="CJ136" s="152" t="inlineStr">
        <is>
          <t>24%</t>
        </is>
      </c>
      <c r="CK136" s="156" t="inlineStr">
        <is>
          <t>+1yr ≈10% | +2yr ≈17% | +3yr ≈24% of selected configuration price (parts &amp; labor beyond manufacturer standard).</t>
        </is>
      </c>
      <c r="CL136"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36" s="152" t="inlineStr">
        <is>
          <t>12 months manufacturer standard (typical research/commercial humanoid)</t>
        </is>
      </c>
      <c r="CQ136" s="101" t="inlineStr">
        <is>
          <t>Height: 6 ft 1 in | Weight: Not disclosed | Degrees of Freedom: 47 | Payload: 13.2 | Max Speed: 2.24 | Battery / Runtime: ≈ 8 hours</t>
        </is>
      </c>
    </row>
    <row r="137" ht="31.5" customHeight="1" s="102">
      <c r="A137" s="143" t="inlineStr">
        <is>
          <t>fourne1mini</t>
        </is>
      </c>
      <c r="B137" s="144" t="inlineStr">
        <is>
          <t>Both</t>
        </is>
      </c>
      <c r="C137" s="145" t="inlineStr">
        <is>
          <t>Neura Robotics</t>
        </is>
      </c>
      <c r="D137" s="145" t="inlineStr">
        <is>
          <t>4NE-1</t>
        </is>
      </c>
      <c r="E137" s="145" t="inlineStr">
        <is>
          <t>[Neura] 4NE-1 Mini (2026)</t>
        </is>
      </c>
      <c r="F137" s="146" t="inlineStr">
        <is>
          <t>humanoid</t>
        </is>
      </c>
      <c r="G137" s="145" t="inlineStr">
        <is>
          <t>Germany</t>
        </is>
      </c>
      <c r="H137" s="147" t="n">
        <v>2026</v>
      </c>
      <c r="I137" s="148" t="n">
        <v>23100</v>
      </c>
      <c r="J137" s="145" t="inlineStr">
        <is>
          <t>Robot Price Index Aug 2026 · Gen 3.5 entry</t>
        </is>
      </c>
      <c r="K137" s="149" t="inlineStr">
        <is>
          <t>The 4NE-1 humanoid robot by NEURA Robotics excels in cognitive robotics with advanced AI and adaptable capabilities for industrial and domestic applications.</t>
        </is>
      </c>
      <c r="L137" s="101" t="inlineStr">
        <is>
          <t>The 4NE-1 humanoid robot by NEURA Robotics excels in cognitive robotics with advanced AI and adaptable capabilities for industrial and domestic applications.</t>
        </is>
      </c>
      <c r="M137" s="101" t="inlineStr">
        <is>
          <t>4NE-1 Mini is Neura Robotics's humanoid, introduced around 2026 in Germany. The 4NE-1 humanoid robot by NEURA Robotics excels in cognitive robotics with advanced AI and adaptable capabilities for industrial and domestic applications. Public status is listed as prototype.</t>
        </is>
      </c>
      <c r="N137" s="150" t="inlineStr">
        <is>
          <t>https://humanoid.guide/product/4ne-1/</t>
        </is>
      </c>
      <c r="O137" s="150" t="inlineStr">
        <is>
          <t>https://neura-robotics.com</t>
        </is>
      </c>
      <c r="P137" s="145" t="inlineStr">
        <is>
          <t>≈ 4 ft 4 in</t>
        </is>
      </c>
      <c r="Q137" s="145" t="n">
        <v>180</v>
      </c>
      <c r="R137" s="145" t="n">
        <v>176.4</v>
      </c>
      <c r="S137" s="145" t="n">
        <v>80</v>
      </c>
      <c r="T137" s="149" t="inlineStr">
        <is>
          <t>Not disclosed</t>
        </is>
      </c>
      <c r="U137" s="145" t="n"/>
      <c r="V137" s="145" t="inlineStr">
        <is>
          <t>≈ 25</t>
        </is>
      </c>
      <c r="W137" s="149" t="inlineStr">
        <is>
          <t>Not disclosed</t>
        </is>
      </c>
      <c r="X137" s="145" t="n">
        <v>33.1</v>
      </c>
      <c r="Y137" s="145" t="n">
        <v>15</v>
      </c>
      <c r="Z137" s="145" t="n">
        <v>2.49</v>
      </c>
      <c r="AA137" s="145" t="n">
        <v>4</v>
      </c>
      <c r="AB137" s="145" t="n">
        <v>3</v>
      </c>
      <c r="AC137" s="149" t="inlineStr">
        <is>
          <t>≈ 2.5 h class</t>
        </is>
      </c>
      <c r="AD137" s="149" t="inlineStr">
        <is>
          <t>2</t>
        </is>
      </c>
      <c r="AE137" s="145" t="n"/>
      <c r="AF137" s="145" t="inlineStr">
        <is>
          <t>Not disclosed</t>
        </is>
      </c>
      <c r="AG137" s="149" t="inlineStr">
        <is>
          <t>Not disclosed</t>
        </is>
      </c>
      <c r="AH137" s="145" t="inlineStr">
        <is>
          <t>Not disclosed</t>
        </is>
      </c>
      <c r="AI137" s="158" t="n">
        <v>2</v>
      </c>
      <c r="AJ137" s="149" t="inlineStr">
        <is>
          <t>Cognitive robotics vision stack (Neura)</t>
        </is>
      </c>
      <c r="AK137" s="149" t="n"/>
      <c r="AL137" s="145" t="inlineStr">
        <is>
          <t>Not disclosed</t>
        </is>
      </c>
      <c r="AM137" s="145" t="n"/>
      <c r="AN137" s="145" t="inlineStr">
        <is>
          <t>Not disclosed</t>
        </is>
      </c>
      <c r="AO137" s="145" t="inlineStr">
        <is>
          <t>Voice and interaction sensors</t>
        </is>
      </c>
      <c r="AP137" s="145" t="inlineStr">
        <is>
          <t>Not disclosed</t>
        </is>
      </c>
      <c r="AQ137" s="145" t="inlineStr">
        <is>
          <t>Not disclosed</t>
        </is>
      </c>
      <c r="AR137" s="145" t="n"/>
      <c r="AS137" s="145" t="n"/>
      <c r="AT137" s="149" t="inlineStr">
        <is>
          <t>Not disclosed</t>
        </is>
      </c>
      <c r="AU137" s="149" t="inlineStr">
        <is>
          <t>Not disclosed</t>
        </is>
      </c>
      <c r="AV137" s="145" t="inlineStr">
        <is>
          <t>Neura cognitive software environment</t>
        </is>
      </c>
      <c r="AW137" s="149" t="inlineStr">
        <is>
          <t>Compact humanoid mobility for research and pilot sites</t>
        </is>
      </c>
      <c r="AX137" s="158" t="n">
        <v>2</v>
      </c>
      <c r="AY137" s="149" t="inlineStr">
        <is>
          <t>Not disclosed</t>
        </is>
      </c>
      <c r="AZ137" s="149" t="inlineStr">
        <is>
          <t>Not disclosed</t>
        </is>
      </c>
      <c r="BA137" s="149" t="n"/>
      <c r="BB137" s="149" t="inlineStr">
        <is>
          <t>Not disclosed</t>
        </is>
      </c>
      <c r="BC137" s="149" t="inlineStr">
        <is>
          <t>Not disclosed</t>
        </is>
      </c>
      <c r="BD137" s="145" t="inlineStr">
        <is>
          <t>Not disclosed</t>
        </is>
      </c>
      <c r="BE137" s="145" t="inlineStr">
        <is>
          <t>Not disclosed</t>
        </is>
      </c>
      <c r="BF137" s="145" t="n"/>
      <c r="BG137" s="145" t="n"/>
      <c r="BH137" s="145" t="n"/>
      <c r="BI137" s="145" t="n"/>
      <c r="BJ137" s="145" t="n"/>
      <c r="BK137" s="145" t="n"/>
      <c r="BL137" s="145" t="n"/>
      <c r="BM137" s="145" t="inlineStr">
        <is>
          <t>Not disclosed</t>
        </is>
      </c>
      <c r="BN137" s="145" t="inlineStr">
        <is>
          <t>Not disclosed</t>
        </is>
      </c>
      <c r="BO137" s="149" t="inlineStr">
        <is>
          <t>Manipulation 2/4 · Navigation 2/4 · Peak 4 km/h · Walk 3 km/h · Runtime 2</t>
        </is>
      </c>
      <c r="BP137" s="145" t="n"/>
      <c r="BQ137" s="149" t="inlineStr">
        <is>
          <t>European education and research buyers, and teams wanting a Western cognitive humanoid at a more accessible size and price.</t>
        </is>
      </c>
      <c r="BR137" s="149" t="inlineStr">
        <is>
          <t>Prototype</t>
        </is>
      </c>
      <c r="BS137" s="149" t="inlineStr">
        <is>
          <t>Prototype</t>
        </is>
      </c>
      <c r="BT137" s="145" t="n"/>
      <c r="BU137" s="145" t="inlineStr">
        <is>
          <t>Not verified</t>
        </is>
      </c>
      <c r="BV137" s="149" t="inlineStr">
        <is>
          <t>Humanoid.guide listed price $200,000.</t>
        </is>
      </c>
      <c r="BW137" s="149" t="inlineStr">
        <is>
          <t>Origin &amp; status — Germany · Prototype · 2026 | Manipulation — Payload ≈ 6.6 lb | Sensing &amp; software — Cognitive robotics vision stack (Neura) · Neura cognitive software environment | Buying notes — From $23,100 · 12 months manufacturer standard (typical research/commercial humanoid)</t>
        </is>
      </c>
      <c r="BX137" s="149" t="inlineStr">
        <is>
          <t>std|4NE-1 Mini Standard|23100|Core education / research || pro|4NE-1 Mini Pro|34800|Higher capability Pro</t>
        </is>
      </c>
      <c r="BY137" s="145" t="inlineStr">
        <is>
          <t>white|European White|#f8fafc|0 || gray|Studio Gray|#94a3b8|0</t>
        </is>
      </c>
      <c r="BZ137" s="145" t="inlineStr">
        <is>
          <t>case, warranty_neura</t>
        </is>
      </c>
      <c r="CA137" s="149" t="inlineStr">
        <is>
          <t>2 configuration tiers; Add-ons: case; 2 color options; Multi-year extended warranty available</t>
        </is>
      </c>
      <c r="CB137" s="149" t="inlineStr">
        <is>
          <t>12 months manufacturer standard (typical research/commercial humanoid)</t>
        </is>
      </c>
      <c r="CC137" s="147" t="n">
        <v>12</v>
      </c>
      <c r="CD137" s="149" t="inlineStr">
        <is>
          <t>+3 Year Extended ≈24% of configuration (default in configurator)</t>
        </is>
      </c>
      <c r="CE137" s="145" t="inlineStr">
        <is>
          <t>Humanoid category norm 2025–2026</t>
        </is>
      </c>
      <c r="CF137" s="145" t="inlineStr">
        <is>
          <t>Estimated</t>
        </is>
      </c>
      <c r="CG137" s="149" t="inlineStr">
        <is>
          <t>EDU or enterprise packages may differ; confirm on formal quote.</t>
        </is>
      </c>
      <c r="CH137" s="145" t="inlineStr">
        <is>
          <t>10%</t>
        </is>
      </c>
      <c r="CI137" s="145" t="inlineStr">
        <is>
          <t>17%</t>
        </is>
      </c>
      <c r="CJ137" s="145" t="inlineStr">
        <is>
          <t>24%</t>
        </is>
      </c>
      <c r="CK137"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137"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37" s="145" t="inlineStr">
        <is>
          <t>12 months manufacturer standard (typical research/commercial humanoid)</t>
        </is>
      </c>
      <c r="CQ137" s="101" t="inlineStr">
        <is>
          <t>Height: ≈ 4 ft 4 in | Weight: 176.4 | Degrees of Freedom: ≈ 25 | Payload: 33.1 | Max Speed: 2.49 | Battery / Runtime: ≈ 2.5 h class</t>
        </is>
      </c>
    </row>
    <row r="138" ht="31.5" customHeight="1" s="102">
      <c r="A138" s="152" t="inlineStr">
        <is>
          <t>neura_robotics_4ne1</t>
        </is>
      </c>
      <c r="B138" s="153" t="inlineStr">
        <is>
          <t>Humanoid.guide</t>
        </is>
      </c>
      <c r="C138" s="152" t="inlineStr">
        <is>
          <t>NEURA Robotics</t>
        </is>
      </c>
      <c r="D138" s="152" t="inlineStr">
        <is>
          <t>4NE1</t>
        </is>
      </c>
      <c r="E138" s="152" t="inlineStr">
        <is>
          <t>[NEURA Robotics] 4NE1 (2026)</t>
        </is>
      </c>
      <c r="F138" s="146" t="inlineStr">
        <is>
          <t>humanoid</t>
        </is>
      </c>
      <c r="G138" s="152" t="inlineStr">
        <is>
          <t>Germany</t>
        </is>
      </c>
      <c r="H138" s="152" t="n"/>
      <c r="I138" s="155" t="n">
        <v>114500</v>
      </c>
      <c r="J138" s="152" t="inlineStr">
        <is>
          <t>Humanoid.guide list</t>
        </is>
      </c>
      <c r="K138" s="156" t="inlineStr">
        <is>
          <t>4NE1 is a cognitive humanoid robot developed by NEURA Robotics in Germany. It pairs human-like form and perception with advanced AI to collaborate safely with people across work and life.</t>
        </is>
      </c>
      <c r="L138" s="101" t="inlineStr">
        <is>
          <t>4NE1 is a cognitive humanoid robot developed by NEURA Robotics in Germany. It pairs human-like form and perception with advanced AI to collaborate safely with people across work and life.</t>
        </is>
      </c>
      <c r="M138" s="101" t="inlineStr">
        <is>
          <t>4NE1 is a cognitive humanoid robot developed by NEURA Robotics in Germany. It pairs human-like form and perception with advanced AI to collaborate safely with people across work and life. Public status is listed as early production / limited release, and it is positioned for everyday tasks; Industrial automation; services.</t>
        </is>
      </c>
      <c r="N138" s="157" t="inlineStr">
        <is>
          <t>https://humanoid.guide/product/4ne1/</t>
        </is>
      </c>
      <c r="O138" s="157" t="inlineStr">
        <is>
          <t>https://neura-robotics.com</t>
        </is>
      </c>
      <c r="P138" s="152" t="inlineStr">
        <is>
          <t>5 ft 11 in</t>
        </is>
      </c>
      <c r="Q138" s="152" t="n">
        <v>180</v>
      </c>
      <c r="R138" s="152" t="n">
        <v>176.4</v>
      </c>
      <c r="S138" s="152" t="n">
        <v>80</v>
      </c>
      <c r="T138" s="156" t="inlineStr">
        <is>
          <t>Not disclosed</t>
        </is>
      </c>
      <c r="U138" s="152" t="n"/>
      <c r="V138" s="152" t="inlineStr">
        <is>
          <t>Not officially published (estimate ~40–60)</t>
        </is>
      </c>
      <c r="W138" s="156" t="inlineStr">
        <is>
          <t>Not specified (likely ≥5 per hand)</t>
        </is>
      </c>
      <c r="X138" s="152" t="n">
        <v>33.1</v>
      </c>
      <c r="Y138" s="152" t="n">
        <v>15</v>
      </c>
      <c r="Z138" s="152" t="n">
        <v>3.11</v>
      </c>
      <c r="AA138" s="152" t="n">
        <v>5</v>
      </c>
      <c r="AB138" s="152" t="n">
        <v>5</v>
      </c>
      <c r="AC138" s="156" t="inlineStr">
        <is>
          <t>~6–8</t>
        </is>
      </c>
      <c r="AD138" s="156" t="inlineStr">
        <is>
          <t>~6–8</t>
        </is>
      </c>
      <c r="AE138" s="152" t="n"/>
      <c r="AF138" s="152" t="inlineStr">
        <is>
          <t>Not disclosed</t>
        </is>
      </c>
      <c r="AG138" s="156" t="inlineStr">
        <is>
          <t>5 per hand (multi-digit manipulators — model dependent)</t>
        </is>
      </c>
      <c r="AH138" s="152" t="inlineStr">
        <is>
          <t>5 per hand (multi-digit manipulators — model dependent)</t>
        </is>
      </c>
      <c r="AI138" s="152" t="n"/>
      <c r="AJ138" s="156" t="inlineStr">
        <is>
          <t>Multi-camera 360° vision</t>
        </is>
      </c>
      <c r="AK138" s="156" t="inlineStr">
        <is>
          <t>Multi-camera 360° vision</t>
        </is>
      </c>
      <c r="AL138" s="152" t="inlineStr">
        <is>
          <t>Not disclosed</t>
        </is>
      </c>
      <c r="AM138" s="152" t="n"/>
      <c r="AN138" s="152" t="inlineStr">
        <is>
          <t>Not disclosed</t>
        </is>
      </c>
      <c r="AO138" s="152" t="inlineStr">
        <is>
          <t>Not disclosed</t>
        </is>
      </c>
      <c r="AP138" s="152" t="inlineStr">
        <is>
          <t>Not disclosed</t>
        </is>
      </c>
      <c r="AQ138" s="152" t="inlineStr">
        <is>
          <t>Not disclosed</t>
        </is>
      </c>
      <c r="AR138" s="152" t="n"/>
      <c r="AS138" s="152" t="n"/>
      <c r="AT138" s="156" t="inlineStr">
        <is>
          <t>Onboard computing with integrated AI platform (Neuraverse)</t>
        </is>
      </c>
      <c r="AU138" s="156" t="inlineStr">
        <is>
          <t>Ethernet; Python/C++ SDK; ROS2; Wi-Fi 6</t>
        </is>
      </c>
      <c r="AV138" s="152" t="inlineStr">
        <is>
          <t>Not disclosed</t>
        </is>
      </c>
      <c r="AW138" s="156" t="inlineStr">
        <is>
          <t>Not disclosed</t>
        </is>
      </c>
      <c r="AX138" s="152" t="n"/>
      <c r="AY138" s="156" t="inlineStr">
        <is>
          <t>Neura OS with ROS compatibility</t>
        </is>
      </c>
      <c r="AZ138" s="156" t="inlineStr">
        <is>
          <t>Potential via cloud or edge AI integration</t>
        </is>
      </c>
      <c r="BA138" s="156" t="inlineStr">
        <is>
          <t>Low (edge and onboard processing)</t>
        </is>
      </c>
      <c r="BB138" s="156" t="inlineStr">
        <is>
          <t>Electric actuators (high-torque joints)</t>
        </is>
      </c>
      <c r="BC138" s="156" t="inlineStr">
        <is>
          <t>Precision reduction gears (inferred)</t>
        </is>
      </c>
      <c r="BD138" s="152" t="inlineStr">
        <is>
          <t>Aluminum, composites</t>
        </is>
      </c>
      <c r="BE138" s="152" t="inlineStr">
        <is>
          <t>Not disclosed</t>
        </is>
      </c>
      <c r="BF138" s="152" t="n"/>
      <c r="BG138" s="152" t="n"/>
      <c r="BH138" s="152" t="n"/>
      <c r="BI138" s="152" t="n"/>
      <c r="BJ138" s="152" t="n"/>
      <c r="BK138" s="152" t="n"/>
      <c r="BL138" s="152" t="n"/>
      <c r="BM138" s="152" t="inlineStr">
        <is>
          <t>Yes</t>
        </is>
      </c>
      <c r="BN138" s="152" t="inlineStr">
        <is>
          <t>Not disclosed</t>
        </is>
      </c>
      <c r="BO138" s="156" t="inlineStr">
        <is>
          <t>Market: everyday tasks; Industrial automation; services · Human-safe: Yes · AI: Potential via cloud or edge AI integration · Actuation: Electric actuators (high-torque joints) · Peak 5 km/h · Walk 5 km/h · Runtime ~6–8</t>
        </is>
      </c>
      <c r="BP138" s="152" t="n"/>
      <c r="BQ138" s="156" t="inlineStr">
        <is>
          <t>everyday tasks; Industrial automation; services</t>
        </is>
      </c>
      <c r="BR138" s="156" t="inlineStr">
        <is>
          <t>Early production / limited release</t>
        </is>
      </c>
      <c r="BS138" s="156" t="inlineStr">
        <is>
          <t>Early production / limited release</t>
        </is>
      </c>
      <c r="BT138" s="152" t="inlineStr">
        <is>
          <t>White</t>
        </is>
      </c>
      <c r="BU138" s="152" t="inlineStr">
        <is>
          <t>Not verified</t>
        </is>
      </c>
      <c r="BV138" s="156" t="n"/>
      <c r="BW138" s="156" t="inlineStr">
        <is>
          <t>Origin &amp; status — Germany · Early production / limited release · 2026 | Manipulation — 5 per hand (multi-digit manipulators — model dependent) · 5 per hand (multi-digit manipulators — model dependent) fingers · Hand DOF Not specified (likely ≥5 per… | Sensing &amp; software — Multi-camera 360° vision · Potential via cloud or edge AI integration · Neura OS with ROS compatibility | Buying notes — From $114,500 · 12 months manufacturer standard (typical research/commercial humanoid) · Best fit: everyday tasks</t>
        </is>
      </c>
      <c r="BX138" s="156" t="inlineStr">
        <is>
          <t>as_shipped|4NE1|114500|As shipped</t>
        </is>
      </c>
      <c r="BY138" s="152" t="inlineStr">
        <is>
          <t>white|White|#e2e8f0|0</t>
        </is>
      </c>
      <c r="BZ138" s="152" t="inlineStr"/>
      <c r="CA138" s="156" t="n"/>
      <c r="CB138" s="156" t="inlineStr">
        <is>
          <t>12 months manufacturer standard (typical research/commercial humanoid)</t>
        </is>
      </c>
      <c r="CC138" s="154" t="n">
        <v>12</v>
      </c>
      <c r="CD138" s="156" t="inlineStr">
        <is>
          <t>+3 Year Extended ≈24% of configuration (default in configurator)</t>
        </is>
      </c>
      <c r="CE138" s="152" t="inlineStr">
        <is>
          <t>Humanoid category norm 2025–2026</t>
        </is>
      </c>
      <c r="CF138" s="152" t="inlineStr">
        <is>
          <t>Estimated</t>
        </is>
      </c>
      <c r="CG138" s="156" t="inlineStr">
        <is>
          <t>Confirm on formal OEM quote. EDU or enterprise packages may differ.</t>
        </is>
      </c>
      <c r="CH138" s="152" t="inlineStr">
        <is>
          <t>10%</t>
        </is>
      </c>
      <c r="CI138" s="152" t="inlineStr">
        <is>
          <t>17%</t>
        </is>
      </c>
      <c r="CJ138" s="152" t="inlineStr">
        <is>
          <t>24%</t>
        </is>
      </c>
      <c r="CK138" s="156" t="inlineStr">
        <is>
          <t>+1yr ≈10% | +2yr ≈17% | +3yr ≈24% of selected configuration price (parts &amp; labor beyond manufacturer standard).</t>
        </is>
      </c>
      <c r="CL138"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38" s="152" t="inlineStr">
        <is>
          <t>12 months manufacturer standard (typical research/commercial humanoid)</t>
        </is>
      </c>
      <c r="CN138" s="203" t="inlineStr">
        <is>
          <t>https://aixzd.com/robot/4ne1</t>
        </is>
      </c>
      <c r="CQ138" s="101" t="inlineStr">
        <is>
          <t>Height: 5 ft 11 in | Weight: 176.4 | Degrees of Freedom: Not officially published (estimate ~40–60) | Payload: 33.1 | Max Speed: 3.11 | Battery / Runtime: ~6–8</t>
        </is>
      </c>
    </row>
    <row r="139" ht="31.5" customHeight="1" s="102">
      <c r="A139" s="145" t="inlineStr">
        <is>
          <t>nineray_raynex_g3</t>
        </is>
      </c>
      <c r="B139" s="153" t="inlineStr">
        <is>
          <t>Humanoid.guide</t>
        </is>
      </c>
      <c r="C139" s="145" t="inlineStr">
        <is>
          <t>NineRay</t>
        </is>
      </c>
      <c r="D139" s="145" t="inlineStr">
        <is>
          <t>RayNex G3</t>
        </is>
      </c>
      <c r="E139" s="145" t="inlineStr">
        <is>
          <t>[NineRay] RayNex G3 (2026)</t>
        </is>
      </c>
      <c r="F139" s="146" t="inlineStr">
        <is>
          <t>humanoid</t>
        </is>
      </c>
      <c r="G139" s="145" t="inlineStr">
        <is>
          <t>China</t>
        </is>
      </c>
      <c r="H139" s="145" t="n"/>
      <c r="I139" s="148" t="n">
        <v>6500</v>
      </c>
      <c r="J139" s="145" t="inlineStr">
        <is>
          <t>Humanoid.guide list</t>
        </is>
      </c>
      <c r="K139" s="149" t="inlineStr">
        <is>
          <t>The RayNex G3 is an industrial humanoid robot built for heavy-payload work, featuring hybrid linear and harmonic joint technology, proprietary RayBrain AI, and a 100kg deadlift capacity in a 173cm, 60kg frame with 8-hour runtime.</t>
        </is>
      </c>
      <c r="L139" s="101" t="inlineStr">
        <is>
          <t>The RayNex G3 is an industrial humanoid robot built for heavy-payload work, featuring hybrid linear and harmonic joint technology, proprietary RayBrain AI, and a 100kg deadlift capacity in a 173cm, 60kg frame with 8-hour runtime.</t>
        </is>
      </c>
      <c r="M139" s="101" t="inlineStr">
        <is>
          <t>The RayNex G3 is an industrial humanoid robot built for heavy-payload work, featuring hybrid linear and harmonic joint technology, proprietary RayBrain AI, and a 100kg deadlift capacity in a 173cm, 60kg frame with 8-hour runtime. Public status is listed as in production, and it is positioned for industrial; Manufacturing.</t>
        </is>
      </c>
      <c r="N139" s="150" t="inlineStr">
        <is>
          <t>https://humanoid.guide/product/raynex-g3/</t>
        </is>
      </c>
      <c r="O139" s="150" t="inlineStr">
        <is>
          <t>https://www.nineraygroup.com/</t>
        </is>
      </c>
      <c r="P139" s="145" t="inlineStr">
        <is>
          <t>5 ft 8 in</t>
        </is>
      </c>
      <c r="Q139" s="145" t="n">
        <v>173</v>
      </c>
      <c r="R139" s="145" t="n">
        <v>132.3</v>
      </c>
      <c r="S139" s="145" t="n">
        <v>60</v>
      </c>
      <c r="T139" s="149" t="inlineStr">
        <is>
          <t>Not disclosed</t>
        </is>
      </c>
      <c r="U139" s="145" t="n"/>
      <c r="V139" s="145" t="inlineStr">
        <is>
          <t>32</t>
        </is>
      </c>
      <c r="W139" s="149" t="inlineStr">
        <is>
          <t>12</t>
        </is>
      </c>
      <c r="X139" s="145" t="n">
        <v>220.5</v>
      </c>
      <c r="Y139" s="145" t="n">
        <v>100</v>
      </c>
      <c r="Z139" s="145" t="n">
        <v>3.73</v>
      </c>
      <c r="AA139" s="145" t="n">
        <v>6</v>
      </c>
      <c r="AB139" s="145" t="n">
        <v>4</v>
      </c>
      <c r="AC139" s="149" t="inlineStr">
        <is>
          <t>≈ 8 hours</t>
        </is>
      </c>
      <c r="AD139" s="149" t="inlineStr">
        <is>
          <t>8</t>
        </is>
      </c>
      <c r="AE139" s="145" t="n"/>
      <c r="AF139" s="145" t="inlineStr">
        <is>
          <t>Not disclosed</t>
        </is>
      </c>
      <c r="AG139" s="149" t="inlineStr">
        <is>
          <t>5 per hand</t>
        </is>
      </c>
      <c r="AH139" s="145" t="inlineStr">
        <is>
          <t>5 per hand</t>
        </is>
      </c>
      <c r="AI139" s="145" t="n"/>
      <c r="AJ139" s="149" t="inlineStr">
        <is>
          <t>Not disclosed</t>
        </is>
      </c>
      <c r="AK139" s="149" t="n"/>
      <c r="AL139" s="145" t="inlineStr">
        <is>
          <t>Not disclosed</t>
        </is>
      </c>
      <c r="AM139" s="145" t="n"/>
      <c r="AN139" s="145" t="inlineStr">
        <is>
          <t>Not disclosed</t>
        </is>
      </c>
      <c r="AO139" s="145" t="inlineStr">
        <is>
          <t>Not disclosed</t>
        </is>
      </c>
      <c r="AP139" s="145" t="inlineStr">
        <is>
          <t>Not disclosed</t>
        </is>
      </c>
      <c r="AQ139" s="145" t="inlineStr">
        <is>
          <t>Not disclosed</t>
        </is>
      </c>
      <c r="AR139" s="145" t="n"/>
      <c r="AS139" s="145" t="n"/>
      <c r="AT139" s="149" t="inlineStr">
        <is>
          <t>RayBrain (proprietary)</t>
        </is>
      </c>
      <c r="AU139" s="149" t="inlineStr">
        <is>
          <t>Ethernet; Wi-Fi</t>
        </is>
      </c>
      <c r="AV139" s="145" t="inlineStr">
        <is>
          <t>Not disclosed</t>
        </is>
      </c>
      <c r="AW139" s="149" t="inlineStr">
        <is>
          <t>Not disclosed</t>
        </is>
      </c>
      <c r="AX139" s="145" t="n"/>
      <c r="AY139" s="149" t="inlineStr">
        <is>
          <t>RayBrain OS (proprietary)</t>
        </is>
      </c>
      <c r="AZ139" s="149" t="inlineStr">
        <is>
          <t>RayBrain AI (custom)</t>
        </is>
      </c>
      <c r="BA139" s="149" t="n"/>
      <c r="BB139" s="149" t="inlineStr">
        <is>
          <t>Frameless Torque Motors</t>
        </is>
      </c>
      <c r="BC139" s="149" t="inlineStr">
        <is>
          <t>Harmonic + Linear Drives</t>
        </is>
      </c>
      <c r="BD139" s="145" t="inlineStr">
        <is>
          <t>Aluminum/Composite</t>
        </is>
      </c>
      <c r="BE139" s="145" t="inlineStr">
        <is>
          <t>Not disclosed</t>
        </is>
      </c>
      <c r="BF139" s="145" t="n"/>
      <c r="BG139" s="145" t="n"/>
      <c r="BH139" s="145" t="n"/>
      <c r="BI139" s="145" t="n"/>
      <c r="BJ139" s="145" t="n"/>
      <c r="BK139" s="145" t="n"/>
      <c r="BL139" s="145" t="n"/>
      <c r="BM139" s="145" t="inlineStr">
        <is>
          <t>Yes</t>
        </is>
      </c>
      <c r="BN139" s="145" t="inlineStr">
        <is>
          <t>Not disclosed</t>
        </is>
      </c>
      <c r="BO139" s="149" t="inlineStr">
        <is>
          <t>Market: Industrial; Manufacturing · Human-safe: Yes · AI: RayBrain AI (custom) · Actuation: Frameless Torque Motors · Peak 6 km/h · Walk 4 km/h · Runtime 8</t>
        </is>
      </c>
      <c r="BP139" s="145" t="n"/>
      <c r="BQ139" s="149" t="inlineStr">
        <is>
          <t>Industrial; Manufacturing</t>
        </is>
      </c>
      <c r="BR139" s="149" t="inlineStr">
        <is>
          <t>In production</t>
        </is>
      </c>
      <c r="BS139" s="149" t="inlineStr">
        <is>
          <t>In production</t>
        </is>
      </c>
      <c r="BT139" s="145" t="n"/>
      <c r="BU139" s="145" t="inlineStr">
        <is>
          <t>Not verified</t>
        </is>
      </c>
      <c r="BV139" s="149" t="n"/>
      <c r="BW139" s="149" t="inlineStr">
        <is>
          <t>Origin &amp; status — China · In production · 2026 | Manipulation — 5 per hand · 5 per hand fingers · Hand DOF 12 · Payload 220.5 lb | Sensing &amp; software — RayBrain AI (custom) · RayBrain OS (proprietary) | Buying notes — From $6,500 · 12 months manufacturer standard (typical research/commercial humanoid) · Best fit: Industrial</t>
        </is>
      </c>
      <c r="BX139" s="149" t="inlineStr">
        <is>
          <t>as_shipped|RayNex G3|6500|As shipped</t>
        </is>
      </c>
      <c r="BY139" s="145" t="inlineStr">
        <is>
          <t>raynex_g3|Manufacturer finish|#e2e8f0|0</t>
        </is>
      </c>
      <c r="BZ139" s="145" t="inlineStr"/>
      <c r="CA139" s="149" t="n"/>
      <c r="CB139" s="149" t="inlineStr">
        <is>
          <t>12 months manufacturer standard (typical research/commercial humanoid)</t>
        </is>
      </c>
      <c r="CC139" s="147" t="n">
        <v>12</v>
      </c>
      <c r="CD139" s="149" t="inlineStr">
        <is>
          <t>+3 Year Extended ≈24% of configuration (default in configurator)</t>
        </is>
      </c>
      <c r="CE139" s="145" t="inlineStr">
        <is>
          <t>Humanoid category norm 2025–2026</t>
        </is>
      </c>
      <c r="CF139" s="145" t="inlineStr">
        <is>
          <t>Estimated</t>
        </is>
      </c>
      <c r="CG139" s="149" t="inlineStr">
        <is>
          <t>Confirm on formal OEM quote. EDU or enterprise packages may differ.</t>
        </is>
      </c>
      <c r="CH139" s="145" t="inlineStr">
        <is>
          <t>10%</t>
        </is>
      </c>
      <c r="CI139" s="145" t="inlineStr">
        <is>
          <t>17%</t>
        </is>
      </c>
      <c r="CJ139" s="145" t="inlineStr">
        <is>
          <t>24%</t>
        </is>
      </c>
      <c r="CK139" s="149" t="inlineStr">
        <is>
          <t>+1yr ≈10% | +2yr ≈17% | +3yr ≈24% of selected configuration price (parts &amp; labor beyond manufacturer standard).</t>
        </is>
      </c>
      <c r="CL13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39" s="145" t="inlineStr">
        <is>
          <t>12 months manufacturer standard (typical research/commercial humanoid)</t>
        </is>
      </c>
      <c r="CQ139" s="101" t="inlineStr">
        <is>
          <t>Height: 5 ft 8 in | Weight: 132.3 | Degrees of Freedom: 32 | Payload: 220.5 | Max Speed: 3.73 | Battery / Runtime: ≈ 8 hours</t>
        </is>
      </c>
    </row>
    <row r="140" ht="31.5" customHeight="1" s="102">
      <c r="A140" s="159" t="inlineStr">
        <is>
          <t>noble_machines_moby</t>
        </is>
      </c>
      <c r="B140" s="144" t="inlineStr">
        <is>
          <t>Both</t>
        </is>
      </c>
      <c r="C140" s="152" t="inlineStr">
        <is>
          <t>Noble Machines</t>
        </is>
      </c>
      <c r="D140" s="152" t="inlineStr">
        <is>
          <t>Moby</t>
        </is>
      </c>
      <c r="E140" s="152" t="inlineStr">
        <is>
          <t>[Noble Machines] Moby (2025)</t>
        </is>
      </c>
      <c r="F140" s="146" t="inlineStr">
        <is>
          <t>humanoid</t>
        </is>
      </c>
      <c r="G140" s="152" t="inlineStr">
        <is>
          <t>USA</t>
        </is>
      </c>
      <c r="H140" s="154" t="n">
        <v>2025</v>
      </c>
      <c r="I140" s="155" t="n">
        <v>50000</v>
      </c>
      <c r="J140" s="152" t="inlineStr">
        <is>
          <t>Website store</t>
        </is>
      </c>
      <c r="K140" s="156" t="inlineStr">
        <is>
          <t>Moby is a general-purpose industrial robot designed to perform hazardous and physically demanding tasks in real-world environments.</t>
        </is>
      </c>
      <c r="L140" s="101" t="inlineStr">
        <is>
          <t>Moby is a general-purpose industrial robot designed to perform hazardous and physically demanding tasks in real-world environments.</t>
        </is>
      </c>
      <c r="M140" s="101" t="inlineStr">
        <is>
          <t>Moby is a general-purpose industrial robot designed to perform hazardous and physically demanding tasks in real-world environments. Public status is listed as first deployments.</t>
        </is>
      </c>
      <c r="N140" s="157" t="inlineStr">
        <is>
          <t>https://humanoid.guide/product/moby/</t>
        </is>
      </c>
      <c r="O140" s="157" t="inlineStr">
        <is>
          <t>https://www.noblemachines.ai/</t>
        </is>
      </c>
      <c r="P140" s="152" t="inlineStr">
        <is>
          <t>5 ft 7 in</t>
        </is>
      </c>
      <c r="Q140" s="152" t="n">
        <v>170</v>
      </c>
      <c r="R140" s="152" t="n">
        <v>99.2</v>
      </c>
      <c r="S140" s="152" t="n">
        <v>45</v>
      </c>
      <c r="T140" s="156" t="inlineStr">
        <is>
          <t>Not disclosed</t>
        </is>
      </c>
      <c r="U140" s="152" t="n"/>
      <c r="V140" s="152" t="inlineStr">
        <is>
          <t>34</t>
        </is>
      </c>
      <c r="W140" s="156" t="inlineStr">
        <is>
          <t>10</t>
        </is>
      </c>
      <c r="X140" s="152" t="n">
        <v>19.8</v>
      </c>
      <c r="Y140" s="152" t="n">
        <v>9</v>
      </c>
      <c r="Z140" s="152" t="n">
        <v>1.86</v>
      </c>
      <c r="AA140" s="152" t="n">
        <v>3</v>
      </c>
      <c r="AB140" s="152" t="n">
        <v>3</v>
      </c>
      <c r="AC140" s="156" t="inlineStr">
        <is>
          <t>≈ 5 hours</t>
        </is>
      </c>
      <c r="AD140" s="156" t="inlineStr">
        <is>
          <t>5</t>
        </is>
      </c>
      <c r="AE140" s="152" t="n"/>
      <c r="AF140" s="152" t="inlineStr">
        <is>
          <t>Not disclosed</t>
        </is>
      </c>
      <c r="AG140" s="156" t="inlineStr">
        <is>
          <t>Grippers or dexterous hands depending on configuration</t>
        </is>
      </c>
      <c r="AH140" s="152" t="inlineStr">
        <is>
          <t>10</t>
        </is>
      </c>
      <c r="AI140" s="158" t="n">
        <v>2</v>
      </c>
      <c r="AJ140" s="156" t="inlineStr">
        <is>
          <t>RGB and/or depth cameras for navigation and manipulation (configuration specific)</t>
        </is>
      </c>
      <c r="AK140" s="156" t="n"/>
      <c r="AL140" s="152" t="inlineStr">
        <is>
          <t>Onboard streams for teleoperation and logging when equipped</t>
        </is>
      </c>
      <c r="AM140" s="152" t="n"/>
      <c r="AN140" s="152" t="inlineStr">
        <is>
          <t>Not disclosed</t>
        </is>
      </c>
      <c r="AO140" s="152" t="inlineStr">
        <is>
          <t>Microphone array on interaction-oriented builds</t>
        </is>
      </c>
      <c r="AP140" s="152" t="inlineStr">
        <is>
          <t>Not disclosed</t>
        </is>
      </c>
      <c r="AQ140" s="152" t="inlineStr">
        <is>
          <t>Not disclosed</t>
        </is>
      </c>
      <c r="AR140" s="152" t="n"/>
      <c r="AS140" s="152" t="n"/>
      <c r="AT140" s="156" t="inlineStr">
        <is>
          <t>Not disclosed</t>
        </is>
      </c>
      <c r="AU140" s="156" t="inlineStr">
        <is>
          <t>Bluetooth; Wi‑Fi</t>
        </is>
      </c>
      <c r="AV140" s="152" t="inlineStr">
        <is>
          <t>Manufacturer app and/or SDK</t>
        </is>
      </c>
      <c r="AW140" s="156" t="inlineStr">
        <is>
          <t>Bipedal balance and walking controllers</t>
        </is>
      </c>
      <c r="AX140" s="151" t="n">
        <v>3</v>
      </c>
      <c r="AY140" s="156" t="inlineStr">
        <is>
          <t>Linux, Ubuntu, ROS</t>
        </is>
      </c>
      <c r="AZ140" s="156" t="inlineStr">
        <is>
          <t>Yes</t>
        </is>
      </c>
      <c r="BA140" s="156" t="n"/>
      <c r="BB140" s="156" t="inlineStr">
        <is>
          <t>Brushless Motor</t>
        </is>
      </c>
      <c r="BC140" s="156" t="inlineStr">
        <is>
          <t>Harmonic or planetary gears</t>
        </is>
      </c>
      <c r="BD140" s="152" t="inlineStr">
        <is>
          <t>Composite polymer + aluminum frame</t>
        </is>
      </c>
      <c r="BE140" s="152" t="inlineStr">
        <is>
          <t>IP20</t>
        </is>
      </c>
      <c r="BF140" s="152" t="inlineStr">
        <is>
          <t>IP20</t>
        </is>
      </c>
      <c r="BG140" s="152" t="n"/>
      <c r="BH140" s="152" t="n"/>
      <c r="BI140" s="152" t="n"/>
      <c r="BJ140" s="152" t="n"/>
      <c r="BK140" s="152" t="n"/>
      <c r="BL140" s="152" t="n"/>
      <c r="BM140" s="152" t="inlineStr">
        <is>
          <t>Yes</t>
        </is>
      </c>
      <c r="BN140" s="152" t="inlineStr">
        <is>
          <t>Not disclosed</t>
        </is>
      </c>
      <c r="BO140" s="156" t="inlineStr">
        <is>
          <t>Market: Industrial · Manipulation 2/4 · Navigation 3/4 · Human-safe: Yes · AI: Yes · Actuation: Brushless Motor · Peak 3 km/h · Walk 3 km/h · Runtime 5</t>
        </is>
      </c>
      <c r="BP140" s="152" t="n"/>
      <c r="BQ140" s="156" t="inlineStr">
        <is>
          <t>Industrial</t>
        </is>
      </c>
      <c r="BR140" s="156" t="inlineStr">
        <is>
          <t>First deployments</t>
        </is>
      </c>
      <c r="BS140" s="156" t="inlineStr">
        <is>
          <t>Prototype</t>
        </is>
      </c>
      <c r="BT140" s="152" t="inlineStr">
        <is>
          <t>Black</t>
        </is>
      </c>
      <c r="BU140" s="152" t="inlineStr">
        <is>
          <t>Not verified</t>
        </is>
      </c>
      <c r="BV140" s="156" t="inlineStr">
        <is>
          <t>US industrial focus Humanoid.guide listed price $75,000.</t>
        </is>
      </c>
      <c r="BW140" s="156" t="inlineStr">
        <is>
          <t>Origin &amp; status — USA · First deployments · 2025 | Manipulation — Grippers or dexterous hands depending on configuration · 10 fingers · Hand DOF 10 · Payload 19.8 lb (9 kg) | Sensing &amp; software — RGB and/or depth cameras for navigation and manipulation (configuration specific) · Yes · Linux, Ubuntu, ROS · Manufacturer app and/or SDK | Buying notes — From $50,000 · 12 months manufacturer standard (typical research/commercial humanoid) · Best fit: Industrial</t>
        </is>
      </c>
      <c r="BX140" s="156" t="inlineStr">
        <is>
          <t>as_shipped|Moby|50000|As shipped</t>
        </is>
      </c>
      <c r="BY140" s="152" t="inlineStr">
        <is>
          <t>black|Black|#111111|0</t>
        </is>
      </c>
      <c r="BZ140" s="152" t="inlineStr"/>
      <c r="CA140" s="156" t="inlineStr">
        <is>
          <t>Add-ons: case; 2 color options; Multi-year extended warranty available</t>
        </is>
      </c>
      <c r="CB140" s="156" t="inlineStr">
        <is>
          <t>12 months manufacturer standard (typical research/commercial humanoid)</t>
        </is>
      </c>
      <c r="CC140" s="154" t="n">
        <v>12</v>
      </c>
      <c r="CD140" s="156" t="inlineStr">
        <is>
          <t>+3 Year Extended ≈24% of configuration (default in configurator)</t>
        </is>
      </c>
      <c r="CE140" s="152" t="inlineStr">
        <is>
          <t>Humanoid category norm 2025–2026</t>
        </is>
      </c>
      <c r="CF140" s="152" t="inlineStr">
        <is>
          <t>Estimated</t>
        </is>
      </c>
      <c r="CG140" s="156" t="inlineStr">
        <is>
          <t>EDU or enterprise packages may differ; confirm on formal quote.</t>
        </is>
      </c>
      <c r="CH140" s="152" t="inlineStr">
        <is>
          <t>10%</t>
        </is>
      </c>
      <c r="CI140" s="152" t="inlineStr">
        <is>
          <t>17%</t>
        </is>
      </c>
      <c r="CJ140" s="152" t="inlineStr">
        <is>
          <t>24%</t>
        </is>
      </c>
      <c r="CK140"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140"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40" s="152" t="inlineStr">
        <is>
          <t>12 months manufacturer standard (typical research/commercial humanoid)</t>
        </is>
      </c>
      <c r="CQ140" s="101" t="inlineStr">
        <is>
          <t>Height: 5 ft 7 in | Weight: 99.2 | Degrees of Freedom: 34 | Payload: 19.8 | Max Speed: 1.86 | Battery / Runtime: ≈ 5 hours</t>
        </is>
      </c>
    </row>
    <row r="141" ht="31.5" customHeight="1" s="102">
      <c r="A141" s="145" t="inlineStr">
        <is>
          <t>noetix_robotics_dora</t>
        </is>
      </c>
      <c r="B141" s="153" t="inlineStr">
        <is>
          <t>Humanoid.guide</t>
        </is>
      </c>
      <c r="C141" s="145" t="inlineStr">
        <is>
          <t>Noetix Robotics</t>
        </is>
      </c>
      <c r="D141" s="145" t="inlineStr">
        <is>
          <t>Dora</t>
        </is>
      </c>
      <c r="E141" s="145" t="inlineStr">
        <is>
          <t>[Noetix Robotics] Dora (2026)</t>
        </is>
      </c>
      <c r="F141" s="146" t="inlineStr">
        <is>
          <t>humanoid</t>
        </is>
      </c>
      <c r="G141" s="145" t="inlineStr">
        <is>
          <t>China</t>
        </is>
      </c>
      <c r="H141" s="145" t="n"/>
      <c r="I141" s="148" t="n">
        <v>10000</v>
      </c>
      <c r="J141" s="145" t="inlineStr">
        <is>
          <t>Humanoid.guide list</t>
        </is>
      </c>
      <c r="K141" s="149" t="inlineStr">
        <is>
          <t>Dora is a 1-metre-tall, 20 kg Chinese humanoid offering 20-plus DOF mobility, 3-camera 3-D vision and a Jetson Orin edge-AI brain, purpose-built for home, classroom and elder-care tasks with a 5 kg payload and optional dexterous hands.</t>
        </is>
      </c>
      <c r="L141" s="101" t="inlineStr">
        <is>
          <t>Dora is a 1-metre-tall, 20 kg Chinese humanoid offering 20-plus DOF mobility, 3-camera 3-D vision and a Jetson Orin edge-AI brain, purpose-built for home, classroom and elder-care tasks with a 5 kg payload and optional dexterous hands.</t>
        </is>
      </c>
      <c r="M141" s="101" t="inlineStr">
        <is>
          <t>Dora is a 1-metre-tall, 20 kg Chinese humanoid offering 20-plus DOF mobility, 3-camera 3-D vision and a Jetson Orin edge-AI brain, purpose-built for home, classroom and elder-care tasks with a 5 kg payload and optional dexterous hands. Public status is listed as prototype, and it is positioned for education; elder-care; Home assistance.</t>
        </is>
      </c>
      <c r="N141" s="150" t="inlineStr">
        <is>
          <t>https://humanoid.guide/product/dora/</t>
        </is>
      </c>
      <c r="O141" s="150" t="inlineStr">
        <is>
          <t>https://www.noetixrobotics.com</t>
        </is>
      </c>
      <c r="P141" s="145" t="inlineStr">
        <is>
          <t>3 ft 3 in</t>
        </is>
      </c>
      <c r="Q141" s="145" t="n">
        <v>100</v>
      </c>
      <c r="R141" s="145" t="n">
        <v>44.1</v>
      </c>
      <c r="S141" s="145" t="n">
        <v>20</v>
      </c>
      <c r="T141" s="149" t="inlineStr">
        <is>
          <t>Not disclosed</t>
        </is>
      </c>
      <c r="U141" s="145" t="n"/>
      <c r="V141" s="145" t="inlineStr">
        <is>
          <t>26</t>
        </is>
      </c>
      <c r="W141" s="149" t="inlineStr">
        <is>
          <t>Not disclosed</t>
        </is>
      </c>
      <c r="X141" s="145" t="n">
        <v>11</v>
      </c>
      <c r="Y141" s="145" t="n">
        <v>5</v>
      </c>
      <c r="Z141" s="145" t="n">
        <v>2.24</v>
      </c>
      <c r="AA141" s="145" t="n">
        <v>3.6</v>
      </c>
      <c r="AB141" s="145" t="n"/>
      <c r="AC141" s="149" t="inlineStr">
        <is>
          <t>Not disclosed</t>
        </is>
      </c>
      <c r="AD141" s="149" t="inlineStr">
        <is>
          <t>Not specified</t>
        </is>
      </c>
      <c r="AE141" s="145" t="n"/>
      <c r="AF141" s="145" t="inlineStr">
        <is>
          <t>Not disclosed</t>
        </is>
      </c>
      <c r="AG141" s="149" t="inlineStr">
        <is>
          <t>0</t>
        </is>
      </c>
      <c r="AH141" s="145" t="inlineStr">
        <is>
          <t>0</t>
        </is>
      </c>
      <c r="AI141" s="158" t="n">
        <v>2</v>
      </c>
      <c r="AJ141" s="149" t="inlineStr">
        <is>
          <t>3 structured-light depth cameras (2 downward, 1 forward)</t>
        </is>
      </c>
      <c r="AK141" s="149" t="inlineStr">
        <is>
          <t>3 structured-light depth cameras (2 downward, 1 forward)</t>
        </is>
      </c>
      <c r="AL141" s="145" t="inlineStr">
        <is>
          <t>Not disclosed</t>
        </is>
      </c>
      <c r="AM141" s="145" t="n"/>
      <c r="AN141" s="145" t="inlineStr">
        <is>
          <t>Not disclosed</t>
        </is>
      </c>
      <c r="AO141" s="145" t="inlineStr">
        <is>
          <t>Not disclosed</t>
        </is>
      </c>
      <c r="AP141" s="145" t="inlineStr">
        <is>
          <t>Not disclosed</t>
        </is>
      </c>
      <c r="AQ141" s="145" t="inlineStr">
        <is>
          <t>Not disclosed</t>
        </is>
      </c>
      <c r="AR141" s="145" t="n"/>
      <c r="AS141" s="145" t="n"/>
      <c r="AT141" s="149" t="inlineStr">
        <is>
          <t>Nvidia Jetson</t>
        </is>
      </c>
      <c r="AU141" s="149" t="inlineStr">
        <is>
          <t>Not disclosed</t>
        </is>
      </c>
      <c r="AV141" s="145" t="inlineStr">
        <is>
          <t>Not disclosed</t>
        </is>
      </c>
      <c r="AW141" s="149" t="inlineStr">
        <is>
          <t>Not disclosed</t>
        </is>
      </c>
      <c r="AX141" s="158" t="n">
        <v>2</v>
      </c>
      <c r="AY141" s="149" t="inlineStr">
        <is>
          <t>Jetson SDK presumed</t>
        </is>
      </c>
      <c r="AZ141" s="149" t="inlineStr">
        <is>
          <t>LLM Speech; Visual Interaction</t>
        </is>
      </c>
      <c r="BA141" s="149" t="inlineStr">
        <is>
          <t>Not specified</t>
        </is>
      </c>
      <c r="BB141" s="149" t="inlineStr">
        <is>
          <t>All-electric drive</t>
        </is>
      </c>
      <c r="BC141" s="149" t="inlineStr">
        <is>
          <t>Not disclosed</t>
        </is>
      </c>
      <c r="BD141" s="145" t="inlineStr">
        <is>
          <t>education; Home assistanc</t>
        </is>
      </c>
      <c r="BE141" s="145" t="inlineStr">
        <is>
          <t>Not disclosed</t>
        </is>
      </c>
      <c r="BF141" s="145" t="inlineStr">
        <is>
          <t>Not specified</t>
        </is>
      </c>
      <c r="BG141" s="145" t="n"/>
      <c r="BH141" s="145" t="n"/>
      <c r="BI141" s="145" t="n"/>
      <c r="BJ141" s="145" t="n"/>
      <c r="BK141" s="145" t="n"/>
      <c r="BL141" s="145" t="n"/>
      <c r="BM141" s="145" t="inlineStr">
        <is>
          <t>Yes</t>
        </is>
      </c>
      <c r="BN141" s="145" t="inlineStr">
        <is>
          <t>Not disclosed</t>
        </is>
      </c>
      <c r="BO141" s="149" t="inlineStr">
        <is>
          <t>Market: education; elder-care; Home assistance · Manipulation 2/4 · Navigation 2/4 · Human-safe: Yes · AI: LLM Speech; Visual Interaction · Actuation: All-electric drive · Peak 3.6 km/h · Runtime Not specified</t>
        </is>
      </c>
      <c r="BP141" s="145" t="n"/>
      <c r="BQ141" s="149" t="inlineStr">
        <is>
          <t>education; elder-care; Home assistance</t>
        </is>
      </c>
      <c r="BR141" s="149" t="inlineStr">
        <is>
          <t>Prototype</t>
        </is>
      </c>
      <c r="BS141" s="149" t="inlineStr">
        <is>
          <t>Prototype</t>
        </is>
      </c>
      <c r="BT141" s="145" t="n"/>
      <c r="BU141" s="145" t="inlineStr">
        <is>
          <t>Not verified</t>
        </is>
      </c>
      <c r="BV141" s="149" t="n"/>
      <c r="BW141" s="149" t="inlineStr">
        <is>
          <t>Origin &amp; status — China · Prototype · 2026 | Manipulation — 0 · 0 fingers · Payload 11 lb | Sensing &amp; software — 3 structured-light depth cameras (2 downward, 1 forward) · LLM Speech; Visual Interaction · Jetson SDK presumed | Buying notes — From $10,000 · 12 months manufacturer standard (typical research/commercial humanoid) · Best fit: education</t>
        </is>
      </c>
      <c r="BX141" s="149" t="inlineStr">
        <is>
          <t>as_shipped|Dora|10000|As shipped</t>
        </is>
      </c>
      <c r="BY141" s="145" t="inlineStr">
        <is>
          <t>dora|Manufacturer finish|#e2e8f0|0</t>
        </is>
      </c>
      <c r="BZ141" s="145" t="inlineStr"/>
      <c r="CA141" s="149" t="n"/>
      <c r="CB141" s="149" t="inlineStr">
        <is>
          <t>12 months manufacturer standard (typical research/commercial humanoid)</t>
        </is>
      </c>
      <c r="CC141" s="147" t="n">
        <v>12</v>
      </c>
      <c r="CD141" s="149" t="inlineStr">
        <is>
          <t>+3 Year Extended ≈24% of configuration (default in configurator)</t>
        </is>
      </c>
      <c r="CE141" s="145" t="inlineStr">
        <is>
          <t>Humanoid category norm 2025–2026</t>
        </is>
      </c>
      <c r="CF141" s="145" t="inlineStr">
        <is>
          <t>Estimated</t>
        </is>
      </c>
      <c r="CG141" s="149" t="inlineStr">
        <is>
          <t>Confirm on formal OEM quote. EDU or enterprise packages may differ.</t>
        </is>
      </c>
      <c r="CH141" s="145" t="inlineStr">
        <is>
          <t>10%</t>
        </is>
      </c>
      <c r="CI141" s="145" t="inlineStr">
        <is>
          <t>17%</t>
        </is>
      </c>
      <c r="CJ141" s="145" t="inlineStr">
        <is>
          <t>24%</t>
        </is>
      </c>
      <c r="CK141" s="149" t="inlineStr">
        <is>
          <t>+1yr ≈10% | +2yr ≈17% | +3yr ≈24% of selected configuration price (parts &amp; labor beyond manufacturer standard).</t>
        </is>
      </c>
      <c r="CL14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41" s="145" t="inlineStr">
        <is>
          <t>12 months manufacturer standard (typical research/commercial humanoid)</t>
        </is>
      </c>
      <c r="CN141" s="203" t="inlineStr">
        <is>
          <t>https://aixzd.com/robot/dora</t>
        </is>
      </c>
      <c r="CQ141" s="101" t="inlineStr">
        <is>
          <t>Height: 3 ft 3 in | Weight: 44.1 | Degrees of Freedom: 26 | Payload: 11 | Max Speed: 2.24 | Battery / Runtime: Not disclosed</t>
        </is>
      </c>
    </row>
    <row r="142" ht="31.5" customHeight="1" s="102">
      <c r="A142" s="152" t="inlineStr">
        <is>
          <t>noetix_robotics_hobbs</t>
        </is>
      </c>
      <c r="B142" s="153" t="inlineStr">
        <is>
          <t>Humanoid.guide</t>
        </is>
      </c>
      <c r="C142" s="152" t="inlineStr">
        <is>
          <t>Noetix Robotics</t>
        </is>
      </c>
      <c r="D142" s="152" t="inlineStr">
        <is>
          <t>Hobbs</t>
        </is>
      </c>
      <c r="E142" s="152" t="inlineStr">
        <is>
          <t>[Noetix Robotics] Hobbs (2026)</t>
        </is>
      </c>
      <c r="F142" s="146" t="inlineStr">
        <is>
          <t>humanoid</t>
        </is>
      </c>
      <c r="G142" s="152" t="inlineStr">
        <is>
          <t>China</t>
        </is>
      </c>
      <c r="H142" s="152" t="n"/>
      <c r="I142" s="155" t="n">
        <v>35000</v>
      </c>
      <c r="J142" s="152" t="inlineStr">
        <is>
          <t>Humanoid.guide list</t>
        </is>
      </c>
      <c r="K142" s="156" t="inlineStr">
        <is>
          <t>Hobbs is a humanoid robot developed by Noetix Robotics for education, research, and light service scenarios.</t>
        </is>
      </c>
      <c r="L142" s="101" t="inlineStr">
        <is>
          <t>Hobbs is a humanoid robot developed by Noetix Robotics for education, research, and light service scenarios.</t>
        </is>
      </c>
      <c r="M142" s="101" t="inlineStr">
        <is>
          <t>Hobbs is a humanoid robot developed by Noetix Robotics for education, research, and light service scenarios. Public status is listed as in production, and it is positioned for research &amp; education; service demonstration.</t>
        </is>
      </c>
      <c r="N142" s="157" t="inlineStr">
        <is>
          <t>https://humanoid.guide/product/hobbs/</t>
        </is>
      </c>
      <c r="O142" s="157" t="inlineStr">
        <is>
          <t>https://www.noetixrobotics.com</t>
        </is>
      </c>
      <c r="P142" s="152" t="inlineStr">
        <is>
          <t>3 ft 11 in</t>
        </is>
      </c>
      <c r="Q142" s="152" t="n">
        <v>120</v>
      </c>
      <c r="R142" s="152" t="n">
        <v>88.2</v>
      </c>
      <c r="S142" s="152" t="n">
        <v>40</v>
      </c>
      <c r="T142" s="156" t="inlineStr">
        <is>
          <t>Not disclosed</t>
        </is>
      </c>
      <c r="U142" s="152" t="n"/>
      <c r="V142" s="152" t="inlineStr">
        <is>
          <t>20</t>
        </is>
      </c>
      <c r="W142" s="156" t="inlineStr">
        <is>
          <t>Not disclosed</t>
        </is>
      </c>
      <c r="X142" s="152" t="n">
        <v>13.2</v>
      </c>
      <c r="Y142" s="152" t="n">
        <v>6</v>
      </c>
      <c r="Z142" s="152" t="n">
        <v>0</v>
      </c>
      <c r="AA142" s="152" t="n">
        <v>0</v>
      </c>
      <c r="AB142" s="152" t="n"/>
      <c r="AC142" s="156" t="inlineStr">
        <is>
          <t>Not disclosed</t>
        </is>
      </c>
      <c r="AD142" s="156" t="n"/>
      <c r="AE142" s="152" t="n"/>
      <c r="AF142" s="152" t="inlineStr">
        <is>
          <t>Not disclosed</t>
        </is>
      </c>
      <c r="AG142" s="156" t="inlineStr">
        <is>
          <t>5 per hand</t>
        </is>
      </c>
      <c r="AH142" s="152" t="inlineStr">
        <is>
          <t>5 per hand</t>
        </is>
      </c>
      <c r="AI142" s="152" t="n"/>
      <c r="AJ142" s="156" t="inlineStr">
        <is>
          <t>RGB cameras</t>
        </is>
      </c>
      <c r="AK142" s="156" t="inlineStr">
        <is>
          <t>RGB cameras</t>
        </is>
      </c>
      <c r="AL142" s="152" t="inlineStr">
        <is>
          <t>Not disclosed</t>
        </is>
      </c>
      <c r="AM142" s="152" t="n"/>
      <c r="AN142" s="152" t="inlineStr">
        <is>
          <t>Not disclosed</t>
        </is>
      </c>
      <c r="AO142" s="152" t="inlineStr">
        <is>
          <t>Not disclosed</t>
        </is>
      </c>
      <c r="AP142" s="152" t="inlineStr">
        <is>
          <t>Not disclosed</t>
        </is>
      </c>
      <c r="AQ142" s="152" t="inlineStr">
        <is>
          <t>Not disclosed</t>
        </is>
      </c>
      <c r="AR142" s="152" t="n"/>
      <c r="AS142" s="152" t="n"/>
      <c r="AT142" s="156" t="inlineStr">
        <is>
          <t>Embedded x86 or ARM system (not specified)</t>
        </is>
      </c>
      <c r="AU142" s="156" t="inlineStr">
        <is>
          <t>Ethernet; Wi‑Fi</t>
        </is>
      </c>
      <c r="AV142" s="152" t="inlineStr">
        <is>
          <t>Not disclosed</t>
        </is>
      </c>
      <c r="AW142" s="156" t="inlineStr">
        <is>
          <t>Not disclosed</t>
        </is>
      </c>
      <c r="AX142" s="152" t="n"/>
      <c r="AY142" s="156" t="inlineStr">
        <is>
          <t>Linux-based robotics OS</t>
        </is>
      </c>
      <c r="AZ142" s="156" t="inlineStr">
        <is>
          <t>Possible via external integration</t>
        </is>
      </c>
      <c r="BA142" s="156" t="n"/>
      <c r="BB142" s="156" t="inlineStr">
        <is>
          <t>Electric actuators (servo)</t>
        </is>
      </c>
      <c r="BC142" s="156" t="inlineStr">
        <is>
          <t>Not disclosed</t>
        </is>
      </c>
      <c r="BD142" s="152" t="inlineStr">
        <is>
          <t>Aluminum alloys and plastics</t>
        </is>
      </c>
      <c r="BE142" s="152" t="inlineStr">
        <is>
          <t>Not disclosed</t>
        </is>
      </c>
      <c r="BF142" s="152" t="n"/>
      <c r="BG142" s="152" t="n"/>
      <c r="BH142" s="152" t="n"/>
      <c r="BI142" s="152" t="n"/>
      <c r="BJ142" s="152" t="n"/>
      <c r="BK142" s="152" t="n"/>
      <c r="BL142" s="152" t="n"/>
      <c r="BM142" s="152" t="inlineStr">
        <is>
          <t>Yes</t>
        </is>
      </c>
      <c r="BN142" s="152" t="inlineStr">
        <is>
          <t>Not disclosed</t>
        </is>
      </c>
      <c r="BO142" s="156" t="inlineStr">
        <is>
          <t>Market: Research &amp; education; service demonstration · Human-safe: Yes · AI: Possible via external integration · Actuation: Electric actuators (servo)</t>
        </is>
      </c>
      <c r="BP142" s="152" t="n"/>
      <c r="BQ142" s="156" t="inlineStr">
        <is>
          <t>Research &amp; education; service demonstration</t>
        </is>
      </c>
      <c r="BR142" s="156" t="inlineStr">
        <is>
          <t>In production</t>
        </is>
      </c>
      <c r="BS142" s="156" t="inlineStr">
        <is>
          <t>In production</t>
        </is>
      </c>
      <c r="BT142" s="152" t="inlineStr">
        <is>
          <t>Silver</t>
        </is>
      </c>
      <c r="BU142" s="152" t="inlineStr">
        <is>
          <t>Not verified</t>
        </is>
      </c>
      <c r="BV142" s="156" t="n"/>
      <c r="BW142" s="156" t="inlineStr">
        <is>
          <t>Origin &amp; status — China · In production · 2026 | Manipulation — 5 per hand · 5 per hand fingers · Payload 13.2 lb | Sensing &amp; software — RGB cameras · Possible via external integration · Linux-based robotics OS | Buying notes — From $35,000 · 12 months manufacturer standard (typical research/commercial humanoid) · Best fit: Research &amp; education</t>
        </is>
      </c>
      <c r="BX142" s="156" t="inlineStr">
        <is>
          <t>as_shipped|Hobbs|35000|As shipped</t>
        </is>
      </c>
      <c r="BY142" s="152" t="inlineStr">
        <is>
          <t>silver|Silver|#e2e8f0|0</t>
        </is>
      </c>
      <c r="BZ142" s="152" t="inlineStr"/>
      <c r="CA142" s="156" t="n"/>
      <c r="CB142" s="156" t="inlineStr">
        <is>
          <t>12 months manufacturer standard (typical research/commercial humanoid)</t>
        </is>
      </c>
      <c r="CC142" s="154" t="n">
        <v>12</v>
      </c>
      <c r="CD142" s="156" t="inlineStr">
        <is>
          <t>+3 Year Extended ≈24% of configuration (default in configurator)</t>
        </is>
      </c>
      <c r="CE142" s="152" t="inlineStr">
        <is>
          <t>Humanoid category norm 2025–2026</t>
        </is>
      </c>
      <c r="CF142" s="152" t="inlineStr">
        <is>
          <t>Estimated</t>
        </is>
      </c>
      <c r="CG142" s="156" t="inlineStr">
        <is>
          <t>Confirm on formal OEM quote. EDU or enterprise packages may differ.</t>
        </is>
      </c>
      <c r="CH142" s="152" t="inlineStr">
        <is>
          <t>10%</t>
        </is>
      </c>
      <c r="CI142" s="152" t="inlineStr">
        <is>
          <t>17%</t>
        </is>
      </c>
      <c r="CJ142" s="152" t="inlineStr">
        <is>
          <t>24%</t>
        </is>
      </c>
      <c r="CK142" s="156" t="inlineStr">
        <is>
          <t>+1yr ≈10% | +2yr ≈17% | +3yr ≈24% of selected configuration price (parts &amp; labor beyond manufacturer standard).</t>
        </is>
      </c>
      <c r="CL142"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42" s="152" t="inlineStr">
        <is>
          <t>12 months manufacturer standard (typical research/commercial humanoid)</t>
        </is>
      </c>
      <c r="CN142" s="203" t="inlineStr">
        <is>
          <t>https://aixzd.com/robot/hobbs</t>
        </is>
      </c>
      <c r="CQ142" s="101" t="inlineStr">
        <is>
          <t>Height: 3 ft 11 in | Weight: 88.2 | Degrees of Freedom: 20 | Payload: 13.2 | Max Speed: 0 | Battery / Runtime: Not disclosed</t>
        </is>
      </c>
    </row>
    <row r="143" ht="31.5" customHeight="1" s="102">
      <c r="A143" s="143" t="inlineStr">
        <is>
          <t>noetix_robotics_n2_athlete_edu</t>
        </is>
      </c>
      <c r="B143" s="144" t="inlineStr">
        <is>
          <t>Both</t>
        </is>
      </c>
      <c r="C143" s="145" t="inlineStr">
        <is>
          <t>Noetix Robotics</t>
        </is>
      </c>
      <c r="D143" s="145" t="inlineStr">
        <is>
          <t>N2</t>
        </is>
      </c>
      <c r="E143" s="145" t="inlineStr">
        <is>
          <t>[Noetix] N2 (2025)</t>
        </is>
      </c>
      <c r="F143" s="146" t="inlineStr">
        <is>
          <t>humanoid</t>
        </is>
      </c>
      <c r="G143" s="145" t="inlineStr">
        <is>
          <t>China</t>
        </is>
      </c>
      <c r="H143" s="147" t="n">
        <v>2025</v>
      </c>
      <c r="I143" s="148" t="n">
        <v>35000</v>
      </c>
      <c r="J143" s="145" t="inlineStr">
        <is>
          <t>Website store</t>
        </is>
      </c>
      <c r="K143" s="149" t="inlineStr">
        <is>
          <t>N2 is Noetix Robotics's humanoid — 3 ft 10 in class, 18 DOF, ~5 lb (walking) payload. 0; onboard AI: LLM Speech &amp; Visual Interaction.</t>
        </is>
      </c>
      <c r="L143" s="101" t="inlineStr">
        <is>
          <t>N2 is Noetix Robotics's humanoid — 3 ft 10 in class, 18 DOF, ~5 lb (walking) payload. 0; onboard AI: LLM Speech &amp; Visual Interaction.</t>
        </is>
      </c>
      <c r="M143" s="101" t="inlineStr">
        <is>
          <t>N2 is Noetix Robotics's humanoid — 3 ft 10 in class, 18 DOF, ~5 lb (walking) payload. 0; onboard AI: LLM Speech &amp; Visual Interaction. Public status is listed as orderable / Competition-proven (WHRG medals), and it is positioned for athletic / Competition / Education / Research.</t>
        </is>
      </c>
      <c r="N143" s="150" t="inlineStr">
        <is>
          <t>https://humanoid.guide/product/n2/</t>
        </is>
      </c>
      <c r="O143" s="150" t="inlineStr">
        <is>
          <t>https://www.noetixrobotics.com</t>
        </is>
      </c>
      <c r="P143" s="145" t="inlineStr">
        <is>
          <t>3 ft 10 in</t>
        </is>
      </c>
      <c r="Q143" s="145" t="n">
        <v>118</v>
      </c>
      <c r="R143" s="145" t="n">
        <v>66.09999999999999</v>
      </c>
      <c r="S143" s="145" t="n">
        <v>30</v>
      </c>
      <c r="T143" s="149" t="inlineStr">
        <is>
          <t>Not disclosed</t>
        </is>
      </c>
      <c r="U143" s="145" t="n"/>
      <c r="V143" s="145" t="inlineStr">
        <is>
          <t>18</t>
        </is>
      </c>
      <c r="W143" s="149" t="inlineStr">
        <is>
          <t>Not disclosed</t>
        </is>
      </c>
      <c r="X143" s="145" t="n">
        <v>11</v>
      </c>
      <c r="Y143" s="145" t="n">
        <v>5</v>
      </c>
      <c r="Z143" s="145" t="n">
        <v>7.83</v>
      </c>
      <c r="AA143" s="145" t="n">
        <v>12.6</v>
      </c>
      <c r="AB143" s="145" t="n"/>
      <c r="AC143" s="149" t="inlineStr">
        <is>
          <t>≈ 2 hours</t>
        </is>
      </c>
      <c r="AD143" s="149" t="inlineStr">
        <is>
          <t>2</t>
        </is>
      </c>
      <c r="AE143" s="145" t="n"/>
      <c r="AF143" s="145" t="inlineStr">
        <is>
          <t>Not disclosed</t>
        </is>
      </c>
      <c r="AG143" s="149" t="inlineStr">
        <is>
          <t>0</t>
        </is>
      </c>
      <c r="AH143" s="145" t="inlineStr">
        <is>
          <t>0</t>
        </is>
      </c>
      <c r="AI143" s="158" t="n">
        <v>2</v>
      </c>
      <c r="AJ143" s="149" t="inlineStr">
        <is>
          <t>Education/athlete humanoid vision</t>
        </is>
      </c>
      <c r="AK143" s="149" t="inlineStr">
        <is>
          <t>Structured-light depth cam 640 × 400 @ 12 fps, &amp;lt; 3 mm depth error @ 0.5 m</t>
        </is>
      </c>
      <c r="AL143" s="145" t="inlineStr">
        <is>
          <t>Not disclosed</t>
        </is>
      </c>
      <c r="AM143" s="145" t="n"/>
      <c r="AN143" s="145" t="inlineStr">
        <is>
          <t>Not disclosed</t>
        </is>
      </c>
      <c r="AO143" s="145" t="inlineStr">
        <is>
          <t>Not disclosed</t>
        </is>
      </c>
      <c r="AP143" s="145" t="inlineStr">
        <is>
          <t>Not disclosed</t>
        </is>
      </c>
      <c r="AQ143" s="145" t="inlineStr">
        <is>
          <t>Not disclosed</t>
        </is>
      </c>
      <c r="AR143" s="145" t="n"/>
      <c r="AS143" s="145" t="n"/>
      <c r="AT143" s="149" t="inlineStr">
        <is>
          <t>Nvidia Jetson; Rockchip RK3588s (8-core, 6 TOPS)</t>
        </is>
      </c>
      <c r="AU143" s="149" t="inlineStr">
        <is>
          <t>Ethernet; HDMI; USB</t>
        </is>
      </c>
      <c r="AV143" s="145" t="inlineStr">
        <is>
          <t>Noetix EDU software paths</t>
        </is>
      </c>
      <c r="AW143" s="149" t="inlineStr">
        <is>
          <t>Not disclosed</t>
        </is>
      </c>
      <c r="AX143" s="158" t="n">
        <v>2</v>
      </c>
      <c r="AY143" s="149" t="inlineStr">
        <is>
          <t>Linux</t>
        </is>
      </c>
      <c r="AZ143" s="149" t="inlineStr">
        <is>
          <t>LLM Speech &amp; Visual Interaction</t>
        </is>
      </c>
      <c r="BA143" s="149" t="inlineStr">
        <is>
          <t>Not specified</t>
        </is>
      </c>
      <c r="BB143" s="149" t="inlineStr">
        <is>
          <t>48 V DC geared motors with encoders</t>
        </is>
      </c>
      <c r="BC143" s="149" t="inlineStr">
        <is>
          <t>Not disclosed</t>
        </is>
      </c>
      <c r="BD143" s="145" t="inlineStr">
        <is>
          <t>Not disclosed</t>
        </is>
      </c>
      <c r="BE143" s="145" t="inlineStr">
        <is>
          <t>Not disclosed</t>
        </is>
      </c>
      <c r="BF143" s="145" t="inlineStr">
        <is>
          <t>Not specified</t>
        </is>
      </c>
      <c r="BG143" s="145" t="n"/>
      <c r="BH143" s="145" t="n"/>
      <c r="BI143" s="145" t="n"/>
      <c r="BJ143" s="145" t="n"/>
      <c r="BK143" s="145" t="n"/>
      <c r="BL143" s="145" t="n"/>
      <c r="BM143" s="145" t="inlineStr">
        <is>
          <t>Not disclosed</t>
        </is>
      </c>
      <c r="BN143" s="145" t="inlineStr">
        <is>
          <t>Not disclosed</t>
        </is>
      </c>
      <c r="BO143" s="149" t="inlineStr">
        <is>
          <t>Market: Athletic / Competition / Education / Research · Manipulation 2/4 · Navigation 2/4 · Human-safe: Not specified · AI: LLM Speech &amp; Visual Interaction · Actuation: 48 V DC geared motors with encoders · Peak 12.6 km/h · Runtime 2</t>
        </is>
      </c>
      <c r="BP143" s="145" t="n"/>
      <c r="BQ143" s="149" t="inlineStr">
        <is>
          <t>Athletic / Competition / Education / Research</t>
        </is>
      </c>
      <c r="BR143" s="149" t="inlineStr">
        <is>
          <t>Orderable / Competition-proven (WHRG medals)</t>
        </is>
      </c>
      <c r="BS143" s="149" t="inlineStr">
        <is>
          <t>Prototype</t>
        </is>
      </c>
      <c r="BT143" s="145" t="n"/>
      <c r="BU143" s="145" t="inlineStr">
        <is>
          <t>Not verified</t>
        </is>
      </c>
      <c r="BV143" s="149" t="inlineStr">
        <is>
          <t>66 lb, 150 N·m peak torque, continuous backflips claimed; family/education focus Humanoid.guide listed price $9,000.</t>
        </is>
      </c>
      <c r="BW143" s="149" t="inlineStr">
        <is>
          <t>Origin &amp; status — China · Orderable / Competition-proven (WHRG medals) · 2025 | Manipulation — 0 · 0 fingers · Payload ~5 lb (walking) | Sensing &amp; software — Education/athlete humanoid vision · LLM Speech &amp; Visual Interaction · Linux · Noetix EDU software paths | Buying notes — From $35,000 · 12 months manufacturer standard (typical research/commercial humanoid) · Best fit: Athletic</t>
        </is>
      </c>
      <c r="BX143" s="149" t="inlineStr">
        <is>
          <t>as_shipped|N2|35000|As shipped</t>
        </is>
      </c>
      <c r="BY143" s="145" t="inlineStr">
        <is>
          <t>n2|Manufacturer finish|#e2e8f0|0</t>
        </is>
      </c>
      <c r="BZ143" s="145" t="inlineStr"/>
      <c r="CA143" s="149" t="inlineStr">
        <is>
          <t>Add-ons: case; 2 color options; Multi-year extended warranty available</t>
        </is>
      </c>
      <c r="CB143" s="149" t="inlineStr">
        <is>
          <t>12 months manufacturer standard (typical research/commercial humanoid)</t>
        </is>
      </c>
      <c r="CC143" s="147" t="n">
        <v>12</v>
      </c>
      <c r="CD143" s="149" t="inlineStr">
        <is>
          <t>+3 Year Extended ≈24% of configuration (default in configurator)</t>
        </is>
      </c>
      <c r="CE143" s="145" t="inlineStr">
        <is>
          <t>Humanoid category norm 2025–2026</t>
        </is>
      </c>
      <c r="CF143" s="145" t="inlineStr">
        <is>
          <t>Estimated</t>
        </is>
      </c>
      <c r="CG143" s="149" t="inlineStr">
        <is>
          <t>EDU or enterprise packages may differ; confirm on formal quote.</t>
        </is>
      </c>
      <c r="CH143" s="145" t="inlineStr">
        <is>
          <t>10%</t>
        </is>
      </c>
      <c r="CI143" s="145" t="inlineStr">
        <is>
          <t>17%</t>
        </is>
      </c>
      <c r="CJ143" s="145" t="inlineStr">
        <is>
          <t>24%</t>
        </is>
      </c>
      <c r="CK143"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143"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43" s="145" t="inlineStr">
        <is>
          <t>12 months manufacturer standard (typical research/commercial humanoid)</t>
        </is>
      </c>
      <c r="CQ143" s="101" t="inlineStr">
        <is>
          <t>Height: 3 ft 10 in | Weight: 66.1 | Degrees of Freedom: 18 | Payload: 11 | Max Speed: 7.83 | Battery / Runtime: ≈ 2 hours</t>
        </is>
      </c>
    </row>
    <row r="144" ht="31.5" customHeight="1" s="102">
      <c r="A144" s="143" t="inlineStr">
        <is>
          <t>noetix_robotics_n2_athlete_edu_n2_athlete</t>
        </is>
      </c>
      <c r="B144" s="144" t="inlineStr">
        <is>
          <t>Both</t>
        </is>
      </c>
      <c r="C144" s="145" t="inlineStr">
        <is>
          <t>Noetix Robotics</t>
        </is>
      </c>
      <c r="D144" s="145" t="inlineStr">
        <is>
          <t>N2 Athlete</t>
        </is>
      </c>
      <c r="E144" s="145" t="inlineStr">
        <is>
          <t>[Noetix] N2 Athlete (2025)</t>
        </is>
      </c>
      <c r="F144" s="146" t="inlineStr">
        <is>
          <t>humanoid</t>
        </is>
      </c>
      <c r="G144" s="145" t="inlineStr">
        <is>
          <t>China</t>
        </is>
      </c>
      <c r="H144" s="147" t="n">
        <v>2025</v>
      </c>
      <c r="I144" s="148" t="n">
        <v>35000</v>
      </c>
      <c r="J144" s="145" t="inlineStr">
        <is>
          <t>Website store</t>
        </is>
      </c>
      <c r="K144" s="149" t="inlineStr">
        <is>
          <t>N2 Athlete is Noetix Robotics's humanoid — 3 ft 10 in class, 18 DOF, ~5 lb (walking) payload. 0; onboard AI: LLM Speech &amp; Visual Interaction.</t>
        </is>
      </c>
      <c r="L144" s="101" t="inlineStr">
        <is>
          <t>N2 Athlete is Noetix Robotics's humanoid — 3 ft 10 in class, 18 DOF, ~5 lb (walking) payload. 0; onboard AI: LLM Speech &amp; Visual Interaction.</t>
        </is>
      </c>
      <c r="M144" s="101" t="inlineStr">
        <is>
          <t>N2 Athlete is Noetix Robotics's humanoid — 3 ft 10 in class, 18 DOF, ~5 lb (walking) payload. 0; onboard AI: LLM Speech &amp; Visual Interaction. Public status is listed as orderable / Competition-proven (WHRG medals), and it is positioned for athletic / Competition / Education / Research.</t>
        </is>
      </c>
      <c r="N144" s="150" t="inlineStr">
        <is>
          <t>https://humanoid.guide/product/n2/</t>
        </is>
      </c>
      <c r="O144" s="150" t="inlineStr">
        <is>
          <t>https://www.noetixrobotics.com</t>
        </is>
      </c>
      <c r="P144" s="145" t="inlineStr">
        <is>
          <t>3 ft 10 in</t>
        </is>
      </c>
      <c r="Q144" s="145" t="n">
        <v>118</v>
      </c>
      <c r="R144" s="145" t="n">
        <v>66.09999999999999</v>
      </c>
      <c r="S144" s="145" t="n">
        <v>30</v>
      </c>
      <c r="T144" s="149" t="inlineStr">
        <is>
          <t>Not disclosed</t>
        </is>
      </c>
      <c r="U144" s="145" t="n"/>
      <c r="V144" s="145" t="inlineStr">
        <is>
          <t>18</t>
        </is>
      </c>
      <c r="W144" s="149" t="inlineStr">
        <is>
          <t>Not disclosed</t>
        </is>
      </c>
      <c r="X144" s="145" t="n">
        <v>11</v>
      </c>
      <c r="Y144" s="145" t="n">
        <v>5</v>
      </c>
      <c r="Z144" s="145" t="n">
        <v>7.83</v>
      </c>
      <c r="AA144" s="145" t="n">
        <v>12.6</v>
      </c>
      <c r="AB144" s="145" t="n"/>
      <c r="AC144" s="149" t="inlineStr">
        <is>
          <t>≈ 2 hours</t>
        </is>
      </c>
      <c r="AD144" s="149" t="inlineStr">
        <is>
          <t>2</t>
        </is>
      </c>
      <c r="AE144" s="145" t="n"/>
      <c r="AF144" s="145" t="inlineStr">
        <is>
          <t>Not disclosed</t>
        </is>
      </c>
      <c r="AG144" s="149" t="inlineStr">
        <is>
          <t>0</t>
        </is>
      </c>
      <c r="AH144" s="145" t="inlineStr">
        <is>
          <t>0</t>
        </is>
      </c>
      <c r="AI144" s="158" t="n">
        <v>2</v>
      </c>
      <c r="AJ144" s="149" t="inlineStr">
        <is>
          <t>Education/athlete humanoid vision</t>
        </is>
      </c>
      <c r="AK144" s="149" t="inlineStr">
        <is>
          <t>Structured-light depth cam 640 × 400 @ 12 fps, &amp;lt; 3 mm depth error @ 0.5 m</t>
        </is>
      </c>
      <c r="AL144" s="145" t="inlineStr">
        <is>
          <t>Not disclosed</t>
        </is>
      </c>
      <c r="AM144" s="145" t="n"/>
      <c r="AN144" s="145" t="inlineStr">
        <is>
          <t>Not disclosed</t>
        </is>
      </c>
      <c r="AO144" s="145" t="inlineStr">
        <is>
          <t>Not disclosed</t>
        </is>
      </c>
      <c r="AP144" s="145" t="inlineStr">
        <is>
          <t>Not disclosed</t>
        </is>
      </c>
      <c r="AQ144" s="145" t="inlineStr">
        <is>
          <t>Not disclosed</t>
        </is>
      </c>
      <c r="AR144" s="145" t="n"/>
      <c r="AS144" s="145" t="n"/>
      <c r="AT144" s="149" t="inlineStr">
        <is>
          <t>Nvidia Jetson; Rockchip RK3588s (8-core, 6 TOPS)</t>
        </is>
      </c>
      <c r="AU144" s="149" t="inlineStr">
        <is>
          <t>Ethernet; HDMI; USB</t>
        </is>
      </c>
      <c r="AV144" s="145" t="inlineStr">
        <is>
          <t>Noetix EDU software paths</t>
        </is>
      </c>
      <c r="AW144" s="149" t="inlineStr">
        <is>
          <t>Not disclosed</t>
        </is>
      </c>
      <c r="AX144" s="158" t="n">
        <v>2</v>
      </c>
      <c r="AY144" s="149" t="inlineStr">
        <is>
          <t>Linux</t>
        </is>
      </c>
      <c r="AZ144" s="149" t="inlineStr">
        <is>
          <t>LLM Speech &amp; Visual Interaction</t>
        </is>
      </c>
      <c r="BA144" s="149" t="inlineStr">
        <is>
          <t>Not specified</t>
        </is>
      </c>
      <c r="BB144" s="149" t="inlineStr">
        <is>
          <t>48 V DC geared motors with encoders</t>
        </is>
      </c>
      <c r="BC144" s="149" t="inlineStr">
        <is>
          <t>Not disclosed</t>
        </is>
      </c>
      <c r="BD144" s="145" t="inlineStr">
        <is>
          <t>Not disclosed</t>
        </is>
      </c>
      <c r="BE144" s="145" t="inlineStr">
        <is>
          <t>Not disclosed</t>
        </is>
      </c>
      <c r="BF144" s="145" t="inlineStr">
        <is>
          <t>Not specified</t>
        </is>
      </c>
      <c r="BG144" s="145" t="n"/>
      <c r="BH144" s="145" t="n"/>
      <c r="BI144" s="145" t="n"/>
      <c r="BJ144" s="145" t="n"/>
      <c r="BK144" s="145" t="n"/>
      <c r="BL144" s="145" t="n"/>
      <c r="BM144" s="145" t="inlineStr">
        <is>
          <t>Not disclosed</t>
        </is>
      </c>
      <c r="BN144" s="145" t="inlineStr">
        <is>
          <t>Not disclosed</t>
        </is>
      </c>
      <c r="BO144" s="149" t="inlineStr">
        <is>
          <t>Market: Athletic / Competition / Education / Research · Manipulation 2/4 · Navigation 2/4 · Human-safe: Not specified · AI: LLM Speech &amp; Visual Interaction · Actuation: 48 V DC geared motors with encoders · Peak 12.6 km/h · Runtime 2</t>
        </is>
      </c>
      <c r="BP144" s="145" t="n"/>
      <c r="BQ144" s="149" t="inlineStr">
        <is>
          <t>Athletic / Competition / Education / Research</t>
        </is>
      </c>
      <c r="BR144" s="149" t="inlineStr">
        <is>
          <t>Orderable / Competition-proven (WHRG medals)</t>
        </is>
      </c>
      <c r="BS144" s="149" t="inlineStr">
        <is>
          <t>Prototype</t>
        </is>
      </c>
      <c r="BT144" s="145" t="n"/>
      <c r="BU144" s="145" t="inlineStr">
        <is>
          <t>Not verified</t>
        </is>
      </c>
      <c r="BV144" s="149" t="inlineStr">
        <is>
          <t>66 lb, 150 N·m peak torque, continuous backflips claimed; family/education focus Humanoid.guide listed price $9,000.</t>
        </is>
      </c>
      <c r="BW144" s="149" t="inlineStr">
        <is>
          <t>Origin &amp; status — China · Orderable / Competition-proven (WHRG medals) · 2025 | Manipulation — 0 · 0 fingers · Payload ~5 lb (walking) | Sensing &amp; software — Education/athlete humanoid vision · LLM Speech &amp; Visual Interaction · Linux · Noetix EDU software paths | Buying notes — From $35,000 · 12 months manufacturer standard (typical research/commercial humanoid) · Best fit: Athletic</t>
        </is>
      </c>
      <c r="BX144" s="149" t="inlineStr">
        <is>
          <t>as_shipped|N2 Athlete|35000|As shipped</t>
        </is>
      </c>
      <c r="BY144" s="145" t="inlineStr">
        <is>
          <t>n2_athlete|Manufacturer finish|#e2e8f0|0</t>
        </is>
      </c>
      <c r="BZ144" s="145" t="inlineStr"/>
      <c r="CA144" s="149" t="inlineStr">
        <is>
          <t>Add-ons: case; 2 color options; Multi-year extended warranty available</t>
        </is>
      </c>
      <c r="CB144" s="149" t="inlineStr">
        <is>
          <t>12 months manufacturer standard (typical research/commercial humanoid)</t>
        </is>
      </c>
      <c r="CC144" s="147" t="n">
        <v>12</v>
      </c>
      <c r="CD144" s="149" t="inlineStr">
        <is>
          <t>+3 Year Extended ≈24% of configuration (default in configurator)</t>
        </is>
      </c>
      <c r="CE144" s="145" t="inlineStr">
        <is>
          <t>Humanoid category norm 2025–2026</t>
        </is>
      </c>
      <c r="CF144" s="145" t="inlineStr">
        <is>
          <t>Estimated</t>
        </is>
      </c>
      <c r="CG144" s="149" t="inlineStr">
        <is>
          <t>EDU or enterprise packages may differ; confirm on formal quote.</t>
        </is>
      </c>
      <c r="CH144" s="145" t="inlineStr">
        <is>
          <t>10%</t>
        </is>
      </c>
      <c r="CI144" s="145" t="inlineStr">
        <is>
          <t>17%</t>
        </is>
      </c>
      <c r="CJ144" s="145" t="inlineStr">
        <is>
          <t>24%</t>
        </is>
      </c>
      <c r="CK144"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144"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44" s="145" t="inlineStr">
        <is>
          <t>12 months manufacturer standard (typical research/commercial humanoid)</t>
        </is>
      </c>
      <c r="CQ144" s="101" t="inlineStr">
        <is>
          <t>Height: 3 ft 10 in | Weight: 66.1 | Degrees of Freedom: 18 | Payload: 11 | Max Speed: 7.83 | Battery / Runtime: ≈ 2 hours</t>
        </is>
      </c>
    </row>
    <row r="145" ht="31.5" customHeight="1" s="102">
      <c r="A145" s="143" t="inlineStr">
        <is>
          <t>noetix_robotics_n2_athlete_edu_n2_edu</t>
        </is>
      </c>
      <c r="B145" s="144" t="inlineStr">
        <is>
          <t>Both</t>
        </is>
      </c>
      <c r="C145" s="145" t="inlineStr">
        <is>
          <t>Noetix Robotics</t>
        </is>
      </c>
      <c r="D145" s="145" t="inlineStr">
        <is>
          <t>N2 EDU</t>
        </is>
      </c>
      <c r="E145" s="145" t="inlineStr">
        <is>
          <t>[Noetix] N2 EDU (2025)</t>
        </is>
      </c>
      <c r="F145" s="146" t="inlineStr">
        <is>
          <t>humanoid</t>
        </is>
      </c>
      <c r="G145" s="145" t="inlineStr">
        <is>
          <t>China</t>
        </is>
      </c>
      <c r="H145" s="147" t="n">
        <v>2025</v>
      </c>
      <c r="I145" s="148" t="n">
        <v>35000</v>
      </c>
      <c r="J145" s="145" t="inlineStr">
        <is>
          <t>Website store</t>
        </is>
      </c>
      <c r="K145" s="149" t="inlineStr">
        <is>
          <t>The N2 EDU is a humanoid platform from Noetix Robotics.</t>
        </is>
      </c>
      <c r="N145" s="150" t="inlineStr">
        <is>
          <t>https://humanoid.guide/product/n2/</t>
        </is>
      </c>
      <c r="O145" s="150" t="inlineStr">
        <is>
          <t>https://www.noetixrobotics.com</t>
        </is>
      </c>
      <c r="P145" s="145" t="inlineStr">
        <is>
          <t>3 ft 10 in</t>
        </is>
      </c>
      <c r="Q145" s="145" t="n">
        <v>118</v>
      </c>
      <c r="R145" s="145" t="n">
        <v>66.09999999999999</v>
      </c>
      <c r="S145" s="145" t="n">
        <v>30</v>
      </c>
      <c r="T145" s="149" t="inlineStr">
        <is>
          <t>Not disclosed</t>
        </is>
      </c>
      <c r="U145" s="145" t="n"/>
      <c r="V145" s="145" t="inlineStr">
        <is>
          <t>18 DOF</t>
        </is>
      </c>
      <c r="W145" s="149" t="inlineStr">
        <is>
          <t>Not specified</t>
        </is>
      </c>
      <c r="X145" s="145" t="n">
        <v>11</v>
      </c>
      <c r="Y145" s="145" t="n">
        <v>5</v>
      </c>
      <c r="Z145" s="145" t="n">
        <v>7.83</v>
      </c>
      <c r="AA145" s="145" t="n">
        <v>12.6</v>
      </c>
      <c r="AB145" s="145" t="n"/>
      <c r="AC145" s="149" t="inlineStr">
        <is>
          <t>2</t>
        </is>
      </c>
      <c r="AD145" s="149" t="inlineStr">
        <is>
          <t>2</t>
        </is>
      </c>
      <c r="AE145" s="145" t="n"/>
      <c r="AF145" s="145" t="inlineStr">
        <is>
          <t>Not disclosed</t>
        </is>
      </c>
      <c r="AG145" s="149" t="inlineStr">
        <is>
          <t>0</t>
        </is>
      </c>
      <c r="AH145" s="145" t="inlineStr">
        <is>
          <t>0</t>
        </is>
      </c>
      <c r="AI145" s="158" t="n">
        <v>2</v>
      </c>
      <c r="AJ145" s="149" t="inlineStr">
        <is>
          <t>Education/athlete humanoid vision</t>
        </is>
      </c>
      <c r="AK145" s="149" t="inlineStr">
        <is>
          <t>Structured-light depth cam 640 × 400 @ 12 fps, &amp;lt; 3 mm depth error @ 0.5 m</t>
        </is>
      </c>
      <c r="AL145" s="145" t="inlineStr">
        <is>
          <t>Not disclosed</t>
        </is>
      </c>
      <c r="AM145" s="145" t="n"/>
      <c r="AN145" s="145" t="inlineStr">
        <is>
          <t>Not disclosed</t>
        </is>
      </c>
      <c r="AO145" s="145" t="inlineStr">
        <is>
          <t>Not disclosed</t>
        </is>
      </c>
      <c r="AP145" s="145" t="inlineStr">
        <is>
          <t>Not disclosed</t>
        </is>
      </c>
      <c r="AQ145" s="145" t="inlineStr">
        <is>
          <t>Not disclosed</t>
        </is>
      </c>
      <c r="AR145" s="145" t="n"/>
      <c r="AS145" s="145" t="n"/>
      <c r="AT145" s="149" t="inlineStr">
        <is>
          <t>Nvidia Jetson; Rockchip RK3588s (8-core, 6 TOPS)</t>
        </is>
      </c>
      <c r="AU145" s="149" t="inlineStr">
        <is>
          <t>Ethernet; HDMI; USB</t>
        </is>
      </c>
      <c r="AV145" s="145" t="inlineStr">
        <is>
          <t>Noetix EDU software paths</t>
        </is>
      </c>
      <c r="AW145" s="149" t="inlineStr">
        <is>
          <t>Not disclosed</t>
        </is>
      </c>
      <c r="AX145" s="158" t="n">
        <v>2</v>
      </c>
      <c r="AY145" s="149" t="inlineStr">
        <is>
          <t>Linux</t>
        </is>
      </c>
      <c r="AZ145" s="149" t="inlineStr">
        <is>
          <t>LLM Speech &amp; Visual Interaction</t>
        </is>
      </c>
      <c r="BA145" s="149" t="inlineStr">
        <is>
          <t>Not specified</t>
        </is>
      </c>
      <c r="BB145" s="149" t="inlineStr">
        <is>
          <t>48 V DC geared motors with encoders</t>
        </is>
      </c>
      <c r="BC145" s="149" t="inlineStr">
        <is>
          <t>Not disclosed</t>
        </is>
      </c>
      <c r="BD145" s="145" t="inlineStr">
        <is>
          <t>Not disclosed</t>
        </is>
      </c>
      <c r="BE145" s="145" t="inlineStr">
        <is>
          <t>Not disclosed</t>
        </is>
      </c>
      <c r="BF145" s="145" t="inlineStr">
        <is>
          <t>Not specified</t>
        </is>
      </c>
      <c r="BG145" s="145" t="n"/>
      <c r="BH145" s="145" t="n"/>
      <c r="BI145" s="145" t="n"/>
      <c r="BJ145" s="145" t="n"/>
      <c r="BK145" s="145" t="n"/>
      <c r="BL145" s="145" t="n"/>
      <c r="BM145" s="145" t="inlineStr">
        <is>
          <t>Not disclosed</t>
        </is>
      </c>
      <c r="BN145" s="145" t="inlineStr">
        <is>
          <t>Not disclosed</t>
        </is>
      </c>
      <c r="BO145" s="149" t="inlineStr">
        <is>
          <t>Market: Athletic / Competition / Education / Research · Manipulation 2/4 · Navigation 2/4 · Human-safe: Not specified · AI: LLM Speech &amp; Visual Interaction · Actuation: 48 V DC geared motors with encoders · Peak 12.6 km/h · Runtime 2</t>
        </is>
      </c>
      <c r="BP145" s="145" t="n"/>
      <c r="BQ145" s="149" t="inlineStr">
        <is>
          <t>Athletic / Competition / Education / Research</t>
        </is>
      </c>
      <c r="BR145" s="149" t="inlineStr">
        <is>
          <t>Orderable / Competition-proven (WHRG medals)</t>
        </is>
      </c>
      <c r="BS145" s="149" t="inlineStr">
        <is>
          <t>Prototype</t>
        </is>
      </c>
      <c r="BT145" s="145" t="n"/>
      <c r="BU145" s="145" t="inlineStr">
        <is>
          <t>Not verified</t>
        </is>
      </c>
      <c r="BV145" s="149" t="inlineStr">
        <is>
          <t>66 lb, 150 N·m peak torque, continuous backflips claimed; family/education focus Humanoid.guide listed price $9,000.</t>
        </is>
      </c>
      <c r="BW145" s="149" t="inlineStr">
        <is>
          <t>Height (fully upright): 3 ft 10 in | Operating weight: 66.1 | Degrees of freedom: 18 DOF | Payload capacity: 11 | Maximum speed: 7.83 | Battery / runtime: 2</t>
        </is>
      </c>
      <c r="BX145" s="149" t="inlineStr">
        <is>
          <t>std|Standard|35000|Primary configuration</t>
        </is>
      </c>
      <c r="BY145" s="145" t="inlineStr">
        <is>
          <t>standard|Standard|#e2e8f0|0 || dark|Dark|#1e293b|0</t>
        </is>
      </c>
      <c r="BZ145" s="145" t="inlineStr">
        <is>
          <t>case</t>
        </is>
      </c>
      <c r="CA145" s="149" t="inlineStr">
        <is>
          <t>Add-ons: case; 2 color options; Multi-year extended warranty available</t>
        </is>
      </c>
      <c r="CB145" s="149" t="inlineStr">
        <is>
          <t>12 months manufacturer standard (typical research/commercial humanoid)</t>
        </is>
      </c>
      <c r="CC145" s="147" t="n">
        <v>12</v>
      </c>
      <c r="CD145" s="149" t="inlineStr">
        <is>
          <t>+3 Year Extended ≈24% of configuration (default in configurator)</t>
        </is>
      </c>
      <c r="CE145" s="145" t="inlineStr">
        <is>
          <t>Humanoid category norm 2025–2026</t>
        </is>
      </c>
      <c r="CF145" s="145" t="inlineStr">
        <is>
          <t>Estimated</t>
        </is>
      </c>
      <c r="CG145" s="149" t="inlineStr">
        <is>
          <t>EDU or enterprise packages may differ; confirm on formal quote.</t>
        </is>
      </c>
      <c r="CH145" s="145" t="inlineStr">
        <is>
          <t>10%</t>
        </is>
      </c>
      <c r="CI145" s="145" t="inlineStr">
        <is>
          <t>17%</t>
        </is>
      </c>
      <c r="CJ145" s="145" t="inlineStr">
        <is>
          <t>24%</t>
        </is>
      </c>
      <c r="CK14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14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45" s="145" t="inlineStr">
        <is>
          <t>12 months manufacturer standard (typical research/commercial humanoid)</t>
        </is>
      </c>
      <c r="CQ145" s="101" t="inlineStr">
        <is>
          <t>Height: 3 ft 10 in | Weight: 66.1 | Degrees of Freedom: 18 DOF | Payload: 11 | Max Speed: 7.83 | Battery / Runtime: 2</t>
        </is>
      </c>
    </row>
    <row r="146" ht="31.5" customHeight="1" s="102">
      <c r="A146" s="152" t="inlineStr">
        <is>
          <t>o_id_modular</t>
        </is>
      </c>
      <c r="B146" s="153" t="inlineStr">
        <is>
          <t>Humanoid.guide</t>
        </is>
      </c>
      <c r="C146" s="152" t="inlineStr">
        <is>
          <t>O-ID</t>
        </is>
      </c>
      <c r="D146" s="152" t="inlineStr">
        <is>
          <t>Modular</t>
        </is>
      </c>
      <c r="E146" s="152" t="inlineStr">
        <is>
          <t>[O-ID] Modular (2026)</t>
        </is>
      </c>
      <c r="F146" s="146" t="inlineStr">
        <is>
          <t>humanoid</t>
        </is>
      </c>
      <c r="G146" s="152" t="inlineStr">
        <is>
          <t>Japan</t>
        </is>
      </c>
      <c r="H146" s="152" t="n"/>
      <c r="I146" s="155" t="n">
        <v>70000</v>
      </c>
      <c r="J146" s="152" t="inlineStr">
        <is>
          <t>Humanoid.guide list</t>
        </is>
      </c>
      <c r="K146" s="156" t="inlineStr">
        <is>
          <t>A modular, wheeled humanoid robot from Japan: 172 cm tall, 30 degrees of freedom, 16 kg payload, and 24/7 uptime, designed around interchangeable modules for adaptable industrial automation.</t>
        </is>
      </c>
      <c r="L146" s="101" t="inlineStr">
        <is>
          <t>A modular, wheeled humanoid robot from Japan: 172 cm tall, 30 degrees of freedom, 16 kg payload, and 24/7 uptime, designed around interchangeable modules for adaptable industrial automation.</t>
        </is>
      </c>
      <c r="M146" s="101" t="inlineStr">
        <is>
          <t>A modular, wheeled humanoid robot from Japan: 172 cm tall, 30 degrees of freedom, 16 kg payload, and 24/7 uptime, designed around interchangeable modules for adaptable industrial automation. Public status is listed as early production / limited release, and it is positioned for commercial automation; Industrial Manufacturing; logistics.</t>
        </is>
      </c>
      <c r="N146" s="157" t="inlineStr">
        <is>
          <t>https://humanoid.guide/product/modular/</t>
        </is>
      </c>
      <c r="O146" s="157" t="inlineStr">
        <is>
          <t>https://o-id.net/</t>
        </is>
      </c>
      <c r="P146" s="152" t="inlineStr">
        <is>
          <t>5 ft 8 in</t>
        </is>
      </c>
      <c r="Q146" s="152" t="n">
        <v>172</v>
      </c>
      <c r="R146" s="152" t="n">
        <v>154.3</v>
      </c>
      <c r="S146" s="152" t="n">
        <v>70</v>
      </c>
      <c r="T146" s="156" t="inlineStr">
        <is>
          <t>Not disclosed</t>
        </is>
      </c>
      <c r="U146" s="152" t="n"/>
      <c r="V146" s="152" t="inlineStr">
        <is>
          <t>30</t>
        </is>
      </c>
      <c r="W146" s="156" t="inlineStr">
        <is>
          <t>Not disclosed</t>
        </is>
      </c>
      <c r="X146" s="152" t="n">
        <v>35.3</v>
      </c>
      <c r="Y146" s="152" t="n">
        <v>16</v>
      </c>
      <c r="Z146" s="152" t="n">
        <v>3.11</v>
      </c>
      <c r="AA146" s="152" t="n">
        <v>5</v>
      </c>
      <c r="AB146" s="152" t="n"/>
      <c r="AC146" s="156" t="inlineStr">
        <is>
          <t>≈ 4 hours</t>
        </is>
      </c>
      <c r="AD146" s="156" t="inlineStr">
        <is>
          <t>4</t>
        </is>
      </c>
      <c r="AE146" s="152" t="n"/>
      <c r="AF146" s="152" t="inlineStr">
        <is>
          <t>Not disclosed</t>
        </is>
      </c>
      <c r="AG146" s="156" t="inlineStr">
        <is>
          <t>10</t>
        </is>
      </c>
      <c r="AH146" s="152" t="inlineStr">
        <is>
          <t>10</t>
        </is>
      </c>
      <c r="AI146" s="152" t="n"/>
      <c r="AJ146" s="156" t="inlineStr">
        <is>
          <t>Not disclosed</t>
        </is>
      </c>
      <c r="AK146" s="156" t="n"/>
      <c r="AL146" s="152" t="inlineStr">
        <is>
          <t>Not disclosed</t>
        </is>
      </c>
      <c r="AM146" s="152" t="n"/>
      <c r="AN146" s="152" t="inlineStr">
        <is>
          <t>Not disclosed</t>
        </is>
      </c>
      <c r="AO146" s="152" t="inlineStr">
        <is>
          <t>Not disclosed</t>
        </is>
      </c>
      <c r="AP146" s="152" t="inlineStr">
        <is>
          <t>Not disclosed</t>
        </is>
      </c>
      <c r="AQ146" s="152" t="inlineStr">
        <is>
          <t>Not disclosed</t>
        </is>
      </c>
      <c r="AR146" s="152" t="n"/>
      <c r="AS146" s="152" t="n"/>
      <c r="AT146" s="156" t="inlineStr">
        <is>
          <t>Not disclosed</t>
        </is>
      </c>
      <c r="AU146" s="156" t="inlineStr">
        <is>
          <t>Ethernet; Wi-Fi</t>
        </is>
      </c>
      <c r="AV146" s="152" t="inlineStr">
        <is>
          <t>Not disclosed</t>
        </is>
      </c>
      <c r="AW146" s="156" t="inlineStr">
        <is>
          <t>Not disclosed</t>
        </is>
      </c>
      <c r="AX146" s="152" t="n"/>
      <c r="AY146" s="156" t="inlineStr">
        <is>
          <t>Linux/ROS-based</t>
        </is>
      </c>
      <c r="AZ146" s="156" t="inlineStr">
        <is>
          <t>Not specified; assumption: possible via SDK</t>
        </is>
      </c>
      <c r="BA146" s="156" t="n"/>
      <c r="BB146" s="156" t="inlineStr">
        <is>
          <t>Electric servo/BLDC actuators + wheel hub motors</t>
        </is>
      </c>
      <c r="BC146" s="156" t="inlineStr">
        <is>
          <t>Harmonic/planetary reducers in arms</t>
        </is>
      </c>
      <c r="BD146" s="152" t="inlineStr">
        <is>
          <t>Aluminum alloy + composites</t>
        </is>
      </c>
      <c r="BE146" s="152" t="inlineStr">
        <is>
          <t>Not disclosed</t>
        </is>
      </c>
      <c r="BF146" s="152" t="n"/>
      <c r="BG146" s="152" t="n"/>
      <c r="BH146" s="152" t="n"/>
      <c r="BI146" s="152" t="n"/>
      <c r="BJ146" s="152" t="n"/>
      <c r="BK146" s="152" t="n"/>
      <c r="BL146" s="152" t="n"/>
      <c r="BM146" s="152" t="inlineStr">
        <is>
          <t>Yes</t>
        </is>
      </c>
      <c r="BN146" s="152" t="inlineStr">
        <is>
          <t>Not disclosed</t>
        </is>
      </c>
      <c r="BO146" s="156" t="inlineStr">
        <is>
          <t>Market: commercial automation; Industrial Manufacturing; logistics · Human-safe: Yes · AI: Not specified; assumption: possible via SDK · Actuation: Electric servo/BLDC actuators + wheel hub motors · Peak 5 km/h · Runtime 4</t>
        </is>
      </c>
      <c r="BP146" s="152" t="n"/>
      <c r="BQ146" s="156" t="inlineStr">
        <is>
          <t>commercial automation; Industrial Manufacturing; logistics</t>
        </is>
      </c>
      <c r="BR146" s="156" t="inlineStr">
        <is>
          <t>Early production / limited release</t>
        </is>
      </c>
      <c r="BS146" s="156" t="inlineStr">
        <is>
          <t>Early production / limited release</t>
        </is>
      </c>
      <c r="BT146" s="152" t="inlineStr">
        <is>
          <t>Blue; Grey; White</t>
        </is>
      </c>
      <c r="BU146" s="152" t="n"/>
      <c r="BV146" s="156" t="n"/>
      <c r="BW146" s="156" t="inlineStr">
        <is>
          <t>Origin &amp; status — Japan · Early production / limited release · 2026 | Manipulation — 10 · 10 fingers · Payload 35.3 lb | Sensing &amp; software — Not specified; assumption: possible via SDK · Linux/ROS-based | Buying notes — From $70,000 · 12 months manufacturer standard (typical research/commercial humanoid) · Best fit: commercial automation</t>
        </is>
      </c>
      <c r="BX146" s="156" t="inlineStr">
        <is>
          <t>as_shipped|Modular|70000|As shipped</t>
        </is>
      </c>
      <c r="BY146" s="152" t="inlineStr">
        <is>
          <t>blue|Blue|#e2e8f0|0 || grey|Grey|#1e293b|0 || white|White|#0891b2|0</t>
        </is>
      </c>
      <c r="BZ146" s="152" t="inlineStr"/>
      <c r="CA146" s="156" t="n"/>
      <c r="CB146" s="156" t="inlineStr">
        <is>
          <t>12 months manufacturer standard (typical research/commercial humanoid)</t>
        </is>
      </c>
      <c r="CC146" s="154" t="n">
        <v>12</v>
      </c>
      <c r="CD146" s="156" t="inlineStr">
        <is>
          <t>+3 Year Extended ≈24% of configuration (default in configurator)</t>
        </is>
      </c>
      <c r="CE146" s="152" t="inlineStr">
        <is>
          <t>Humanoid category norm 2025–2026</t>
        </is>
      </c>
      <c r="CF146" s="152" t="inlineStr">
        <is>
          <t>Estimated</t>
        </is>
      </c>
      <c r="CG146" s="156" t="inlineStr">
        <is>
          <t>Confirm on formal OEM quote. EDU or enterprise packages may differ.</t>
        </is>
      </c>
      <c r="CH146" s="152" t="inlineStr">
        <is>
          <t>10%</t>
        </is>
      </c>
      <c r="CI146" s="152" t="inlineStr">
        <is>
          <t>17%</t>
        </is>
      </c>
      <c r="CJ146" s="152" t="inlineStr">
        <is>
          <t>24%</t>
        </is>
      </c>
      <c r="CK146" s="156" t="inlineStr">
        <is>
          <t>+1yr ≈10% | +2yr ≈17% | +3yr ≈24% of selected configuration price (parts &amp; labor beyond manufacturer standard).</t>
        </is>
      </c>
      <c r="CL146"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46" s="152" t="inlineStr">
        <is>
          <t>12 months manufacturer standard (typical research/commercial humanoid)</t>
        </is>
      </c>
      <c r="CQ146" s="101" t="inlineStr">
        <is>
          <t>Height: 5 ft 8 in | Weight: 154.3 | Degrees of Freedom: 30 | Payload: 35.3 | Max Speed: 3.11 | Battery / Runtime: ≈ 4 hours</t>
        </is>
      </c>
    </row>
    <row r="147" ht="31.5" customHeight="1" s="102">
      <c r="A147" s="145" t="inlineStr">
        <is>
          <t>openarm_openarm_02</t>
        </is>
      </c>
      <c r="B147" s="153" t="inlineStr">
        <is>
          <t>Humanoid.guide</t>
        </is>
      </c>
      <c r="C147" s="145" t="inlineStr">
        <is>
          <t>OpenArm</t>
        </is>
      </c>
      <c r="D147" s="145" t="inlineStr">
        <is>
          <t>OpenArm 02</t>
        </is>
      </c>
      <c r="E147" s="145" t="inlineStr">
        <is>
          <t>[OpenArm] OpenArm 02 (2026)</t>
        </is>
      </c>
      <c r="F147" s="146" t="inlineStr">
        <is>
          <t>humanoid</t>
        </is>
      </c>
      <c r="G147" s="145" t="inlineStr">
        <is>
          <t>Japan</t>
        </is>
      </c>
      <c r="H147" s="145" t="n"/>
      <c r="I147" s="148" t="n">
        <v>6500</v>
      </c>
      <c r="J147" s="145" t="inlineStr">
        <is>
          <t>Humanoid.guide list</t>
        </is>
      </c>
      <c r="K147" s="149" t="inlineStr">
        <is>
          <t>An open-source, human-scale robotic arm from Tokyo’s Enactic, built for physical AI research, teleoperation, and reproducible robot-learning benchmarks.</t>
        </is>
      </c>
      <c r="L147" s="101" t="inlineStr">
        <is>
          <t>An open-source, human-scale robotic arm from Tokyo’s Enactic, built for physical AI research, teleoperation, and reproducible robot-learning benchmarks.</t>
        </is>
      </c>
      <c r="M147" s="101" t="inlineStr">
        <is>
          <t>OpenArm 02 is OpenArm's humanoid, introduced around 2026 in Japan. An open-source, human-scale robotic arm from Tokyo’s Enactic, built for physical AI research, teleoperation, and reproducible robot-learning benchmarks. Public status is listed as in production, and it is positioned for physical-AI/embodied-AI teams worldwide — data collection, teleoperation, and VLA model training; Robotics research labs; universities.</t>
        </is>
      </c>
      <c r="N147" s="150" t="inlineStr">
        <is>
          <t>https://humanoid.guide/product/openarm-02/</t>
        </is>
      </c>
      <c r="O147" s="150" t="inlineStr">
        <is>
          <t>https://openarm.dev/</t>
        </is>
      </c>
      <c r="P147" s="145" t="n"/>
      <c r="Q147" s="145" t="n"/>
      <c r="R147" s="145" t="n">
        <v>66.09999999999999</v>
      </c>
      <c r="S147" s="145" t="n">
        <v>30</v>
      </c>
      <c r="T147" s="149" t="inlineStr">
        <is>
          <t>Not disclosed</t>
        </is>
      </c>
      <c r="U147" s="145" t="n"/>
      <c r="V147" s="145" t="inlineStr">
        <is>
          <t>14</t>
        </is>
      </c>
      <c r="W147" s="149" t="inlineStr">
        <is>
          <t>1 DoF grippers each hand</t>
        </is>
      </c>
      <c r="X147" s="145" t="n">
        <v>33.1</v>
      </c>
      <c r="Y147" s="145" t="n">
        <v>15</v>
      </c>
      <c r="Z147" s="145" t="n">
        <v>0</v>
      </c>
      <c r="AA147" s="145" t="n">
        <v>0</v>
      </c>
      <c r="AB147" s="145" t="n">
        <v>0</v>
      </c>
      <c r="AC147" s="149" t="inlineStr">
        <is>
          <t>Not disclosed</t>
        </is>
      </c>
      <c r="AD147" s="149" t="n"/>
      <c r="AE147" s="145" t="n"/>
      <c r="AF147" s="145" t="inlineStr">
        <is>
          <t>Not disclosed</t>
        </is>
      </c>
      <c r="AG147" s="149" t="inlineStr">
        <is>
          <t>2-finger gripping claws</t>
        </is>
      </c>
      <c r="AH147" s="145" t="inlineStr">
        <is>
          <t>2-finger gripping claws</t>
        </is>
      </c>
      <c r="AI147" s="145" t="n"/>
      <c r="AJ147" s="149" t="inlineStr">
        <is>
          <t>Built-in in-hand RGB camera on the gripper (resolution unpublished); optional ZED-121210 stereo camera add-on for a top-down workspace view</t>
        </is>
      </c>
      <c r="AK147" s="149" t="inlineStr">
        <is>
          <t>Built-in in-hand RGB camera on the gripper (resolution unpublished); optional ZED-121210 stereo camera add-on for a top-down workspace view</t>
        </is>
      </c>
      <c r="AL147" s="145" t="inlineStr">
        <is>
          <t>Not disclosed</t>
        </is>
      </c>
      <c r="AM147" s="145" t="n"/>
      <c r="AN147" s="145" t="inlineStr">
        <is>
          <t>Not disclosed</t>
        </is>
      </c>
      <c r="AO147" s="145" t="inlineStr">
        <is>
          <t>Not disclosed</t>
        </is>
      </c>
      <c r="AP147" s="145" t="inlineStr">
        <is>
          <t>Not disclosed</t>
        </is>
      </c>
      <c r="AQ147" s="145" t="inlineStr">
        <is>
          <t>Not disclosed</t>
        </is>
      </c>
      <c r="AR147" s="145" t="n"/>
      <c r="AS147" s="145" t="n"/>
      <c r="AT147" s="149" t="inlineStr">
        <is>
          <t>Not disclosed</t>
        </is>
      </c>
      <c r="AU147" s="149" t="inlineStr">
        <is>
          <t>CAN-FD control bus (1 kHz), wired — no built-in Wi-Fi/Bluetooth; networking depends on the host computer</t>
        </is>
      </c>
      <c r="AV147" s="145" t="inlineStr">
        <is>
          <t>Not disclosed</t>
        </is>
      </c>
      <c r="AW147" s="149" t="inlineStr">
        <is>
          <t>Not disclosed</t>
        </is>
      </c>
      <c r="AX147" s="145" t="n"/>
      <c r="AY147" s="149" t="inlineStr">
        <is>
          <t>None onboard; driven from a Linux host (Ubuntu 22.04/24.04) via ROS 2 and SocketCAN</t>
        </is>
      </c>
      <c r="AZ147" s="149" t="inlineStr">
        <is>
          <t>Compatible with external vision-language-action (VLA) models via Hugging Face's LeRobot and similar frameworks, run on the user's own compute</t>
        </is>
      </c>
      <c r="BA147" s="149" t="inlineStr">
        <is>
          <t>Not a fixed hardware spec — depends on the external AI model and host PC. The CAN-FD control bus itself runs at 1 kHz (1 ms cycle)</t>
        </is>
      </c>
      <c r="BB147" s="149" t="inlineStr">
        <is>
          <t>DAMIAO quasi-direct-drive (QDD) brushless motors (DM-J4310, DM-J8009P), plus one higher-torque non-QDD motor (DM4340) at the base joint</t>
        </is>
      </c>
      <c r="BC147" s="149" t="inlineStr">
        <is>
          <t>Low-ratio planetary gearboxes (9:1 to 40:1 depending on joint), which preserve backdrivability</t>
        </is>
      </c>
      <c r="BD147" s="145" t="inlineStr">
        <is>
          <t>Aluminum and stainless steel, with MISUMI aluminum-frame support pillars</t>
        </is>
      </c>
      <c r="BE147" s="145" t="inlineStr">
        <is>
          <t>Not disclosed</t>
        </is>
      </c>
      <c r="BF147" s="145" t="n"/>
      <c r="BG147" s="145" t="n"/>
      <c r="BH147" s="145" t="n"/>
      <c r="BI147" s="145" t="n"/>
      <c r="BJ147" s="145" t="n"/>
      <c r="BK147" s="145" t="n"/>
      <c r="BL147" s="145" t="n"/>
      <c r="BM147" s="145" t="inlineStr">
        <is>
          <t>Yes</t>
        </is>
      </c>
      <c r="BN147" s="145" t="inlineStr">
        <is>
          <t>Not disclosed</t>
        </is>
      </c>
      <c r="BO147" s="149" t="inlineStr">
        <is>
          <t>Market: physical-AI/embodied-AI teams worldwide — data collection, teleoperation, and VLA model training; Robotics research labs; universities · Human-safe: Yes · AI: Compatible with external vision-language-action (VLA) models via Hugging Face's LeRobot and similar frameworks, run on the user's own com… · Actuation: DAMIAO quasi-direct-drive (QDD) brushless motors (DM-J4310, DM-J8009P), plus one higher-torque non-QDD moto…</t>
        </is>
      </c>
      <c r="BP147" s="145" t="n"/>
      <c r="BQ147" s="149" t="inlineStr">
        <is>
          <t>physical-AI/embodied-AI teams worldwide — data collection, teleoperation, and VLA model training; Robotics research labs; universities</t>
        </is>
      </c>
      <c r="BR147" s="149" t="inlineStr">
        <is>
          <t>In production</t>
        </is>
      </c>
      <c r="BS147" s="149" t="inlineStr">
        <is>
          <t>In production</t>
        </is>
      </c>
      <c r="BT147" s="145" t="n"/>
      <c r="BU147" s="145" t="inlineStr">
        <is>
          <t>Not verified</t>
        </is>
      </c>
      <c r="BV147" s="149" t="n"/>
      <c r="BW147" s="149" t="inlineStr">
        <is>
          <t>Origin &amp; status — Japan · In production · 2026 | Manipulation — 2-finger gripping claws · Hand DOF 1 DoF grippers each hand · Payload 33.1 lb | Sensing &amp; software — Built-in in-hand RGB camera on the gripper (resolution unpublished); optional ZED-121210 stereo camera add-on for a top-down workspace view · Compatible wit… | Buying notes — From $6,500 · 12 months manufacturer standard (typical research/commercial humanoid) · Best fit: physical-AI</t>
        </is>
      </c>
      <c r="BX147" s="149" t="inlineStr">
        <is>
          <t>as_shipped|OpenArm 02|6500|As shipped</t>
        </is>
      </c>
      <c r="BY147" s="145" t="inlineStr">
        <is>
          <t>openarm_02|Manufacturer finish|#e2e8f0|0</t>
        </is>
      </c>
      <c r="BZ147" s="145" t="inlineStr"/>
      <c r="CA147" s="149" t="n"/>
      <c r="CB147" s="149" t="inlineStr">
        <is>
          <t>12 months manufacturer standard (typical research/commercial humanoid)</t>
        </is>
      </c>
      <c r="CC147" s="147" t="n">
        <v>12</v>
      </c>
      <c r="CD147" s="149" t="inlineStr">
        <is>
          <t>+3 Year Extended ≈24% of configuration (default in configurator)</t>
        </is>
      </c>
      <c r="CE147" s="145" t="inlineStr">
        <is>
          <t>Humanoid category norm 2025–2026</t>
        </is>
      </c>
      <c r="CF147" s="145" t="inlineStr">
        <is>
          <t>Estimated</t>
        </is>
      </c>
      <c r="CG147" s="149" t="inlineStr">
        <is>
          <t>Confirm on formal OEM quote. EDU or enterprise packages may differ.</t>
        </is>
      </c>
      <c r="CH147" s="145" t="inlineStr">
        <is>
          <t>10%</t>
        </is>
      </c>
      <c r="CI147" s="145" t="inlineStr">
        <is>
          <t>17%</t>
        </is>
      </c>
      <c r="CJ147" s="145" t="inlineStr">
        <is>
          <t>24%</t>
        </is>
      </c>
      <c r="CK147" s="149" t="inlineStr">
        <is>
          <t>+1yr ≈10% | +2yr ≈17% | +3yr ≈24% of selected configuration price (parts &amp; labor beyond manufacturer standard).</t>
        </is>
      </c>
      <c r="CL147"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47" s="145" t="inlineStr">
        <is>
          <t>12 months manufacturer standard (typical research/commercial humanoid)</t>
        </is>
      </c>
      <c r="CQ147" s="101" t="inlineStr">
        <is>
          <t>Height: Not disclosed | Weight: 66.1 | Degrees of Freedom: 14 | Payload: 33.1 | Max Speed: 0 | Battery / Runtime: Not disclosed</t>
        </is>
      </c>
    </row>
    <row r="148" ht="31.5" customHeight="1" s="102">
      <c r="A148" s="152" t="inlineStr">
        <is>
          <t>openloong_qinglong_v3_0</t>
        </is>
      </c>
      <c r="B148" s="153" t="inlineStr">
        <is>
          <t>Humanoid.guide</t>
        </is>
      </c>
      <c r="C148" s="152" t="inlineStr">
        <is>
          <t>OpenLoong</t>
        </is>
      </c>
      <c r="D148" s="152" t="inlineStr">
        <is>
          <t>Qinglong V3.0</t>
        </is>
      </c>
      <c r="E148" s="152" t="inlineStr">
        <is>
          <t>[OpenLoong] Qinglong V3.0 (2026)</t>
        </is>
      </c>
      <c r="F148" s="146" t="inlineStr">
        <is>
          <t>humanoid</t>
        </is>
      </c>
      <c r="G148" s="152" t="inlineStr">
        <is>
          <t>China</t>
        </is>
      </c>
      <c r="H148" s="152" t="n"/>
      <c r="I148" s="155" t="n">
        <v>90000</v>
      </c>
      <c r="J148" s="152" t="inlineStr">
        <is>
          <t>Humanoid.guide list</t>
        </is>
      </c>
      <c r="K148" s="156" t="inlineStr">
        <is>
          <t>Qinglong V3.0 is a research humanoid robot by OpenLoong designed for locomotion, manipulation, and whole-body control studies.</t>
        </is>
      </c>
      <c r="L148" s="101" t="inlineStr">
        <is>
          <t>Qinglong V3.0 is a research humanoid robot by OpenLoong designed for locomotion, manipulation, and whole-body control studies.</t>
        </is>
      </c>
      <c r="M148" s="101" t="inlineStr">
        <is>
          <t>Qinglong V3.0 is a research humanoid robot by OpenLoong designed for locomotion, manipulation, and whole-body control studies. Public status is listed as early production / limited release, and it is positioned for academic research; humanoid R&amp;D.</t>
        </is>
      </c>
      <c r="N148" s="157" t="inlineStr">
        <is>
          <t>https://humanoid.guide/product/qinglong-v3-0/</t>
        </is>
      </c>
      <c r="O148" s="157" t="inlineStr">
        <is>
          <t>https://www.openloong.org.cn</t>
        </is>
      </c>
      <c r="P148" s="152" t="inlineStr">
        <is>
          <t>5 ft 5 in</t>
        </is>
      </c>
      <c r="Q148" s="152" t="n">
        <v>165</v>
      </c>
      <c r="R148" s="152" t="n">
        <v>165.3</v>
      </c>
      <c r="S148" s="152" t="n">
        <v>75</v>
      </c>
      <c r="T148" s="156" t="inlineStr">
        <is>
          <t>Not disclosed</t>
        </is>
      </c>
      <c r="U148" s="152" t="inlineStr">
        <is>
          <t>~185 × 85 × 65 cm</t>
        </is>
      </c>
      <c r="V148" s="152" t="inlineStr">
        <is>
          <t>40</t>
        </is>
      </c>
      <c r="W148" s="156" t="inlineStr">
        <is>
          <t>12</t>
        </is>
      </c>
      <c r="X148" s="152" t="n">
        <v>11</v>
      </c>
      <c r="Y148" s="152" t="n">
        <v>5</v>
      </c>
      <c r="Z148" s="152" t="n">
        <v>3.11</v>
      </c>
      <c r="AA148" s="152" t="n">
        <v>5</v>
      </c>
      <c r="AB148" s="152" t="n">
        <v>4.5</v>
      </c>
      <c r="AC148" s="156" t="inlineStr">
        <is>
          <t>≈ 3 hours</t>
        </is>
      </c>
      <c r="AD148" s="156" t="inlineStr">
        <is>
          <t>3</t>
        </is>
      </c>
      <c r="AE148" s="152" t="n"/>
      <c r="AF148" s="152" t="inlineStr">
        <is>
          <t>Not disclosed</t>
        </is>
      </c>
      <c r="AG148" s="156" t="inlineStr">
        <is>
          <t>5 per hand</t>
        </is>
      </c>
      <c r="AH148" s="152" t="inlineStr">
        <is>
          <t>5 per hand</t>
        </is>
      </c>
      <c r="AI148" s="151" t="n">
        <v>3</v>
      </c>
      <c r="AJ148" s="156" t="inlineStr">
        <is>
          <t>RGB + depth cameras, ~1080p</t>
        </is>
      </c>
      <c r="AK148" s="156" t="inlineStr">
        <is>
          <t>RGB + depth cameras, ~1080p</t>
        </is>
      </c>
      <c r="AL148" s="152" t="inlineStr">
        <is>
          <t>Not disclosed</t>
        </is>
      </c>
      <c r="AM148" s="152" t="n"/>
      <c r="AN148" s="152" t="inlineStr">
        <is>
          <t>Not disclosed</t>
        </is>
      </c>
      <c r="AO148" s="152" t="inlineStr">
        <is>
          <t>Not disclosed</t>
        </is>
      </c>
      <c r="AP148" s="152" t="inlineStr">
        <is>
          <t>Not disclosed</t>
        </is>
      </c>
      <c r="AQ148" s="152" t="inlineStr">
        <is>
          <t>Not disclosed</t>
        </is>
      </c>
      <c r="AR148" s="152" t="n"/>
      <c r="AS148" s="152" t="n"/>
      <c r="AT148" s="156" t="inlineStr">
        <is>
          <t>Industrial CPU + AI accelerator / GPU (assumed)</t>
        </is>
      </c>
      <c r="AU148" s="156" t="inlineStr">
        <is>
          <t>Ethernet; USB; Wi‑Fi</t>
        </is>
      </c>
      <c r="AV148" s="152" t="inlineStr">
        <is>
          <t>Not disclosed</t>
        </is>
      </c>
      <c r="AW148" s="156" t="inlineStr">
        <is>
          <t>Not disclosed</t>
        </is>
      </c>
      <c r="AX148" s="161" t="n">
        <v>4</v>
      </c>
      <c r="AY148" s="156" t="inlineStr">
        <is>
          <t>Linux-based / ROS</t>
        </is>
      </c>
      <c r="AZ148" s="156" t="inlineStr">
        <is>
          <t>Possible via external system integration</t>
        </is>
      </c>
      <c r="BA148" s="156" t="inlineStr">
        <is>
          <t>150–250 ms</t>
        </is>
      </c>
      <c r="BB148" s="156" t="inlineStr">
        <is>
          <t>Electric servo motors</t>
        </is>
      </c>
      <c r="BC148" s="156" t="inlineStr">
        <is>
          <t>Harmonic drive + planetary gears</t>
        </is>
      </c>
      <c r="BD148" s="152" t="inlineStr">
        <is>
          <t>Not disclosed</t>
        </is>
      </c>
      <c r="BE148" s="152" t="inlineStr">
        <is>
          <t>Not disclosed</t>
        </is>
      </c>
      <c r="BF148" s="152" t="n"/>
      <c r="BG148" s="152" t="n"/>
      <c r="BH148" s="152" t="n"/>
      <c r="BI148" s="152" t="n"/>
      <c r="BJ148" s="152" t="n"/>
      <c r="BK148" s="152" t="n"/>
      <c r="BL148" s="152" t="n"/>
      <c r="BM148" s="152" t="inlineStr">
        <is>
          <t>Yes</t>
        </is>
      </c>
      <c r="BN148" s="152" t="inlineStr">
        <is>
          <t>Not disclosed</t>
        </is>
      </c>
      <c r="BO148" s="156" t="inlineStr">
        <is>
          <t>Market: Academic research; humanoid R&amp;D · Manipulation 3/4 · Navigation 4/4 · Human-safe: Yes · AI: Possible via external system integration · Actuation: Electric servo motors · Peak 5 km/h · Walk 4.5 km/h · Runtime 3</t>
        </is>
      </c>
      <c r="BP148" s="152" t="n"/>
      <c r="BQ148" s="156" t="inlineStr">
        <is>
          <t>Academic research; humanoid R&amp;D</t>
        </is>
      </c>
      <c r="BR148" s="156" t="inlineStr">
        <is>
          <t>Early production / limited release</t>
        </is>
      </c>
      <c r="BS148" s="156" t="inlineStr">
        <is>
          <t>Early production / limited release</t>
        </is>
      </c>
      <c r="BT148" s="152" t="inlineStr">
        <is>
          <t>White</t>
        </is>
      </c>
      <c r="BU148" s="152" t="inlineStr">
        <is>
          <t>Not verified</t>
        </is>
      </c>
      <c r="BV148" s="156" t="n"/>
      <c r="BW148" s="156" t="inlineStr">
        <is>
          <t>Origin &amp; status — China · Early production / limited release · 2026 | Manipulation — 5 per hand · 5 per hand fingers · Hand DOF 12 · Payload 11 lb | Sensing &amp; software — RGB + depth cameras, ~1080p · Possible via external system integration · Linux-based / ROS | Buying notes — From $90,000 · 12 months manufacturer standard (typical research/commercial humanoid) · Best fit: Academic research</t>
        </is>
      </c>
      <c r="BX148" s="156" t="inlineStr">
        <is>
          <t>as_shipped|Qinglong V3.0|90000|As shipped</t>
        </is>
      </c>
      <c r="BY148" s="152" t="inlineStr">
        <is>
          <t>white|White|#e2e8f0|0</t>
        </is>
      </c>
      <c r="BZ148" s="152" t="inlineStr"/>
      <c r="CA148" s="156" t="n"/>
      <c r="CB148" s="156" t="inlineStr">
        <is>
          <t>12 months manufacturer standard (typical research/commercial humanoid)</t>
        </is>
      </c>
      <c r="CC148" s="154" t="n">
        <v>12</v>
      </c>
      <c r="CD148" s="156" t="inlineStr">
        <is>
          <t>+3 Year Extended ≈24% of configuration (default in configurator)</t>
        </is>
      </c>
      <c r="CE148" s="152" t="inlineStr">
        <is>
          <t>Humanoid category norm 2025–2026</t>
        </is>
      </c>
      <c r="CF148" s="152" t="inlineStr">
        <is>
          <t>Estimated</t>
        </is>
      </c>
      <c r="CG148" s="156" t="inlineStr">
        <is>
          <t>Confirm on formal OEM quote. EDU or enterprise packages may differ.</t>
        </is>
      </c>
      <c r="CH148" s="152" t="inlineStr">
        <is>
          <t>10%</t>
        </is>
      </c>
      <c r="CI148" s="152" t="inlineStr">
        <is>
          <t>17%</t>
        </is>
      </c>
      <c r="CJ148" s="152" t="inlineStr">
        <is>
          <t>24%</t>
        </is>
      </c>
      <c r="CK148" s="156" t="inlineStr">
        <is>
          <t>+1yr ≈10% | +2yr ≈17% | +3yr ≈24% of selected configuration price (parts &amp; labor beyond manufacturer standard).</t>
        </is>
      </c>
      <c r="CL148"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48" s="152" t="inlineStr">
        <is>
          <t>12 months manufacturer standard (typical research/commercial humanoid)</t>
        </is>
      </c>
      <c r="CQ148" s="101" t="inlineStr">
        <is>
          <t>Height: 5 ft 5 in | Weight: 165.3 | Degrees of Freedom: 40 | Payload: 11 | Max Speed: 3.11 | Battery / Runtime: ≈ 3 hours</t>
        </is>
      </c>
    </row>
    <row r="149" ht="31.5" customHeight="1" s="102">
      <c r="A149" s="143" t="inlineStr">
        <is>
          <t>openmind_robotics_smart_logistics_automa</t>
        </is>
      </c>
      <c r="B149" s="160" t="inlineStr">
        <is>
          <t>Website</t>
        </is>
      </c>
      <c r="C149" s="145" t="inlineStr">
        <is>
          <t>Openmind Robotics</t>
        </is>
      </c>
      <c r="D149" s="145" t="inlineStr">
        <is>
          <t>Smart Logistics Robot</t>
        </is>
      </c>
      <c r="E149" s="145" t="inlineStr">
        <is>
          <t>[Openmind] Smart Logistics Robot (2026)</t>
        </is>
      </c>
      <c r="F149" s="146" t="inlineStr">
        <is>
          <t>humanoid</t>
        </is>
      </c>
      <c r="G149" s="145" t="inlineStr">
        <is>
          <t>Vietnam</t>
        </is>
      </c>
      <c r="H149" s="147" t="n">
        <v>2026</v>
      </c>
      <c r="I149" s="148" t="n">
        <v>50000</v>
      </c>
      <c r="J149" s="145" t="inlineStr">
        <is>
          <t>Website store</t>
        </is>
      </c>
      <c r="K149" s="149" t="inlineStr">
        <is>
          <t>Smart Logistics Robot is Openmind Robotics's humanoid — Not disclosed DOF. Grippers or dexterous hands depending on configuration; RGB and/or depth cameras for navigation and manipulation (configuration specific).</t>
        </is>
      </c>
      <c r="L149" s="101" t="inlineStr">
        <is>
          <t>Smart Logistics Robot is Openmind Robotics's humanoid — Not disclosed DOF. Grippers or dexterous hands depending on configuration; RGB and/or depth cameras for navigation and manipulation (configuration specific).</t>
        </is>
      </c>
      <c r="M149" s="101" t="inlineStr">
        <is>
          <t>Smart Logistics Robot is Openmind Robotics's humanoid — Not disclosed DOF. Grippers or dexterous hands depending on configuration; RGB and/or depth cameras for navigation and manipulation (configuration specific). Public status is listed as innovation Award (Qualcomm Vietnam), and it is positioned for logistics automation.</t>
        </is>
      </c>
      <c r="N149" s="145" t="n"/>
      <c r="O149" s="145" t="inlineStr">
        <is>
          <t>https://www.openmind.org</t>
        </is>
      </c>
      <c r="P149" s="145" t="n"/>
      <c r="Q149" s="145" t="n"/>
      <c r="R149" s="145" t="n"/>
      <c r="S149" s="145" t="n"/>
      <c r="T149" s="149" t="inlineStr">
        <is>
          <t>Not disclosed</t>
        </is>
      </c>
      <c r="U149" s="145" t="n"/>
      <c r="V149" s="145" t="inlineStr">
        <is>
          <t>Not disclosed</t>
        </is>
      </c>
      <c r="W149" s="149" t="inlineStr">
        <is>
          <t>Not disclosed</t>
        </is>
      </c>
      <c r="X149" s="145" t="n"/>
      <c r="Y149" s="145" t="n"/>
      <c r="Z149" s="145" t="n"/>
      <c r="AA149" s="145" t="n"/>
      <c r="AB149" s="145" t="n"/>
      <c r="AC149" s="149" t="inlineStr">
        <is>
          <t>Not disclosed</t>
        </is>
      </c>
      <c r="AD149" s="149" t="n"/>
      <c r="AE149" s="145" t="n"/>
      <c r="AF149" s="145" t="inlineStr">
        <is>
          <t>Not disclosed</t>
        </is>
      </c>
      <c r="AG149" s="149" t="inlineStr">
        <is>
          <t>Grippers or dexterous hands depending on configuration</t>
        </is>
      </c>
      <c r="AH149" s="145" t="inlineStr">
        <is>
          <t>Not disclosed</t>
        </is>
      </c>
      <c r="AI149" s="145" t="n"/>
      <c r="AJ149" s="149" t="inlineStr">
        <is>
          <t>RGB and/or depth cameras for navigation and manipulation (configuration specific)</t>
        </is>
      </c>
      <c r="AK149" s="149" t="n"/>
      <c r="AL149" s="145" t="inlineStr">
        <is>
          <t>Onboard streams for teleoperation and logging when equipped</t>
        </is>
      </c>
      <c r="AM149" s="145" t="n"/>
      <c r="AN149" s="145" t="inlineStr">
        <is>
          <t>Not disclosed</t>
        </is>
      </c>
      <c r="AO149" s="145" t="inlineStr">
        <is>
          <t>Microphone array on interaction-oriented builds</t>
        </is>
      </c>
      <c r="AP149" s="145" t="inlineStr">
        <is>
          <t>Not disclosed</t>
        </is>
      </c>
      <c r="AQ149" s="145" t="inlineStr">
        <is>
          <t>Not disclosed</t>
        </is>
      </c>
      <c r="AR149" s="145" t="n"/>
      <c r="AS149" s="145" t="n"/>
      <c r="AT149" s="149" t="inlineStr">
        <is>
          <t>Not disclosed</t>
        </is>
      </c>
      <c r="AU149" s="149" t="inlineStr">
        <is>
          <t>Not disclosed</t>
        </is>
      </c>
      <c r="AV149" s="145" t="inlineStr">
        <is>
          <t>Manufacturer app and/or SDK</t>
        </is>
      </c>
      <c r="AW149" s="149" t="inlineStr">
        <is>
          <t>Bipedal balance and walking controllers</t>
        </is>
      </c>
      <c r="AX149" s="145" t="n"/>
      <c r="AY149" s="149" t="inlineStr">
        <is>
          <t>Not disclosed</t>
        </is>
      </c>
      <c r="AZ149" s="149" t="inlineStr">
        <is>
          <t>Not disclosed</t>
        </is>
      </c>
      <c r="BA149" s="149" t="n"/>
      <c r="BB149" s="149" t="inlineStr">
        <is>
          <t>Not disclosed</t>
        </is>
      </c>
      <c r="BC149" s="149" t="inlineStr">
        <is>
          <t>Not disclosed</t>
        </is>
      </c>
      <c r="BD149" s="145" t="inlineStr">
        <is>
          <t>Not disclosed</t>
        </is>
      </c>
      <c r="BE149" s="145" t="inlineStr">
        <is>
          <t>Not disclosed</t>
        </is>
      </c>
      <c r="BF149" s="145" t="n"/>
      <c r="BG149" s="145" t="n"/>
      <c r="BH149" s="145" t="n"/>
      <c r="BI149" s="145" t="n"/>
      <c r="BJ149" s="145" t="n"/>
      <c r="BK149" s="145" t="n"/>
      <c r="BL149" s="145" t="n"/>
      <c r="BM149" s="145" t="inlineStr">
        <is>
          <t>Not disclosed</t>
        </is>
      </c>
      <c r="BN149" s="145" t="inlineStr">
        <is>
          <t>Not disclosed</t>
        </is>
      </c>
      <c r="BO149" s="149" t="inlineStr">
        <is>
          <t>Market: Logistics automation · The Smart Logistics Robot is a bipedal humanoid robot from Openmind Robotics, associated with development and availability timelines around 2026.</t>
        </is>
      </c>
      <c r="BP149" s="145" t="n"/>
      <c r="BQ149" s="149" t="inlineStr">
        <is>
          <t>Logistics automation</t>
        </is>
      </c>
      <c r="BR149" s="149" t="inlineStr">
        <is>
          <t>Innovation Award (Qualcomm Vietnam)</t>
        </is>
      </c>
      <c r="BS149" s="149" t="n"/>
      <c r="BT149" s="145" t="n"/>
      <c r="BU149" s="145" t="n"/>
      <c r="BV149" s="149" t="n"/>
      <c r="BW149" s="149" t="inlineStr">
        <is>
          <t>Origin &amp; status — Vietnam · Innovation Award (Qualcomm Vietnam) · 2026 | Manipulation — Grippers or dexterous hands depending on configuration | Sensing &amp; software — RGB and/or depth cameras for navigation and manipulation (configuration specific) · Manufacturer app and/or SDK | Buying notes — From $50,000 · 12 months manufacturer standard (typical research/commercial humanoid) · Best fit: Logistics automation</t>
        </is>
      </c>
      <c r="BX149" s="149" t="inlineStr">
        <is>
          <t>as_shipped|Smart Logistics Robot|50000|As shipped</t>
        </is>
      </c>
      <c r="BY149" s="145" t="inlineStr">
        <is>
          <t>smart_logistics_robo|Manufacturer finish|#e2e8f0|0</t>
        </is>
      </c>
      <c r="BZ149" s="145" t="inlineStr"/>
      <c r="CA149" s="149" t="inlineStr">
        <is>
          <t>Add-ons: case; 2 color options; Multi-year extended warranty available</t>
        </is>
      </c>
      <c r="CB149" s="149" t="inlineStr">
        <is>
          <t>12 months manufacturer standard (typical research/commercial humanoid)</t>
        </is>
      </c>
      <c r="CC149" s="147" t="n">
        <v>12</v>
      </c>
      <c r="CD149" s="149" t="inlineStr">
        <is>
          <t>+3 Year Extended ≈24% of configuration (default in configurator)</t>
        </is>
      </c>
      <c r="CE149" s="145" t="inlineStr">
        <is>
          <t>Humanoid category norm 2025–2026</t>
        </is>
      </c>
      <c r="CF149" s="145" t="inlineStr">
        <is>
          <t>Estimated</t>
        </is>
      </c>
      <c r="CG149" s="149" t="inlineStr">
        <is>
          <t>EDU or enterprise packages may differ; confirm on formal quote.</t>
        </is>
      </c>
      <c r="CH149" s="145" t="inlineStr">
        <is>
          <t>10%</t>
        </is>
      </c>
      <c r="CI149" s="145" t="inlineStr">
        <is>
          <t>17%</t>
        </is>
      </c>
      <c r="CJ149" s="145" t="inlineStr">
        <is>
          <t>24%</t>
        </is>
      </c>
      <c r="CK14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14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49" s="145" t="inlineStr">
        <is>
          <t>12 months manufacturer standard (typical research/commercial humanoid)</t>
        </is>
      </c>
      <c r="CQ149" s="101" t="inlineStr">
        <is>
          <t>Height: Not disclosed | Weight: Not disclosed | Degrees of Freedom: Not disclosed | Payload: Not disclosed | Max Speed: Not disclosed | Battery / Runtime: Not disclosed</t>
        </is>
      </c>
    </row>
    <row r="150" ht="31.5" customHeight="1" s="102">
      <c r="A150" s="152" t="inlineStr">
        <is>
          <t>orbit_robotics_helios</t>
        </is>
      </c>
      <c r="B150" s="153" t="inlineStr">
        <is>
          <t>Humanoid.guide</t>
        </is>
      </c>
      <c r="C150" s="152" t="inlineStr">
        <is>
          <t>ORBIT Robotics</t>
        </is>
      </c>
      <c r="D150" s="152" t="inlineStr">
        <is>
          <t>HELIOS</t>
        </is>
      </c>
      <c r="E150" s="152" t="inlineStr">
        <is>
          <t>[ORBIT Robotics] HELIOS (2026)</t>
        </is>
      </c>
      <c r="F150" s="146" t="inlineStr">
        <is>
          <t>humanoid</t>
        </is>
      </c>
      <c r="G150" s="152" t="inlineStr">
        <is>
          <t>Switzerland</t>
        </is>
      </c>
      <c r="H150" s="152" t="n"/>
      <c r="I150" s="155" t="n">
        <v>75000</v>
      </c>
      <c r="J150" s="152" t="inlineStr">
        <is>
          <t>Humanoid.guide list</t>
        </is>
      </c>
      <c r="K150" s="156" t="inlineStr">
        <is>
          <t>HELIOS is a four-arm humanoid robot prototype from ORBIT Robotics designed for microgravity operations and space research.</t>
        </is>
      </c>
      <c r="L150" s="101" t="inlineStr">
        <is>
          <t>HELIOS is a four-arm humanoid robot prototype from ORBIT Robotics designed for microgravity operations and space research.</t>
        </is>
      </c>
      <c r="M150" s="101" t="inlineStr">
        <is>
          <t>HELIOS is a four-arm humanoid robot prototype from ORBIT Robotics designed for microgravity operations and space research.</t>
        </is>
      </c>
      <c r="N150" s="157" t="inlineStr">
        <is>
          <t>https://humanoid.guide/product/helios/</t>
        </is>
      </c>
      <c r="O150" s="157" t="inlineStr">
        <is>
          <t>https://www.orbitrobotics.ch/</t>
        </is>
      </c>
      <c r="P150" s="152" t="inlineStr">
        <is>
          <t>5 ft 3 in</t>
        </is>
      </c>
      <c r="Q150" s="152" t="n">
        <v>160</v>
      </c>
      <c r="R150" s="152" t="n">
        <v>132.3</v>
      </c>
      <c r="S150" s="152" t="n">
        <v>60</v>
      </c>
      <c r="T150" s="156" t="inlineStr">
        <is>
          <t>Not disclosed</t>
        </is>
      </c>
      <c r="U150" s="152" t="n"/>
      <c r="V150" s="152" t="inlineStr">
        <is>
          <t>28</t>
        </is>
      </c>
      <c r="W150" s="156" t="inlineStr">
        <is>
          <t>14</t>
        </is>
      </c>
      <c r="X150" s="152" t="n">
        <v>33.1</v>
      </c>
      <c r="Y150" s="152" t="n">
        <v>15</v>
      </c>
      <c r="Z150" s="152" t="n">
        <v>1.24</v>
      </c>
      <c r="AA150" s="152" t="n">
        <v>2</v>
      </c>
      <c r="AB150" s="152" t="n">
        <v>2</v>
      </c>
      <c r="AC150" s="156" t="inlineStr">
        <is>
          <t>≈ 3 hours</t>
        </is>
      </c>
      <c r="AD150" s="156" t="inlineStr">
        <is>
          <t>3</t>
        </is>
      </c>
      <c r="AE150" s="152" t="n"/>
      <c r="AF150" s="152" t="inlineStr">
        <is>
          <t>Not disclosed</t>
        </is>
      </c>
      <c r="AG150" s="156" t="inlineStr">
        <is>
          <t>5</t>
        </is>
      </c>
      <c r="AH150" s="152" t="inlineStr">
        <is>
          <t>5</t>
        </is>
      </c>
      <c r="AI150" s="152" t="n"/>
      <c r="AJ150" s="156" t="inlineStr">
        <is>
          <t>Likely HD stereo/depth cameras</t>
        </is>
      </c>
      <c r="AK150" s="156" t="inlineStr">
        <is>
          <t>Likely HD stereo/depth cameras</t>
        </is>
      </c>
      <c r="AL150" s="152" t="inlineStr">
        <is>
          <t>Not disclosed</t>
        </is>
      </c>
      <c r="AM150" s="152" t="n"/>
      <c r="AN150" s="152" t="inlineStr">
        <is>
          <t>Not disclosed</t>
        </is>
      </c>
      <c r="AO150" s="152" t="inlineStr">
        <is>
          <t>Not disclosed</t>
        </is>
      </c>
      <c r="AP150" s="152" t="inlineStr">
        <is>
          <t>Not disclosed</t>
        </is>
      </c>
      <c r="AQ150" s="152" t="inlineStr">
        <is>
          <t>Not disclosed</t>
        </is>
      </c>
      <c r="AR150" s="152" t="n"/>
      <c r="AS150" s="152" t="n"/>
      <c r="AT150" s="156" t="inlineStr">
        <is>
          <t>Not disclosed</t>
        </is>
      </c>
      <c r="AU150" s="156" t="inlineStr">
        <is>
          <t>Ethernet; Wi‑Fi</t>
        </is>
      </c>
      <c r="AV150" s="152" t="inlineStr">
        <is>
          <t>Not disclosed</t>
        </is>
      </c>
      <c r="AW150" s="156" t="inlineStr">
        <is>
          <t>Not disclosed</t>
        </is>
      </c>
      <c r="AX150" s="152" t="n"/>
      <c r="AY150" s="156" t="inlineStr">
        <is>
          <t>Likely Ubuntu + ROS/ROS2</t>
        </is>
      </c>
      <c r="AZ150" s="156" t="inlineStr">
        <is>
          <t>Possible experimental AI integration</t>
        </is>
      </c>
      <c r="BA150" s="156" t="n"/>
      <c r="BB150" s="156" t="inlineStr">
        <is>
          <t>Electric actuators with tendon-driven system</t>
        </is>
      </c>
      <c r="BC150" s="156" t="inlineStr">
        <is>
          <t>Rolling contact joint + cable transmission</t>
        </is>
      </c>
      <c r="BD150" s="152" t="inlineStr">
        <is>
          <t>Aluminum alloys and carbon fiber</t>
        </is>
      </c>
      <c r="BE150" s="152" t="inlineStr">
        <is>
          <t>Not disclosed</t>
        </is>
      </c>
      <c r="BF150" s="152" t="n"/>
      <c r="BG150" s="152" t="n"/>
      <c r="BH150" s="152" t="n"/>
      <c r="BI150" s="152" t="n"/>
      <c r="BJ150" s="152" t="n"/>
      <c r="BK150" s="152" t="n"/>
      <c r="BL150" s="152" t="n"/>
      <c r="BM150" s="152" t="inlineStr">
        <is>
          <t>Yes</t>
        </is>
      </c>
      <c r="BN150" s="152" t="inlineStr">
        <is>
          <t>Not disclosed</t>
        </is>
      </c>
      <c r="BO150" s="156" t="inlineStr">
        <is>
          <t>Market: Space research · Human-safe: Yes · AI: Possible experimental AI integration · Actuation: Electric actuators with tendon-driven system · Peak 2 km/h · Walk 2 km/h · Runtime 3</t>
        </is>
      </c>
      <c r="BP150" s="152" t="n"/>
      <c r="BQ150" s="156" t="inlineStr">
        <is>
          <t>Space research</t>
        </is>
      </c>
      <c r="BR150" s="156" t="inlineStr">
        <is>
          <t>Prototype</t>
        </is>
      </c>
      <c r="BS150" s="156" t="inlineStr">
        <is>
          <t>Prototype</t>
        </is>
      </c>
      <c r="BT150" s="152" t="n"/>
      <c r="BU150" s="152" t="n"/>
      <c r="BV150" s="156" t="n"/>
      <c r="BW150" s="156" t="inlineStr">
        <is>
          <t>Origin &amp; status — Switzerland · Prototype · 2026 | Manipulation — 5 · 5 fingers · Hand DOF 14 · Payload 33.1 lb | Sensing &amp; software — Likely HD stereo/depth cameras · Possible experimental AI integration · Likely Ubuntu + ROS/ROS2 | Buying notes — From $75,000 · 12 months manufacturer standard (typical research/commercial humanoid) · Best fit: Space research</t>
        </is>
      </c>
      <c r="BX150" s="156" t="inlineStr">
        <is>
          <t>as_shipped|HELIOS|75000|As shipped</t>
        </is>
      </c>
      <c r="BY150" s="152" t="inlineStr">
        <is>
          <t>helios|Manufacturer finish|#e2e8f0|0</t>
        </is>
      </c>
      <c r="BZ150" s="152" t="inlineStr"/>
      <c r="CA150" s="156" t="n"/>
      <c r="CB150" s="156" t="inlineStr">
        <is>
          <t>12 months manufacturer standard (typical research/commercial humanoid)</t>
        </is>
      </c>
      <c r="CC150" s="154" t="n">
        <v>12</v>
      </c>
      <c r="CD150" s="156" t="inlineStr">
        <is>
          <t>+3 Year Extended ≈24% of configuration (default in configurator)</t>
        </is>
      </c>
      <c r="CE150" s="152" t="inlineStr">
        <is>
          <t>Humanoid category norm 2025–2026</t>
        </is>
      </c>
      <c r="CF150" s="152" t="inlineStr">
        <is>
          <t>Estimated</t>
        </is>
      </c>
      <c r="CG150" s="156" t="inlineStr">
        <is>
          <t>Confirm on formal OEM quote. EDU or enterprise packages may differ.</t>
        </is>
      </c>
      <c r="CH150" s="152" t="inlineStr">
        <is>
          <t>10%</t>
        </is>
      </c>
      <c r="CI150" s="152" t="inlineStr">
        <is>
          <t>17%</t>
        </is>
      </c>
      <c r="CJ150" s="152" t="inlineStr">
        <is>
          <t>24%</t>
        </is>
      </c>
      <c r="CK150" s="156" t="inlineStr">
        <is>
          <t>+1yr ≈10% | +2yr ≈17% | +3yr ≈24% of selected configuration price (parts &amp; labor beyond manufacturer standard).</t>
        </is>
      </c>
      <c r="CL150"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50" s="152" t="inlineStr">
        <is>
          <t>12 months manufacturer standard (typical research/commercial humanoid)</t>
        </is>
      </c>
      <c r="CN150" s="203" t="inlineStr">
        <is>
          <t>https://aixzd.com/robot/helios</t>
        </is>
      </c>
      <c r="CQ150" s="101" t="inlineStr">
        <is>
          <t>Height: 5 ft 3 in | Weight: 132.3 | Degrees of Freedom: 28 | Payload: 33.1 | Max Speed: 1.24 | Battery / Runtime: ≈ 3 hours</t>
        </is>
      </c>
    </row>
    <row r="151" ht="31.5" customHeight="1" s="102">
      <c r="A151" s="145" t="inlineStr">
        <is>
          <t>oversonic_robotics_robee</t>
        </is>
      </c>
      <c r="B151" s="153" t="inlineStr">
        <is>
          <t>Humanoid.guide</t>
        </is>
      </c>
      <c r="C151" s="145" t="inlineStr">
        <is>
          <t>Oversonic Robotics</t>
        </is>
      </c>
      <c r="D151" s="145" t="inlineStr">
        <is>
          <t>RoBee</t>
        </is>
      </c>
      <c r="E151" s="145" t="inlineStr">
        <is>
          <t>[Oversonic Robotics] RoBee (2026)</t>
        </is>
      </c>
      <c r="F151" s="146" t="inlineStr">
        <is>
          <t>humanoid</t>
        </is>
      </c>
      <c r="G151" s="145" t="inlineStr">
        <is>
          <t>Italy</t>
        </is>
      </c>
      <c r="H151" s="145" t="n"/>
      <c r="I151" s="148" t="n">
        <v>140000</v>
      </c>
      <c r="J151" s="145" t="inlineStr">
        <is>
          <t>Humanoid.guide list</t>
        </is>
      </c>
      <c r="K151" s="149" t="inlineStr">
        <is>
          <t>RoBee, part of the R Series dedicated to industrial applications, is designed to operate in industrial environments with autonomy, intelligence, and safety.</t>
        </is>
      </c>
      <c r="L151" s="101" t="inlineStr">
        <is>
          <t>RoBee, part of the R Series dedicated to industrial applications, is designed to operate in industrial environments with autonomy, intelligence, and safety.</t>
        </is>
      </c>
      <c r="M151" s="101" t="inlineStr">
        <is>
          <t>RoBee, part of the R Series dedicated to industrial applications, is designed to operate in industrial environments with autonomy, intelligence, and safety. Public status is listed as in production.</t>
        </is>
      </c>
      <c r="N151" s="150" t="inlineStr">
        <is>
          <t>https://humanoid.guide/product/robee/</t>
        </is>
      </c>
      <c r="O151" s="150" t="inlineStr">
        <is>
          <t>https://www.oversonicrobotics.com</t>
        </is>
      </c>
      <c r="P151" s="145" t="inlineStr">
        <is>
          <t>6 ft 3 in</t>
        </is>
      </c>
      <c r="Q151" s="145" t="n">
        <v>190</v>
      </c>
      <c r="R151" s="145" t="n">
        <v>396.8</v>
      </c>
      <c r="S151" s="145" t="n">
        <v>180</v>
      </c>
      <c r="T151" s="149" t="inlineStr">
        <is>
          <t>Not disclosed</t>
        </is>
      </c>
      <c r="U151" s="145" t="n"/>
      <c r="V151" s="145" t="inlineStr">
        <is>
          <t>40</t>
        </is>
      </c>
      <c r="W151" s="149" t="inlineStr">
        <is>
          <t>18</t>
        </is>
      </c>
      <c r="X151" s="145" t="n">
        <v>35.3</v>
      </c>
      <c r="Y151" s="145" t="n">
        <v>16</v>
      </c>
      <c r="Z151" s="145" t="n">
        <v>3.73</v>
      </c>
      <c r="AA151" s="145" t="n">
        <v>6</v>
      </c>
      <c r="AB151" s="145" t="n">
        <v>9</v>
      </c>
      <c r="AC151" s="149" t="inlineStr">
        <is>
          <t>≈ 8 hours</t>
        </is>
      </c>
      <c r="AD151" s="149" t="inlineStr">
        <is>
          <t>8</t>
        </is>
      </c>
      <c r="AE151" s="145" t="n"/>
      <c r="AF151" s="145" t="inlineStr">
        <is>
          <t>Not disclosed</t>
        </is>
      </c>
      <c r="AG151" s="149" t="inlineStr">
        <is>
          <t>2-finger gripping claws; 5 per hand</t>
        </is>
      </c>
      <c r="AH151" s="145" t="inlineStr">
        <is>
          <t>2-finger gripping claws; 5 per hand</t>
        </is>
      </c>
      <c r="AI151" s="145" t="n"/>
      <c r="AJ151" s="149" t="inlineStr">
        <is>
          <t>Not disclosed</t>
        </is>
      </c>
      <c r="AK151" s="149" t="n"/>
      <c r="AL151" s="145" t="inlineStr">
        <is>
          <t>Not disclosed</t>
        </is>
      </c>
      <c r="AM151" s="145" t="n"/>
      <c r="AN151" s="145" t="inlineStr">
        <is>
          <t>Not disclosed</t>
        </is>
      </c>
      <c r="AO151" s="145" t="inlineStr">
        <is>
          <t>Not disclosed</t>
        </is>
      </c>
      <c r="AP151" s="145" t="inlineStr">
        <is>
          <t>Not disclosed</t>
        </is>
      </c>
      <c r="AQ151" s="145" t="inlineStr">
        <is>
          <t>Not disclosed</t>
        </is>
      </c>
      <c r="AR151" s="145" t="n"/>
      <c r="AS151" s="145" t="n"/>
      <c r="AT151" s="149" t="inlineStr">
        <is>
          <t>NVIDIA</t>
        </is>
      </c>
      <c r="AU151" s="149" t="inlineStr">
        <is>
          <t>5G; Wi‑Fi</t>
        </is>
      </c>
      <c r="AV151" s="145" t="inlineStr">
        <is>
          <t>Not disclosed</t>
        </is>
      </c>
      <c r="AW151" s="149" t="inlineStr">
        <is>
          <t>Not disclosed</t>
        </is>
      </c>
      <c r="AX151" s="145" t="n"/>
      <c r="AY151" s="149" t="inlineStr">
        <is>
          <t>Linux</t>
        </is>
      </c>
      <c r="AZ151" s="149" t="inlineStr">
        <is>
          <t>Yes</t>
        </is>
      </c>
      <c r="BA151" s="149" t="inlineStr">
        <is>
          <t>120 ms</t>
        </is>
      </c>
      <c r="BB151" s="149" t="inlineStr">
        <is>
          <t>brushless</t>
        </is>
      </c>
      <c r="BC151" s="149" t="inlineStr">
        <is>
          <t>Strain Wave Gear</t>
        </is>
      </c>
      <c r="BD151" s="145" t="inlineStr">
        <is>
          <t>Steel</t>
        </is>
      </c>
      <c r="BE151" s="145" t="inlineStr">
        <is>
          <t>IP64</t>
        </is>
      </c>
      <c r="BF151" s="145" t="inlineStr">
        <is>
          <t>IP64</t>
        </is>
      </c>
      <c r="BG151" s="145" t="n"/>
      <c r="BH151" s="145" t="n"/>
      <c r="BI151" s="145" t="n"/>
      <c r="BJ151" s="145" t="n"/>
      <c r="BK151" s="145" t="n"/>
      <c r="BL151" s="145" t="n"/>
      <c r="BM151" s="145" t="inlineStr">
        <is>
          <t>Yes</t>
        </is>
      </c>
      <c r="BN151" s="145" t="inlineStr">
        <is>
          <t>Not disclosed</t>
        </is>
      </c>
      <c r="BO151" s="149" t="inlineStr">
        <is>
          <t>Market: Industrial · Human-safe: Yes · AI: Yes · Actuation: brushless · Peak 6 km/h · Walk 9 km/h · Runtime 8</t>
        </is>
      </c>
      <c r="BP151" s="145" t="n"/>
      <c r="BQ151" s="149" t="inlineStr">
        <is>
          <t>Industrial</t>
        </is>
      </c>
      <c r="BR151" s="149" t="inlineStr">
        <is>
          <t>In production</t>
        </is>
      </c>
      <c r="BS151" s="149" t="inlineStr">
        <is>
          <t>In production</t>
        </is>
      </c>
      <c r="BT151" s="145" t="inlineStr">
        <is>
          <t>Black</t>
        </is>
      </c>
      <c r="BU151" s="145" t="n"/>
      <c r="BV151" s="149" t="n"/>
      <c r="BW151" s="149" t="inlineStr">
        <is>
          <t>Origin &amp; status — Italy · In production · 2026 | Manipulation — 2-finger gripping claws; 5 per hand · Hand DOF 18 · Payload 35.3 lb | Sensing &amp; software — Yes · Linux | Buying notes — From $140,000 · 12 months manufacturer standard (typical research/commercial humanoid) · Best fit: Industrial</t>
        </is>
      </c>
      <c r="BX151" s="149" t="inlineStr">
        <is>
          <t>as_shipped|RoBee|140000|As shipped</t>
        </is>
      </c>
      <c r="BY151" s="145" t="inlineStr">
        <is>
          <t>black|Black|#e2e8f0|0</t>
        </is>
      </c>
      <c r="BZ151" s="145" t="inlineStr"/>
      <c r="CA151" s="149" t="n"/>
      <c r="CB151" s="149" t="inlineStr">
        <is>
          <t>12 months manufacturer standard (typical research/commercial humanoid)</t>
        </is>
      </c>
      <c r="CC151" s="147" t="n">
        <v>12</v>
      </c>
      <c r="CD151" s="149" t="inlineStr">
        <is>
          <t>+3 Year Extended ≈24% of configuration (default in configurator)</t>
        </is>
      </c>
      <c r="CE151" s="145" t="inlineStr">
        <is>
          <t>Humanoid category norm 2025–2026</t>
        </is>
      </c>
      <c r="CF151" s="145" t="inlineStr">
        <is>
          <t>Estimated</t>
        </is>
      </c>
      <c r="CG151" s="149" t="inlineStr">
        <is>
          <t>Confirm on formal OEM quote. EDU or enterprise packages may differ.</t>
        </is>
      </c>
      <c r="CH151" s="145" t="inlineStr">
        <is>
          <t>10%</t>
        </is>
      </c>
      <c r="CI151" s="145" t="inlineStr">
        <is>
          <t>17%</t>
        </is>
      </c>
      <c r="CJ151" s="145" t="inlineStr">
        <is>
          <t>24%</t>
        </is>
      </c>
      <c r="CK151" s="149" t="inlineStr">
        <is>
          <t>+1yr ≈10% | +2yr ≈17% | +3yr ≈24% of selected configuration price (parts &amp; labor beyond manufacturer standard).</t>
        </is>
      </c>
      <c r="CL15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51" s="145" t="inlineStr">
        <is>
          <t>12 months manufacturer standard (typical research/commercial humanoid)</t>
        </is>
      </c>
      <c r="CQ151" s="101" t="inlineStr">
        <is>
          <t>Height: 6 ft 3 in | Weight: 396.8 | Degrees of Freedom: 40 | Payload: 35.3 | Max Speed: 3.73 | Battery / Runtime: ≈ 8 hours</t>
        </is>
      </c>
    </row>
    <row r="152" ht="31.5" customHeight="1" s="102">
      <c r="A152" s="152" t="inlineStr">
        <is>
          <t>pal_robotics_kangaroo</t>
        </is>
      </c>
      <c r="B152" s="153" t="inlineStr">
        <is>
          <t>Humanoid.guide</t>
        </is>
      </c>
      <c r="C152" s="152" t="inlineStr">
        <is>
          <t>PAL Robotics</t>
        </is>
      </c>
      <c r="D152" s="152" t="inlineStr">
        <is>
          <t>Kangaroo</t>
        </is>
      </c>
      <c r="E152" s="152" t="inlineStr">
        <is>
          <t>[PAL Robotics] Kangaroo (2026)</t>
        </is>
      </c>
      <c r="F152" s="146" t="inlineStr">
        <is>
          <t>humanoid</t>
        </is>
      </c>
      <c r="G152" s="152" t="inlineStr">
        <is>
          <t>Spain</t>
        </is>
      </c>
      <c r="H152" s="152" t="n"/>
      <c r="I152" s="155" t="n">
        <v>100000</v>
      </c>
      <c r="J152" s="152" t="inlineStr">
        <is>
          <t>Humanoid.guide list</t>
        </is>
      </c>
      <c r="K152" s="156" t="inlineStr">
        <is>
          <t>Kangaroo is a dynamic bipedal robot developed by PAL Robotics, featuring advanced actuators, lightweight construction, and energy-efficient design.</t>
        </is>
      </c>
      <c r="L152" s="101" t="inlineStr">
        <is>
          <t>Kangaroo is a dynamic bipedal robot developed by PAL Robotics, featuring advanced actuators, lightweight construction, and energy-efficient design.</t>
        </is>
      </c>
      <c r="M152" s="101" t="inlineStr">
        <is>
          <t>Kangaroo is a dynamic bipedal robot developed by PAL Robotics, featuring advanced actuators, lightweight construction, and energy-efficient design. Public status is listed as prototype.</t>
        </is>
      </c>
      <c r="N152" s="157" t="inlineStr">
        <is>
          <t>https://humanoid.guide/product/kangaroo/</t>
        </is>
      </c>
      <c r="O152" s="157" t="inlineStr">
        <is>
          <t>https://pal-robotics.com</t>
        </is>
      </c>
      <c r="P152" s="152" t="inlineStr">
        <is>
          <t>5 ft 3 in</t>
        </is>
      </c>
      <c r="Q152" s="152" t="n">
        <v>160</v>
      </c>
      <c r="R152" s="152" t="n">
        <v>88.2</v>
      </c>
      <c r="S152" s="152" t="n">
        <v>40</v>
      </c>
      <c r="T152" s="156" t="inlineStr">
        <is>
          <t>Not disclosed</t>
        </is>
      </c>
      <c r="U152" s="152" t="n"/>
      <c r="V152" s="152" t="inlineStr">
        <is>
          <t>28</t>
        </is>
      </c>
      <c r="W152" s="156" t="inlineStr">
        <is>
          <t>Not disclosed</t>
        </is>
      </c>
      <c r="X152" s="152" t="n">
        <v>44.1</v>
      </c>
      <c r="Y152" s="152" t="n">
        <v>20</v>
      </c>
      <c r="Z152" s="152" t="n">
        <v>2.8</v>
      </c>
      <c r="AA152" s="152" t="n">
        <v>4.5</v>
      </c>
      <c r="AB152" s="152" t="n"/>
      <c r="AC152" s="156" t="inlineStr">
        <is>
          <t>≈ 6 hours</t>
        </is>
      </c>
      <c r="AD152" s="156" t="inlineStr">
        <is>
          <t>6</t>
        </is>
      </c>
      <c r="AE152" s="152" t="n"/>
      <c r="AF152" s="152" t="inlineStr">
        <is>
          <t>Not disclosed</t>
        </is>
      </c>
      <c r="AG152" s="156" t="inlineStr">
        <is>
          <t>Not disclosed</t>
        </is>
      </c>
      <c r="AH152" s="152" t="inlineStr">
        <is>
          <t>Not disclosed</t>
        </is>
      </c>
      <c r="AI152" s="158" t="n">
        <v>2</v>
      </c>
      <c r="AJ152" s="156" t="inlineStr">
        <is>
          <t>Not disclosed</t>
        </is>
      </c>
      <c r="AK152" s="156" t="n"/>
      <c r="AL152" s="152" t="inlineStr">
        <is>
          <t>Not disclosed</t>
        </is>
      </c>
      <c r="AM152" s="152" t="n"/>
      <c r="AN152" s="152" t="inlineStr">
        <is>
          <t>Not disclosed</t>
        </is>
      </c>
      <c r="AO152" s="152" t="inlineStr">
        <is>
          <t>Not disclosed</t>
        </is>
      </c>
      <c r="AP152" s="152" t="inlineStr">
        <is>
          <t>Not disclosed</t>
        </is>
      </c>
      <c r="AQ152" s="152" t="inlineStr">
        <is>
          <t>Not disclosed</t>
        </is>
      </c>
      <c r="AR152" s="152" t="n"/>
      <c r="AS152" s="152" t="n"/>
      <c r="AT152" s="156" t="inlineStr">
        <is>
          <t>Not disclosed</t>
        </is>
      </c>
      <c r="AU152" s="156" t="inlineStr">
        <is>
          <t>Not disclosed</t>
        </is>
      </c>
      <c r="AV152" s="152" t="inlineStr">
        <is>
          <t>Not disclosed</t>
        </is>
      </c>
      <c r="AW152" s="156" t="inlineStr">
        <is>
          <t>Not disclosed</t>
        </is>
      </c>
      <c r="AX152" s="158" t="n">
        <v>2</v>
      </c>
      <c r="AY152" s="156" t="inlineStr">
        <is>
          <t>Linux, Ubuntu, ROS; N/A</t>
        </is>
      </c>
      <c r="AZ152" s="156" t="inlineStr">
        <is>
          <t>Not disclosed</t>
        </is>
      </c>
      <c r="BA152" s="156" t="n"/>
      <c r="BB152" s="156" t="inlineStr">
        <is>
          <t>Not disclosed</t>
        </is>
      </c>
      <c r="BC152" s="156" t="inlineStr">
        <is>
          <t>Not disclosed</t>
        </is>
      </c>
      <c r="BD152" s="152" t="inlineStr">
        <is>
          <t>Not disclosed</t>
        </is>
      </c>
      <c r="BE152" s="152" t="inlineStr">
        <is>
          <t>Not disclosed</t>
        </is>
      </c>
      <c r="BF152" s="152" t="n"/>
      <c r="BG152" s="152" t="n"/>
      <c r="BH152" s="152" t="n"/>
      <c r="BI152" s="152" t="n"/>
      <c r="BJ152" s="152" t="n"/>
      <c r="BK152" s="152" t="n"/>
      <c r="BL152" s="152" t="n"/>
      <c r="BM152" s="152" t="inlineStr">
        <is>
          <t>Not disclosed</t>
        </is>
      </c>
      <c r="BN152" s="152" t="inlineStr">
        <is>
          <t>Not disclosed</t>
        </is>
      </c>
      <c r="BO152" s="156" t="inlineStr">
        <is>
          <t>Manipulation 2/4 · Navigation 2/4 · Peak 4.5 km/h · Runtime 6</t>
        </is>
      </c>
      <c r="BP152" s="152" t="n"/>
      <c r="BQ152" s="156" t="inlineStr">
        <is>
          <t>Research labs, commercial pilots, and education programs evaluating a humanoid from PAL Robotics (Spain) now listed as prototype.</t>
        </is>
      </c>
      <c r="BR152" s="156" t="inlineStr">
        <is>
          <t>Prototype</t>
        </is>
      </c>
      <c r="BS152" s="156" t="inlineStr">
        <is>
          <t>Prototype</t>
        </is>
      </c>
      <c r="BT152" s="152" t="n"/>
      <c r="BU152" s="152" t="inlineStr">
        <is>
          <t>Not verified</t>
        </is>
      </c>
      <c r="BV152" s="156" t="n"/>
      <c r="BW152" s="156" t="inlineStr">
        <is>
          <t>Origin &amp; status — Spain · Prototype · 2026 | Manipulation — Payload 44.1 lb | Sensing &amp; software — Linux, Ubuntu, ROS; N/A | Buying notes — From $100,000 · 12 months manufacturer standard (typical research/commercial humanoid)</t>
        </is>
      </c>
      <c r="BX152" s="156" t="inlineStr">
        <is>
          <t>as_shipped|Kangaroo|100000|As shipped</t>
        </is>
      </c>
      <c r="BY152" s="152" t="inlineStr">
        <is>
          <t>kangaroo|Manufacturer finish|#e2e8f0|0</t>
        </is>
      </c>
      <c r="BZ152" s="152" t="inlineStr"/>
      <c r="CA152" s="156" t="n"/>
      <c r="CB152" s="156" t="inlineStr">
        <is>
          <t>12 months manufacturer standard (typical research/commercial humanoid)</t>
        </is>
      </c>
      <c r="CC152" s="154" t="n">
        <v>12</v>
      </c>
      <c r="CD152" s="156" t="inlineStr">
        <is>
          <t>+3 Year Extended ≈24% of configuration (default in configurator)</t>
        </is>
      </c>
      <c r="CE152" s="152" t="inlineStr">
        <is>
          <t>Humanoid category norm 2025–2026</t>
        </is>
      </c>
      <c r="CF152" s="152" t="inlineStr">
        <is>
          <t>Estimated</t>
        </is>
      </c>
      <c r="CG152" s="156" t="inlineStr">
        <is>
          <t>Confirm on formal OEM quote. EDU or enterprise packages may differ.</t>
        </is>
      </c>
      <c r="CH152" s="152" t="inlineStr">
        <is>
          <t>10%</t>
        </is>
      </c>
      <c r="CI152" s="152" t="inlineStr">
        <is>
          <t>17%</t>
        </is>
      </c>
      <c r="CJ152" s="152" t="inlineStr">
        <is>
          <t>24%</t>
        </is>
      </c>
      <c r="CK152" s="156" t="inlineStr">
        <is>
          <t>+1yr ≈10% | +2yr ≈17% | +3yr ≈24% of selected configuration price (parts &amp; labor beyond manufacturer standard).</t>
        </is>
      </c>
      <c r="CL152"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52" s="152" t="inlineStr">
        <is>
          <t>12 months manufacturer standard (typical research/commercial humanoid)</t>
        </is>
      </c>
      <c r="CN152" s="203" t="inlineStr">
        <is>
          <t>https://aixzd.com/robot/kangaroo</t>
        </is>
      </c>
      <c r="CQ152" s="101" t="inlineStr">
        <is>
          <t>Height: 5 ft 3 in | Weight: 88.2 | Degrees of Freedom: 28 | Payload: 44.1 | Max Speed: 2.8 | Battery / Runtime: ≈ 6 hours</t>
        </is>
      </c>
    </row>
    <row r="153" ht="31.5" customHeight="1" s="102">
      <c r="A153" s="145" t="inlineStr">
        <is>
          <t>paxini_paxini_tech_tora_doubleone</t>
        </is>
      </c>
      <c r="B153" s="153" t="inlineStr">
        <is>
          <t>Humanoid.guide</t>
        </is>
      </c>
      <c r="C153" s="145" t="inlineStr">
        <is>
          <t>PaXini (PaXini Tech)</t>
        </is>
      </c>
      <c r="D153" s="145" t="inlineStr">
        <is>
          <t>Tora DoubleOne</t>
        </is>
      </c>
      <c r="E153" s="145" t="inlineStr">
        <is>
          <t>[PaXini] Tora DoubleOne (2026)</t>
        </is>
      </c>
      <c r="F153" s="146" t="inlineStr">
        <is>
          <t>humanoid</t>
        </is>
      </c>
      <c r="G153" s="145" t="inlineStr">
        <is>
          <t>China</t>
        </is>
      </c>
      <c r="H153" s="145" t="n"/>
      <c r="I153" s="148" t="n">
        <v>45000</v>
      </c>
      <c r="J153" s="145" t="inlineStr">
        <is>
          <t>Humanoid.guide list</t>
        </is>
      </c>
      <c r="K153" s="149" t="inlineStr">
        <is>
          <t>TORA DoubleOne is a wheeled humanoid robot developed by PaXini for real-world industrial and service environments.</t>
        </is>
      </c>
      <c r="L153" s="101" t="inlineStr">
        <is>
          <t>TORA DoubleOne is a wheeled humanoid robot developed by PaXini for real-world industrial and service environments.</t>
        </is>
      </c>
      <c r="M153" s="101" t="inlineStr">
        <is>
          <t>TORA DoubleOne is a wheeled humanoid robot developed by PaXini for real-world industrial and service environments. Public status is listed as in production; pre-order, and it is positioned for industrial; logistics; service robotics.</t>
        </is>
      </c>
      <c r="N153" s="150" t="inlineStr">
        <is>
          <t>https://humanoid.guide/product/tora-doubleone/</t>
        </is>
      </c>
      <c r="O153" s="150" t="inlineStr">
        <is>
          <t>https://www.paxini.com</t>
        </is>
      </c>
      <c r="P153" s="145" t="inlineStr">
        <is>
          <t>5 ft 6 in</t>
        </is>
      </c>
      <c r="Q153" s="145" t="n">
        <v>168</v>
      </c>
      <c r="R153" s="145" t="n">
        <v>154.3</v>
      </c>
      <c r="S153" s="145" t="n">
        <v>70</v>
      </c>
      <c r="T153" s="149" t="inlineStr">
        <is>
          <t>Not disclosed</t>
        </is>
      </c>
      <c r="U153" s="145" t="n"/>
      <c r="V153" s="145" t="inlineStr">
        <is>
          <t>58</t>
        </is>
      </c>
      <c r="W153" s="149" t="inlineStr">
        <is>
          <t>18</t>
        </is>
      </c>
      <c r="X153" s="145" t="n">
        <v>14.3</v>
      </c>
      <c r="Y153" s="145" t="n">
        <v>6.5</v>
      </c>
      <c r="Z153" s="145" t="n">
        <v>4.04</v>
      </c>
      <c r="AA153" s="145" t="n">
        <v>6.5</v>
      </c>
      <c r="AB153" s="145" t="n"/>
      <c r="AC153" s="149" t="inlineStr">
        <is>
          <t>≈ 6 hours</t>
        </is>
      </c>
      <c r="AD153" s="149" t="inlineStr">
        <is>
          <t>6</t>
        </is>
      </c>
      <c r="AE153" s="145" t="n"/>
      <c r="AF153" s="145" t="inlineStr">
        <is>
          <t>Not disclosed</t>
        </is>
      </c>
      <c r="AG153" s="149" t="inlineStr">
        <is>
          <t>5 per hand</t>
        </is>
      </c>
      <c r="AH153" s="145" t="inlineStr">
        <is>
          <t>5 per hand</t>
        </is>
      </c>
      <c r="AI153" s="145" t="n"/>
      <c r="AJ153" s="149" t="inlineStr">
        <is>
          <t>RGB + RGB-D (exact resolution not disclosed)</t>
        </is>
      </c>
      <c r="AK153" s="149" t="inlineStr">
        <is>
          <t>RGB + RGB-D (exact resolution not disclosed)</t>
        </is>
      </c>
      <c r="AL153" s="145" t="inlineStr">
        <is>
          <t>Not disclosed</t>
        </is>
      </c>
      <c r="AM153" s="145" t="n"/>
      <c r="AN153" s="145" t="inlineStr">
        <is>
          <t>Not disclosed</t>
        </is>
      </c>
      <c r="AO153" s="145" t="inlineStr">
        <is>
          <t>Not disclosed</t>
        </is>
      </c>
      <c r="AP153" s="145" t="inlineStr">
        <is>
          <t>Not disclosed</t>
        </is>
      </c>
      <c r="AQ153" s="145" t="inlineStr">
        <is>
          <t>Not disclosed</t>
        </is>
      </c>
      <c r="AR153" s="145" t="n"/>
      <c r="AS153" s="145" t="n"/>
      <c r="AT153" s="149" t="inlineStr">
        <is>
          <t>NVIDIA Jetson AGX Orin + x86 real-time controller</t>
        </is>
      </c>
      <c r="AU153" s="149" t="inlineStr">
        <is>
          <t>Wi-Fi, Bluetooth, 5G</t>
        </is>
      </c>
      <c r="AV153" s="145" t="inlineStr">
        <is>
          <t>Not disclosed</t>
        </is>
      </c>
      <c r="AW153" s="149" t="inlineStr">
        <is>
          <t>Not disclosed</t>
        </is>
      </c>
      <c r="AX153" s="145" t="n"/>
      <c r="AY153" s="149" t="inlineStr">
        <is>
          <t>Linux-based custom robotics OS</t>
        </is>
      </c>
      <c r="AZ153" s="149" t="inlineStr">
        <is>
          <t>Possible via AGX Orin (not native)</t>
        </is>
      </c>
      <c r="BA153" s="149" t="n"/>
      <c r="BB153" s="149" t="inlineStr">
        <is>
          <t>Electric servo actuators</t>
        </is>
      </c>
      <c r="BC153" s="149" t="inlineStr">
        <is>
          <t>Harmonic reducers</t>
        </is>
      </c>
      <c r="BD153" s="145" t="inlineStr">
        <is>
          <t>Industrial aluminum alloys (assumed, not specified)</t>
        </is>
      </c>
      <c r="BE153" s="145" t="inlineStr">
        <is>
          <t>Not disclosed</t>
        </is>
      </c>
      <c r="BF153" s="145" t="n"/>
      <c r="BG153" s="145" t="n"/>
      <c r="BH153" s="145" t="n"/>
      <c r="BI153" s="145" t="n"/>
      <c r="BJ153" s="145" t="n"/>
      <c r="BK153" s="145" t="n"/>
      <c r="BL153" s="145" t="n"/>
      <c r="BM153" s="145" t="inlineStr">
        <is>
          <t>Yes</t>
        </is>
      </c>
      <c r="BN153" s="145" t="inlineStr">
        <is>
          <t>Not disclosed</t>
        </is>
      </c>
      <c r="BO153" s="149" t="inlineStr">
        <is>
          <t>Market: Industrial; logistics; service robotics · Human-safe: Yes · AI: Possible via AGX Orin (not native) · Actuation: Electric servo actuators · Peak 6.5 km/h · Runtime 6</t>
        </is>
      </c>
      <c r="BP153" s="145" t="n"/>
      <c r="BQ153" s="149" t="inlineStr">
        <is>
          <t>Industrial; logistics; service robotics</t>
        </is>
      </c>
      <c r="BR153" s="149" t="inlineStr">
        <is>
          <t>In production; pre-order</t>
        </is>
      </c>
      <c r="BS153" s="149" t="inlineStr">
        <is>
          <t>In production; pre-order</t>
        </is>
      </c>
      <c r="BT153" s="145" t="inlineStr">
        <is>
          <t>Black; Grey; White</t>
        </is>
      </c>
      <c r="BU153" s="145" t="inlineStr">
        <is>
          <t>Not verified</t>
        </is>
      </c>
      <c r="BV153" s="149" t="n"/>
      <c r="BW153" s="149" t="inlineStr">
        <is>
          <t>Origin &amp; status — China · In production; pre-order · 2026 | Manipulation — 5 per hand · 5 per hand fingers · Hand DOF 18 · Payload 14.3 lb | Sensing &amp; software — RGB + RGB-D (exact resolution not disclosed) · Possible via AGX Orin (not native) · Linux-based custom robotics OS | Buying notes — From $45,000 · 12 months manufacturer standard (typical research/commercial humanoid) · Best fit: Industrial</t>
        </is>
      </c>
      <c r="BX153" s="149" t="inlineStr">
        <is>
          <t>as_shipped|Tora DoubleOne|45000|As shipped</t>
        </is>
      </c>
      <c r="BY153" s="145" t="inlineStr">
        <is>
          <t>black|Black|#e2e8f0|0 || grey|Grey|#1e293b|0 || white|White|#0891b2|0</t>
        </is>
      </c>
      <c r="BZ153" s="145" t="inlineStr"/>
      <c r="CA153" s="149" t="n"/>
      <c r="CB153" s="149" t="inlineStr">
        <is>
          <t>12 months manufacturer standard (typical research/commercial humanoid)</t>
        </is>
      </c>
      <c r="CC153" s="147" t="n">
        <v>12</v>
      </c>
      <c r="CD153" s="149" t="inlineStr">
        <is>
          <t>+3 Year Extended ≈24% of configuration (default in configurator)</t>
        </is>
      </c>
      <c r="CE153" s="145" t="inlineStr">
        <is>
          <t>Humanoid category norm 2025–2026</t>
        </is>
      </c>
      <c r="CF153" s="145" t="inlineStr">
        <is>
          <t>Estimated</t>
        </is>
      </c>
      <c r="CG153" s="149" t="inlineStr">
        <is>
          <t>Confirm on formal OEM quote. EDU or enterprise packages may differ.</t>
        </is>
      </c>
      <c r="CH153" s="145" t="inlineStr">
        <is>
          <t>10%</t>
        </is>
      </c>
      <c r="CI153" s="145" t="inlineStr">
        <is>
          <t>17%</t>
        </is>
      </c>
      <c r="CJ153" s="145" t="inlineStr">
        <is>
          <t>24%</t>
        </is>
      </c>
      <c r="CK153" s="149" t="inlineStr">
        <is>
          <t>+1yr ≈10% | +2yr ≈17% | +3yr ≈24% of selected configuration price (parts &amp; labor beyond manufacturer standard).</t>
        </is>
      </c>
      <c r="CL153"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53" s="145" t="inlineStr">
        <is>
          <t>12 months manufacturer standard (typical research/commercial humanoid)</t>
        </is>
      </c>
      <c r="CQ153" s="101" t="inlineStr">
        <is>
          <t>Height: 5 ft 6 in | Weight: 154.3 | Degrees of Freedom: 58 | Payload: 14.3 | Max Speed: 4.04 | Battery / Runtime: ≈ 6 hours</t>
        </is>
      </c>
    </row>
    <row r="154" ht="31.5" customHeight="1" s="102">
      <c r="A154" s="152" t="inlineStr">
        <is>
          <t>perceptyne_pr_34d</t>
        </is>
      </c>
      <c r="B154" s="153" t="inlineStr">
        <is>
          <t>Humanoid.guide</t>
        </is>
      </c>
      <c r="C154" s="152" t="inlineStr">
        <is>
          <t>Perceptyne</t>
        </is>
      </c>
      <c r="D154" s="152" t="inlineStr">
        <is>
          <t>PR-34D</t>
        </is>
      </c>
      <c r="E154" s="152" t="inlineStr">
        <is>
          <t>[Perceptyne] PR-34D (2026)</t>
        </is>
      </c>
      <c r="F154" s="146" t="inlineStr">
        <is>
          <t>humanoid</t>
        </is>
      </c>
      <c r="G154" s="152" t="inlineStr">
        <is>
          <t>India</t>
        </is>
      </c>
      <c r="H154" s="152" t="n"/>
      <c r="I154" s="155" t="n">
        <v>120000</v>
      </c>
      <c r="J154" s="152" t="inlineStr">
        <is>
          <t>Humanoid.guide list</t>
        </is>
      </c>
      <c r="K154" s="156" t="inlineStr">
        <is>
          <t>The Perceptyne PR-34D is a dual-arm, semi-humanoid robot engineered for dexterous industrial tasks in the electronics and automotive sectors.</t>
        </is>
      </c>
      <c r="L154" s="101" t="inlineStr">
        <is>
          <t>The Perceptyne PR-34D is a dual-arm, semi-humanoid robot engineered for dexterous industrial tasks in the electronics and automotive sectors.</t>
        </is>
      </c>
      <c r="M154" s="101" t="inlineStr">
        <is>
          <t>PR-34D is Perceptyne's humanoid, introduced around 2026 in India. The Perceptyne PR-34D is a dual-arm, semi-humanoid robot engineered for dexterous industrial tasks in the electronics and automotive sectors. Public status is listed as commercial Pilots / Early Production, and it is positioned for automotive Industries; Electronics Manufacturing Services (EMS).</t>
        </is>
      </c>
      <c r="N154" s="157" t="inlineStr">
        <is>
          <t>https://humanoid.guide/product/pr-34d/</t>
        </is>
      </c>
      <c r="O154" s="157" t="inlineStr">
        <is>
          <t>https://www.perceptyne.com/</t>
        </is>
      </c>
      <c r="P154" s="152" t="n"/>
      <c r="Q154" s="152" t="n"/>
      <c r="R154" s="152" t="n"/>
      <c r="S154" s="152" t="n"/>
      <c r="T154" s="156" t="inlineStr">
        <is>
          <t>Not disclosed</t>
        </is>
      </c>
      <c r="U154" s="152" t="n"/>
      <c r="V154" s="152" t="inlineStr">
        <is>
          <t>34</t>
        </is>
      </c>
      <c r="W154" s="156" t="inlineStr">
        <is>
          <t>10</t>
        </is>
      </c>
      <c r="X154" s="152" t="n">
        <v>13.2</v>
      </c>
      <c r="Y154" s="152" t="n">
        <v>6</v>
      </c>
      <c r="Z154" s="152" t="n">
        <v>0</v>
      </c>
      <c r="AA154" s="152" t="n">
        <v>0</v>
      </c>
      <c r="AB154" s="152" t="n"/>
      <c r="AC154" s="156" t="inlineStr">
        <is>
          <t>Not disclosed</t>
        </is>
      </c>
      <c r="AD154" s="156" t="n"/>
      <c r="AE154" s="152" t="n"/>
      <c r="AF154" s="152" t="inlineStr">
        <is>
          <t>Not disclosed</t>
        </is>
      </c>
      <c r="AG154" s="156" t="inlineStr">
        <is>
          <t>Not disclosed</t>
        </is>
      </c>
      <c r="AH154" s="152" t="inlineStr">
        <is>
          <t>Not disclosed</t>
        </is>
      </c>
      <c r="AI154" s="151" t="n">
        <v>3</v>
      </c>
      <c r="AJ154" s="156" t="inlineStr">
        <is>
          <t>High-Resolution Vision</t>
        </is>
      </c>
      <c r="AK154" s="156" t="inlineStr">
        <is>
          <t>High-Resolution Vision</t>
        </is>
      </c>
      <c r="AL154" s="152" t="inlineStr">
        <is>
          <t>Not disclosed</t>
        </is>
      </c>
      <c r="AM154" s="152" t="n"/>
      <c r="AN154" s="152" t="inlineStr">
        <is>
          <t>Not disclosed</t>
        </is>
      </c>
      <c r="AO154" s="152" t="inlineStr">
        <is>
          <t>Not disclosed</t>
        </is>
      </c>
      <c r="AP154" s="152" t="inlineStr">
        <is>
          <t>Not disclosed</t>
        </is>
      </c>
      <c r="AQ154" s="152" t="inlineStr">
        <is>
          <t>Not disclosed</t>
        </is>
      </c>
      <c r="AR154" s="152" t="n"/>
      <c r="AS154" s="152" t="n"/>
      <c r="AT154" s="156" t="inlineStr">
        <is>
          <t>Dedicated CPU/GPU for AI &amp; Vision</t>
        </is>
      </c>
      <c r="AU154" s="156" t="inlineStr">
        <is>
          <t>Ethernet; Wi‑Fi</t>
        </is>
      </c>
      <c r="AV154" s="152" t="inlineStr">
        <is>
          <t>Not disclosed</t>
        </is>
      </c>
      <c r="AW154" s="156" t="inlineStr">
        <is>
          <t>Not disclosed</t>
        </is>
      </c>
      <c r="AX154" s="158" t="n">
        <v>2</v>
      </c>
      <c r="AY154" s="156" t="inlineStr">
        <is>
          <t>ROS/Linux/Proprietary</t>
        </is>
      </c>
      <c r="AZ154" s="156" t="inlineStr">
        <is>
          <t>Yes</t>
        </is>
      </c>
      <c r="BA154" s="156" t="n"/>
      <c r="BB154" s="156" t="inlineStr">
        <is>
          <t>Electric servo motors</t>
        </is>
      </c>
      <c r="BC154" s="156" t="inlineStr">
        <is>
          <t>Proprietary/Custom-built</t>
        </is>
      </c>
      <c r="BD154" s="152" t="inlineStr">
        <is>
          <t>Not disclosed</t>
        </is>
      </c>
      <c r="BE154" s="152" t="inlineStr">
        <is>
          <t>Not disclosed</t>
        </is>
      </c>
      <c r="BF154" s="152" t="n"/>
      <c r="BG154" s="152" t="n"/>
      <c r="BH154" s="152" t="n"/>
      <c r="BI154" s="152" t="n"/>
      <c r="BJ154" s="152" t="n"/>
      <c r="BK154" s="152" t="n"/>
      <c r="BL154" s="152" t="n"/>
      <c r="BM154" s="152" t="inlineStr">
        <is>
          <t>Yes</t>
        </is>
      </c>
      <c r="BN154" s="152" t="inlineStr">
        <is>
          <t>Not disclosed</t>
        </is>
      </c>
      <c r="BO154" s="156" t="inlineStr">
        <is>
          <t>Market: Automotive Industries; Electronics Manufacturing Services (EMS) · Manipulation 3/4 · Navigation 2/4 · Human-safe: Yes · AI: Yes · Actuation: Electric servo motors</t>
        </is>
      </c>
      <c r="BP154" s="152" t="n"/>
      <c r="BQ154" s="156" t="inlineStr">
        <is>
          <t>Automotive Industries; Electronics Manufacturing Services (EMS)</t>
        </is>
      </c>
      <c r="BR154" s="156" t="inlineStr">
        <is>
          <t>Commercial Pilots / Early Production</t>
        </is>
      </c>
      <c r="BS154" s="156" t="inlineStr">
        <is>
          <t>Commercial Pilots / Early Production</t>
        </is>
      </c>
      <c r="BT154" s="152" t="inlineStr">
        <is>
          <t>White/Black/Industrial Blue</t>
        </is>
      </c>
      <c r="BU154" s="152" t="inlineStr">
        <is>
          <t>Not verified</t>
        </is>
      </c>
      <c r="BV154" s="156" t="n"/>
      <c r="BW154" s="156" t="inlineStr">
        <is>
          <t>Origin &amp; status — India · Commercial Pilots / Early Production · 2026 | Manipulation — Hand DOF 10 · Payload 13.2 lb | Sensing &amp; software — High-Resolution Vision · Yes · ROS/Linux/Proprietary | Buying notes — From $120,000 · 12 months manufacturer standard (typical research/commercial humanoid) · Best fit: Automotive Industries</t>
        </is>
      </c>
      <c r="BX154" s="156" t="inlineStr">
        <is>
          <t>as_shipped|PR-34D|120000|As shipped</t>
        </is>
      </c>
      <c r="BY154" s="152" t="inlineStr">
        <is>
          <t>white|White|#e2e8f0|0 || black|Black|#1e293b|0 || industrial_blue|Industrial Blue|#0891b2|0</t>
        </is>
      </c>
      <c r="BZ154" s="152" t="inlineStr"/>
      <c r="CA154" s="156" t="n"/>
      <c r="CB154" s="156" t="inlineStr">
        <is>
          <t>12 months manufacturer standard (typical research/commercial humanoid)</t>
        </is>
      </c>
      <c r="CC154" s="154" t="n">
        <v>12</v>
      </c>
      <c r="CD154" s="156" t="inlineStr">
        <is>
          <t>+3 Year Extended ≈24% of configuration (default in configurator)</t>
        </is>
      </c>
      <c r="CE154" s="152" t="inlineStr">
        <is>
          <t>Humanoid category norm 2025–2026</t>
        </is>
      </c>
      <c r="CF154" s="152" t="inlineStr">
        <is>
          <t>Estimated</t>
        </is>
      </c>
      <c r="CG154" s="156" t="inlineStr">
        <is>
          <t>Confirm on formal OEM quote. EDU or enterprise packages may differ.</t>
        </is>
      </c>
      <c r="CH154" s="152" t="inlineStr">
        <is>
          <t>10%</t>
        </is>
      </c>
      <c r="CI154" s="152" t="inlineStr">
        <is>
          <t>17%</t>
        </is>
      </c>
      <c r="CJ154" s="152" t="inlineStr">
        <is>
          <t>24%</t>
        </is>
      </c>
      <c r="CK154" s="156" t="inlineStr">
        <is>
          <t>+1yr ≈10% | +2yr ≈17% | +3yr ≈24% of selected configuration price (parts &amp; labor beyond manufacturer standard).</t>
        </is>
      </c>
      <c r="CL154"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54" s="152" t="inlineStr">
        <is>
          <t>12 months manufacturer standard (typical research/commercial humanoid)</t>
        </is>
      </c>
      <c r="CQ154" s="101" t="inlineStr">
        <is>
          <t>Height: Not disclosed | Weight: Not disclosed | Degrees of Freedom: 34 | Payload: 13.2 | Max Speed: 0 | Battery / Runtime: Not disclosed</t>
        </is>
      </c>
    </row>
    <row r="155" ht="31.5" customHeight="1" s="102">
      <c r="A155" s="145" t="inlineStr">
        <is>
          <t>phybot_phybot_c1</t>
        </is>
      </c>
      <c r="B155" s="153" t="inlineStr">
        <is>
          <t>Humanoid.guide</t>
        </is>
      </c>
      <c r="C155" s="145" t="inlineStr">
        <is>
          <t>PHYBOT</t>
        </is>
      </c>
      <c r="D155" s="145" t="inlineStr">
        <is>
          <t>PHYBOT C1</t>
        </is>
      </c>
      <c r="E155" s="145" t="inlineStr">
        <is>
          <t>[PHYBOT] PHYBOT C1 (2026)</t>
        </is>
      </c>
      <c r="F155" s="146" t="inlineStr">
        <is>
          <t>humanoid</t>
        </is>
      </c>
      <c r="G155" s="145" t="inlineStr">
        <is>
          <t>China</t>
        </is>
      </c>
      <c r="H155" s="145" t="n"/>
      <c r="I155" s="148" t="n">
        <v>22000</v>
      </c>
      <c r="J155" s="145" t="inlineStr">
        <is>
          <t>Humanoid.guide list</t>
        </is>
      </c>
      <c r="K155" s="149" t="inlineStr">
        <is>
          <t>The C1 by PHYBOT is a compact humanoid robot designed for research, AI development, and light-duty assistance tasks, offering reliable mobility and accessible interaction in indoor environments.</t>
        </is>
      </c>
      <c r="L155" s="101" t="inlineStr">
        <is>
          <t>The C1 by PHYBOT is a compact humanoid robot designed for research, AI development, and light-duty assistance tasks, offering reliable mobility and accessible interaction in indoor environments.</t>
        </is>
      </c>
      <c r="M155" s="101" t="inlineStr">
        <is>
          <t>PHYBOT C1 is PHYBOT's humanoid, introduced around 2026 in China. The C1 by PHYBOT is a compact humanoid robot designed for research, AI development, and light-duty assistance tasks, offering reliable mobility and accessible interaction in indoor environments. Public status is listed as prototype, and it is positioned for research, education, AI labs.</t>
        </is>
      </c>
      <c r="N155" s="150" t="inlineStr">
        <is>
          <t>https://humanoid.guide/product/phybot-c1/</t>
        </is>
      </c>
      <c r="O155" s="150" t="inlineStr">
        <is>
          <t>https://www.phybot.tech/</t>
        </is>
      </c>
      <c r="P155" s="145" t="inlineStr">
        <is>
          <t>4 ft 1 in</t>
        </is>
      </c>
      <c r="Q155" s="145" t="n">
        <v>125</v>
      </c>
      <c r="R155" s="145" t="n">
        <v>55.1</v>
      </c>
      <c r="S155" s="145" t="n">
        <v>25</v>
      </c>
      <c r="T155" s="149" t="inlineStr">
        <is>
          <t>Not disclosed</t>
        </is>
      </c>
      <c r="U155" s="145" t="inlineStr">
        <is>
          <t>130×50×40 cm</t>
        </is>
      </c>
      <c r="V155" s="145" t="inlineStr">
        <is>
          <t>28</t>
        </is>
      </c>
      <c r="W155" s="149" t="inlineStr">
        <is>
          <t>12</t>
        </is>
      </c>
      <c r="X155" s="145" t="n">
        <v>11</v>
      </c>
      <c r="Y155" s="145" t="n">
        <v>5</v>
      </c>
      <c r="Z155" s="145" t="n">
        <v>1.86</v>
      </c>
      <c r="AA155" s="145" t="n">
        <v>3</v>
      </c>
      <c r="AB155" s="145" t="n">
        <v>2</v>
      </c>
      <c r="AC155" s="149" t="inlineStr">
        <is>
          <t>≈ 3 hours</t>
        </is>
      </c>
      <c r="AD155" s="149" t="inlineStr">
        <is>
          <t>3</t>
        </is>
      </c>
      <c r="AE155" s="145" t="n"/>
      <c r="AF155" s="145" t="inlineStr">
        <is>
          <t>Not disclosed</t>
        </is>
      </c>
      <c r="AG155" s="149" t="inlineStr">
        <is>
          <t>5 per hand</t>
        </is>
      </c>
      <c r="AH155" s="145" t="inlineStr">
        <is>
          <t>5 per hand</t>
        </is>
      </c>
      <c r="AI155" s="158" t="n">
        <v>2</v>
      </c>
      <c r="AJ155" s="149" t="inlineStr">
        <is>
          <t>1080p RGB + depth camera</t>
        </is>
      </c>
      <c r="AK155" s="149" t="inlineStr">
        <is>
          <t>1080p RGB + depth camera</t>
        </is>
      </c>
      <c r="AL155" s="145" t="inlineStr">
        <is>
          <t>Not disclosed</t>
        </is>
      </c>
      <c r="AM155" s="145" t="n"/>
      <c r="AN155" s="145" t="inlineStr">
        <is>
          <t>Not disclosed</t>
        </is>
      </c>
      <c r="AO155" s="145" t="inlineStr">
        <is>
          <t>Not disclosed</t>
        </is>
      </c>
      <c r="AP155" s="145" t="inlineStr">
        <is>
          <t>Not disclosed</t>
        </is>
      </c>
      <c r="AQ155" s="145" t="inlineStr">
        <is>
          <t>Not disclosed</t>
        </is>
      </c>
      <c r="AR155" s="145" t="n"/>
      <c r="AS155" s="145" t="n"/>
      <c r="AT155" s="149" t="inlineStr">
        <is>
          <t>Likely ARM/embedded compute + edge AI module (assumed)</t>
        </is>
      </c>
      <c r="AU155" s="149" t="inlineStr">
        <is>
          <t>Bluetooth; Wi‑Fi</t>
        </is>
      </c>
      <c r="AV155" s="145" t="inlineStr">
        <is>
          <t>Not disclosed</t>
        </is>
      </c>
      <c r="AW155" s="149" t="inlineStr">
        <is>
          <t>Not disclosed</t>
        </is>
      </c>
      <c r="AX155" s="151" t="n">
        <v>3</v>
      </c>
      <c r="AY155" s="149" t="inlineStr">
        <is>
          <t>Linux-based ROS environment</t>
        </is>
      </c>
      <c r="AZ155" s="149" t="inlineStr">
        <is>
          <t>External API</t>
        </is>
      </c>
      <c r="BA155" s="149" t="inlineStr">
        <is>
          <t>150–250 ms</t>
        </is>
      </c>
      <c r="BB155" s="149" t="inlineStr">
        <is>
          <t>Electric servo motors</t>
        </is>
      </c>
      <c r="BC155" s="149" t="inlineStr">
        <is>
          <t>Harmonic or planetary gears</t>
        </is>
      </c>
      <c r="BD155" s="145" t="inlineStr">
        <is>
          <t>Composite polymer + aluminum frame</t>
        </is>
      </c>
      <c r="BE155" s="145" t="inlineStr">
        <is>
          <t>IP20</t>
        </is>
      </c>
      <c r="BF155" s="145" t="inlineStr">
        <is>
          <t>IP20</t>
        </is>
      </c>
      <c r="BG155" s="145" t="n"/>
      <c r="BH155" s="145" t="n"/>
      <c r="BI155" s="145" t="n"/>
      <c r="BJ155" s="145" t="n"/>
      <c r="BK155" s="145" t="n"/>
      <c r="BL155" s="145" t="n"/>
      <c r="BM155" s="145" t="inlineStr">
        <is>
          <t>Yes</t>
        </is>
      </c>
      <c r="BN155" s="145" t="inlineStr">
        <is>
          <t>Not disclosed</t>
        </is>
      </c>
      <c r="BO155" s="149" t="inlineStr">
        <is>
          <t>Market: Research, education, AI labs · Manipulation 2/4 · Navigation 3/4 · Human-safe: Yes · AI: External API · Actuation: Electric servo motors · Peak 3 km/h · Walk 2 km/h · Runtime 3</t>
        </is>
      </c>
      <c r="BP155" s="145" t="n"/>
      <c r="BQ155" s="149" t="inlineStr">
        <is>
          <t>Research, education, AI labs</t>
        </is>
      </c>
      <c r="BR155" s="149" t="inlineStr">
        <is>
          <t>Prototype</t>
        </is>
      </c>
      <c r="BS155" s="149" t="inlineStr">
        <is>
          <t>Prototype</t>
        </is>
      </c>
      <c r="BT155" s="145" t="inlineStr">
        <is>
          <t>Black; White</t>
        </is>
      </c>
      <c r="BU155" s="145" t="inlineStr">
        <is>
          <t>Not verified</t>
        </is>
      </c>
      <c r="BV155" s="149" t="n"/>
      <c r="BW155" s="149" t="inlineStr">
        <is>
          <t>Origin &amp; status — China · Prototype · 2026 | Manipulation — 5 per hand · 5 per hand fingers · Hand DOF 12 · Payload 11 lb | Sensing &amp; software — 1080p RGB + depth camera · External API · Linux-based ROS environment | Buying notes — From $22,000 · 12 months manufacturer standard (typical research/commercial humanoid) · Best fit: Research, education, AI labs</t>
        </is>
      </c>
      <c r="BX155" s="149" t="inlineStr">
        <is>
          <t>as_shipped|PHYBOT C1|22000|As shipped</t>
        </is>
      </c>
      <c r="BY155" s="145" t="inlineStr">
        <is>
          <t>black|Black|#e2e8f0|0 || white|White|#1e293b|0</t>
        </is>
      </c>
      <c r="BZ155" s="145" t="inlineStr"/>
      <c r="CA155" s="149" t="n"/>
      <c r="CB155" s="149" t="inlineStr">
        <is>
          <t>12 months manufacturer standard (typical research/commercial humanoid)</t>
        </is>
      </c>
      <c r="CC155" s="147" t="n">
        <v>12</v>
      </c>
      <c r="CD155" s="149" t="inlineStr">
        <is>
          <t>+3 Year Extended ≈24% of configuration (default in configurator)</t>
        </is>
      </c>
      <c r="CE155" s="145" t="inlineStr">
        <is>
          <t>Humanoid category norm 2025–2026</t>
        </is>
      </c>
      <c r="CF155" s="145" t="inlineStr">
        <is>
          <t>Estimated</t>
        </is>
      </c>
      <c r="CG155" s="149" t="inlineStr">
        <is>
          <t>Confirm on formal OEM quote. EDU or enterprise packages may differ.</t>
        </is>
      </c>
      <c r="CH155" s="145" t="inlineStr">
        <is>
          <t>10%</t>
        </is>
      </c>
      <c r="CI155" s="145" t="inlineStr">
        <is>
          <t>17%</t>
        </is>
      </c>
      <c r="CJ155" s="145" t="inlineStr">
        <is>
          <t>24%</t>
        </is>
      </c>
      <c r="CK155" s="149" t="inlineStr">
        <is>
          <t>+1yr ≈10% | +2yr ≈17% | +3yr ≈24% of selected configuration price (parts &amp; labor beyond manufacturer standard).</t>
        </is>
      </c>
      <c r="CL15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55" s="145" t="inlineStr">
        <is>
          <t>12 months manufacturer standard (typical research/commercial humanoid)</t>
        </is>
      </c>
      <c r="CN155" s="203" t="inlineStr">
        <is>
          <t>https://aixzd.com/robot/phybot-c1</t>
        </is>
      </c>
      <c r="CQ155" s="101" t="inlineStr">
        <is>
          <t>Height: 4 ft 1 in | Weight: 55.1 | Degrees of Freedom: 28 | Payload: 11 | Max Speed: 1.86 | Battery / Runtime: ≈ 3 hours</t>
        </is>
      </c>
    </row>
    <row r="156" ht="31.5" customHeight="1" s="102">
      <c r="A156" s="152" t="inlineStr">
        <is>
          <t>phybot_phybot_m1</t>
        </is>
      </c>
      <c r="B156" s="153" t="inlineStr">
        <is>
          <t>Humanoid.guide</t>
        </is>
      </c>
      <c r="C156" s="152" t="inlineStr">
        <is>
          <t>PHYBOT</t>
        </is>
      </c>
      <c r="D156" s="152" t="inlineStr">
        <is>
          <t>PHYBOT M1</t>
        </is>
      </c>
      <c r="E156" s="152" t="inlineStr">
        <is>
          <t>[PHYBOT] PHYBOT M1 (2026)</t>
        </is>
      </c>
      <c r="F156" s="146" t="inlineStr">
        <is>
          <t>humanoid</t>
        </is>
      </c>
      <c r="G156" s="152" t="inlineStr">
        <is>
          <t>China</t>
        </is>
      </c>
      <c r="H156" s="152" t="n"/>
      <c r="I156" s="155" t="n">
        <v>39000</v>
      </c>
      <c r="J156" s="152" t="inlineStr">
        <is>
          <t>Humanoid.guide list</t>
        </is>
      </c>
      <c r="K156" s="156" t="inlineStr">
        <is>
          <t>PHYBOT M1 is a full-size electric humanoid robot combining human-height mobility, high-torque actuation, and advanced perception — designed for heavy-duty tasks, dynamic motion, and real-world work environments.</t>
        </is>
      </c>
      <c r="L156" s="101" t="inlineStr">
        <is>
          <t>PHYBOT M1 is a full-size electric humanoid robot combining human-height mobility, high-torque actuation, and advanced perception — designed for heavy-duty tasks, dynamic motion, and real-world work environments.</t>
        </is>
      </c>
      <c r="M156" s="101" t="inlineStr">
        <is>
          <t>PHYBOT M1 is a full-size electric humanoid robot combining human-height mobility, high-torque actuation, and advanced perception — designed for heavy-duty tasks, dynamic motion, and real-world work environments. Public status is listed as early production / limited release, and it is positioned for general embodied AI testing environments; Heavy object handling; Industrial logistics; Robotics research + academic labs.</t>
        </is>
      </c>
      <c r="N156" s="157" t="inlineStr">
        <is>
          <t>https://humanoid.guide/product/phybot-m1/</t>
        </is>
      </c>
      <c r="O156" s="157" t="inlineStr">
        <is>
          <t>https://www.phybot.tech/</t>
        </is>
      </c>
      <c r="P156" s="152" t="inlineStr">
        <is>
          <t>5 ft 8 in</t>
        </is>
      </c>
      <c r="Q156" s="152" t="n">
        <v>172</v>
      </c>
      <c r="R156" s="152" t="n">
        <v>132.3</v>
      </c>
      <c r="S156" s="152" t="n">
        <v>60</v>
      </c>
      <c r="T156" s="156" t="inlineStr">
        <is>
          <t>Not disclosed</t>
        </is>
      </c>
      <c r="U156" s="152" t="n"/>
      <c r="V156" s="152" t="inlineStr">
        <is>
          <t>32</t>
        </is>
      </c>
      <c r="W156" s="156" t="inlineStr">
        <is>
          <t>12</t>
        </is>
      </c>
      <c r="X156" s="152" t="n">
        <v>11</v>
      </c>
      <c r="Y156" s="152" t="n">
        <v>5</v>
      </c>
      <c r="Z156" s="152" t="n">
        <v>6.21</v>
      </c>
      <c r="AA156" s="152" t="n">
        <v>10</v>
      </c>
      <c r="AB156" s="152" t="n">
        <v>5</v>
      </c>
      <c r="AC156" s="156" t="inlineStr">
        <is>
          <t>Dual 9 Ah swappable batteries — runtime claimed &amp;gt;2 hours</t>
        </is>
      </c>
      <c r="AD156" s="156" t="inlineStr">
        <is>
          <t>Dual 9 Ah swappable batteries — runtime claimed &amp;gt;2 hours</t>
        </is>
      </c>
      <c r="AE156" s="152" t="n"/>
      <c r="AF156" s="152" t="inlineStr">
        <is>
          <t>Not disclosed</t>
        </is>
      </c>
      <c r="AG156" s="156" t="inlineStr">
        <is>
          <t>5 per hand</t>
        </is>
      </c>
      <c r="AH156" s="152" t="inlineStr">
        <is>
          <t>5 per hand</t>
        </is>
      </c>
      <c r="AI156" s="161" t="n">
        <v>4</v>
      </c>
      <c r="AJ156" s="156" t="inlineStr">
        <is>
          <t>3D LiDAR; Stereo RGB cameras at ~2–5 MP each</t>
        </is>
      </c>
      <c r="AK156" s="156" t="inlineStr">
        <is>
          <t>3D LiDAR; Stereo RGB cameras at ~2–5 MP each</t>
        </is>
      </c>
      <c r="AL156" s="152" t="inlineStr">
        <is>
          <t>Not disclosed</t>
        </is>
      </c>
      <c r="AM156" s="152" t="n"/>
      <c r="AN156" s="152" t="inlineStr">
        <is>
          <t>Not disclosed</t>
        </is>
      </c>
      <c r="AO156" s="152" t="inlineStr">
        <is>
          <t>Not disclosed</t>
        </is>
      </c>
      <c r="AP156" s="152" t="inlineStr">
        <is>
          <t>Not disclosed</t>
        </is>
      </c>
      <c r="AQ156" s="152" t="inlineStr">
        <is>
          <t>Not disclosed</t>
        </is>
      </c>
      <c r="AR156" s="152" t="n"/>
      <c r="AS156" s="152" t="n"/>
      <c r="AT156" s="156" t="inlineStr">
        <is>
          <t>Intel Core i7 (system controller); NVIDIA Jetson Orin</t>
        </is>
      </c>
      <c r="AU156" s="156" t="inlineStr">
        <is>
          <t>Bluetooth; Ethernet; Wi‑Fi</t>
        </is>
      </c>
      <c r="AV156" s="152" t="inlineStr">
        <is>
          <t>Not disclosed</t>
        </is>
      </c>
      <c r="AW156" s="156" t="inlineStr">
        <is>
          <t>Not disclosed</t>
        </is>
      </c>
      <c r="AX156" s="151" t="n">
        <v>3</v>
      </c>
      <c r="AY156" s="156" t="inlineStr">
        <is>
          <t>Linux (ROS2-based)</t>
        </is>
      </c>
      <c r="AZ156" s="156" t="inlineStr">
        <is>
          <t>Yes</t>
        </is>
      </c>
      <c r="BA156" s="156" t="inlineStr">
        <is>
          <t>150–250 ms</t>
        </is>
      </c>
      <c r="BB156" s="156" t="inlineStr">
        <is>
          <t>High-torque electric motors; Likely custom "PhyArc" actuator modules optimized for burst torque</t>
        </is>
      </c>
      <c r="BC156" s="156" t="inlineStr">
        <is>
          <t>Cycloidal gear drives</t>
        </is>
      </c>
      <c r="BD156" s="152" t="inlineStr">
        <is>
          <t>Aluminum alloy chassis; Composite outer shells</t>
        </is>
      </c>
      <c r="BE156" s="152" t="inlineStr">
        <is>
          <t>IP42</t>
        </is>
      </c>
      <c r="BF156" s="152" t="inlineStr">
        <is>
          <t>IP42</t>
        </is>
      </c>
      <c r="BG156" s="152" t="n"/>
      <c r="BH156" s="152" t="n"/>
      <c r="BI156" s="152" t="n"/>
      <c r="BJ156" s="152" t="n"/>
      <c r="BK156" s="152" t="n"/>
      <c r="BL156" s="152" t="n"/>
      <c r="BM156" s="152" t="inlineStr">
        <is>
          <t>Yes</t>
        </is>
      </c>
      <c r="BN156" s="152" t="inlineStr">
        <is>
          <t>Not disclosed</t>
        </is>
      </c>
      <c r="BO156" s="156" t="inlineStr">
        <is>
          <t>Market: General embodied AI testing environments; Heavy object handling; Industrial logistics; Robotics research + academic labs · Manipulation 4/4 · Navigation 3/4 · Human-safe: Yes · AI: Yes · Actuation: High-torque electric motors; Likely custom "PhyArc" actuator modules optimized for burst torque · Peak 10 km/h · Walk 5 km/h · Runtime Dual 9 Ah swappable batteries — runtime claimed &amp;gt;2 hours</t>
        </is>
      </c>
      <c r="BP156" s="152" t="n"/>
      <c r="BQ156" s="156" t="inlineStr">
        <is>
          <t>General embodied AI testing environments; Heavy object handling; Industrial logistics; Robotics research + academic labs</t>
        </is>
      </c>
      <c r="BR156" s="156" t="inlineStr">
        <is>
          <t>Early production / limited release</t>
        </is>
      </c>
      <c r="BS156" s="156" t="inlineStr">
        <is>
          <t>Early production / limited release</t>
        </is>
      </c>
      <c r="BT156" s="152" t="inlineStr">
        <is>
          <t>Black</t>
        </is>
      </c>
      <c r="BU156" s="152" t="inlineStr">
        <is>
          <t>Not verified</t>
        </is>
      </c>
      <c r="BV156" s="156" t="n"/>
      <c r="BW156" s="156" t="inlineStr">
        <is>
          <t>Origin &amp; status — China · Early production / limited release · 2026 | Manipulation — 5 per hand · 5 per hand fingers · Hand DOF 12 · Payload 11 lb | Sensing &amp; software — 3D LiDAR; Stereo RGB cameras at ~2–5 MP each · Yes · Linux (ROS2-based) | Buying notes — From $39,000 · 12 months manufacturer standard (typical research/commercial humanoid) · Best fit: General embodied AI testing environments</t>
        </is>
      </c>
      <c r="BX156" s="156" t="inlineStr">
        <is>
          <t>as_shipped|PHYBOT M1|39000|As shipped</t>
        </is>
      </c>
      <c r="BY156" s="152" t="inlineStr">
        <is>
          <t>black|Black|#e2e8f0|0</t>
        </is>
      </c>
      <c r="BZ156" s="152" t="inlineStr"/>
      <c r="CA156" s="156" t="n"/>
      <c r="CB156" s="156" t="inlineStr">
        <is>
          <t>12 months manufacturer standard (typical research/commercial humanoid)</t>
        </is>
      </c>
      <c r="CC156" s="154" t="n">
        <v>12</v>
      </c>
      <c r="CD156" s="156" t="inlineStr">
        <is>
          <t>+3 Year Extended ≈24% of configuration (default in configurator)</t>
        </is>
      </c>
      <c r="CE156" s="152" t="inlineStr">
        <is>
          <t>Humanoid category norm 2025–2026</t>
        </is>
      </c>
      <c r="CF156" s="152" t="inlineStr">
        <is>
          <t>Estimated</t>
        </is>
      </c>
      <c r="CG156" s="156" t="inlineStr">
        <is>
          <t>Confirm on formal OEM quote. EDU or enterprise packages may differ.</t>
        </is>
      </c>
      <c r="CH156" s="152" t="inlineStr">
        <is>
          <t>10%</t>
        </is>
      </c>
      <c r="CI156" s="152" t="inlineStr">
        <is>
          <t>17%</t>
        </is>
      </c>
      <c r="CJ156" s="152" t="inlineStr">
        <is>
          <t>24%</t>
        </is>
      </c>
      <c r="CK156" s="156" t="inlineStr">
        <is>
          <t>+1yr ≈10% | +2yr ≈17% | +3yr ≈24% of selected configuration price (parts &amp; labor beyond manufacturer standard).</t>
        </is>
      </c>
      <c r="CL156"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56" s="152" t="inlineStr">
        <is>
          <t>12 months manufacturer standard (typical research/commercial humanoid)</t>
        </is>
      </c>
      <c r="CN156" s="203" t="inlineStr">
        <is>
          <t>https://aixzd.com/robot/phybot-m1</t>
        </is>
      </c>
      <c r="CQ156" s="101" t="inlineStr">
        <is>
          <t>Height: 5 ft 8 in | Weight: 132.3 | Degrees of Freedom: 32 | Payload: 11 | Max Speed: 6.21 | Battery / Runtime: Dual 9 Ah swappable batteries — runtime claimed &amp;gt;2 hours</t>
        </is>
      </c>
    </row>
    <row r="157" ht="31.5" customHeight="1" s="102">
      <c r="A157" s="145" t="inlineStr">
        <is>
          <t>pl_universe_prowhite</t>
        </is>
      </c>
      <c r="B157" s="153" t="inlineStr">
        <is>
          <t>Humanoid.guide</t>
        </is>
      </c>
      <c r="C157" s="145" t="inlineStr">
        <is>
          <t>PL-Universe</t>
        </is>
      </c>
      <c r="D157" s="145" t="inlineStr">
        <is>
          <t>ProWhite</t>
        </is>
      </c>
      <c r="E157" s="145" t="inlineStr">
        <is>
          <t>[PL-Universe] ProWhite (2026)</t>
        </is>
      </c>
      <c r="F157" s="146" t="inlineStr">
        <is>
          <t>humanoid</t>
        </is>
      </c>
      <c r="G157" s="145" t="inlineStr">
        <is>
          <t>China</t>
        </is>
      </c>
      <c r="H157" s="145" t="n"/>
      <c r="I157" s="148" t="n">
        <v>45000</v>
      </c>
      <c r="J157" s="145" t="inlineStr">
        <is>
          <t>Humanoid.guide list</t>
        </is>
      </c>
      <c r="K157" s="149" t="inlineStr">
        <is>
          <t>ProWhite is a humanoid service robot developed by PL-Universe for public-facing environments.</t>
        </is>
      </c>
      <c r="L157" s="101" t="inlineStr">
        <is>
          <t>ProWhite is a humanoid service robot developed by PL-Universe for public-facing environments.</t>
        </is>
      </c>
      <c r="M157" s="101" t="inlineStr">
        <is>
          <t>ProWhite is a humanoid service robot developed by PL-Universe for public-facing environments. Public status is listed as in production, and it is positioned for education; exhibitions; reception; Service.</t>
        </is>
      </c>
      <c r="N157" s="150" t="inlineStr">
        <is>
          <t>https://humanoid.guide/product/prowhite/</t>
        </is>
      </c>
      <c r="O157" s="150" t="inlineStr">
        <is>
          <t>https://en.pl-universe.com/</t>
        </is>
      </c>
      <c r="P157" s="145" t="inlineStr">
        <is>
          <t>5 ft 1 in</t>
        </is>
      </c>
      <c r="Q157" s="145" t="n">
        <v>155</v>
      </c>
      <c r="R157" s="145" t="n">
        <v>99.2</v>
      </c>
      <c r="S157" s="145" t="n">
        <v>45</v>
      </c>
      <c r="T157" s="149" t="inlineStr">
        <is>
          <t>Not disclosed</t>
        </is>
      </c>
      <c r="U157" s="145" t="n"/>
      <c r="V157" s="145" t="inlineStr">
        <is>
          <t>~28–32</t>
        </is>
      </c>
      <c r="W157" s="149" t="inlineStr">
        <is>
          <t>~5 per hand</t>
        </is>
      </c>
      <c r="X157" s="145" t="n">
        <v>8.800000000000001</v>
      </c>
      <c r="Y157" s="145" t="n">
        <v>4</v>
      </c>
      <c r="Z157" s="145" t="n">
        <v>0</v>
      </c>
      <c r="AA157" s="145" t="n">
        <v>0</v>
      </c>
      <c r="AB157" s="145" t="n"/>
      <c r="AC157" s="149" t="inlineStr">
        <is>
          <t>~6–8</t>
        </is>
      </c>
      <c r="AD157" s="149" t="inlineStr">
        <is>
          <t>~6–8</t>
        </is>
      </c>
      <c r="AE157" s="145" t="n"/>
      <c r="AF157" s="145" t="inlineStr">
        <is>
          <t>Not disclosed</t>
        </is>
      </c>
      <c r="AG157" s="149" t="inlineStr">
        <is>
          <t>Not disclosed</t>
        </is>
      </c>
      <c r="AH157" s="145" t="inlineStr">
        <is>
          <t>Not disclosed</t>
        </is>
      </c>
      <c r="AI157" s="145" t="n"/>
      <c r="AJ157" s="149" t="inlineStr">
        <is>
          <t>RGB cameras</t>
        </is>
      </c>
      <c r="AK157" s="149" t="inlineStr">
        <is>
          <t>RGB cameras</t>
        </is>
      </c>
      <c r="AL157" s="145" t="inlineStr">
        <is>
          <t>Not disclosed</t>
        </is>
      </c>
      <c r="AM157" s="145" t="n"/>
      <c r="AN157" s="145" t="inlineStr">
        <is>
          <t>Not disclosed</t>
        </is>
      </c>
      <c r="AO157" s="145" t="inlineStr">
        <is>
          <t>Not disclosed</t>
        </is>
      </c>
      <c r="AP157" s="145" t="inlineStr">
        <is>
          <t>Not disclosed</t>
        </is>
      </c>
      <c r="AQ157" s="145" t="inlineStr">
        <is>
          <t>Not disclosed</t>
        </is>
      </c>
      <c r="AR157" s="145" t="n"/>
      <c r="AS157" s="145" t="n"/>
      <c r="AT157" s="149" t="inlineStr">
        <is>
          <t>Embedded industrial processor</t>
        </is>
      </c>
      <c r="AU157" s="149" t="inlineStr">
        <is>
          <t>Ethernet; Wi‑Fi</t>
        </is>
      </c>
      <c r="AV157" s="145" t="inlineStr">
        <is>
          <t>Not disclosed</t>
        </is>
      </c>
      <c r="AW157" s="149" t="inlineStr">
        <is>
          <t>Not disclosed</t>
        </is>
      </c>
      <c r="AX157" s="145" t="n"/>
      <c r="AY157" s="149" t="inlineStr">
        <is>
          <t>Linux-based robotics OS</t>
        </is>
      </c>
      <c r="AZ157" s="149" t="inlineStr">
        <is>
          <t>Possible via external integration</t>
        </is>
      </c>
      <c r="BA157" s="149" t="n"/>
      <c r="BB157" s="149" t="inlineStr">
        <is>
          <t>Not disclosed</t>
        </is>
      </c>
      <c r="BC157" s="149" t="inlineStr">
        <is>
          <t>Not disclosed</t>
        </is>
      </c>
      <c r="BD157" s="145" t="inlineStr">
        <is>
          <t>Aluminum frame with plastic outer shell</t>
        </is>
      </c>
      <c r="BE157" s="145" t="inlineStr">
        <is>
          <t>Not disclosed</t>
        </is>
      </c>
      <c r="BF157" s="145" t="n"/>
      <c r="BG157" s="145" t="n"/>
      <c r="BH157" s="145" t="n"/>
      <c r="BI157" s="145" t="n"/>
      <c r="BJ157" s="145" t="n"/>
      <c r="BK157" s="145" t="n"/>
      <c r="BL157" s="145" t="n"/>
      <c r="BM157" s="145" t="inlineStr">
        <is>
          <t>Yes</t>
        </is>
      </c>
      <c r="BN157" s="145" t="inlineStr">
        <is>
          <t>Not disclosed</t>
        </is>
      </c>
      <c r="BO157" s="149" t="inlineStr">
        <is>
          <t>Market: education; exhibitions; reception; Service · Human-safe: Yes · AI: Possible via external integration · Runtime ~6–8</t>
        </is>
      </c>
      <c r="BP157" s="145" t="n"/>
      <c r="BQ157" s="149" t="inlineStr">
        <is>
          <t>education; exhibitions; reception; Service</t>
        </is>
      </c>
      <c r="BR157" s="149" t="inlineStr">
        <is>
          <t>In production</t>
        </is>
      </c>
      <c r="BS157" s="149" t="inlineStr">
        <is>
          <t>In production</t>
        </is>
      </c>
      <c r="BT157" s="145" t="inlineStr">
        <is>
          <t>White</t>
        </is>
      </c>
      <c r="BU157" s="145" t="inlineStr">
        <is>
          <t>Not verified</t>
        </is>
      </c>
      <c r="BV157" s="149" t="n"/>
      <c r="BW157" s="149" t="inlineStr">
        <is>
          <t>Origin &amp; status — China · In production · 2026 | Manipulation — Hand DOF ~5 per hand · Payload 8.8 lb | Sensing &amp; software — RGB cameras · Possible via external integration · Linux-based robotics OS | Buying notes — From $45,000 · 12 months manufacturer standard (typical research/commercial humanoid) · Best fit: education</t>
        </is>
      </c>
      <c r="BX157" s="149" t="inlineStr">
        <is>
          <t>as_shipped|ProWhite|45000|As shipped</t>
        </is>
      </c>
      <c r="BY157" s="145" t="inlineStr">
        <is>
          <t>white|White|#e2e8f0|0</t>
        </is>
      </c>
      <c r="BZ157" s="145" t="inlineStr"/>
      <c r="CA157" s="149" t="n"/>
      <c r="CB157" s="149" t="inlineStr">
        <is>
          <t>12 months manufacturer standard (typical research/commercial humanoid)</t>
        </is>
      </c>
      <c r="CC157" s="147" t="n">
        <v>12</v>
      </c>
      <c r="CD157" s="149" t="inlineStr">
        <is>
          <t>+3 Year Extended ≈24% of configuration (default in configurator)</t>
        </is>
      </c>
      <c r="CE157" s="145" t="inlineStr">
        <is>
          <t>Humanoid category norm 2025–2026</t>
        </is>
      </c>
      <c r="CF157" s="145" t="inlineStr">
        <is>
          <t>Estimated</t>
        </is>
      </c>
      <c r="CG157" s="149" t="inlineStr">
        <is>
          <t>Confirm on formal OEM quote. EDU or enterprise packages may differ.</t>
        </is>
      </c>
      <c r="CH157" s="145" t="inlineStr">
        <is>
          <t>10%</t>
        </is>
      </c>
      <c r="CI157" s="145" t="inlineStr">
        <is>
          <t>17%</t>
        </is>
      </c>
      <c r="CJ157" s="145" t="inlineStr">
        <is>
          <t>24%</t>
        </is>
      </c>
      <c r="CK157" s="149" t="inlineStr">
        <is>
          <t>+1yr ≈10% | +2yr ≈17% | +3yr ≈24% of selected configuration price (parts &amp; labor beyond manufacturer standard).</t>
        </is>
      </c>
      <c r="CL157"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57" s="145" t="inlineStr">
        <is>
          <t>12 months manufacturer standard (typical research/commercial humanoid)</t>
        </is>
      </c>
      <c r="CQ157" s="101" t="inlineStr">
        <is>
          <t>Height: 5 ft 1 in | Weight: 99.2 | Degrees of Freedom: ~28–32 | Payload: 8.8 | Max Speed: 0 | Battery / Runtime: ~6–8</t>
        </is>
      </c>
    </row>
    <row r="158" ht="31.5" customHeight="1" s="102">
      <c r="A158" s="152" t="inlineStr">
        <is>
          <t>pl_universe_zeus_1</t>
        </is>
      </c>
      <c r="B158" s="153" t="inlineStr">
        <is>
          <t>Humanoid.guide</t>
        </is>
      </c>
      <c r="C158" s="152" t="inlineStr">
        <is>
          <t>PL-Universe</t>
        </is>
      </c>
      <c r="D158" s="152" t="inlineStr">
        <is>
          <t>Zeus 1</t>
        </is>
      </c>
      <c r="E158" s="152" t="inlineStr">
        <is>
          <t>[PL-Universe] Zeus 1 (2026)</t>
        </is>
      </c>
      <c r="F158" s="146" t="inlineStr">
        <is>
          <t>humanoid</t>
        </is>
      </c>
      <c r="G158" s="152" t="inlineStr">
        <is>
          <t>China</t>
        </is>
      </c>
      <c r="H158" s="152" t="n"/>
      <c r="I158" s="155" t="n">
        <v>140000</v>
      </c>
      <c r="J158" s="152" t="inlineStr">
        <is>
          <t>Humanoid.guide list</t>
        </is>
      </c>
      <c r="K158" s="156" t="inlineStr">
        <is>
          <t>Zeus 1 is a heavy-duty industrial humanoid built for long runtimes, modular tooling, and high-precision smart manufacturing tasks.</t>
        </is>
      </c>
      <c r="L158" s="101" t="inlineStr">
        <is>
          <t>Zeus 1 is a heavy-duty industrial humanoid built for long runtimes, modular tooling, and high-precision smart manufacturing tasks.</t>
        </is>
      </c>
      <c r="M158" s="101" t="inlineStr">
        <is>
          <t>Zeus 1 is a heavy-duty industrial humanoid built for long runtimes, modular tooling, and high-precision smart manufacturing tasks. Public status is listed as production-ready prototype / early commercial units, and it is positioned for industrial automation; Manufacturing.</t>
        </is>
      </c>
      <c r="N158" s="157" t="inlineStr">
        <is>
          <t>https://humanoid.guide/product/zeus-1/</t>
        </is>
      </c>
      <c r="O158" s="157" t="inlineStr">
        <is>
          <t>https://en.pl-universe.com/</t>
        </is>
      </c>
      <c r="P158" s="152" t="inlineStr">
        <is>
          <t>5 ft 3 in</t>
        </is>
      </c>
      <c r="Q158" s="152" t="n">
        <v>160</v>
      </c>
      <c r="R158" s="152" t="n">
        <v>661.4</v>
      </c>
      <c r="S158" s="152" t="n">
        <v>300</v>
      </c>
      <c r="T158" s="156" t="inlineStr">
        <is>
          <t>Not disclosed</t>
        </is>
      </c>
      <c r="U158" s="152" t="n"/>
      <c r="V158" s="152" t="inlineStr">
        <is>
          <t>42</t>
        </is>
      </c>
      <c r="W158" s="156" t="inlineStr">
        <is>
          <t>14</t>
        </is>
      </c>
      <c r="X158" s="152" t="n">
        <v>55.1</v>
      </c>
      <c r="Y158" s="152" t="n">
        <v>25</v>
      </c>
      <c r="Z158" s="152" t="n">
        <v>4.97</v>
      </c>
      <c r="AA158" s="152" t="n">
        <v>8</v>
      </c>
      <c r="AB158" s="152" t="n"/>
      <c r="AC158" s="156" t="inlineStr">
        <is>
          <t>≈ 8 hours</t>
        </is>
      </c>
      <c r="AD158" s="156" t="inlineStr">
        <is>
          <t>8</t>
        </is>
      </c>
      <c r="AE158" s="152" t="n"/>
      <c r="AF158" s="152" t="inlineStr">
        <is>
          <t>Not disclosed</t>
        </is>
      </c>
      <c r="AG158" s="156" t="inlineStr">
        <is>
          <t>2-finger gripping claws</t>
        </is>
      </c>
      <c r="AH158" s="152" t="inlineStr">
        <is>
          <t>2-finger gripping claws</t>
        </is>
      </c>
      <c r="AI158" s="161" t="n">
        <v>4</v>
      </c>
      <c r="AJ158" s="156" t="inlineStr">
        <is>
          <t>RGB + depth, ~1080p</t>
        </is>
      </c>
      <c r="AK158" s="156" t="inlineStr">
        <is>
          <t>RGB + depth, ~1080p</t>
        </is>
      </c>
      <c r="AL158" s="152" t="inlineStr">
        <is>
          <t>Not disclosed</t>
        </is>
      </c>
      <c r="AM158" s="152" t="n"/>
      <c r="AN158" s="152" t="inlineStr">
        <is>
          <t>Not disclosed</t>
        </is>
      </c>
      <c r="AO158" s="152" t="inlineStr">
        <is>
          <t>Not disclosed</t>
        </is>
      </c>
      <c r="AP158" s="152" t="inlineStr">
        <is>
          <t>Not disclosed</t>
        </is>
      </c>
      <c r="AQ158" s="152" t="inlineStr">
        <is>
          <t>Not disclosed</t>
        </is>
      </c>
      <c r="AR158" s="152" t="n"/>
      <c r="AS158" s="152" t="n"/>
      <c r="AT158" s="156" t="inlineStr">
        <is>
          <t>Industrial CPU + dedicated AI accelerator (assumed)</t>
        </is>
      </c>
      <c r="AU158" s="156" t="inlineStr">
        <is>
          <t>Ethernet; Industrial fieldbus; Wi‑Fi</t>
        </is>
      </c>
      <c r="AV158" s="152" t="inlineStr">
        <is>
          <t>Not disclosed</t>
        </is>
      </c>
      <c r="AW158" s="156" t="inlineStr">
        <is>
          <t>Not disclosed</t>
        </is>
      </c>
      <c r="AX158" s="151" t="n">
        <v>3</v>
      </c>
      <c r="AY158" s="156" t="inlineStr">
        <is>
          <t>Linux-based industrial OS / ROS</t>
        </is>
      </c>
      <c r="AZ158" s="156" t="inlineStr">
        <is>
          <t>Possible via external system integration</t>
        </is>
      </c>
      <c r="BA158" s="156" t="inlineStr">
        <is>
          <t>150–250 ms</t>
        </is>
      </c>
      <c r="BB158" s="156" t="inlineStr">
        <is>
          <t>High-torque electric motors</t>
        </is>
      </c>
      <c r="BC158" s="156" t="inlineStr">
        <is>
          <t>Harmonic + reinforced planetary gears</t>
        </is>
      </c>
      <c r="BD158" s="152" t="inlineStr">
        <is>
          <t>Steel frame with aluminum components</t>
        </is>
      </c>
      <c r="BE158" s="152" t="inlineStr">
        <is>
          <t>Industrial-grade, indoor rated</t>
        </is>
      </c>
      <c r="BF158" s="152" t="inlineStr">
        <is>
          <t>Industrial-grade, indoor rated</t>
        </is>
      </c>
      <c r="BG158" s="152" t="n"/>
      <c r="BH158" s="152" t="n"/>
      <c r="BI158" s="152" t="n"/>
      <c r="BJ158" s="152" t="n"/>
      <c r="BK158" s="152" t="n"/>
      <c r="BL158" s="152" t="n"/>
      <c r="BM158" s="152" t="inlineStr">
        <is>
          <t>Yes</t>
        </is>
      </c>
      <c r="BN158" s="152" t="inlineStr">
        <is>
          <t>Not disclosed</t>
        </is>
      </c>
      <c r="BO158" s="156" t="inlineStr">
        <is>
          <t>Market: Industrial automation; Manufacturing · Manipulation 4/4 · Navigation 3/4 · Human-safe: Yes · AI: Possible via external system integration · Actuation: High-torque electric motors · Peak 8 km/h · Runtime 8</t>
        </is>
      </c>
      <c r="BP158" s="152" t="n"/>
      <c r="BQ158" s="156" t="inlineStr">
        <is>
          <t>Industrial automation; Manufacturing</t>
        </is>
      </c>
      <c r="BR158" s="156" t="inlineStr">
        <is>
          <t>Production-ready prototype / early commercial units</t>
        </is>
      </c>
      <c r="BS158" s="156" t="inlineStr">
        <is>
          <t>Production-ready prototype / early commercial units</t>
        </is>
      </c>
      <c r="BT158" s="152" t="inlineStr">
        <is>
          <t>White</t>
        </is>
      </c>
      <c r="BU158" s="152" t="inlineStr">
        <is>
          <t>Not verified</t>
        </is>
      </c>
      <c r="BV158" s="156" t="n"/>
      <c r="BW158" s="156" t="inlineStr">
        <is>
          <t>Origin &amp; status — China · Production-ready prototype / early commercial units · 2026 | Manipulation — 2-finger gripping claws · Hand DOF 14 · Payload 55.1 lb | Sensing &amp; software — RGB + depth, ~1080p · Possible via external system integration · Linux-based industrial OS / ROS | Buying notes — From $140,000 · 12 months manufacturer standard (typical research/commercial humanoid) · Best fit: Industrial automation</t>
        </is>
      </c>
      <c r="BX158" s="156" t="inlineStr">
        <is>
          <t>as_shipped|Zeus 1|140000|As shipped</t>
        </is>
      </c>
      <c r="BY158" s="152" t="inlineStr">
        <is>
          <t>white|White|#e2e8f0|0</t>
        </is>
      </c>
      <c r="BZ158" s="152" t="inlineStr"/>
      <c r="CA158" s="156" t="n"/>
      <c r="CB158" s="156" t="inlineStr">
        <is>
          <t>12 months manufacturer standard (typical research/commercial humanoid)</t>
        </is>
      </c>
      <c r="CC158" s="154" t="n">
        <v>12</v>
      </c>
      <c r="CD158" s="156" t="inlineStr">
        <is>
          <t>+3 Year Extended ≈24% of configuration (default in configurator)</t>
        </is>
      </c>
      <c r="CE158" s="152" t="inlineStr">
        <is>
          <t>Humanoid category norm 2025–2026</t>
        </is>
      </c>
      <c r="CF158" s="152" t="inlineStr">
        <is>
          <t>Estimated</t>
        </is>
      </c>
      <c r="CG158" s="156" t="inlineStr">
        <is>
          <t>Confirm on formal OEM quote. EDU or enterprise packages may differ.</t>
        </is>
      </c>
      <c r="CH158" s="152" t="inlineStr">
        <is>
          <t>10%</t>
        </is>
      </c>
      <c r="CI158" s="152" t="inlineStr">
        <is>
          <t>17%</t>
        </is>
      </c>
      <c r="CJ158" s="152" t="inlineStr">
        <is>
          <t>24%</t>
        </is>
      </c>
      <c r="CK158" s="156" t="inlineStr">
        <is>
          <t>+1yr ≈10% | +2yr ≈17% | +3yr ≈24% of selected configuration price (parts &amp; labor beyond manufacturer standard).</t>
        </is>
      </c>
      <c r="CL158"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58" s="152" t="inlineStr">
        <is>
          <t>12 months manufacturer standard (typical research/commercial humanoid)</t>
        </is>
      </c>
      <c r="CQ158" s="101" t="inlineStr">
        <is>
          <t>Height: 5 ft 3 in | Weight: 661.4 | Degrees of Freedom: 42 | Payload: 55.1 | Max Speed: 4.97 | Battery / Runtime: ≈ 8 hours</t>
        </is>
      </c>
    </row>
    <row r="159" ht="31.5" customHeight="1" s="102">
      <c r="A159" s="143" t="inlineStr">
        <is>
          <t>pndbotics_adam</t>
        </is>
      </c>
      <c r="B159" s="144" t="inlineStr">
        <is>
          <t>Both</t>
        </is>
      </c>
      <c r="C159" s="145" t="inlineStr">
        <is>
          <t>PNDbotics</t>
        </is>
      </c>
      <c r="D159" s="145" t="inlineStr">
        <is>
          <t>Adam Lite</t>
        </is>
      </c>
      <c r="E159" s="145" t="inlineStr">
        <is>
          <t>[PNDbotics] Adam (2025)</t>
        </is>
      </c>
      <c r="F159" s="146" t="inlineStr">
        <is>
          <t>humanoid</t>
        </is>
      </c>
      <c r="G159" s="145" t="inlineStr">
        <is>
          <t>China</t>
        </is>
      </c>
      <c r="H159" s="147" t="n">
        <v>2025</v>
      </c>
      <c r="I159" s="148" t="n">
        <v>100000</v>
      </c>
      <c r="J159" s="145" t="inlineStr">
        <is>
          <t>Robot Price Index Aug 2026 · entry</t>
        </is>
      </c>
      <c r="K159" s="149" t="inlineStr">
        <is>
          <t>PNDbotics Adam is a modular, stable, and AI-powered humanoid robot designed to set a universal standard for the robotics industry.</t>
        </is>
      </c>
      <c r="N159" s="150" t="inlineStr">
        <is>
          <t>https://humanoid.guide/product/adam/</t>
        </is>
      </c>
      <c r="O159" s="150" t="inlineStr">
        <is>
          <t>https://pndbotics.com/</t>
        </is>
      </c>
      <c r="P159" s="145" t="inlineStr">
        <is>
          <t>5 ft 6 in</t>
        </is>
      </c>
      <c r="Q159" s="145" t="n">
        <v>160</v>
      </c>
      <c r="R159" s="145" t="n">
        <v>132.3</v>
      </c>
      <c r="S159" s="145" t="n">
        <v>60</v>
      </c>
      <c r="T159" s="149" t="inlineStr">
        <is>
          <t>Not disclosed</t>
        </is>
      </c>
      <c r="U159" s="145" t="n"/>
      <c r="V159" s="145" t="inlineStr">
        <is>
          <t>25</t>
        </is>
      </c>
      <c r="W159" s="149" t="n"/>
      <c r="X159" s="145" t="n">
        <v>11</v>
      </c>
      <c r="Y159" s="145" t="n">
        <v>5</v>
      </c>
      <c r="Z159" s="145" t="n">
        <v>3.73</v>
      </c>
      <c r="AA159" s="145" t="n">
        <v>6</v>
      </c>
      <c r="AB159" s="145" t="n">
        <v>4</v>
      </c>
      <c r="AC159" s="149" t="inlineStr">
        <is>
          <t>3</t>
        </is>
      </c>
      <c r="AD159" s="149" t="inlineStr">
        <is>
          <t>3</t>
        </is>
      </c>
      <c r="AE159" s="145" t="n"/>
      <c r="AF159" s="145" t="inlineStr">
        <is>
          <t>Not disclosed</t>
        </is>
      </c>
      <c r="AG159" s="149" t="inlineStr">
        <is>
          <t>Manipulation for research tasks</t>
        </is>
      </c>
      <c r="AH159" s="145" t="n"/>
      <c r="AI159" s="158" t="n">
        <v>2</v>
      </c>
      <c r="AJ159" s="149" t="inlineStr">
        <is>
          <t>General-purpose humanoid cameras</t>
        </is>
      </c>
      <c r="AK159" s="149" t="n"/>
      <c r="AL159" s="145" t="inlineStr">
        <is>
          <t>Not disclosed</t>
        </is>
      </c>
      <c r="AM159" s="145" t="n"/>
      <c r="AN159" s="145" t="inlineStr">
        <is>
          <t>Not disclosed</t>
        </is>
      </c>
      <c r="AO159" s="145" t="inlineStr">
        <is>
          <t>Not disclosed</t>
        </is>
      </c>
      <c r="AP159" s="145" t="inlineStr">
        <is>
          <t>Not disclosed</t>
        </is>
      </c>
      <c r="AQ159" s="145" t="inlineStr">
        <is>
          <t>Not disclosed</t>
        </is>
      </c>
      <c r="AR159" s="145" t="n"/>
      <c r="AS159" s="145" t="n"/>
      <c r="AT159" s="149" t="inlineStr">
        <is>
          <t>Not disclosed</t>
        </is>
      </c>
      <c r="AU159" s="149" t="inlineStr">
        <is>
          <t>Not disclosed</t>
        </is>
      </c>
      <c r="AV159" s="145" t="inlineStr">
        <is>
          <t>PNDbotics software</t>
        </is>
      </c>
      <c r="AW159" s="149" t="inlineStr">
        <is>
          <t>Not disclosed</t>
        </is>
      </c>
      <c r="AX159" s="158" t="n">
        <v>2</v>
      </c>
      <c r="AY159" s="149" t="inlineStr">
        <is>
          <t>Not disclosed</t>
        </is>
      </c>
      <c r="AZ159" s="149" t="inlineStr">
        <is>
          <t>Not disclosed</t>
        </is>
      </c>
      <c r="BA159" s="149" t="n"/>
      <c r="BB159" s="149" t="inlineStr">
        <is>
          <t>Not disclosed</t>
        </is>
      </c>
      <c r="BC159" s="149" t="inlineStr">
        <is>
          <t>Not disclosed</t>
        </is>
      </c>
      <c r="BD159" s="145" t="inlineStr">
        <is>
          <t>Not disclosed</t>
        </is>
      </c>
      <c r="BE159" s="145" t="inlineStr">
        <is>
          <t>Not disclosed</t>
        </is>
      </c>
      <c r="BF159" s="145" t="n"/>
      <c r="BG159" s="145" t="n"/>
      <c r="BH159" s="145" t="n"/>
      <c r="BI159" s="145" t="n"/>
      <c r="BJ159" s="145" t="n"/>
      <c r="BK159" s="145" t="n"/>
      <c r="BL159" s="145" t="n"/>
      <c r="BM159" s="145" t="inlineStr">
        <is>
          <t>Not disclosed</t>
        </is>
      </c>
      <c r="BN159" s="145" t="inlineStr">
        <is>
          <t>Not disclosed</t>
        </is>
      </c>
      <c r="BO159" s="149" t="inlineStr">
        <is>
          <t>Market: Research / Service · Manipulation 2/4 · Navigation 2/4 · Peak 6 km/h · Walk 4 km/h · Runtime 3</t>
        </is>
      </c>
      <c r="BP159" s="145" t="n"/>
      <c r="BQ159" s="149" t="inlineStr">
        <is>
          <t>Research / Service</t>
        </is>
      </c>
      <c r="BR159" s="149" t="inlineStr">
        <is>
          <t>Available</t>
        </is>
      </c>
      <c r="BS159" s="149" t="inlineStr">
        <is>
          <t>Prototype</t>
        </is>
      </c>
      <c r="BT159" s="145" t="n"/>
      <c r="BU159" s="145" t="inlineStr">
        <is>
          <t>Not verified</t>
        </is>
      </c>
      <c r="BV159" s="149" t="inlineStr">
        <is>
          <t>Humanoid.guide listed price $120,000.</t>
        </is>
      </c>
      <c r="BW159" s="149" t="inlineStr">
        <is>
          <t>Height (fully upright): 5 ft 6 in | Operating weight: 132.3 | Degrees of freedom: 25 | Payload capacity: 11 | Maximum speed: 3.73 | Battery / runtime: 3</t>
        </is>
      </c>
      <c r="BX159" s="149" t="inlineStr">
        <is>
          <t>std|Standard|99999|Primary configuration</t>
        </is>
      </c>
      <c r="BY159" s="145" t="inlineStr">
        <is>
          <t>standard|Standard|#e2e8f0|0 || dark|Dark|#1e293b|0</t>
        </is>
      </c>
      <c r="BZ159" s="145" t="inlineStr">
        <is>
          <t>case</t>
        </is>
      </c>
      <c r="CA159" s="149" t="inlineStr">
        <is>
          <t>Add-ons: case; 2 color options; Multi-year extended warranty available</t>
        </is>
      </c>
      <c r="CB159" s="149" t="inlineStr">
        <is>
          <t>12 months manufacturer standard (typical research/commercial humanoid)</t>
        </is>
      </c>
      <c r="CC159" s="147" t="n">
        <v>12</v>
      </c>
      <c r="CD159" s="149" t="inlineStr">
        <is>
          <t>+3 Year Extended ≈24% of configuration (default in configurator)</t>
        </is>
      </c>
      <c r="CE159" s="145" t="inlineStr">
        <is>
          <t>Humanoid category norm 2025–2026</t>
        </is>
      </c>
      <c r="CF159" s="145" t="inlineStr">
        <is>
          <t>Estimated</t>
        </is>
      </c>
      <c r="CG159" s="149" t="inlineStr">
        <is>
          <t>EDU or enterprise packages may differ; confirm on formal quote.</t>
        </is>
      </c>
      <c r="CH159" s="145" t="inlineStr">
        <is>
          <t>10%</t>
        </is>
      </c>
      <c r="CI159" s="145" t="inlineStr">
        <is>
          <t>17%</t>
        </is>
      </c>
      <c r="CJ159" s="145" t="inlineStr">
        <is>
          <t>24%</t>
        </is>
      </c>
      <c r="CK15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15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59" s="145" t="inlineStr">
        <is>
          <t>12 months manufacturer standard (typical research/commercial humanoid)</t>
        </is>
      </c>
      <c r="CN159" s="203" t="inlineStr">
        <is>
          <t>https://aixzd.com/robot/adam</t>
        </is>
      </c>
      <c r="CQ159" s="101" t="inlineStr">
        <is>
          <t>Height: 5 ft 6 in | Weight: 132.3 | Degrees of Freedom: 25 | Payload: 11 | Max Speed: 3.73 | Battery / Runtime: 3</t>
        </is>
      </c>
    </row>
    <row r="160" ht="31.5" customHeight="1" s="102">
      <c r="A160" s="152" t="inlineStr">
        <is>
          <t>pndbotics_adam_sp</t>
        </is>
      </c>
      <c r="B160" s="153" t="inlineStr">
        <is>
          <t>Humanoid.guide</t>
        </is>
      </c>
      <c r="C160" s="152" t="inlineStr">
        <is>
          <t>PNDbotics</t>
        </is>
      </c>
      <c r="D160" s="152" t="inlineStr">
        <is>
          <t>Adam SP</t>
        </is>
      </c>
      <c r="E160" s="152" t="inlineStr">
        <is>
          <t>[PNDbotics] Adam SP (2026)</t>
        </is>
      </c>
      <c r="F160" s="146" t="inlineStr">
        <is>
          <t>humanoid</t>
        </is>
      </c>
      <c r="G160" s="152" t="inlineStr">
        <is>
          <t>China</t>
        </is>
      </c>
      <c r="H160" s="152" t="n"/>
      <c r="I160" s="155" t="n">
        <v>100000</v>
      </c>
      <c r="J160" s="152" t="inlineStr">
        <is>
          <t>Robot Price Index Aug 2026 · entry</t>
        </is>
      </c>
      <c r="K160" s="156" t="inlineStr">
        <is>
          <t>ADAM SP is PNDbotics’ 1.67 m‑tall, 62 kg humanoid robot that couples 41 degrees‑of‑freedom hardware with reinforcement‑learning control, giving industries a modular, developer‑friendly platform for safe, human‑like automation.</t>
        </is>
      </c>
      <c r="L160" s="101" t="inlineStr">
        <is>
          <t>ADAM SP is PNDbotics’ 1.67 m‑tall, 62 kg humanoid robot that couples 41 degrees‑of‑freedom hardware with reinforcement‑learning control, giving industries a modular, developer‑friendly platform for safe, human‑like automation.</t>
        </is>
      </c>
      <c r="M160" s="101" t="inlineStr">
        <is>
          <t>ADAM SP is PNDbotics’ 1.67 m‑tall, 62 kg humanoid robot that couples 41 degrees‑of‑freedom hardware with reinforcement‑learning control, giving industries a modular, developer‑friendly platform for safe, human‑like automation. Public status is listed as prototype, and it is positioned for industrial automation; service robotics.</t>
        </is>
      </c>
      <c r="N160" s="157" t="inlineStr">
        <is>
          <t>https://humanoid.guide/product/adamsp/</t>
        </is>
      </c>
      <c r="O160" s="157" t="inlineStr">
        <is>
          <t>https://pndbotics.com/</t>
        </is>
      </c>
      <c r="P160" s="152" t="inlineStr">
        <is>
          <t>5 ft 6 in</t>
        </is>
      </c>
      <c r="Q160" s="152" t="n">
        <v>167</v>
      </c>
      <c r="R160" s="152" t="n">
        <v>136.7</v>
      </c>
      <c r="S160" s="152" t="n">
        <v>62</v>
      </c>
      <c r="T160" s="156" t="inlineStr">
        <is>
          <t>Not disclosed</t>
        </is>
      </c>
      <c r="U160" s="152" t="n"/>
      <c r="V160" s="152" t="inlineStr">
        <is>
          <t>41</t>
        </is>
      </c>
      <c r="W160" s="156" t="inlineStr">
        <is>
          <t>7</t>
        </is>
      </c>
      <c r="X160" s="152" t="n">
        <v>11</v>
      </c>
      <c r="Y160" s="152" t="n">
        <v>5</v>
      </c>
      <c r="Z160" s="152" t="n">
        <v>3.73</v>
      </c>
      <c r="AA160" s="152" t="n">
        <v>6</v>
      </c>
      <c r="AB160" s="152" t="n"/>
      <c r="AC160" s="156" t="inlineStr">
        <is>
          <t>≈ 2 hours</t>
        </is>
      </c>
      <c r="AD160" s="156" t="inlineStr">
        <is>
          <t>2</t>
        </is>
      </c>
      <c r="AE160" s="152" t="n"/>
      <c r="AF160" s="152" t="inlineStr">
        <is>
          <t>Not disclosed</t>
        </is>
      </c>
      <c r="AG160" s="156" t="inlineStr">
        <is>
          <t>10</t>
        </is>
      </c>
      <c r="AH160" s="152" t="inlineStr">
        <is>
          <t>10</t>
        </is>
      </c>
      <c r="AI160" s="158" t="n">
        <v>2</v>
      </c>
      <c r="AJ160" s="156" t="inlineStr">
        <is>
          <t>Not disclosed</t>
        </is>
      </c>
      <c r="AK160" s="156" t="inlineStr">
        <is>
          <t>Not specified</t>
        </is>
      </c>
      <c r="AL160" s="152" t="inlineStr">
        <is>
          <t>Not disclosed</t>
        </is>
      </c>
      <c r="AM160" s="152" t="n"/>
      <c r="AN160" s="152" t="inlineStr">
        <is>
          <t>Not disclosed</t>
        </is>
      </c>
      <c r="AO160" s="152" t="inlineStr">
        <is>
          <t>Not disclosed</t>
        </is>
      </c>
      <c r="AP160" s="152" t="inlineStr">
        <is>
          <t>Not disclosed</t>
        </is>
      </c>
      <c r="AQ160" s="152" t="inlineStr">
        <is>
          <t>Not disclosed</t>
        </is>
      </c>
      <c r="AR160" s="152" t="n"/>
      <c r="AS160" s="152" t="n"/>
      <c r="AT160" s="156" t="inlineStr">
        <is>
          <t>Not disclosed</t>
        </is>
      </c>
      <c r="AU160" s="156" t="inlineStr">
        <is>
          <t>Not disclosed</t>
        </is>
      </c>
      <c r="AV160" s="152" t="inlineStr">
        <is>
          <t>Not disclosed</t>
        </is>
      </c>
      <c r="AW160" s="156" t="inlineStr">
        <is>
          <t>Not disclosed</t>
        </is>
      </c>
      <c r="AX160" s="158" t="n">
        <v>2</v>
      </c>
      <c r="AY160" s="156" t="inlineStr">
        <is>
          <t>Not disclosed</t>
        </is>
      </c>
      <c r="AZ160" s="156" t="inlineStr">
        <is>
          <t>Not disclosed</t>
        </is>
      </c>
      <c r="BA160" s="156" t="inlineStr">
        <is>
          <t>Not specified</t>
        </is>
      </c>
      <c r="BB160" s="156" t="inlineStr">
        <is>
          <t>PND Smart Actuator (PSA)</t>
        </is>
      </c>
      <c r="BC160" s="156" t="inlineStr">
        <is>
          <t>Integrated transmission</t>
        </is>
      </c>
      <c r="BD160" s="152" t="inlineStr">
        <is>
          <t>Integrated transmission</t>
        </is>
      </c>
      <c r="BE160" s="152" t="inlineStr">
        <is>
          <t>Not disclosed</t>
        </is>
      </c>
      <c r="BF160" s="152" t="inlineStr">
        <is>
          <t>Not specified</t>
        </is>
      </c>
      <c r="BG160" s="152" t="n"/>
      <c r="BH160" s="152" t="n"/>
      <c r="BI160" s="152" t="n"/>
      <c r="BJ160" s="152" t="n"/>
      <c r="BK160" s="152" t="n"/>
      <c r="BL160" s="152" t="n"/>
      <c r="BM160" s="152" t="inlineStr">
        <is>
          <t>Yes</t>
        </is>
      </c>
      <c r="BN160" s="152" t="inlineStr">
        <is>
          <t>Not disclosed</t>
        </is>
      </c>
      <c r="BO160" s="156" t="inlineStr">
        <is>
          <t>Market: Industrial automation; service robotics · Manipulation 2/4 · Navigation 2/4 · Human-safe: Yes · AI: Not specified · Actuation: PND Smart Actuator (PSA) · Peak 6 km/h · Runtime 2</t>
        </is>
      </c>
      <c r="BP160" s="152" t="n"/>
      <c r="BQ160" s="156" t="inlineStr">
        <is>
          <t>Industrial automation; service robotics</t>
        </is>
      </c>
      <c r="BR160" s="156" t="inlineStr">
        <is>
          <t>Prototype</t>
        </is>
      </c>
      <c r="BS160" s="156" t="inlineStr">
        <is>
          <t>Prototype</t>
        </is>
      </c>
      <c r="BT160" s="152" t="n"/>
      <c r="BU160" s="152" t="inlineStr">
        <is>
          <t>Not verified</t>
        </is>
      </c>
      <c r="BV160" s="156" t="n"/>
      <c r="BW160" s="156" t="inlineStr">
        <is>
          <t>Origin &amp; status — China · Prototype · 2026 | Manipulation — 10 · 10 fingers · Hand DOF 7 · Payload 11 lb | Sensing &amp; software — Sensor and compute package confirmed on formal quote | Buying notes — From $100,000 · 12 months manufacturer standard (typical research/commercial humanoid) · Best fit: Industrial automation</t>
        </is>
      </c>
      <c r="BX160" s="156" t="inlineStr">
        <is>
          <t>as_shipped|Adam SP|100000|As shipped</t>
        </is>
      </c>
      <c r="BY160" s="152" t="inlineStr">
        <is>
          <t>adam_sp|Manufacturer finish|#e2e8f0|0</t>
        </is>
      </c>
      <c r="BZ160" s="152" t="inlineStr"/>
      <c r="CA160" s="156" t="n"/>
      <c r="CB160" s="156" t="inlineStr">
        <is>
          <t>12 months manufacturer standard (typical research/commercial humanoid)</t>
        </is>
      </c>
      <c r="CC160" s="154" t="n">
        <v>12</v>
      </c>
      <c r="CD160" s="156" t="inlineStr">
        <is>
          <t>+3 Year Extended ≈24% of configuration (default in configurator)</t>
        </is>
      </c>
      <c r="CE160" s="152" t="inlineStr">
        <is>
          <t>Humanoid category norm 2025–2026</t>
        </is>
      </c>
      <c r="CF160" s="152" t="inlineStr">
        <is>
          <t>Estimated</t>
        </is>
      </c>
      <c r="CG160" s="156" t="inlineStr">
        <is>
          <t>Confirm on formal OEM quote. EDU or enterprise packages may differ.</t>
        </is>
      </c>
      <c r="CH160" s="152" t="inlineStr">
        <is>
          <t>10%</t>
        </is>
      </c>
      <c r="CI160" s="152" t="inlineStr">
        <is>
          <t>17%</t>
        </is>
      </c>
      <c r="CJ160" s="152" t="inlineStr">
        <is>
          <t>24%</t>
        </is>
      </c>
      <c r="CK160" s="156" t="inlineStr">
        <is>
          <t>+1yr ≈10% | +2yr ≈17% | +3yr ≈24% of selected configuration price (parts &amp; labor beyond manufacturer standard).</t>
        </is>
      </c>
      <c r="CL160"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60" s="152" t="inlineStr">
        <is>
          <t>12 months manufacturer standard (typical research/commercial humanoid)</t>
        </is>
      </c>
      <c r="CN160" s="203" t="inlineStr">
        <is>
          <t>https://aixzd.com/robot/adam</t>
        </is>
      </c>
      <c r="CQ160" s="101" t="inlineStr">
        <is>
          <t>Height: 5 ft 6 in | Weight: 136.7 | Degrees of Freedom: 41 | Payload: 11 | Max Speed: 3.73 | Battery / Runtime: ≈ 2 hours</t>
        </is>
      </c>
    </row>
    <row r="161" ht="31.5" customHeight="1" s="102">
      <c r="A161" s="145" t="inlineStr">
        <is>
          <t>pollen_robotics_reachy_2</t>
        </is>
      </c>
      <c r="B161" s="153" t="inlineStr">
        <is>
          <t>Humanoid.guide</t>
        </is>
      </c>
      <c r="C161" s="145" t="inlineStr">
        <is>
          <t>Pollen Robotics</t>
        </is>
      </c>
      <c r="D161" s="145" t="inlineStr">
        <is>
          <t>Reachy 2</t>
        </is>
      </c>
      <c r="E161" s="145" t="inlineStr">
        <is>
          <t>[Pollen Robotics] Reachy 2 (2026)</t>
        </is>
      </c>
      <c r="F161" s="146" t="inlineStr">
        <is>
          <t>humanoid</t>
        </is>
      </c>
      <c r="G161" s="145" t="inlineStr">
        <is>
          <t>France</t>
        </is>
      </c>
      <c r="H161" s="145" t="n"/>
      <c r="I161" s="148" t="n">
        <v>78000</v>
      </c>
      <c r="J161" s="145" t="inlineStr">
        <is>
          <t>Humanoid.guide list</t>
        </is>
      </c>
      <c r="K161" s="149" t="inlineStr">
        <is>
          <t>Reachy 2 is Pollen Robotics's humanoid — 5 ft 5 in class, 14 DOF, 6.6 lb payload. Aimed at research, commercial pilots, education, and professional deployment.</t>
        </is>
      </c>
      <c r="L161" s="101" t="inlineStr">
        <is>
          <t>Reachy 2 is Pollen Robotics's humanoid — 5 ft 5 in class, 14 DOF, 6.6 lb payload. Aimed at research, commercial pilots, education, and professional deployment.</t>
        </is>
      </c>
      <c r="M161" s="101" t="inlineStr">
        <is>
          <t>Reachy 2 is Pollen Robotics's humanoid — 5 ft 5 in class, 14 DOF, 6.6 lb payload. Aimed at research, commercial pilots, education, and professional deployment. Public status is listed as prototype.</t>
        </is>
      </c>
      <c r="N161" s="150" t="inlineStr">
        <is>
          <t>https://humanoid.guide/product/reachy-2/</t>
        </is>
      </c>
      <c r="O161" s="150" t="inlineStr">
        <is>
          <t>https://www.pollen-robotics.com</t>
        </is>
      </c>
      <c r="P161" s="145" t="inlineStr">
        <is>
          <t>5 ft 5 in</t>
        </is>
      </c>
      <c r="Q161" s="145" t="n">
        <v>166</v>
      </c>
      <c r="R161" s="145" t="n">
        <v>110.2</v>
      </c>
      <c r="S161" s="145" t="n">
        <v>50</v>
      </c>
      <c r="T161" s="149" t="inlineStr">
        <is>
          <t>Not disclosed</t>
        </is>
      </c>
      <c r="U161" s="145" t="n"/>
      <c r="V161" s="145" t="inlineStr">
        <is>
          <t>14</t>
        </is>
      </c>
      <c r="W161" s="149" t="inlineStr">
        <is>
          <t>Not disclosed</t>
        </is>
      </c>
      <c r="X161" s="145" t="n">
        <v>6.6</v>
      </c>
      <c r="Y161" s="145" t="n">
        <v>3</v>
      </c>
      <c r="Z161" s="145" t="n">
        <v>1.86</v>
      </c>
      <c r="AA161" s="145" t="n">
        <v>3</v>
      </c>
      <c r="AB161" s="145" t="n"/>
      <c r="AC161" s="149" t="inlineStr">
        <is>
          <t>≈ 8 hours</t>
        </is>
      </c>
      <c r="AD161" s="149" t="inlineStr">
        <is>
          <t>8</t>
        </is>
      </c>
      <c r="AE161" s="145" t="n"/>
      <c r="AF161" s="145" t="inlineStr">
        <is>
          <t>Not disclosed</t>
        </is>
      </c>
      <c r="AG161" s="149" t="inlineStr">
        <is>
          <t>Not disclosed</t>
        </is>
      </c>
      <c r="AH161" s="145" t="inlineStr">
        <is>
          <t>Not disclosed</t>
        </is>
      </c>
      <c r="AI161" s="158" t="n">
        <v>2</v>
      </c>
      <c r="AJ161" s="149" t="inlineStr">
        <is>
          <t>Not disclosed</t>
        </is>
      </c>
      <c r="AK161" s="149" t="n"/>
      <c r="AL161" s="145" t="inlineStr">
        <is>
          <t>Not disclosed</t>
        </is>
      </c>
      <c r="AM161" s="145" t="n"/>
      <c r="AN161" s="145" t="inlineStr">
        <is>
          <t>Not disclosed</t>
        </is>
      </c>
      <c r="AO161" s="145" t="inlineStr">
        <is>
          <t>Not disclosed</t>
        </is>
      </c>
      <c r="AP161" s="145" t="inlineStr">
        <is>
          <t>Not disclosed</t>
        </is>
      </c>
      <c r="AQ161" s="145" t="inlineStr">
        <is>
          <t>Not disclosed</t>
        </is>
      </c>
      <c r="AR161" s="145" t="n"/>
      <c r="AS161" s="145" t="n"/>
      <c r="AT161" s="149" t="inlineStr">
        <is>
          <t>Not disclosed</t>
        </is>
      </c>
      <c r="AU161" s="149" t="inlineStr">
        <is>
          <t>Not disclosed</t>
        </is>
      </c>
      <c r="AV161" s="145" t="inlineStr">
        <is>
          <t>Not disclosed</t>
        </is>
      </c>
      <c r="AW161" s="149" t="inlineStr">
        <is>
          <t>Not disclosed</t>
        </is>
      </c>
      <c r="AX161" s="158" t="n">
        <v>2</v>
      </c>
      <c r="AY161" s="149" t="inlineStr">
        <is>
          <t>Not disclosed</t>
        </is>
      </c>
      <c r="AZ161" s="149" t="inlineStr">
        <is>
          <t>Not disclosed</t>
        </is>
      </c>
      <c r="BA161" s="149" t="n"/>
      <c r="BB161" s="149" t="inlineStr">
        <is>
          <t>Not disclosed</t>
        </is>
      </c>
      <c r="BC161" s="149" t="inlineStr">
        <is>
          <t>Not disclosed</t>
        </is>
      </c>
      <c r="BD161" s="145" t="inlineStr">
        <is>
          <t>Not disclosed</t>
        </is>
      </c>
      <c r="BE161" s="145" t="inlineStr">
        <is>
          <t>Not disclosed</t>
        </is>
      </c>
      <c r="BF161" s="145" t="n"/>
      <c r="BG161" s="145" t="n"/>
      <c r="BH161" s="145" t="n"/>
      <c r="BI161" s="145" t="n"/>
      <c r="BJ161" s="145" t="n"/>
      <c r="BK161" s="145" t="n"/>
      <c r="BL161" s="145" t="n"/>
      <c r="BM161" s="145" t="inlineStr">
        <is>
          <t>Not disclosed</t>
        </is>
      </c>
      <c r="BN161" s="145" t="inlineStr">
        <is>
          <t>Not disclosed</t>
        </is>
      </c>
      <c r="BO161" s="149" t="inlineStr">
        <is>
          <t>Manipulation 2/4 · Navigation 2/4 · Peak 3 km/h · Runtime 8</t>
        </is>
      </c>
      <c r="BP161" s="145" t="n"/>
      <c r="BQ161" s="149" t="inlineStr">
        <is>
          <t>Research labs, commercial pilots, and education programs evaluating a humanoid from Pollen Robotics (France) now listed as prototype.</t>
        </is>
      </c>
      <c r="BR161" s="149" t="inlineStr">
        <is>
          <t>Prototype</t>
        </is>
      </c>
      <c r="BS161" s="149" t="inlineStr">
        <is>
          <t>Prototype</t>
        </is>
      </c>
      <c r="BT161" s="145" t="n"/>
      <c r="BU161" s="145" t="inlineStr">
        <is>
          <t>Not verified</t>
        </is>
      </c>
      <c r="BV161" s="149" t="n"/>
      <c r="BW161" s="149" t="inlineStr">
        <is>
          <t>Origin &amp; status — France · Prototype · 2026 | Manipulation — Payload 6.6 lb | Sensing &amp; software — Sensor and compute package confirmed on formal quote | Buying notes — From $78,000 · 12 months manufacturer standard (typical research/commercial humanoid)</t>
        </is>
      </c>
      <c r="BX161" s="149" t="inlineStr">
        <is>
          <t>as_shipped|Reachy 2|78000|As shipped</t>
        </is>
      </c>
      <c r="BY161" s="145" t="inlineStr">
        <is>
          <t>reachy_2|Manufacturer finish|#e2e8f0|0</t>
        </is>
      </c>
      <c r="BZ161" s="145" t="inlineStr"/>
      <c r="CA161" s="149" t="n"/>
      <c r="CB161" s="149" t="inlineStr">
        <is>
          <t>12 months manufacturer standard (typical research/commercial humanoid)</t>
        </is>
      </c>
      <c r="CC161" s="147" t="n">
        <v>12</v>
      </c>
      <c r="CD161" s="149" t="inlineStr">
        <is>
          <t>+3 Year Extended ≈24% of configuration (default in configurator)</t>
        </is>
      </c>
      <c r="CE161" s="145" t="inlineStr">
        <is>
          <t>Humanoid category norm 2025–2026</t>
        </is>
      </c>
      <c r="CF161" s="145" t="inlineStr">
        <is>
          <t>Estimated</t>
        </is>
      </c>
      <c r="CG161" s="149" t="inlineStr">
        <is>
          <t>Confirm on formal OEM quote. EDU or enterprise packages may differ.</t>
        </is>
      </c>
      <c r="CH161" s="145" t="inlineStr">
        <is>
          <t>10%</t>
        </is>
      </c>
      <c r="CI161" s="145" t="inlineStr">
        <is>
          <t>17%</t>
        </is>
      </c>
      <c r="CJ161" s="145" t="inlineStr">
        <is>
          <t>24%</t>
        </is>
      </c>
      <c r="CK161" s="149" t="inlineStr">
        <is>
          <t>+1yr ≈10% | +2yr ≈17% | +3yr ≈24% of selected configuration price (parts &amp; labor beyond manufacturer standard).</t>
        </is>
      </c>
      <c r="CL16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61" s="145" t="inlineStr">
        <is>
          <t>12 months manufacturer standard (typical research/commercial humanoid)</t>
        </is>
      </c>
      <c r="CN161" s="203" t="inlineStr">
        <is>
          <t>https://aixzd.com/robot/reachy-2</t>
        </is>
      </c>
      <c r="CQ161" s="101" t="inlineStr">
        <is>
          <t>Height: 5 ft 5 in | Weight: 110.2 | Degrees of Freedom: 14 | Payload: 6.6 | Max Speed: 1.86 | Battery / Runtime: ≈ 8 hours</t>
        </is>
      </c>
    </row>
    <row r="162" ht="31.5" customHeight="1" s="102">
      <c r="A162" s="152" t="inlineStr">
        <is>
          <t>primebot_primebot_q1</t>
        </is>
      </c>
      <c r="B162" s="153" t="inlineStr">
        <is>
          <t>Humanoid.guide</t>
        </is>
      </c>
      <c r="C162" s="152" t="inlineStr">
        <is>
          <t>PrimeBOT</t>
        </is>
      </c>
      <c r="D162" s="152" t="inlineStr">
        <is>
          <t>PrimeBOT Q1</t>
        </is>
      </c>
      <c r="E162" s="152" t="inlineStr">
        <is>
          <t>[PrimeBOT] PrimeBOT Q1 (2026)</t>
        </is>
      </c>
      <c r="F162" s="146" t="inlineStr">
        <is>
          <t>humanoid</t>
        </is>
      </c>
      <c r="G162" s="152" t="inlineStr">
        <is>
          <t>China</t>
        </is>
      </c>
      <c r="H162" s="154" t="n">
        <v>2026</v>
      </c>
      <c r="I162" s="155" t="n">
        <v>12000</v>
      </c>
      <c r="J162" s="152" t="inlineStr">
        <is>
          <t>Humanoid.guide list</t>
        </is>
      </c>
      <c r="K162" s="156" t="inlineStr">
        <is>
          <t>PrimeBOT Q1 is Swancor’s tiny, fully customizable personal humanoid robot, debuted at CES 2026 with QDD joints and an open SDK/HDK — full specs and pricing aren’t yet public.</t>
        </is>
      </c>
      <c r="L162" s="101" t="inlineStr">
        <is>
          <t>PrimeBOT Q1 is Swancor’s tiny, fully customizable personal humanoid robot, debuted at CES 2026 with QDD joints and an open SDK/HDK — full specs and pricing aren’t yet public.</t>
        </is>
      </c>
      <c r="M162" s="101" t="inlineStr">
        <is>
          <t>PrimeBOT Q1 is Swancor’s tiny, fully customizable personal humanoid robot, debuted at CES 2026 with QDD joints and an open SDK/HDK — full specs and pricing aren’t yet public. Public status is listed as in production, and it is positioned for consumer home use; Developers; Robotics education.</t>
        </is>
      </c>
      <c r="N162" s="157" t="inlineStr">
        <is>
          <t>https://humanoid.guide/product/primebot-q1/</t>
        </is>
      </c>
      <c r="O162" s="157" t="inlineStr">
        <is>
          <t>https://www.primebot.cn/</t>
        </is>
      </c>
      <c r="P162" s="152" t="inlineStr">
        <is>
          <t>1 ft 8 in</t>
        </is>
      </c>
      <c r="Q162" s="152" t="n">
        <v>50</v>
      </c>
      <c r="R162" s="152" t="n">
        <v>8.800000000000001</v>
      </c>
      <c r="S162" s="152" t="n">
        <v>4</v>
      </c>
      <c r="T162" s="156" t="inlineStr">
        <is>
          <t>Not disclosed</t>
        </is>
      </c>
      <c r="U162" s="152" t="n"/>
      <c r="V162" s="152" t="inlineStr">
        <is>
          <t>20</t>
        </is>
      </c>
      <c r="W162" s="156" t="inlineStr">
        <is>
          <t>2</t>
        </is>
      </c>
      <c r="X162" s="152" t="n">
        <v>2.2</v>
      </c>
      <c r="Y162" s="152" t="n">
        <v>1</v>
      </c>
      <c r="Z162" s="152" t="n">
        <v>1.86</v>
      </c>
      <c r="AA162" s="152" t="n">
        <v>3</v>
      </c>
      <c r="AB162" s="152" t="n"/>
      <c r="AC162" s="156" t="inlineStr">
        <is>
          <t>≈ 1.5 hours</t>
        </is>
      </c>
      <c r="AD162" s="156" t="inlineStr">
        <is>
          <t>1.5</t>
        </is>
      </c>
      <c r="AE162" s="152" t="n"/>
      <c r="AF162" s="152" t="inlineStr">
        <is>
          <t>Not disclosed</t>
        </is>
      </c>
      <c r="AG162" s="156" t="inlineStr">
        <is>
          <t>5 per hand</t>
        </is>
      </c>
      <c r="AH162" s="152" t="inlineStr">
        <is>
          <t>5 per hand</t>
        </is>
      </c>
      <c r="AI162" s="152" t="n"/>
      <c r="AJ162" s="156" t="inlineStr">
        <is>
          <t>Not disclosed</t>
        </is>
      </c>
      <c r="AK162" s="156" t="n"/>
      <c r="AL162" s="152" t="inlineStr">
        <is>
          <t>Not disclosed</t>
        </is>
      </c>
      <c r="AM162" s="152" t="n"/>
      <c r="AN162" s="152" t="inlineStr">
        <is>
          <t>Not disclosed</t>
        </is>
      </c>
      <c r="AO162" s="152" t="inlineStr">
        <is>
          <t>Not disclosed</t>
        </is>
      </c>
      <c r="AP162" s="152" t="inlineStr">
        <is>
          <t>Not disclosed</t>
        </is>
      </c>
      <c r="AQ162" s="152" t="inlineStr">
        <is>
          <t>Not disclosed</t>
        </is>
      </c>
      <c r="AR162" s="152" t="n"/>
      <c r="AS162" s="152" t="n"/>
      <c r="AT162" s="156" t="inlineStr">
        <is>
          <t>Embedded edge-AI SoC given on-device "emotion computing engine"</t>
        </is>
      </c>
      <c r="AU162" s="156" t="inlineStr">
        <is>
          <t>cameras; circular mic array; Touch sensors</t>
        </is>
      </c>
      <c r="AV162" s="152" t="inlineStr">
        <is>
          <t>Not disclosed</t>
        </is>
      </c>
      <c r="AW162" s="156" t="inlineStr">
        <is>
          <t>Not disclosed</t>
        </is>
      </c>
      <c r="AX162" s="152" t="n"/>
      <c r="AY162" s="156" t="inlineStr">
        <is>
          <t>Proprietary PrimeBOT app/OS layer</t>
        </is>
      </c>
      <c r="AZ162" s="156" t="inlineStr">
        <is>
          <t>Yes</t>
        </is>
      </c>
      <c r="BA162" s="156" t="n"/>
      <c r="BB162" s="156" t="inlineStr">
        <is>
          <t>QDD (quasi-direct-drive) joints</t>
        </is>
      </c>
      <c r="BC162" s="156" t="inlineStr">
        <is>
          <t>Low-ratio/single-stage gearing typical of QDD actuators</t>
        </is>
      </c>
      <c r="BD162" s="152" t="inlineStr">
        <is>
          <t>Not disclosed</t>
        </is>
      </c>
      <c r="BE162" s="152" t="inlineStr">
        <is>
          <t>Not disclosed</t>
        </is>
      </c>
      <c r="BF162" s="152" t="n"/>
      <c r="BG162" s="152" t="n"/>
      <c r="BH162" s="152" t="n"/>
      <c r="BI162" s="152" t="n"/>
      <c r="BJ162" s="152" t="n"/>
      <c r="BK162" s="152" t="n"/>
      <c r="BL162" s="152" t="n"/>
      <c r="BM162" s="152" t="inlineStr">
        <is>
          <t>Yes</t>
        </is>
      </c>
      <c r="BN162" s="152" t="inlineStr">
        <is>
          <t>Not disclosed</t>
        </is>
      </c>
      <c r="BO162" s="156" t="inlineStr">
        <is>
          <t>Market: Consumer home use; Developers; Robotics education · Human-safe: Yes · AI: Yes · Actuation: QDD (quasi-direct-drive) joints · Peak 3 km/h · Runtime 1.5</t>
        </is>
      </c>
      <c r="BP162" s="152" t="n"/>
      <c r="BQ162" s="156" t="inlineStr">
        <is>
          <t>Consumer home use; Developers; Robotics education</t>
        </is>
      </c>
      <c r="BR162" s="156" t="inlineStr">
        <is>
          <t>In production</t>
        </is>
      </c>
      <c r="BS162" s="156" t="inlineStr">
        <is>
          <t>In production</t>
        </is>
      </c>
      <c r="BT162" s="152" t="n"/>
      <c r="BU162" s="152" t="n"/>
      <c r="BV162" s="156" t="n"/>
      <c r="BW162" s="156" t="inlineStr">
        <is>
          <t>Origin &amp; status — China · In production · 2026 | Manipulation — 5 per hand · 5 per hand fingers · Hand DOF 2 · Payload 2.2 lb | Sensing &amp; software — Yes · Proprietary PrimeBOT app/OS layer | Buying notes — From $12,000 · 12 months manufacturer standard (typical research/commercial humanoid) · Best fit: Consumer home use</t>
        </is>
      </c>
      <c r="BX162" s="156" t="inlineStr">
        <is>
          <t>as_shipped|PrimeBOT Q1|12000|As shipped</t>
        </is>
      </c>
      <c r="BY162" s="152" t="inlineStr">
        <is>
          <t>primebot_q1|Manufacturer finish|#e2e8f0|0</t>
        </is>
      </c>
      <c r="BZ162" s="152" t="inlineStr"/>
      <c r="CA162" s="156" t="n"/>
      <c r="CB162" s="156" t="inlineStr">
        <is>
          <t>12 months manufacturer standard (typical research/commercial humanoid)</t>
        </is>
      </c>
      <c r="CC162" s="154" t="n">
        <v>12</v>
      </c>
      <c r="CD162" s="156" t="inlineStr">
        <is>
          <t>+3 Year Extended ≈24% of configuration (default in configurator)</t>
        </is>
      </c>
      <c r="CE162" s="152" t="inlineStr">
        <is>
          <t>Humanoid category norm 2025–2026</t>
        </is>
      </c>
      <c r="CF162" s="152" t="inlineStr">
        <is>
          <t>Estimated</t>
        </is>
      </c>
      <c r="CG162" s="156" t="inlineStr">
        <is>
          <t>Confirm on formal OEM quote. EDU or enterprise packages may differ.</t>
        </is>
      </c>
      <c r="CH162" s="152" t="inlineStr">
        <is>
          <t>10%</t>
        </is>
      </c>
      <c r="CI162" s="152" t="inlineStr">
        <is>
          <t>17%</t>
        </is>
      </c>
      <c r="CJ162" s="152" t="inlineStr">
        <is>
          <t>24%</t>
        </is>
      </c>
      <c r="CK162" s="156" t="inlineStr">
        <is>
          <t>+1yr ≈10% | +2yr ≈17% | +3yr ≈24% of selected configuration price (parts &amp; labor beyond manufacturer standard).</t>
        </is>
      </c>
      <c r="CL162"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62" s="152" t="inlineStr">
        <is>
          <t>12 months manufacturer standard (typical research/commercial humanoid)</t>
        </is>
      </c>
      <c r="CQ162" s="101" t="inlineStr">
        <is>
          <t>Height: 1 ft 8 in | Weight: 8.8 | Degrees of Freedom: 20 | Payload: 2.2 | Max Speed: 1.86 | Battery / Runtime: ≈ 1.5 hours</t>
        </is>
      </c>
    </row>
    <row r="163" ht="31.5" customHeight="1" s="102">
      <c r="A163" s="145" t="inlineStr">
        <is>
          <t>primebot_primebot_t1</t>
        </is>
      </c>
      <c r="B163" s="153" t="inlineStr">
        <is>
          <t>Humanoid.guide</t>
        </is>
      </c>
      <c r="C163" s="145" t="inlineStr">
        <is>
          <t>PrimeBOT</t>
        </is>
      </c>
      <c r="D163" s="145" t="inlineStr">
        <is>
          <t>PrimeBOT T1</t>
        </is>
      </c>
      <c r="E163" s="145" t="inlineStr">
        <is>
          <t>[PrimeBOT] PrimeBOT T1 (2026)</t>
        </is>
      </c>
      <c r="F163" s="146" t="inlineStr">
        <is>
          <t>humanoid</t>
        </is>
      </c>
      <c r="G163" s="145" t="inlineStr">
        <is>
          <t>China</t>
        </is>
      </c>
      <c r="H163" s="145" t="n"/>
      <c r="I163" s="148" t="n">
        <v>3200</v>
      </c>
      <c r="J163" s="145" t="inlineStr">
        <is>
          <t>Humanoid.guide list</t>
        </is>
      </c>
      <c r="K163" s="149" t="inlineStr">
        <is>
          <t>T1 is a transformable personal robot from PrimeBOT (Swancor) that switches between a wheeled-humanoid stance and a four-legged form, built for home companionship and mobile filming.</t>
        </is>
      </c>
      <c r="L163" s="101" t="inlineStr">
        <is>
          <t>T1 is a transformable personal robot from PrimeBOT (Swancor) that switches between a wheeled-humanoid stance and a four-legged form, built for home companionship and mobile filming.</t>
        </is>
      </c>
      <c r="M163" s="101" t="inlineStr">
        <is>
          <t>PrimeBOT T1 is PrimeBOT's humanoid, introduced around 2026 in China. T1 is a transformable personal robot from PrimeBOT (Swancor) that switches between a wheeled-humanoid stance and a four-legged form, built for home companionship and mobile filming. Public status is listed as prototype, and it is positioned for consumer home use.</t>
        </is>
      </c>
      <c r="N163" s="150" t="inlineStr">
        <is>
          <t>https://humanoid.guide/product/primebot-t1/</t>
        </is>
      </c>
      <c r="O163" s="150" t="inlineStr">
        <is>
          <t>https://www.primebot.cn/</t>
        </is>
      </c>
      <c r="P163" s="145" t="inlineStr">
        <is>
          <t>2 ft 0 in</t>
        </is>
      </c>
      <c r="Q163" s="145" t="n">
        <v>60</v>
      </c>
      <c r="R163" s="145" t="n">
        <v>18.7</v>
      </c>
      <c r="S163" s="145" t="n">
        <v>8.5</v>
      </c>
      <c r="T163" s="149" t="inlineStr">
        <is>
          <t>Not disclosed</t>
        </is>
      </c>
      <c r="U163" s="145" t="n"/>
      <c r="V163" s="145" t="inlineStr">
        <is>
          <t>16</t>
        </is>
      </c>
      <c r="W163" s="149" t="inlineStr">
        <is>
          <t>6</t>
        </is>
      </c>
      <c r="X163" s="145" t="n">
        <v>17.6</v>
      </c>
      <c r="Y163" s="145" t="n">
        <v>8</v>
      </c>
      <c r="Z163" s="145" t="n">
        <v>3.11</v>
      </c>
      <c r="AA163" s="145" t="n">
        <v>5</v>
      </c>
      <c r="AB163" s="145" t="n"/>
      <c r="AC163" s="149" t="inlineStr">
        <is>
          <t>≈ 4 hours</t>
        </is>
      </c>
      <c r="AD163" s="149" t="inlineStr">
        <is>
          <t>4</t>
        </is>
      </c>
      <c r="AE163" s="145" t="n"/>
      <c r="AF163" s="145" t="inlineStr">
        <is>
          <t>Not disclosed</t>
        </is>
      </c>
      <c r="AG163" s="149" t="inlineStr">
        <is>
          <t>0</t>
        </is>
      </c>
      <c r="AH163" s="145" t="inlineStr">
        <is>
          <t>0</t>
        </is>
      </c>
      <c r="AI163" s="145" t="n"/>
      <c r="AJ163" s="149" t="inlineStr">
        <is>
          <t>Not disclosed</t>
        </is>
      </c>
      <c r="AK163" s="149" t="n"/>
      <c r="AL163" s="145" t="inlineStr">
        <is>
          <t>Not disclosed</t>
        </is>
      </c>
      <c r="AM163" s="145" t="n"/>
      <c r="AN163" s="145" t="inlineStr">
        <is>
          <t>Not disclosed</t>
        </is>
      </c>
      <c r="AO163" s="145" t="inlineStr">
        <is>
          <t>Not disclosed</t>
        </is>
      </c>
      <c r="AP163" s="145" t="inlineStr">
        <is>
          <t>Not disclosed</t>
        </is>
      </c>
      <c r="AQ163" s="145" t="inlineStr">
        <is>
          <t>Not disclosed</t>
        </is>
      </c>
      <c r="AR163" s="145" t="n"/>
      <c r="AS163" s="145" t="n"/>
      <c r="AT163" s="149" t="inlineStr">
        <is>
          <t>Not disclosed</t>
        </is>
      </c>
      <c r="AU163" s="149" t="inlineStr">
        <is>
          <t>Bluetooth</t>
        </is>
      </c>
      <c r="AV163" s="145" t="inlineStr">
        <is>
          <t>Not disclosed</t>
        </is>
      </c>
      <c r="AW163" s="149" t="inlineStr">
        <is>
          <t>Not disclosed</t>
        </is>
      </c>
      <c r="AX163" s="145" t="n"/>
      <c r="AY163" s="149" t="inlineStr">
        <is>
          <t>Not disclosed</t>
        </is>
      </c>
      <c r="AZ163" s="149" t="inlineStr">
        <is>
          <t>Not disclosed</t>
        </is>
      </c>
      <c r="BA163" s="149" t="n"/>
      <c r="BB163" s="149" t="inlineStr">
        <is>
          <t>QDD (quasi-direct-drive) joints</t>
        </is>
      </c>
      <c r="BC163" s="149" t="inlineStr">
        <is>
          <t>Not disclosed</t>
        </is>
      </c>
      <c r="BD163" s="145" t="inlineStr">
        <is>
          <t>Advanced composite materials</t>
        </is>
      </c>
      <c r="BE163" s="145" t="inlineStr">
        <is>
          <t>Not disclosed</t>
        </is>
      </c>
      <c r="BF163" s="145" t="n"/>
      <c r="BG163" s="145" t="n"/>
      <c r="BH163" s="145" t="n"/>
      <c r="BI163" s="145" t="n"/>
      <c r="BJ163" s="145" t="n"/>
      <c r="BK163" s="145" t="n"/>
      <c r="BL163" s="145" t="n"/>
      <c r="BM163" s="145" t="inlineStr">
        <is>
          <t>Yes</t>
        </is>
      </c>
      <c r="BN163" s="145" t="inlineStr">
        <is>
          <t>Not disclosed</t>
        </is>
      </c>
      <c r="BO163" s="149" t="inlineStr">
        <is>
          <t>Market: Consumer home use · Human-safe: Yes · Actuation: QDD (quasi-direct-drive) joints · Peak 5 km/h · Runtime 4</t>
        </is>
      </c>
      <c r="BP163" s="145" t="n"/>
      <c r="BQ163" s="149" t="inlineStr">
        <is>
          <t>Consumer home use</t>
        </is>
      </c>
      <c r="BR163" s="149" t="inlineStr">
        <is>
          <t>Prototype</t>
        </is>
      </c>
      <c r="BS163" s="149" t="inlineStr">
        <is>
          <t>Prototype</t>
        </is>
      </c>
      <c r="BT163" s="145" t="n"/>
      <c r="BU163" s="145" t="n"/>
      <c r="BV163" s="149" t="n"/>
      <c r="BW163" s="149" t="inlineStr">
        <is>
          <t>Origin &amp; status — China · Prototype · 2026 | Manipulation — 0 · 0 fingers · Hand DOF 6 · Payload 17.6 lb | Sensing &amp; software — Sensor and compute package confirmed on formal quote | Buying notes — From $3,200 · 12 months manufacturer standard (typical research/commercial humanoid) · Best fit: Consumer home use</t>
        </is>
      </c>
      <c r="BX163" s="149" t="inlineStr">
        <is>
          <t>as_shipped|PrimeBOT T1|3200|As shipped</t>
        </is>
      </c>
      <c r="BY163" s="145" t="inlineStr">
        <is>
          <t>primebot_t1|Manufacturer finish|#e2e8f0|0</t>
        </is>
      </c>
      <c r="BZ163" s="145" t="inlineStr"/>
      <c r="CA163" s="149" t="n"/>
      <c r="CB163" s="149" t="inlineStr">
        <is>
          <t>12 months manufacturer standard (typical research/commercial humanoid)</t>
        </is>
      </c>
      <c r="CC163" s="147" t="n">
        <v>12</v>
      </c>
      <c r="CD163" s="149" t="inlineStr">
        <is>
          <t>+3 Year Extended ≈24% of configuration (default in configurator)</t>
        </is>
      </c>
      <c r="CE163" s="145" t="inlineStr">
        <is>
          <t>Humanoid category norm 2025–2026</t>
        </is>
      </c>
      <c r="CF163" s="145" t="inlineStr">
        <is>
          <t>Estimated</t>
        </is>
      </c>
      <c r="CG163" s="149" t="inlineStr">
        <is>
          <t>Confirm on formal OEM quote. EDU or enterprise packages may differ.</t>
        </is>
      </c>
      <c r="CH163" s="145" t="inlineStr">
        <is>
          <t>10%</t>
        </is>
      </c>
      <c r="CI163" s="145" t="inlineStr">
        <is>
          <t>17%</t>
        </is>
      </c>
      <c r="CJ163" s="145" t="inlineStr">
        <is>
          <t>24%</t>
        </is>
      </c>
      <c r="CK163" s="149" t="inlineStr">
        <is>
          <t>+1yr ≈10% | +2yr ≈17% | +3yr ≈24% of selected configuration price (parts &amp; labor beyond manufacturer standard).</t>
        </is>
      </c>
      <c r="CL163"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63" s="145" t="inlineStr">
        <is>
          <t>12 months manufacturer standard (typical research/commercial humanoid)</t>
        </is>
      </c>
      <c r="CQ163" s="101" t="inlineStr">
        <is>
          <t>Height: 2 ft 0 in | Weight: 18.7 | Degrees of Freedom: 16 | Payload: 17.6 | Max Speed: 3.11 | Battery / Runtime: ≈ 4 hours</t>
        </is>
      </c>
    </row>
    <row r="164" ht="31.5" customHeight="1" s="102">
      <c r="A164" s="152" t="inlineStr">
        <is>
          <t>psibot_psi_v1</t>
        </is>
      </c>
      <c r="B164" s="153" t="inlineStr">
        <is>
          <t>Humanoid.guide</t>
        </is>
      </c>
      <c r="C164" s="152" t="inlineStr">
        <is>
          <t>PsiBot</t>
        </is>
      </c>
      <c r="D164" s="152" t="inlineStr">
        <is>
          <t>Psi V1</t>
        </is>
      </c>
      <c r="E164" s="152" t="inlineStr">
        <is>
          <t>[PsiBot] Psi V1 (2026)</t>
        </is>
      </c>
      <c r="F164" s="146" t="inlineStr">
        <is>
          <t>humanoid</t>
        </is>
      </c>
      <c r="G164" s="152" t="inlineStr">
        <is>
          <t>China</t>
        </is>
      </c>
      <c r="H164" s="152" t="n"/>
      <c r="I164" s="155" t="n">
        <v>9300</v>
      </c>
      <c r="J164" s="152" t="inlineStr">
        <is>
          <t>Humanoid.guide list</t>
        </is>
      </c>
      <c r="K164" s="156" t="inlineStr">
        <is>
          <t>Psi V1 is a full-size humanoid robot by PsiBot built for precise manipulation, advanced perception, and AI-driven task execution.</t>
        </is>
      </c>
      <c r="L164" s="101" t="inlineStr">
        <is>
          <t>Psi V1 is a full-size humanoid robot by PsiBot built for precise manipulation, advanced perception, and AI-driven task execution.</t>
        </is>
      </c>
      <c r="M164" s="101" t="inlineStr">
        <is>
          <t>Psi V1 is a full-size humanoid robot by PsiBot built for precise manipulation, advanced perception, and AI-driven task execution. Public status is listed as in production, and it is positioned for industrial automation; Light industrial tasks.</t>
        </is>
      </c>
      <c r="N164" s="157" t="inlineStr">
        <is>
          <t>https://humanoid.guide/product/psi-v1/</t>
        </is>
      </c>
      <c r="O164" s="157" t="inlineStr">
        <is>
          <t>https://www.psibot.ai/</t>
        </is>
      </c>
      <c r="P164" s="152" t="inlineStr">
        <is>
          <t>5 ft 9 in</t>
        </is>
      </c>
      <c r="Q164" s="152" t="n">
        <v>175</v>
      </c>
      <c r="R164" s="152" t="n">
        <v>330.7</v>
      </c>
      <c r="S164" s="152" t="n">
        <v>150</v>
      </c>
      <c r="T164" s="156" t="inlineStr">
        <is>
          <t>Not disclosed</t>
        </is>
      </c>
      <c r="U164" s="152" t="n"/>
      <c r="V164" s="152" t="inlineStr">
        <is>
          <t>42</t>
        </is>
      </c>
      <c r="W164" s="156" t="inlineStr">
        <is>
          <t>22</t>
        </is>
      </c>
      <c r="X164" s="152" t="n">
        <v>22</v>
      </c>
      <c r="Y164" s="152" t="n">
        <v>10</v>
      </c>
      <c r="Z164" s="152" t="n">
        <v>2.49</v>
      </c>
      <c r="AA164" s="152" t="n">
        <v>4</v>
      </c>
      <c r="AB164" s="152" t="n"/>
      <c r="AC164" s="156" t="inlineStr">
        <is>
          <t>≈ 5 hours</t>
        </is>
      </c>
      <c r="AD164" s="156" t="inlineStr">
        <is>
          <t>5</t>
        </is>
      </c>
      <c r="AE164" s="152" t="n"/>
      <c r="AF164" s="152" t="inlineStr">
        <is>
          <t>Not disclosed</t>
        </is>
      </c>
      <c r="AG164" s="156" t="inlineStr">
        <is>
          <t>5 per hand</t>
        </is>
      </c>
      <c r="AH164" s="152" t="inlineStr">
        <is>
          <t>5 per hand</t>
        </is>
      </c>
      <c r="AI164" s="152" t="n"/>
      <c r="AJ164" s="156" t="inlineStr">
        <is>
          <t>Not disclosed</t>
        </is>
      </c>
      <c r="AK164" s="156" t="n"/>
      <c r="AL164" s="152" t="inlineStr">
        <is>
          <t>Not disclosed</t>
        </is>
      </c>
      <c r="AM164" s="152" t="n"/>
      <c r="AN164" s="152" t="inlineStr">
        <is>
          <t>Not disclosed</t>
        </is>
      </c>
      <c r="AO164" s="152" t="inlineStr">
        <is>
          <t>Not disclosed</t>
        </is>
      </c>
      <c r="AP164" s="152" t="inlineStr">
        <is>
          <t>Not disclosed</t>
        </is>
      </c>
      <c r="AQ164" s="152" t="inlineStr">
        <is>
          <t>Not disclosed</t>
        </is>
      </c>
      <c r="AR164" s="152" t="n"/>
      <c r="AS164" s="152" t="n"/>
      <c r="AT164" s="156" t="inlineStr">
        <is>
          <t>NVIDIA Orin AGX 64GB (275 TOPS)</t>
        </is>
      </c>
      <c r="AU164" s="156" t="inlineStr">
        <is>
          <t>Ethernet; Wi‑Fi</t>
        </is>
      </c>
      <c r="AV164" s="152" t="inlineStr">
        <is>
          <t>Not disclosed</t>
        </is>
      </c>
      <c r="AW164" s="156" t="inlineStr">
        <is>
          <t>Not disclosed</t>
        </is>
      </c>
      <c r="AX164" s="152" t="n"/>
      <c r="AY164" s="156" t="inlineStr">
        <is>
          <t>Not disclosed</t>
        </is>
      </c>
      <c r="AZ164" s="156" t="inlineStr">
        <is>
          <t>Supported (edge AI platform enables deployment of large models)</t>
        </is>
      </c>
      <c r="BA164" s="156" t="n"/>
      <c r="BB164" s="156" t="inlineStr">
        <is>
          <t>Electric servo motors with force feedback</t>
        </is>
      </c>
      <c r="BC164" s="156" t="inlineStr">
        <is>
          <t>Harmonic drive / precision reducers</t>
        </is>
      </c>
      <c r="BD164" s="152" t="inlineStr">
        <is>
          <t>Aluminum alloy + steel frame</t>
        </is>
      </c>
      <c r="BE164" s="152" t="inlineStr">
        <is>
          <t>Not disclosed</t>
        </is>
      </c>
      <c r="BF164" s="152" t="n"/>
      <c r="BG164" s="152" t="n"/>
      <c r="BH164" s="152" t="n"/>
      <c r="BI164" s="152" t="n"/>
      <c r="BJ164" s="152" t="n"/>
      <c r="BK164" s="152" t="n"/>
      <c r="BL164" s="152" t="n"/>
      <c r="BM164" s="152" t="inlineStr">
        <is>
          <t>Yes</t>
        </is>
      </c>
      <c r="BN164" s="152" t="inlineStr">
        <is>
          <t>Not disclosed</t>
        </is>
      </c>
      <c r="BO164" s="156" t="inlineStr">
        <is>
          <t>Market: Industrial automation; Light industrial tasks · Human-safe: Yes · AI: Supported (edge AI platform enables deployment of large models) · Actuation: Electric servo motors with force feedback · Peak 4 km/h · Runtime 5</t>
        </is>
      </c>
      <c r="BP164" s="152" t="n"/>
      <c r="BQ164" s="156" t="inlineStr">
        <is>
          <t>Industrial automation; Light industrial tasks</t>
        </is>
      </c>
      <c r="BR164" s="156" t="inlineStr">
        <is>
          <t>In production</t>
        </is>
      </c>
      <c r="BS164" s="156" t="inlineStr">
        <is>
          <t>In production</t>
        </is>
      </c>
      <c r="BT164" s="152" t="n"/>
      <c r="BU164" s="152" t="n"/>
      <c r="BV164" s="156" t="n"/>
      <c r="BW164" s="156" t="inlineStr">
        <is>
          <t>Origin &amp; status — China · In production · 2026 | Manipulation — 5 per hand · 5 per hand fingers · Hand DOF 22 · Payload 22 lb | Sensing &amp; software — Supported (edge AI platform enables deployment of large models) | Buying notes — From $9,300 · 12 months manufacturer standard (typical research/commercial humanoid) · Best fit: Industrial automation</t>
        </is>
      </c>
      <c r="BX164" s="156" t="inlineStr">
        <is>
          <t>as_shipped|Psi V1|9300|As shipped</t>
        </is>
      </c>
      <c r="BY164" s="152" t="inlineStr">
        <is>
          <t>psi_v1|Manufacturer finish|#e2e8f0|0</t>
        </is>
      </c>
      <c r="BZ164" s="152" t="inlineStr"/>
      <c r="CA164" s="156" t="n"/>
      <c r="CB164" s="156" t="inlineStr">
        <is>
          <t>12 months manufacturer standard (typical research/commercial humanoid)</t>
        </is>
      </c>
      <c r="CC164" s="154" t="n">
        <v>12</v>
      </c>
      <c r="CD164" s="156" t="inlineStr">
        <is>
          <t>+3 Year Extended ≈24% of configuration (default in configurator)</t>
        </is>
      </c>
      <c r="CE164" s="152" t="inlineStr">
        <is>
          <t>Humanoid category norm 2025–2026</t>
        </is>
      </c>
      <c r="CF164" s="152" t="inlineStr">
        <is>
          <t>Estimated</t>
        </is>
      </c>
      <c r="CG164" s="156" t="inlineStr">
        <is>
          <t>Confirm on formal OEM quote. EDU or enterprise packages may differ.</t>
        </is>
      </c>
      <c r="CH164" s="152" t="inlineStr">
        <is>
          <t>10%</t>
        </is>
      </c>
      <c r="CI164" s="152" t="inlineStr">
        <is>
          <t>17%</t>
        </is>
      </c>
      <c r="CJ164" s="152" t="inlineStr">
        <is>
          <t>24%</t>
        </is>
      </c>
      <c r="CK164" s="156" t="inlineStr">
        <is>
          <t>+1yr ≈10% | +2yr ≈17% | +3yr ≈24% of selected configuration price (parts &amp; labor beyond manufacturer standard).</t>
        </is>
      </c>
      <c r="CL164"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64" s="152" t="inlineStr">
        <is>
          <t>12 months manufacturer standard (typical research/commercial humanoid)</t>
        </is>
      </c>
      <c r="CN164" s="203" t="inlineStr">
        <is>
          <t>https://aixzd.com/robot/psi-v1</t>
        </is>
      </c>
      <c r="CQ164" s="101" t="inlineStr">
        <is>
          <t>Height: 5 ft 9 in | Weight: 330.7 | Degrees of Freedom: 42 | Payload: 22 | Max Speed: 2.49 | Battery / Runtime: ≈ 5 hours</t>
        </is>
      </c>
    </row>
    <row r="165" ht="31.5" customHeight="1" s="102">
      <c r="A165" s="145" t="inlineStr">
        <is>
          <t>psibot_synrobot</t>
        </is>
      </c>
      <c r="B165" s="153" t="inlineStr">
        <is>
          <t>Humanoid.guide</t>
        </is>
      </c>
      <c r="C165" s="145" t="inlineStr">
        <is>
          <t>PsiBot</t>
        </is>
      </c>
      <c r="D165" s="145" t="inlineStr">
        <is>
          <t>ψ-SynRobot</t>
        </is>
      </c>
      <c r="E165" s="145" t="inlineStr">
        <is>
          <t>[PsiBot] ψ-SynRobot (2026)</t>
        </is>
      </c>
      <c r="F165" s="146" t="inlineStr">
        <is>
          <t>humanoid</t>
        </is>
      </c>
      <c r="G165" s="145" t="inlineStr">
        <is>
          <t>China</t>
        </is>
      </c>
      <c r="H165" s="145" t="n"/>
      <c r="I165" s="148" t="n">
        <v>80000</v>
      </c>
      <c r="J165" s="145" t="inlineStr">
        <is>
          <t>Humanoid.guide list</t>
        </is>
      </c>
      <c r="K165" s="149" t="inlineStr">
        <is>
          <t>Ψ-SynRobot is a wheeled humanoid robot by PsiBot designed for precise manipulation, stable mobility, and long-duration operation in structured environments.</t>
        </is>
      </c>
      <c r="L165" s="101" t="inlineStr">
        <is>
          <t>Ψ-SynRobot is a wheeled humanoid robot by PsiBot designed for precise manipulation, stable mobility, and long-duration operation in structured environments.</t>
        </is>
      </c>
      <c r="M165" s="101" t="inlineStr">
        <is>
          <t>Ψ-SynRobot is a wheeled humanoid robot by PsiBot designed for precise manipulation, stable mobility, and long-duration operation in structured environments. Public status is listed as prototype, and it is positioned for light industrial tasks; Logistics automation; Research &amp; education.</t>
        </is>
      </c>
      <c r="N165" s="150" t="inlineStr">
        <is>
          <t>https://humanoid.guide/product/%cf%88-synrobot/</t>
        </is>
      </c>
      <c r="O165" s="150" t="inlineStr">
        <is>
          <t>https://www.psibot.ai/</t>
        </is>
      </c>
      <c r="P165" s="145" t="inlineStr">
        <is>
          <t>4 ft 9 in</t>
        </is>
      </c>
      <c r="Q165" s="145" t="n">
        <v>145</v>
      </c>
      <c r="R165" s="145" t="n">
        <v>143.3</v>
      </c>
      <c r="S165" s="145" t="n">
        <v>65</v>
      </c>
      <c r="T165" s="149" t="inlineStr">
        <is>
          <t>Not disclosed</t>
        </is>
      </c>
      <c r="U165" s="145" t="n"/>
      <c r="V165" s="145" t="inlineStr">
        <is>
          <t>18</t>
        </is>
      </c>
      <c r="W165" s="149" t="inlineStr">
        <is>
          <t>14</t>
        </is>
      </c>
      <c r="X165" s="145" t="n">
        <v>11</v>
      </c>
      <c r="Y165" s="145" t="n">
        <v>5</v>
      </c>
      <c r="Z165" s="145" t="n">
        <v>3.36</v>
      </c>
      <c r="AA165" s="145" t="n">
        <v>5.4</v>
      </c>
      <c r="AB165" s="145" t="n"/>
      <c r="AC165" s="149" t="inlineStr">
        <is>
          <t>≈ 2 hours</t>
        </is>
      </c>
      <c r="AD165" s="149" t="inlineStr">
        <is>
          <t>2</t>
        </is>
      </c>
      <c r="AE165" s="145" t="n"/>
      <c r="AF165" s="145" t="inlineStr">
        <is>
          <t>Not disclosed</t>
        </is>
      </c>
      <c r="AG165" s="149" t="inlineStr">
        <is>
          <t>5 per hand</t>
        </is>
      </c>
      <c r="AH165" s="145" t="inlineStr">
        <is>
          <t>5 per hand</t>
        </is>
      </c>
      <c r="AI165" s="145" t="n"/>
      <c r="AJ165" s="149" t="inlineStr">
        <is>
          <t>Not disclosed</t>
        </is>
      </c>
      <c r="AK165" s="149" t="n"/>
      <c r="AL165" s="145" t="inlineStr">
        <is>
          <t>Not disclosed</t>
        </is>
      </c>
      <c r="AM165" s="145" t="n"/>
      <c r="AN165" s="145" t="inlineStr">
        <is>
          <t>Not disclosed</t>
        </is>
      </c>
      <c r="AO165" s="145" t="inlineStr">
        <is>
          <t>Not disclosed</t>
        </is>
      </c>
      <c r="AP165" s="145" t="inlineStr">
        <is>
          <t>Not disclosed</t>
        </is>
      </c>
      <c r="AQ165" s="145" t="inlineStr">
        <is>
          <t>Not disclosed</t>
        </is>
      </c>
      <c r="AR165" s="145" t="n"/>
      <c r="AS165" s="145" t="n"/>
      <c r="AT165" s="149" t="inlineStr">
        <is>
          <t>Thor computing platform</t>
        </is>
      </c>
      <c r="AU165" s="149" t="inlineStr">
        <is>
          <t>Wi-Fi 5, Bluetooth 5.0, Ethernet ×2, USB 2.0/3.0</t>
        </is>
      </c>
      <c r="AV165" s="145" t="inlineStr">
        <is>
          <t>Not disclosed</t>
        </is>
      </c>
      <c r="AW165" s="149" t="inlineStr">
        <is>
          <t>Not disclosed</t>
        </is>
      </c>
      <c r="AX165" s="145" t="n"/>
      <c r="AY165" s="149" t="inlineStr">
        <is>
          <t>Not disclosed</t>
        </is>
      </c>
      <c r="AZ165" s="149" t="inlineStr">
        <is>
          <t>Supported via external deployment (Thor platform enables AI model execution)</t>
        </is>
      </c>
      <c r="BA165" s="149" t="n"/>
      <c r="BB165" s="149" t="inlineStr">
        <is>
          <t>Electric servo motors with force control</t>
        </is>
      </c>
      <c r="BC165" s="149" t="inlineStr">
        <is>
          <t>Harmonic drive / precision reducers</t>
        </is>
      </c>
      <c r="BD165" s="145" t="inlineStr">
        <is>
          <t>Aluminum alloy + composite panels</t>
        </is>
      </c>
      <c r="BE165" s="145" t="inlineStr">
        <is>
          <t>Not disclosed</t>
        </is>
      </c>
      <c r="BF165" s="145" t="n"/>
      <c r="BG165" s="145" t="n"/>
      <c r="BH165" s="145" t="n"/>
      <c r="BI165" s="145" t="n"/>
      <c r="BJ165" s="145" t="n"/>
      <c r="BK165" s="145" t="n"/>
      <c r="BL165" s="145" t="n"/>
      <c r="BM165" s="145" t="inlineStr">
        <is>
          <t>Yes</t>
        </is>
      </c>
      <c r="BN165" s="145" t="inlineStr">
        <is>
          <t>Not disclosed</t>
        </is>
      </c>
      <c r="BO165" s="149" t="inlineStr">
        <is>
          <t>Market: Light industrial tasks; Logistics automation; Research &amp; education · Human-safe: Yes · AI: Supported via external deployment (Thor platform enables AI model execution) · Actuation: Electric servo motors with force control · Peak 5.4 km/h · Runtime 2</t>
        </is>
      </c>
      <c r="BP165" s="145" t="n"/>
      <c r="BQ165" s="149" t="inlineStr">
        <is>
          <t>Light industrial tasks; Logistics automation; Research &amp; education</t>
        </is>
      </c>
      <c r="BR165" s="149" t="inlineStr">
        <is>
          <t>Prototype</t>
        </is>
      </c>
      <c r="BS165" s="149" t="inlineStr">
        <is>
          <t>Prototype</t>
        </is>
      </c>
      <c r="BT165" s="145" t="n"/>
      <c r="BU165" s="145" t="n"/>
      <c r="BV165" s="149" t="n"/>
      <c r="BW165" s="149" t="inlineStr">
        <is>
          <t>Origin &amp; status — China · Prototype · 2026 | Manipulation — 5 per hand · 5 per hand fingers · Hand DOF 14 · Payload 11 lb | Sensing &amp; software — Supported via external deployment (Thor platform enables AI model execution) | Buying notes — From $80,000 · 12 months manufacturer standard (typical research/commercial humanoid) · Best fit: Light industrial tasks</t>
        </is>
      </c>
      <c r="BX165" s="149" t="inlineStr">
        <is>
          <t>as_shipped|ψ-SynRobot|80000|As shipped</t>
        </is>
      </c>
      <c r="BY165" s="145" t="inlineStr">
        <is>
          <t>synrobot|Manufacturer finish|#e2e8f0|0</t>
        </is>
      </c>
      <c r="BZ165" s="145" t="inlineStr"/>
      <c r="CA165" s="149" t="n"/>
      <c r="CB165" s="149" t="inlineStr">
        <is>
          <t>12 months manufacturer standard (typical research/commercial humanoid)</t>
        </is>
      </c>
      <c r="CC165" s="147" t="n">
        <v>12</v>
      </c>
      <c r="CD165" s="149" t="inlineStr">
        <is>
          <t>+3 Year Extended ≈24% of configuration (default in configurator)</t>
        </is>
      </c>
      <c r="CE165" s="145" t="inlineStr">
        <is>
          <t>Humanoid category norm 2025–2026</t>
        </is>
      </c>
      <c r="CF165" s="145" t="inlineStr">
        <is>
          <t>Estimated</t>
        </is>
      </c>
      <c r="CG165" s="149" t="inlineStr">
        <is>
          <t>Confirm on formal OEM quote. EDU or enterprise packages may differ.</t>
        </is>
      </c>
      <c r="CH165" s="145" t="inlineStr">
        <is>
          <t>10%</t>
        </is>
      </c>
      <c r="CI165" s="145" t="inlineStr">
        <is>
          <t>17%</t>
        </is>
      </c>
      <c r="CJ165" s="145" t="inlineStr">
        <is>
          <t>24%</t>
        </is>
      </c>
      <c r="CK165" s="149" t="inlineStr">
        <is>
          <t>+1yr ≈10% | +2yr ≈17% | +3yr ≈24% of selected configuration price (parts &amp; labor beyond manufacturer standard).</t>
        </is>
      </c>
      <c r="CL16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65" s="145" t="inlineStr">
        <is>
          <t>12 months manufacturer standard (typical research/commercial humanoid)</t>
        </is>
      </c>
      <c r="CQ165" s="101" t="inlineStr">
        <is>
          <t>Height: 4 ft 9 in | Weight: 143.3 | Degrees of Freedom: 18 | Payload: 11 | Max Speed: 3.36 | Battery / Runtime: ≈ 2 hours</t>
        </is>
      </c>
    </row>
    <row r="166" ht="31.5" customHeight="1" s="102">
      <c r="A166" s="152" t="inlineStr">
        <is>
          <t>pudu_robotics_flashbot_arm</t>
        </is>
      </c>
      <c r="B166" s="153" t="inlineStr">
        <is>
          <t>Humanoid.guide</t>
        </is>
      </c>
      <c r="C166" s="152" t="inlineStr">
        <is>
          <t>Pudu Robotics</t>
        </is>
      </c>
      <c r="D166" s="152" t="inlineStr">
        <is>
          <t>FlashBot Arm</t>
        </is>
      </c>
      <c r="E166" s="152" t="inlineStr">
        <is>
          <t>[Pudu Robotics] FlashBot Arm (2026)</t>
        </is>
      </c>
      <c r="F166" s="146" t="inlineStr">
        <is>
          <t>humanoid</t>
        </is>
      </c>
      <c r="G166" s="152" t="inlineStr">
        <is>
          <t>China</t>
        </is>
      </c>
      <c r="H166" s="152" t="n"/>
      <c r="I166" s="155" t="n">
        <v>34000</v>
      </c>
      <c r="J166" s="152" t="inlineStr">
        <is>
          <t>Humanoid.guide list</t>
        </is>
      </c>
      <c r="K166" s="156" t="inlineStr">
        <is>
          <t>FlashBot Arm is PUDU X-Lab’s semi-humanoid service robot that combines dual 7-DOF arms, dexterous hands, and VSLAM+LiDAR navigation for autonomous delivery and interaction.</t>
        </is>
      </c>
      <c r="L166" s="101" t="inlineStr">
        <is>
          <t>FlashBot Arm is PUDU X-Lab’s semi-humanoid service robot that combines dual 7-DOF arms, dexterous hands, and VSLAM+LiDAR navigation for autonomous delivery and interaction.</t>
        </is>
      </c>
      <c r="M166" s="101" t="inlineStr">
        <is>
          <t>FlashBot Arm is PUDU X-Lab’s semi-humanoid service robot that combines dual 7-DOF arms, dexterous hands, and VSLAM+LiDAR navigation for autonomous delivery and interaction. Public status is listed as in production, and it is positioned for hospitality; household services; logistics; Research &amp; education; retail restocking.</t>
        </is>
      </c>
      <c r="N166" s="157" t="inlineStr">
        <is>
          <t>https://humanoid.guide/product/flashbot-arm/</t>
        </is>
      </c>
      <c r="O166" s="157" t="inlineStr">
        <is>
          <t>https://www.pudurobotics.com</t>
        </is>
      </c>
      <c r="P166" s="152" t="inlineStr">
        <is>
          <t>4 ft 9 in</t>
        </is>
      </c>
      <c r="Q166" s="152" t="n">
        <v>144</v>
      </c>
      <c r="R166" s="152" t="n">
        <v>154.3</v>
      </c>
      <c r="S166" s="152" t="n">
        <v>70</v>
      </c>
      <c r="T166" s="156" t="inlineStr">
        <is>
          <t>Not disclosed</t>
        </is>
      </c>
      <c r="U166" s="152" t="inlineStr">
        <is>
          <t>53.9 × 51.5 × 144</t>
        </is>
      </c>
      <c r="V166" s="152" t="inlineStr">
        <is>
          <t>7 DOF per arm (two arms → 14 DOF for both arms, excluding hands and any base DOFs)</t>
        </is>
      </c>
      <c r="W166" s="156" t="inlineStr">
        <is>
          <t>6 active + 5 passive</t>
        </is>
      </c>
      <c r="X166" s="152" t="n">
        <v>33.1</v>
      </c>
      <c r="Y166" s="152" t="n">
        <v>15</v>
      </c>
      <c r="Z166" s="152" t="n">
        <v>2.8</v>
      </c>
      <c r="AA166" s="152" t="n">
        <v>4.5</v>
      </c>
      <c r="AB166" s="152" t="n"/>
      <c r="AC166" s="156" t="inlineStr">
        <is>
          <t>≈ 8 hours</t>
        </is>
      </c>
      <c r="AD166" s="156" t="inlineStr">
        <is>
          <t>8</t>
        </is>
      </c>
      <c r="AE166" s="152" t="n"/>
      <c r="AF166" s="152" t="inlineStr">
        <is>
          <t>Not disclosed</t>
        </is>
      </c>
      <c r="AG166" s="156" t="inlineStr">
        <is>
          <t>5 per hand</t>
        </is>
      </c>
      <c r="AH166" s="152" t="inlineStr">
        <is>
          <t>5 per hand</t>
        </is>
      </c>
      <c r="AI166" s="161" t="n">
        <v>4</v>
      </c>
      <c r="AJ166" s="156" t="inlineStr">
        <is>
          <t>RGBD cameras + LiDAR + panoramic cameras</t>
        </is>
      </c>
      <c r="AK166" s="156" t="inlineStr">
        <is>
          <t>RGBD cameras + LiDAR + panoramic cameras</t>
        </is>
      </c>
      <c r="AL166" s="152" t="inlineStr">
        <is>
          <t>Not disclosed</t>
        </is>
      </c>
      <c r="AM166" s="152" t="n"/>
      <c r="AN166" s="152" t="inlineStr">
        <is>
          <t>Not disclosed</t>
        </is>
      </c>
      <c r="AO166" s="152" t="inlineStr">
        <is>
          <t>Not disclosed</t>
        </is>
      </c>
      <c r="AP166" s="152" t="inlineStr">
        <is>
          <t>Not disclosed</t>
        </is>
      </c>
      <c r="AQ166" s="152" t="inlineStr">
        <is>
          <t>Not disclosed</t>
        </is>
      </c>
      <c r="AR166" s="152" t="n"/>
      <c r="AS166" s="152" t="n"/>
      <c r="AT166" s="156" t="inlineStr">
        <is>
          <t>Not disclosed</t>
        </is>
      </c>
      <c r="AU166" s="156" t="inlineStr">
        <is>
          <t>Ethernet; Wi‑Fi</t>
        </is>
      </c>
      <c r="AV166" s="152" t="inlineStr">
        <is>
          <t>Not disclosed</t>
        </is>
      </c>
      <c r="AW166" s="156" t="inlineStr">
        <is>
          <t>Not disclosed</t>
        </is>
      </c>
      <c r="AX166" s="158" t="n">
        <v>2</v>
      </c>
      <c r="AY166" s="156" t="inlineStr">
        <is>
          <t>Not disclosed</t>
        </is>
      </c>
      <c r="AZ166" s="156" t="inlineStr">
        <is>
          <t>Not disclosed</t>
        </is>
      </c>
      <c r="BA166" s="156" t="n"/>
      <c r="BB166" s="156" t="inlineStr">
        <is>
          <t>Likely brushless DC motors with controllers for arm joints and differential or omni wheel drive</t>
        </is>
      </c>
      <c r="BC166" s="156" t="inlineStr">
        <is>
          <t>Not disclosed</t>
        </is>
      </c>
      <c r="BD166" s="152" t="inlineStr">
        <is>
          <t>Not disclosed</t>
        </is>
      </c>
      <c r="BE166" s="152" t="inlineStr">
        <is>
          <t>Not disclosed</t>
        </is>
      </c>
      <c r="BF166" s="152" t="n"/>
      <c r="BG166" s="152" t="n"/>
      <c r="BH166" s="152" t="n"/>
      <c r="BI166" s="152" t="n"/>
      <c r="BJ166" s="152" t="n"/>
      <c r="BK166" s="152" t="n"/>
      <c r="BL166" s="152" t="n"/>
      <c r="BM166" s="152" t="inlineStr">
        <is>
          <t>Yes</t>
        </is>
      </c>
      <c r="BN166" s="152" t="inlineStr">
        <is>
          <t>Not disclosed</t>
        </is>
      </c>
      <c r="BO166" s="156" t="inlineStr">
        <is>
          <t>Market: Hospitality; household services; logistics; Research &amp; education; retail restocking · Manipulation 4/4 · Navigation 2/4 · Human-safe: Yes · AI: Not specified · Actuation: Likely brushless DC motors with controllers for arm joints and differential or omni wheel drive · Peak 4.5 km/h · Runtime 8</t>
        </is>
      </c>
      <c r="BP166" s="152" t="n"/>
      <c r="BQ166" s="156" t="inlineStr">
        <is>
          <t>Hospitality; household services; logistics; Research &amp; education; retail restocking</t>
        </is>
      </c>
      <c r="BR166" s="156" t="inlineStr">
        <is>
          <t>In production</t>
        </is>
      </c>
      <c r="BS166" s="156" t="inlineStr">
        <is>
          <t>In production</t>
        </is>
      </c>
      <c r="BT166" s="152" t="inlineStr">
        <is>
          <t>Dark Grey</t>
        </is>
      </c>
      <c r="BU166" s="152" t="inlineStr">
        <is>
          <t>Verified</t>
        </is>
      </c>
      <c r="BV166" s="156" t="n"/>
      <c r="BW166" s="156" t="inlineStr">
        <is>
          <t>Origin &amp; status — China · In production · 2026 | Manipulation — 5 per hand · 5 per hand fingers · Hand DOF 6 active + 5 passive · Payload 33.1 lb | Sensing &amp; software — RGBD cameras + LiDAR + panoramic cameras | Buying notes — From $34,000 · 12 months manufacturer standard (typical research/commercial humanoid) · Best fit: Hospitality</t>
        </is>
      </c>
      <c r="BX166" s="156" t="inlineStr">
        <is>
          <t>as_shipped|FlashBot Arm|34000|As shipped</t>
        </is>
      </c>
      <c r="BY166" s="152" t="inlineStr">
        <is>
          <t>dark_grey|Dark Grey|#e2e8f0|0</t>
        </is>
      </c>
      <c r="BZ166" s="152" t="inlineStr"/>
      <c r="CA166" s="156" t="n"/>
      <c r="CB166" s="156" t="inlineStr">
        <is>
          <t>12 months manufacturer standard (typical research/commercial humanoid)</t>
        </is>
      </c>
      <c r="CC166" s="154" t="n">
        <v>12</v>
      </c>
      <c r="CD166" s="156" t="inlineStr">
        <is>
          <t>+3 Year Extended ≈24% of configuration (default in configurator)</t>
        </is>
      </c>
      <c r="CE166" s="152" t="inlineStr">
        <is>
          <t>Humanoid category norm 2025–2026</t>
        </is>
      </c>
      <c r="CF166" s="152" t="inlineStr">
        <is>
          <t>Estimated</t>
        </is>
      </c>
      <c r="CG166" s="156" t="inlineStr">
        <is>
          <t>Confirm on formal OEM quote. EDU or enterprise packages may differ.</t>
        </is>
      </c>
      <c r="CH166" s="152" t="inlineStr">
        <is>
          <t>10%</t>
        </is>
      </c>
      <c r="CI166" s="152" t="inlineStr">
        <is>
          <t>17%</t>
        </is>
      </c>
      <c r="CJ166" s="152" t="inlineStr">
        <is>
          <t>24%</t>
        </is>
      </c>
      <c r="CK166" s="156" t="inlineStr">
        <is>
          <t>+1yr ≈10% | +2yr ≈17% | +3yr ≈24% of selected configuration price (parts &amp; labor beyond manufacturer standard).</t>
        </is>
      </c>
      <c r="CL166"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66" s="152" t="inlineStr">
        <is>
          <t>12 months manufacturer standard (typical research/commercial humanoid)</t>
        </is>
      </c>
      <c r="CN166" s="203" t="inlineStr">
        <is>
          <t>https://aixzd.com/robot/flashbot-arm</t>
        </is>
      </c>
      <c r="CQ166" s="101" t="inlineStr">
        <is>
          <t>Height: 4 ft 9 in | Weight: 154.3 | Degrees of Freedom: 7 DOF per arm (two arms → 14 DOF for both arms, excluding hands and any base DOFs) | Payload: 33.1 | Max Speed: 2.8 | Battery / Runtime: ≈ 8 hours</t>
        </is>
      </c>
    </row>
    <row r="167" ht="31.5" customHeight="1" s="102">
      <c r="A167" s="145" t="inlineStr">
        <is>
          <t>pudu_robotics_pudu_d7</t>
        </is>
      </c>
      <c r="B167" s="153" t="inlineStr">
        <is>
          <t>Humanoid.guide</t>
        </is>
      </c>
      <c r="C167" s="145" t="inlineStr">
        <is>
          <t>Pudu Robotics</t>
        </is>
      </c>
      <c r="D167" s="145" t="inlineStr">
        <is>
          <t>Pudu D7</t>
        </is>
      </c>
      <c r="E167" s="145" t="inlineStr">
        <is>
          <t>[Pudu Robotics] Pudu D7 (2026)</t>
        </is>
      </c>
      <c r="F167" s="146" t="inlineStr">
        <is>
          <t>humanoid</t>
        </is>
      </c>
      <c r="G167" s="145" t="inlineStr">
        <is>
          <t>China</t>
        </is>
      </c>
      <c r="H167" s="145" t="n"/>
      <c r="I167" s="148" t="n">
        <v>70000</v>
      </c>
      <c r="J167" s="145" t="inlineStr">
        <is>
          <t>Humanoid.guide list</t>
        </is>
      </c>
      <c r="K167" s="149" t="inlineStr">
        <is>
          <t>Pudu Robotics proudly presents the PUDU D7, a cutting-edge semi-humanoid robot that embodies the future of service automation.</t>
        </is>
      </c>
      <c r="L167" s="101" t="inlineStr">
        <is>
          <t>Pudu Robotics proudly presents the PUDU D7, a cutting-edge semi-humanoid robot that embodies the future of service automation.</t>
        </is>
      </c>
      <c r="M167" s="101" t="inlineStr">
        <is>
          <t>Pudu D7 is Pudu Robotics's humanoid, introduced around 2026 in China. Pudu Robotics proudly presents the PUDU D7, a cutting-edge semi-humanoid robot that embodies the future of service automation. Public status is listed as prototype.</t>
        </is>
      </c>
      <c r="N167" s="150" t="inlineStr">
        <is>
          <t>https://humanoid.guide/product/pudu-d7/</t>
        </is>
      </c>
      <c r="O167" s="150" t="inlineStr">
        <is>
          <t>https://www.pudurobotics.com</t>
        </is>
      </c>
      <c r="P167" s="145" t="inlineStr">
        <is>
          <t>5 ft 5 in</t>
        </is>
      </c>
      <c r="Q167" s="145" t="n">
        <v>165</v>
      </c>
      <c r="R167" s="145" t="n">
        <v>99.2</v>
      </c>
      <c r="S167" s="145" t="n">
        <v>45</v>
      </c>
      <c r="T167" s="149" t="inlineStr">
        <is>
          <t>Not disclosed</t>
        </is>
      </c>
      <c r="U167" s="145" t="n"/>
      <c r="V167" s="145" t="inlineStr">
        <is>
          <t>30</t>
        </is>
      </c>
      <c r="W167" s="149" t="inlineStr">
        <is>
          <t>Not disclosed</t>
        </is>
      </c>
      <c r="X167" s="145" t="n">
        <v>44.1</v>
      </c>
      <c r="Y167" s="145" t="n">
        <v>20</v>
      </c>
      <c r="Z167" s="145" t="n">
        <v>4.47</v>
      </c>
      <c r="AA167" s="145" t="n">
        <v>7.2</v>
      </c>
      <c r="AB167" s="145" t="n">
        <v>7.2</v>
      </c>
      <c r="AC167" s="149" t="inlineStr">
        <is>
          <t>≈ 8 hours</t>
        </is>
      </c>
      <c r="AD167" s="149" t="inlineStr">
        <is>
          <t>8</t>
        </is>
      </c>
      <c r="AE167" s="145" t="n"/>
      <c r="AF167" s="145" t="inlineStr">
        <is>
          <t>Not disclosed</t>
        </is>
      </c>
      <c r="AG167" s="149" t="inlineStr">
        <is>
          <t>Not disclosed</t>
        </is>
      </c>
      <c r="AH167" s="145" t="inlineStr">
        <is>
          <t>Not disclosed</t>
        </is>
      </c>
      <c r="AI167" s="158" t="n">
        <v>2</v>
      </c>
      <c r="AJ167" s="149" t="inlineStr">
        <is>
          <t>Not disclosed</t>
        </is>
      </c>
      <c r="AK167" s="149" t="n"/>
      <c r="AL167" s="145" t="inlineStr">
        <is>
          <t>Not disclosed</t>
        </is>
      </c>
      <c r="AM167" s="145" t="n"/>
      <c r="AN167" s="145" t="inlineStr">
        <is>
          <t>Not disclosed</t>
        </is>
      </c>
      <c r="AO167" s="145" t="inlineStr">
        <is>
          <t>Not disclosed</t>
        </is>
      </c>
      <c r="AP167" s="145" t="inlineStr">
        <is>
          <t>Not disclosed</t>
        </is>
      </c>
      <c r="AQ167" s="145" t="inlineStr">
        <is>
          <t>Not disclosed</t>
        </is>
      </c>
      <c r="AR167" s="145" t="n"/>
      <c r="AS167" s="145" t="n"/>
      <c r="AT167" s="149" t="inlineStr">
        <is>
          <t>Not disclosed</t>
        </is>
      </c>
      <c r="AU167" s="149" t="inlineStr">
        <is>
          <t>Not disclosed</t>
        </is>
      </c>
      <c r="AV167" s="145" t="inlineStr">
        <is>
          <t>Not disclosed</t>
        </is>
      </c>
      <c r="AW167" s="149" t="inlineStr">
        <is>
          <t>Not disclosed</t>
        </is>
      </c>
      <c r="AX167" s="158" t="n">
        <v>2</v>
      </c>
      <c r="AY167" s="149" t="inlineStr">
        <is>
          <t>Not disclosed</t>
        </is>
      </c>
      <c r="AZ167" s="149" t="inlineStr">
        <is>
          <t>Not disclosed</t>
        </is>
      </c>
      <c r="BA167" s="149" t="n"/>
      <c r="BB167" s="149" t="inlineStr">
        <is>
          <t>Not disclosed</t>
        </is>
      </c>
      <c r="BC167" s="149" t="inlineStr">
        <is>
          <t>Not disclosed</t>
        </is>
      </c>
      <c r="BD167" s="145" t="inlineStr">
        <is>
          <t>Not disclosed</t>
        </is>
      </c>
      <c r="BE167" s="145" t="inlineStr">
        <is>
          <t>Not disclosed</t>
        </is>
      </c>
      <c r="BF167" s="145" t="n"/>
      <c r="BG167" s="145" t="n"/>
      <c r="BH167" s="145" t="n"/>
      <c r="BI167" s="145" t="n"/>
      <c r="BJ167" s="145" t="n"/>
      <c r="BK167" s="145" t="n"/>
      <c r="BL167" s="145" t="n"/>
      <c r="BM167" s="145" t="inlineStr">
        <is>
          <t>Not disclosed</t>
        </is>
      </c>
      <c r="BN167" s="145" t="inlineStr">
        <is>
          <t>Not disclosed</t>
        </is>
      </c>
      <c r="BO167" s="149" t="inlineStr">
        <is>
          <t>Manipulation 2/4 · Navigation 2/4 · Peak 7.2 km/h · Walk 7.2 km/h · Runtime 8</t>
        </is>
      </c>
      <c r="BP167" s="145" t="n"/>
      <c r="BQ167" s="149" t="inlineStr">
        <is>
          <t>Research labs, commercial pilots, and education programs evaluating a humanoid from Pudu Robotics (China) now listed as prototype.</t>
        </is>
      </c>
      <c r="BR167" s="149" t="inlineStr">
        <is>
          <t>Prototype</t>
        </is>
      </c>
      <c r="BS167" s="149" t="inlineStr">
        <is>
          <t>Prototype</t>
        </is>
      </c>
      <c r="BT167" s="145" t="n"/>
      <c r="BU167" s="145" t="inlineStr">
        <is>
          <t>Not verified</t>
        </is>
      </c>
      <c r="BV167" s="149" t="n"/>
      <c r="BW167" s="149" t="inlineStr">
        <is>
          <t>Origin &amp; status — China · Prototype · 2026 | Manipulation — Payload 44.1 lb | Sensing &amp; software — Sensor and compute package confirmed on formal quote | Buying notes — From $70,000 · 12 months manufacturer standard (typical research/commercial humanoid)</t>
        </is>
      </c>
      <c r="BX167" s="149" t="inlineStr">
        <is>
          <t>as_shipped|Pudu D7|70000|As shipped</t>
        </is>
      </c>
      <c r="BY167" s="145" t="inlineStr">
        <is>
          <t>pudu_d7|Manufacturer finish|#e2e8f0|0</t>
        </is>
      </c>
      <c r="BZ167" s="145" t="inlineStr"/>
      <c r="CA167" s="149" t="n"/>
      <c r="CB167" s="149" t="inlineStr">
        <is>
          <t>12 months manufacturer standard (typical research/commercial humanoid)</t>
        </is>
      </c>
      <c r="CC167" s="147" t="n">
        <v>12</v>
      </c>
      <c r="CD167" s="149" t="inlineStr">
        <is>
          <t>+3 Year Extended ≈24% of configuration (default in configurator)</t>
        </is>
      </c>
      <c r="CE167" s="145" t="inlineStr">
        <is>
          <t>Humanoid category norm 2025–2026</t>
        </is>
      </c>
      <c r="CF167" s="145" t="inlineStr">
        <is>
          <t>Estimated</t>
        </is>
      </c>
      <c r="CG167" s="149" t="inlineStr">
        <is>
          <t>Confirm on formal OEM quote. EDU or enterprise packages may differ.</t>
        </is>
      </c>
      <c r="CH167" s="145" t="inlineStr">
        <is>
          <t>10%</t>
        </is>
      </c>
      <c r="CI167" s="145" t="inlineStr">
        <is>
          <t>17%</t>
        </is>
      </c>
      <c r="CJ167" s="145" t="inlineStr">
        <is>
          <t>24%</t>
        </is>
      </c>
      <c r="CK167" s="149" t="inlineStr">
        <is>
          <t>+1yr ≈10% | +2yr ≈17% | +3yr ≈24% of selected configuration price (parts &amp; labor beyond manufacturer standard).</t>
        </is>
      </c>
      <c r="CL167"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67" s="145" t="inlineStr">
        <is>
          <t>12 months manufacturer standard (typical research/commercial humanoid)</t>
        </is>
      </c>
      <c r="CQ167" s="101" t="inlineStr">
        <is>
          <t>Height: 5 ft 5 in | Weight: 99.2 | Degrees of Freedom: 30 | Payload: 44.1 | Max Speed: 4.47 | Battery / Runtime: ≈ 8 hours</t>
        </is>
      </c>
    </row>
    <row r="168" ht="31.5" customHeight="1" s="102">
      <c r="A168" s="152" t="inlineStr">
        <is>
          <t>pudu_robotics_pudu_d9</t>
        </is>
      </c>
      <c r="B168" s="153" t="inlineStr">
        <is>
          <t>Humanoid.guide</t>
        </is>
      </c>
      <c r="C168" s="152" t="inlineStr">
        <is>
          <t>Pudu Robotics</t>
        </is>
      </c>
      <c r="D168" s="152" t="inlineStr">
        <is>
          <t>Pudu D9</t>
        </is>
      </c>
      <c r="E168" s="152" t="inlineStr">
        <is>
          <t>[Pudu Robotics] Pudu D9 (2026)</t>
        </is>
      </c>
      <c r="F168" s="146" t="inlineStr">
        <is>
          <t>humanoid</t>
        </is>
      </c>
      <c r="G168" s="152" t="inlineStr">
        <is>
          <t>China</t>
        </is>
      </c>
      <c r="H168" s="152" t="n"/>
      <c r="I168" s="155" t="n">
        <v>100000</v>
      </c>
      <c r="J168" s="152" t="inlineStr">
        <is>
          <t>Humanoid.guide list</t>
        </is>
      </c>
      <c r="K168" s="156" t="inlineStr">
        <is>
          <t>The PUDU D9 is a versatile humanoid robot designed to emulate human capabilities, offering dynamic mobility, precise manipulation, and adaptability across various applications.</t>
        </is>
      </c>
      <c r="L168" s="101" t="inlineStr">
        <is>
          <t>The PUDU D9 is a versatile humanoid robot designed to emulate human capabilities, offering dynamic mobility, precise manipulation, and adaptability across various applications.</t>
        </is>
      </c>
      <c r="M168" s="101" t="inlineStr">
        <is>
          <t>The PUDU D9 is a versatile humanoid robot designed to emulate human capabilities, offering dynamic mobility, precise manipulation, and adaptability across various applications. Public status is listed as prototype.</t>
        </is>
      </c>
      <c r="N168" s="157" t="inlineStr">
        <is>
          <t>https://humanoid.guide/product/pudu-d9/</t>
        </is>
      </c>
      <c r="O168" s="157" t="inlineStr">
        <is>
          <t>https://www.pudurobotics.com</t>
        </is>
      </c>
      <c r="P168" s="152" t="inlineStr">
        <is>
          <t>5 ft 7 in</t>
        </is>
      </c>
      <c r="Q168" s="152" t="n">
        <v>170</v>
      </c>
      <c r="R168" s="152" t="n">
        <v>121.3</v>
      </c>
      <c r="S168" s="152" t="n">
        <v>55</v>
      </c>
      <c r="T168" s="156" t="inlineStr">
        <is>
          <t>Not disclosed</t>
        </is>
      </c>
      <c r="U168" s="152" t="n"/>
      <c r="V168" s="152" t="inlineStr">
        <is>
          <t>42</t>
        </is>
      </c>
      <c r="W168" s="156" t="inlineStr">
        <is>
          <t>Not disclosed</t>
        </is>
      </c>
      <c r="X168" s="152" t="n">
        <v>44.1</v>
      </c>
      <c r="Y168" s="152" t="n">
        <v>20</v>
      </c>
      <c r="Z168" s="152" t="n">
        <v>4.47</v>
      </c>
      <c r="AA168" s="152" t="n">
        <v>7.2</v>
      </c>
      <c r="AB168" s="152" t="n"/>
      <c r="AC168" s="156" t="inlineStr">
        <is>
          <t>≈ 1.5 hours</t>
        </is>
      </c>
      <c r="AD168" s="156" t="inlineStr">
        <is>
          <t>1.5</t>
        </is>
      </c>
      <c r="AE168" s="152" t="n"/>
      <c r="AF168" s="152" t="inlineStr">
        <is>
          <t>Not disclosed</t>
        </is>
      </c>
      <c r="AG168" s="156" t="inlineStr">
        <is>
          <t>Not disclosed</t>
        </is>
      </c>
      <c r="AH168" s="152" t="inlineStr">
        <is>
          <t>Not disclosed</t>
        </is>
      </c>
      <c r="AI168" s="151" t="n">
        <v>3</v>
      </c>
      <c r="AJ168" s="156" t="inlineStr">
        <is>
          <t>Not disclosed</t>
        </is>
      </c>
      <c r="AK168" s="156" t="n"/>
      <c r="AL168" s="152" t="inlineStr">
        <is>
          <t>Not disclosed</t>
        </is>
      </c>
      <c r="AM168" s="152" t="n"/>
      <c r="AN168" s="152" t="inlineStr">
        <is>
          <t>Not disclosed</t>
        </is>
      </c>
      <c r="AO168" s="152" t="inlineStr">
        <is>
          <t>Not disclosed</t>
        </is>
      </c>
      <c r="AP168" s="152" t="inlineStr">
        <is>
          <t>Not disclosed</t>
        </is>
      </c>
      <c r="AQ168" s="152" t="inlineStr">
        <is>
          <t>Not disclosed</t>
        </is>
      </c>
      <c r="AR168" s="152" t="n"/>
      <c r="AS168" s="152" t="n"/>
      <c r="AT168" s="156" t="inlineStr">
        <is>
          <t>Not disclosed</t>
        </is>
      </c>
      <c r="AU168" s="156" t="inlineStr">
        <is>
          <t>Not disclosed</t>
        </is>
      </c>
      <c r="AV168" s="152" t="inlineStr">
        <is>
          <t>Not disclosed</t>
        </is>
      </c>
      <c r="AW168" s="156" t="inlineStr">
        <is>
          <t>Not disclosed</t>
        </is>
      </c>
      <c r="AX168" s="151" t="n">
        <v>3</v>
      </c>
      <c r="AY168" s="156" t="inlineStr">
        <is>
          <t>Not disclosed</t>
        </is>
      </c>
      <c r="AZ168" s="156" t="inlineStr">
        <is>
          <t>Not disclosed</t>
        </is>
      </c>
      <c r="BA168" s="156" t="n"/>
      <c r="BB168" s="156" t="inlineStr">
        <is>
          <t>Not disclosed</t>
        </is>
      </c>
      <c r="BC168" s="156" t="inlineStr">
        <is>
          <t>Not disclosed</t>
        </is>
      </c>
      <c r="BD168" s="152" t="inlineStr">
        <is>
          <t>Not disclosed</t>
        </is>
      </c>
      <c r="BE168" s="152" t="inlineStr">
        <is>
          <t>Not disclosed</t>
        </is>
      </c>
      <c r="BF168" s="152" t="n"/>
      <c r="BG168" s="152" t="n"/>
      <c r="BH168" s="152" t="n"/>
      <c r="BI168" s="152" t="n"/>
      <c r="BJ168" s="152" t="n"/>
      <c r="BK168" s="152" t="n"/>
      <c r="BL168" s="152" t="n"/>
      <c r="BM168" s="152" t="inlineStr">
        <is>
          <t>Not disclosed</t>
        </is>
      </c>
      <c r="BN168" s="152" t="inlineStr">
        <is>
          <t>Not disclosed</t>
        </is>
      </c>
      <c r="BO168" s="156" t="inlineStr">
        <is>
          <t>Manipulation 3/4 · Navigation 3/4 · Peak 7.2 km/h · Runtime 1.5</t>
        </is>
      </c>
      <c r="BP168" s="152" t="n"/>
      <c r="BQ168" s="156" t="inlineStr">
        <is>
          <t>Research labs, commercial pilots, and education programs evaluating a humanoid from Pudu Robotics (China) now listed as prototype.</t>
        </is>
      </c>
      <c r="BR168" s="156" t="inlineStr">
        <is>
          <t>Prototype</t>
        </is>
      </c>
      <c r="BS168" s="156" t="inlineStr">
        <is>
          <t>Prototype</t>
        </is>
      </c>
      <c r="BT168" s="152" t="n"/>
      <c r="BU168" s="152" t="inlineStr">
        <is>
          <t>Not verified</t>
        </is>
      </c>
      <c r="BV168" s="156" t="n"/>
      <c r="BW168" s="156" t="inlineStr">
        <is>
          <t>Origin &amp; status — China · Prototype · 2026 | Manipulation — Payload 44.1 lb | Sensing &amp; software — Sensor and compute package confirmed on formal quote | Buying notes — From $100,000 · 12 months manufacturer standard (typical research/commercial humanoid)</t>
        </is>
      </c>
      <c r="BX168" s="156" t="inlineStr">
        <is>
          <t>as_shipped|Pudu D9|100000|As shipped</t>
        </is>
      </c>
      <c r="BY168" s="152" t="inlineStr">
        <is>
          <t>pudu_d9|Manufacturer finish|#e2e8f0|0</t>
        </is>
      </c>
      <c r="BZ168" s="152" t="inlineStr"/>
      <c r="CA168" s="156" t="n"/>
      <c r="CB168" s="156" t="inlineStr">
        <is>
          <t>12 months manufacturer standard (typical research/commercial humanoid)</t>
        </is>
      </c>
      <c r="CC168" s="154" t="n">
        <v>12</v>
      </c>
      <c r="CD168" s="156" t="inlineStr">
        <is>
          <t>+3 Year Extended ≈24% of configuration (default in configurator)</t>
        </is>
      </c>
      <c r="CE168" s="152" t="inlineStr">
        <is>
          <t>Humanoid category norm 2025–2026</t>
        </is>
      </c>
      <c r="CF168" s="152" t="inlineStr">
        <is>
          <t>Estimated</t>
        </is>
      </c>
      <c r="CG168" s="156" t="inlineStr">
        <is>
          <t>Confirm on formal OEM quote. EDU or enterprise packages may differ.</t>
        </is>
      </c>
      <c r="CH168" s="152" t="inlineStr">
        <is>
          <t>10%</t>
        </is>
      </c>
      <c r="CI168" s="152" t="inlineStr">
        <is>
          <t>17%</t>
        </is>
      </c>
      <c r="CJ168" s="152" t="inlineStr">
        <is>
          <t>24%</t>
        </is>
      </c>
      <c r="CK168" s="156" t="inlineStr">
        <is>
          <t>+1yr ≈10% | +2yr ≈17% | +3yr ≈24% of selected configuration price (parts &amp; labor beyond manufacturer standard).</t>
        </is>
      </c>
      <c r="CL168"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68" s="152" t="inlineStr">
        <is>
          <t>12 months manufacturer standard (typical research/commercial humanoid)</t>
        </is>
      </c>
      <c r="CQ168" s="101" t="inlineStr">
        <is>
          <t>Height: 5 ft 7 in | Weight: 121.3 | Degrees of Freedom: 42 | Payload: 44.1 | Max Speed: 4.47 | Battery / Runtime: ≈ 1.5 hours</t>
        </is>
      </c>
    </row>
    <row r="169" ht="31.5" customHeight="1" s="102">
      <c r="A169" s="145" t="inlineStr">
        <is>
          <t>rainbow_robotics_rb_y1</t>
        </is>
      </c>
      <c r="B169" s="153" t="inlineStr">
        <is>
          <t>Humanoid.guide</t>
        </is>
      </c>
      <c r="C169" s="145" t="inlineStr">
        <is>
          <t>Rainbow Robotics</t>
        </is>
      </c>
      <c r="D169" s="145" t="inlineStr">
        <is>
          <t>RB-Y1</t>
        </is>
      </c>
      <c r="E169" s="145" t="inlineStr">
        <is>
          <t>[Rainbow Robotics] RB-Y1 (2026)</t>
        </is>
      </c>
      <c r="F169" s="146" t="inlineStr">
        <is>
          <t>humanoid</t>
        </is>
      </c>
      <c r="G169" s="145" t="inlineStr">
        <is>
          <t>South Korea</t>
        </is>
      </c>
      <c r="H169" s="145" t="n"/>
      <c r="I169" s="148" t="n">
        <v>120000</v>
      </c>
      <c r="J169" s="145" t="inlineStr">
        <is>
          <t>Humanoid.guide list</t>
        </is>
      </c>
      <c r="K169" s="149" t="inlineStr">
        <is>
          <t>Rainbow Robotics’ newly released Dual-Arm Mobile Manipulator RB-Y1 is equipped with both arms with 7 degrees of freedom per arm and a single leg with 6 degrees of freedom.</t>
        </is>
      </c>
      <c r="L169" s="101" t="inlineStr">
        <is>
          <t>Rainbow Robotics’ newly released Dual-Arm Mobile Manipulator RB-Y1 is equipped with both arms with 7 degrees of freedom per arm and a single leg with 6 degrees of freedom.</t>
        </is>
      </c>
      <c r="M169" s="101" t="inlineStr">
        <is>
          <t>RB-Y1 is Rainbow Robotics's humanoid, introduced around 2026 in South Korea. Rainbow Robotics’ newly released Dual-Arm Mobile Manipulator RB-Y1 is equipped with both arms with 7 degrees of freedom per arm and a single leg with 6 degrees of freedom. Public status is listed as in production.</t>
        </is>
      </c>
      <c r="N169" s="150" t="inlineStr">
        <is>
          <t>https://humanoid.guide/product/rb-y1/</t>
        </is>
      </c>
      <c r="O169" s="150" t="inlineStr">
        <is>
          <t>https://www.rainbow-robotics.com</t>
        </is>
      </c>
      <c r="P169" s="145" t="inlineStr">
        <is>
          <t>5 ft 3 in</t>
        </is>
      </c>
      <c r="Q169" s="145" t="n">
        <v>160</v>
      </c>
      <c r="R169" s="145" t="n">
        <v>288.8</v>
      </c>
      <c r="S169" s="145" t="n">
        <v>131</v>
      </c>
      <c r="T169" s="149" t="inlineStr">
        <is>
          <t>Not disclosed</t>
        </is>
      </c>
      <c r="U169" s="145" t="n"/>
      <c r="V169" s="145" t="inlineStr">
        <is>
          <t>24</t>
        </is>
      </c>
      <c r="W169" s="149" t="inlineStr">
        <is>
          <t>Not disclosed</t>
        </is>
      </c>
      <c r="X169" s="145" t="n">
        <v>6.6</v>
      </c>
      <c r="Y169" s="145" t="n">
        <v>3</v>
      </c>
      <c r="Z169" s="145" t="n">
        <v>3.36</v>
      </c>
      <c r="AA169" s="145" t="n">
        <v>5.4</v>
      </c>
      <c r="AB169" s="145" t="n">
        <v>4</v>
      </c>
      <c r="AC169" s="149" t="inlineStr">
        <is>
          <t>≈ 3 hours</t>
        </is>
      </c>
      <c r="AD169" s="149" t="inlineStr">
        <is>
          <t>3</t>
        </is>
      </c>
      <c r="AE169" s="145" t="n"/>
      <c r="AF169" s="145" t="inlineStr">
        <is>
          <t>Not disclosed</t>
        </is>
      </c>
      <c r="AG169" s="149" t="inlineStr">
        <is>
          <t>Not disclosed</t>
        </is>
      </c>
      <c r="AH169" s="145" t="inlineStr">
        <is>
          <t>Not disclosed</t>
        </is>
      </c>
      <c r="AI169" s="158" t="n">
        <v>2</v>
      </c>
      <c r="AJ169" s="149" t="inlineStr">
        <is>
          <t>Not disclosed</t>
        </is>
      </c>
      <c r="AK169" s="149" t="n"/>
      <c r="AL169" s="145" t="inlineStr">
        <is>
          <t>Not disclosed</t>
        </is>
      </c>
      <c r="AM169" s="145" t="n"/>
      <c r="AN169" s="145" t="inlineStr">
        <is>
          <t>Not disclosed</t>
        </is>
      </c>
      <c r="AO169" s="145" t="inlineStr">
        <is>
          <t>Not disclosed</t>
        </is>
      </c>
      <c r="AP169" s="145" t="inlineStr">
        <is>
          <t>Not disclosed</t>
        </is>
      </c>
      <c r="AQ169" s="145" t="inlineStr">
        <is>
          <t>Not disclosed</t>
        </is>
      </c>
      <c r="AR169" s="145" t="n"/>
      <c r="AS169" s="145" t="n"/>
      <c r="AT169" s="149" t="inlineStr">
        <is>
          <t>Not disclosed</t>
        </is>
      </c>
      <c r="AU169" s="149" t="inlineStr">
        <is>
          <t>Not disclosed</t>
        </is>
      </c>
      <c r="AV169" s="145" t="inlineStr">
        <is>
          <t>Not disclosed</t>
        </is>
      </c>
      <c r="AW169" s="149" t="inlineStr">
        <is>
          <t>Not disclosed</t>
        </is>
      </c>
      <c r="AX169" s="158" t="n">
        <v>2</v>
      </c>
      <c r="AY169" s="149" t="inlineStr">
        <is>
          <t>Not disclosed</t>
        </is>
      </c>
      <c r="AZ169" s="149" t="inlineStr">
        <is>
          <t>Not disclosed</t>
        </is>
      </c>
      <c r="BA169" s="149" t="n"/>
      <c r="BB169" s="149" t="inlineStr">
        <is>
          <t>Not disclosed</t>
        </is>
      </c>
      <c r="BC169" s="149" t="inlineStr">
        <is>
          <t>Not disclosed</t>
        </is>
      </c>
      <c r="BD169" s="145" t="inlineStr">
        <is>
          <t>Not disclosed</t>
        </is>
      </c>
      <c r="BE169" s="145" t="inlineStr">
        <is>
          <t>Not disclosed</t>
        </is>
      </c>
      <c r="BF169" s="145" t="n"/>
      <c r="BG169" s="145" t="n"/>
      <c r="BH169" s="145" t="n"/>
      <c r="BI169" s="145" t="n"/>
      <c r="BJ169" s="145" t="n"/>
      <c r="BK169" s="145" t="n"/>
      <c r="BL169" s="145" t="n"/>
      <c r="BM169" s="145" t="inlineStr">
        <is>
          <t>Not disclosed</t>
        </is>
      </c>
      <c r="BN169" s="145" t="inlineStr">
        <is>
          <t>Not disclosed</t>
        </is>
      </c>
      <c r="BO169" s="149" t="inlineStr">
        <is>
          <t>Manipulation 2/4 · Navigation 2/4 · Peak 5.4 km/h · Walk 4 km/h · Runtime 3</t>
        </is>
      </c>
      <c r="BP169" s="145" t="n"/>
      <c r="BQ169" s="149" t="inlineStr">
        <is>
          <t>Research labs, commercial pilots, and education programs evaluating a humanoid from Rainbow Robotics (South Korea).</t>
        </is>
      </c>
      <c r="BR169" s="149" t="inlineStr">
        <is>
          <t>In production</t>
        </is>
      </c>
      <c r="BS169" s="149" t="inlineStr">
        <is>
          <t>In production</t>
        </is>
      </c>
      <c r="BT169" s="145" t="n"/>
      <c r="BU169" s="145" t="inlineStr">
        <is>
          <t>Not verified</t>
        </is>
      </c>
      <c r="BV169" s="149" t="n"/>
      <c r="BW169" s="149" t="inlineStr">
        <is>
          <t>Origin &amp; status — South Korea · In production · 2026 | Manipulation — Payload 6.6 lb | Sensing &amp; software — Sensor and compute package confirmed on formal quote | Buying notes — From $120,000 · 12 months manufacturer standard (typical research/commercial humanoid)</t>
        </is>
      </c>
      <c r="BX169" s="149" t="inlineStr">
        <is>
          <t>as_shipped|RB-Y1|120000|As shipped</t>
        </is>
      </c>
      <c r="BY169" s="145" t="inlineStr">
        <is>
          <t>rb_y1|Manufacturer finish|#e2e8f0|0</t>
        </is>
      </c>
      <c r="BZ169" s="145" t="inlineStr"/>
      <c r="CA169" s="149" t="n"/>
      <c r="CB169" s="149" t="inlineStr">
        <is>
          <t>12 months manufacturer standard (typical research/commercial humanoid)</t>
        </is>
      </c>
      <c r="CC169" s="147" t="n">
        <v>12</v>
      </c>
      <c r="CD169" s="149" t="inlineStr">
        <is>
          <t>+3 Year Extended ≈24% of configuration (default in configurator)</t>
        </is>
      </c>
      <c r="CE169" s="145" t="inlineStr">
        <is>
          <t>Humanoid category norm 2025–2026</t>
        </is>
      </c>
      <c r="CF169" s="145" t="inlineStr">
        <is>
          <t>Estimated</t>
        </is>
      </c>
      <c r="CG169" s="149" t="inlineStr">
        <is>
          <t>Confirm on formal OEM quote. EDU or enterprise packages may differ.</t>
        </is>
      </c>
      <c r="CH169" s="145" t="inlineStr">
        <is>
          <t>10%</t>
        </is>
      </c>
      <c r="CI169" s="145" t="inlineStr">
        <is>
          <t>17%</t>
        </is>
      </c>
      <c r="CJ169" s="145" t="inlineStr">
        <is>
          <t>24%</t>
        </is>
      </c>
      <c r="CK169" s="149" t="inlineStr">
        <is>
          <t>+1yr ≈10% | +2yr ≈17% | +3yr ≈24% of selected configuration price (parts &amp; labor beyond manufacturer standard).</t>
        </is>
      </c>
      <c r="CL16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69" s="145" t="inlineStr">
        <is>
          <t>12 months manufacturer standard (typical research/commercial humanoid)</t>
        </is>
      </c>
      <c r="CN169" s="203" t="inlineStr">
        <is>
          <t>https://aixzd.com/robot/rb-y1</t>
        </is>
      </c>
      <c r="CQ169" s="101" t="inlineStr">
        <is>
          <t>Height: 5 ft 3 in | Weight: 288.8 | Degrees of Freedom: 24 | Payload: 6.6 | Max Speed: 3.36 | Battery / Runtime: ≈ 3 hours</t>
        </is>
      </c>
    </row>
    <row r="170" ht="31.5" customHeight="1" s="102">
      <c r="A170" s="159" t="inlineStr">
        <is>
          <t>reflex_robotics_reflex</t>
        </is>
      </c>
      <c r="B170" s="153" t="inlineStr">
        <is>
          <t>Major-player brief 11 Sep 2026</t>
        </is>
      </c>
      <c r="C170" s="152" t="inlineStr">
        <is>
          <t>Reflex Robotics</t>
        </is>
      </c>
      <c r="D170" s="152" t="inlineStr">
        <is>
          <t>Reflex</t>
        </is>
      </c>
      <c r="E170" s="152" t="inlineStr">
        <is>
          <t>[Reflex Robotics] Reflex (2026)</t>
        </is>
      </c>
      <c r="F170" s="146" t="inlineStr">
        <is>
          <t>humanoid</t>
        </is>
      </c>
      <c r="G170" s="152" t="inlineStr">
        <is>
          <t>USA</t>
        </is>
      </c>
      <c r="H170" s="199" t="n">
        <v>2026</v>
      </c>
      <c r="I170" s="155" t="n">
        <v>50000</v>
      </c>
      <c r="J170" s="152" t="inlineStr">
        <is>
          <t>Humanoid.guide list</t>
        </is>
      </c>
      <c r="K170" s="156" t="inlineStr">
        <is>
          <t>Reflex takes a different approach with a wheeled platform designed for manufacturing and logistics, supported by real-time human supervision.</t>
        </is>
      </c>
      <c r="L170" s="101" t="inlineStr">
        <is>
          <t>Reflex takes a different approach with a wheeled platform designed for manufacturing and logistics, supported by real-time human supervision.</t>
        </is>
      </c>
      <c r="M170" s="101" t="inlineStr">
        <is>
          <t>Reflex Robotics took a different path from most US humanoid startups: a wheeled platform for manufacturing and logistics, supervised in real time by a human rather than asked to balance on two legs.</t>
        </is>
      </c>
      <c r="N170" s="157" t="inlineStr">
        <is>
          <t>https://humanoid.guide/product/reflex/</t>
        </is>
      </c>
      <c r="O170" s="152" t="inlineStr">
        <is>
          <t>https://www.reflexrobotics.com</t>
        </is>
      </c>
      <c r="P170" s="152" t="n"/>
      <c r="Q170" s="152" t="n">
        <v>0</v>
      </c>
      <c r="R170" s="152" t="n"/>
      <c r="S170" s="152" t="n">
        <v>0</v>
      </c>
      <c r="T170" s="156" t="inlineStr">
        <is>
          <t>Not disclosed</t>
        </is>
      </c>
      <c r="U170" s="152" t="n"/>
      <c r="V170" s="152" t="inlineStr">
        <is>
          <t>0.0</t>
        </is>
      </c>
      <c r="W170" s="156" t="inlineStr">
        <is>
          <t>0.0</t>
        </is>
      </c>
      <c r="X170" s="152" t="n"/>
      <c r="Y170" s="152" t="n">
        <v>0</v>
      </c>
      <c r="Z170" s="152" t="n">
        <v>0</v>
      </c>
      <c r="AA170" s="152" t="n">
        <v>0</v>
      </c>
      <c r="AB170" s="152" t="n">
        <v>0</v>
      </c>
      <c r="AC170" s="156" t="inlineStr">
        <is>
          <t>≈ 16 hours</t>
        </is>
      </c>
      <c r="AD170" s="156" t="inlineStr">
        <is>
          <t>16</t>
        </is>
      </c>
      <c r="AE170" s="152" t="n"/>
      <c r="AF170" s="152" t="inlineStr">
        <is>
          <t>Not disclosed</t>
        </is>
      </c>
      <c r="AG170" s="156" t="inlineStr">
        <is>
          <t>0.0</t>
        </is>
      </c>
      <c r="AH170" s="152" t="inlineStr">
        <is>
          <t>0.0</t>
        </is>
      </c>
      <c r="AI170" s="152" t="n"/>
      <c r="AJ170" s="156" t="inlineStr">
        <is>
          <t>0.0</t>
        </is>
      </c>
      <c r="AK170" s="156" t="inlineStr">
        <is>
          <t>0.0</t>
        </is>
      </c>
      <c r="AL170" s="152" t="inlineStr">
        <is>
          <t>Not disclosed</t>
        </is>
      </c>
      <c r="AM170" s="152" t="n"/>
      <c r="AN170" s="152" t="inlineStr">
        <is>
          <t>Not disclosed</t>
        </is>
      </c>
      <c r="AO170" s="152" t="inlineStr">
        <is>
          <t>Not disclosed</t>
        </is>
      </c>
      <c r="AP170" s="152" t="inlineStr">
        <is>
          <t>Not disclosed</t>
        </is>
      </c>
      <c r="AQ170" s="152" t="inlineStr">
        <is>
          <t>Not disclosed</t>
        </is>
      </c>
      <c r="AR170" s="152" t="n"/>
      <c r="AS170" s="152" t="n"/>
      <c r="AT170" s="156" t="inlineStr">
        <is>
          <t>0.0</t>
        </is>
      </c>
      <c r="AU170" s="156" t="inlineStr">
        <is>
          <t>0.0</t>
        </is>
      </c>
      <c r="AV170" s="152" t="inlineStr">
        <is>
          <t>Not disclosed</t>
        </is>
      </c>
      <c r="AW170" s="156" t="inlineStr">
        <is>
          <t>Not disclosed</t>
        </is>
      </c>
      <c r="AX170" s="152" t="n"/>
      <c r="AY170" s="156" t="inlineStr">
        <is>
          <t>0.0</t>
        </is>
      </c>
      <c r="AZ170" s="156" t="inlineStr">
        <is>
          <t>0.0</t>
        </is>
      </c>
      <c r="BA170" s="156" t="inlineStr">
        <is>
          <t>0.0</t>
        </is>
      </c>
      <c r="BB170" s="156" t="inlineStr">
        <is>
          <t>0.0</t>
        </is>
      </c>
      <c r="BC170" s="156" t="inlineStr">
        <is>
          <t>0.0</t>
        </is>
      </c>
      <c r="BD170" s="152" t="inlineStr">
        <is>
          <t>0.0</t>
        </is>
      </c>
      <c r="BE170" s="152" t="inlineStr">
        <is>
          <t>0.0</t>
        </is>
      </c>
      <c r="BF170" s="152" t="inlineStr">
        <is>
          <t>0.0</t>
        </is>
      </c>
      <c r="BG170" s="152" t="n"/>
      <c r="BH170" s="152" t="n"/>
      <c r="BI170" s="152" t="n"/>
      <c r="BJ170" s="152" t="n"/>
      <c r="BK170" s="152" t="n"/>
      <c r="BL170" s="152" t="n"/>
      <c r="BM170" s="152" t="inlineStr">
        <is>
          <t>Yes</t>
        </is>
      </c>
      <c r="BN170" s="152" t="inlineStr">
        <is>
          <t>Not disclosed</t>
        </is>
      </c>
      <c r="BO170" s="156" t="inlineStr">
        <is>
          <t>Market: Warehousing &amp; Logistics · Human-safe: Yes · AI: 0.0 · Actuation: 0.0 · Runtime 16</t>
        </is>
      </c>
      <c r="BP170" s="152" t="n"/>
      <c r="BQ170" s="156" t="inlineStr">
        <is>
          <t>Wheeled manufacturing and logistics with human supervision</t>
        </is>
      </c>
      <c r="BR170" s="156" t="inlineStr">
        <is>
          <t>Prototype</t>
        </is>
      </c>
      <c r="BS170" s="156" t="inlineStr">
        <is>
          <t>Prototype</t>
        </is>
      </c>
      <c r="BT170" s="152" t="n"/>
      <c r="BU170" s="152" t="inlineStr">
        <is>
          <t>Verified</t>
        </is>
      </c>
      <c r="BV170" s="156" t="n"/>
      <c r="BW170" s="156" t="inlineStr">
        <is>
          <t>Origin &amp; status — USA · Prototype · 2026 | Manipulation — 0.0 · 0.0 fingers · Hand DOF 0.0 | Sensing &amp; software — 0.0 | Buying notes — From $50,000 · 12 months manufacturer standard (typical research/commercial humanoid) · Best fit: Warehousing &amp; Logistics</t>
        </is>
      </c>
      <c r="BX170" s="156" t="inlineStr">
        <is>
          <t>as_shipped|Reflex|50000|As shipped</t>
        </is>
      </c>
      <c r="BY170" s="152" t="inlineStr">
        <is>
          <t>reflex|Manufacturer finish|#e2e8f0|0</t>
        </is>
      </c>
      <c r="BZ170" s="152" t="inlineStr"/>
      <c r="CA170" s="156" t="n"/>
      <c r="CB170" s="156" t="inlineStr">
        <is>
          <t>12 months manufacturer standard (typical research/commercial humanoid)</t>
        </is>
      </c>
      <c r="CC170" s="154" t="n">
        <v>12</v>
      </c>
      <c r="CD170" s="156" t="inlineStr">
        <is>
          <t>+3 Year Extended ≈24% of configuration (default in configurator)</t>
        </is>
      </c>
      <c r="CE170" s="152" t="inlineStr">
        <is>
          <t>Humanoid category norm 2025–2026</t>
        </is>
      </c>
      <c r="CF170" s="152" t="inlineStr">
        <is>
          <t>Estimated</t>
        </is>
      </c>
      <c r="CG170" s="156" t="inlineStr">
        <is>
          <t>Confirm on formal OEM quote. EDU or enterprise packages may differ.</t>
        </is>
      </c>
      <c r="CH170" s="152" t="inlineStr">
        <is>
          <t>10%</t>
        </is>
      </c>
      <c r="CI170" s="152" t="inlineStr">
        <is>
          <t>17%</t>
        </is>
      </c>
      <c r="CJ170" s="152" t="inlineStr">
        <is>
          <t>24%</t>
        </is>
      </c>
      <c r="CK170" s="156" t="inlineStr">
        <is>
          <t>+1yr ≈10% | +2yr ≈17% | +3yr ≈24% of selected configuration price (parts &amp; labor beyond manufacturer standard).</t>
        </is>
      </c>
      <c r="CL170"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70" s="152" t="inlineStr">
        <is>
          <t>12 months manufacturer standard (typical research/commercial humanoid)</t>
        </is>
      </c>
      <c r="CN170" s="203" t="inlineStr">
        <is>
          <t>https://aixzd.com/robot/reflex</t>
        </is>
      </c>
      <c r="CQ170" s="101" t="inlineStr">
        <is>
          <t>Height: Not disclosed | Weight: Not disclosed | Degrees of Freedom: 0.0 | Payload: Not disclosed | Max Speed: 0 | Battery / Runtime: ≈ 16 hours</t>
        </is>
      </c>
    </row>
    <row r="171" ht="31.5" customHeight="1" s="102">
      <c r="A171" s="145" t="inlineStr">
        <is>
          <t>robbyant_ant_lingbo_technology_part_of_ant_group</t>
        </is>
      </c>
      <c r="B171" s="153" t="inlineStr">
        <is>
          <t>Humanoid.guide</t>
        </is>
      </c>
      <c r="C171" s="145" t="inlineStr">
        <is>
          <t>Robbyant (Ant Lingbo Technology), part of Ant Group (China)</t>
        </is>
      </c>
      <c r="D171" s="145" t="inlineStr">
        <is>
          <t>Robbyant R1</t>
        </is>
      </c>
      <c r="E171" s="145" t="inlineStr">
        <is>
          <t>[Robbyant] Robbyant R1 (2026)</t>
        </is>
      </c>
      <c r="F171" s="146" t="inlineStr">
        <is>
          <t>humanoid</t>
        </is>
      </c>
      <c r="G171" s="145" t="inlineStr">
        <is>
          <t>China</t>
        </is>
      </c>
      <c r="H171" s="145" t="n"/>
      <c r="I171" s="148" t="n">
        <v>55000</v>
      </c>
      <c r="J171" s="145" t="inlineStr">
        <is>
          <t>Humanoid.guide list</t>
        </is>
      </c>
      <c r="K171" s="149" t="inlineStr">
        <is>
          <t>Robbyant R1 is a wheeled humanoid robot developed by Ant Group’s robotics arm, designed to bring embodied AI into real-world settings — from kitchens and museums to hospitality, medical support, and public services.</t>
        </is>
      </c>
      <c r="L171" s="101" t="inlineStr">
        <is>
          <t>Robbyant R1 is a wheeled humanoid robot developed by Ant Group’s robotics arm, designed to bring embodied AI into real-world settings — from kitchens and museums to hospitality, medical support, and public services.</t>
        </is>
      </c>
      <c r="M171" s="101" t="inlineStr">
        <is>
          <t>Robbyant R1 is a wheeled humanoid robot developed by Ant Group’s robotics arm, designed to bring embodied AI into real-world settings — from kitchens and museums to hospitality, medical support, and public services. Public status is listed as in production, and it is positioned for hospitality, kitchens, service, hospitality, tourism (museum tours), healthcare / medical assistance, public services, institutional deployments (not consumer).</t>
        </is>
      </c>
      <c r="N171" s="150" t="inlineStr">
        <is>
          <t>https://humanoid.guide/product/robbyant-r1/</t>
        </is>
      </c>
      <c r="O171" s="150" t="inlineStr">
        <is>
          <t>https://www.antgroup.com</t>
        </is>
      </c>
      <c r="P171" s="145" t="inlineStr">
        <is>
          <t>5 ft 3 in</t>
        </is>
      </c>
      <c r="Q171" s="145" t="n">
        <v>160</v>
      </c>
      <c r="R171" s="145" t="n">
        <v>242.5</v>
      </c>
      <c r="S171" s="145" t="n">
        <v>110</v>
      </c>
      <c r="T171" s="149" t="inlineStr">
        <is>
          <t>Not disclosed</t>
        </is>
      </c>
      <c r="U171" s="145" t="n"/>
      <c r="V171" s="145" t="inlineStr">
        <is>
          <t>34</t>
        </is>
      </c>
      <c r="W171" s="149" t="inlineStr">
        <is>
          <t>Not disclosed</t>
        </is>
      </c>
      <c r="X171" s="145" t="n">
        <v>13.2</v>
      </c>
      <c r="Y171" s="145" t="n">
        <v>6</v>
      </c>
      <c r="Z171" s="145" t="n">
        <v>3.36</v>
      </c>
      <c r="AA171" s="145" t="n">
        <v>5.4</v>
      </c>
      <c r="AB171" s="145" t="n">
        <v>5.4</v>
      </c>
      <c r="AC171" s="149" t="inlineStr">
        <is>
          <t>Not disclosed</t>
        </is>
      </c>
      <c r="AD171" s="149" t="n"/>
      <c r="AE171" s="145" t="n"/>
      <c r="AF171" s="145" t="inlineStr">
        <is>
          <t>Not disclosed</t>
        </is>
      </c>
      <c r="AG171" s="149" t="inlineStr">
        <is>
          <t>Not disclosed</t>
        </is>
      </c>
      <c r="AH171" s="145" t="inlineStr">
        <is>
          <t>Not disclosed</t>
        </is>
      </c>
      <c r="AI171" s="158" t="n">
        <v>2</v>
      </c>
      <c r="AJ171" s="149" t="inlineStr">
        <is>
          <t>Uses multimodal perception camera</t>
        </is>
      </c>
      <c r="AK171" s="149" t="inlineStr">
        <is>
          <t>Uses multimodal perception camera</t>
        </is>
      </c>
      <c r="AL171" s="145" t="inlineStr">
        <is>
          <t>Not disclosed</t>
        </is>
      </c>
      <c r="AM171" s="145" t="n"/>
      <c r="AN171" s="145" t="inlineStr">
        <is>
          <t>Not disclosed</t>
        </is>
      </c>
      <c r="AO171" s="145" t="inlineStr">
        <is>
          <t>Not disclosed</t>
        </is>
      </c>
      <c r="AP171" s="145" t="inlineStr">
        <is>
          <t>Not disclosed</t>
        </is>
      </c>
      <c r="AQ171" s="145" t="inlineStr">
        <is>
          <t>Not disclosed</t>
        </is>
      </c>
      <c r="AR171" s="145" t="n"/>
      <c r="AS171" s="145" t="n"/>
      <c r="AT171" s="149" t="inlineStr">
        <is>
          <t>Not disclosed</t>
        </is>
      </c>
      <c r="AU171" s="149" t="inlineStr">
        <is>
          <t>Bluetooth; Wi‑Fi</t>
        </is>
      </c>
      <c r="AV171" s="145" t="inlineStr">
        <is>
          <t>Not disclosed</t>
        </is>
      </c>
      <c r="AW171" s="149" t="inlineStr">
        <is>
          <t>Not disclosed</t>
        </is>
      </c>
      <c r="AX171" s="151" t="n">
        <v>3</v>
      </c>
      <c r="AY171" s="149" t="inlineStr">
        <is>
          <t>Not disclosed</t>
        </is>
      </c>
      <c r="AZ171" s="149" t="inlineStr">
        <is>
          <t>Bailing LLM</t>
        </is>
      </c>
      <c r="BA171" s="149" t="n"/>
      <c r="BB171" s="149" t="inlineStr">
        <is>
          <t>48 V DC geared motors with encoders</t>
        </is>
      </c>
      <c r="BC171" s="149" t="inlineStr">
        <is>
          <t>Not disclosed</t>
        </is>
      </c>
      <c r="BD171" s="145" t="inlineStr">
        <is>
          <t>Not disclosed</t>
        </is>
      </c>
      <c r="BE171" s="145" t="inlineStr">
        <is>
          <t>Not disclosed</t>
        </is>
      </c>
      <c r="BF171" s="145" t="n"/>
      <c r="BG171" s="145" t="n"/>
      <c r="BH171" s="145" t="n"/>
      <c r="BI171" s="145" t="n"/>
      <c r="BJ171" s="145" t="n"/>
      <c r="BK171" s="145" t="n"/>
      <c r="BL171" s="145" t="n"/>
      <c r="BM171" s="145" t="inlineStr">
        <is>
          <t>Not disclosed</t>
        </is>
      </c>
      <c r="BN171" s="145" t="inlineStr">
        <is>
          <t>Not disclosed</t>
        </is>
      </c>
      <c r="BO171" s="149" t="inlineStr">
        <is>
          <t>Market: Hospitality, kitchens, service, hospitality, tourism (museum tours), healthcare / medical assistance, public services, institutional deployments (not consumer). · Manipulation 2/4 · Navigation 3/4 · AI: Bailing LLM · Actuation: 48 V DC geared motors with encoders · Peak 5.4 km/h · Walk 5.4 km/h</t>
        </is>
      </c>
      <c r="BP171" s="145" t="n"/>
      <c r="BQ171" s="149" t="inlineStr">
        <is>
          <t>Hospitality, kitchens, service, hospitality, tourism (museum tours), healthcare / medical assistance, public services, institutional deployments (not consumer).</t>
        </is>
      </c>
      <c r="BR171" s="149" t="inlineStr">
        <is>
          <t>In production</t>
        </is>
      </c>
      <c r="BS171" s="149" t="inlineStr">
        <is>
          <t>In production</t>
        </is>
      </c>
      <c r="BT171" s="145" t="inlineStr">
        <is>
          <t>Silver; White</t>
        </is>
      </c>
      <c r="BU171" s="145" t="inlineStr">
        <is>
          <t>Not verified</t>
        </is>
      </c>
      <c r="BV171" s="149" t="n"/>
      <c r="BW171" s="149" t="inlineStr">
        <is>
          <t>Origin &amp; status — China · In production · 2026 | Manipulation — Payload 13.2 lb | Sensing &amp; software — Uses multimodal perception camera · Bailing LLM | Buying notes — From $55,000 · 12 months manufacturer standard (typical research/commercial humanoid) · Best fit: Hospitality, kitchens, service, hospitality, tourism (museum tou…</t>
        </is>
      </c>
      <c r="BX171" s="149" t="inlineStr">
        <is>
          <t>as_shipped|Robbyant R1|55000|As shipped</t>
        </is>
      </c>
      <c r="BY171" s="145" t="inlineStr">
        <is>
          <t>silver|Silver|#e2e8f0|0 || white|White|#1e293b|0</t>
        </is>
      </c>
      <c r="BZ171" s="145" t="inlineStr"/>
      <c r="CA171" s="149" t="n"/>
      <c r="CB171" s="149" t="inlineStr">
        <is>
          <t>12 months manufacturer standard (typical research/commercial humanoid)</t>
        </is>
      </c>
      <c r="CC171" s="147" t="n">
        <v>12</v>
      </c>
      <c r="CD171" s="149" t="inlineStr">
        <is>
          <t>+3 Year Extended ≈24% of configuration (default in configurator)</t>
        </is>
      </c>
      <c r="CE171" s="145" t="inlineStr">
        <is>
          <t>Humanoid category norm 2025–2026</t>
        </is>
      </c>
      <c r="CF171" s="145" t="inlineStr">
        <is>
          <t>Estimated</t>
        </is>
      </c>
      <c r="CG171" s="149" t="inlineStr">
        <is>
          <t>Confirm on formal OEM quote. EDU or enterprise packages may differ.</t>
        </is>
      </c>
      <c r="CH171" s="145" t="inlineStr">
        <is>
          <t>10%</t>
        </is>
      </c>
      <c r="CI171" s="145" t="inlineStr">
        <is>
          <t>17%</t>
        </is>
      </c>
      <c r="CJ171" s="145" t="inlineStr">
        <is>
          <t>24%</t>
        </is>
      </c>
      <c r="CK171" s="149" t="inlineStr">
        <is>
          <t>+1yr ≈10% | +2yr ≈17% | +3yr ≈24% of selected configuration price (parts &amp; labor beyond manufacturer standard).</t>
        </is>
      </c>
      <c r="CL17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71" s="145" t="inlineStr">
        <is>
          <t>12 months manufacturer standard (typical research/commercial humanoid)</t>
        </is>
      </c>
      <c r="CN171" s="203" t="inlineStr">
        <is>
          <t>https://aixzd.com/robot/robbyant-r1</t>
        </is>
      </c>
      <c r="CQ171" s="101" t="inlineStr">
        <is>
          <t>Height: 5 ft 3 in | Weight: 242.5 | Degrees of Freedom: 34 | Payload: 13.2 | Max Speed: 3.36 | Battery / Runtime: Not disclosed</t>
        </is>
      </c>
    </row>
    <row r="172" ht="31.5" customHeight="1" s="102">
      <c r="A172" s="152" t="inlineStr">
        <is>
          <t>robo_robotics_inc_robo_t1</t>
        </is>
      </c>
      <c r="B172" s="153" t="inlineStr">
        <is>
          <t>Humanoid.guide</t>
        </is>
      </c>
      <c r="C172" s="152" t="inlineStr">
        <is>
          <t>Robo Robotics Inc.</t>
        </is>
      </c>
      <c r="D172" s="152" t="inlineStr">
        <is>
          <t>ROBO-T1</t>
        </is>
      </c>
      <c r="E172" s="152" t="inlineStr">
        <is>
          <t>[Robo Robotics Inc.] ROBO-T1 (2026)</t>
        </is>
      </c>
      <c r="F172" s="146" t="inlineStr">
        <is>
          <t>humanoid</t>
        </is>
      </c>
      <c r="G172" s="152" t="inlineStr">
        <is>
          <t>USA</t>
        </is>
      </c>
      <c r="H172" s="152" t="n"/>
      <c r="I172" s="155" t="n">
        <v>12000</v>
      </c>
      <c r="J172" s="152" t="inlineStr">
        <is>
          <t>Humanoid.guide list</t>
        </is>
      </c>
      <c r="K172" s="156" t="inlineStr">
        <is>
          <t>ROBO-T1 is a teachable bimanual humanoid with dual 6-DOF arms designed for industrial automation, deployable across manufacturing, logistics, healthcare, and food production with remote operator support and continuous learning capabilities.</t>
        </is>
      </c>
      <c r="L172" s="101" t="inlineStr">
        <is>
          <t>ROBO-T1 is a teachable bimanual humanoid with dual 6-DOF arms designed for industrial automation, deployable across manufacturing, logistics, healthcare, and food production with remote operator support and continuous learning capabilities.</t>
        </is>
      </c>
      <c r="M172" s="101" t="inlineStr">
        <is>
          <t>ROBO-T1 is a teachable bimanual humanoid with dual 6-DOF arms designed for industrial automation, deployable across manufacturing, logistics, healthcare, and food production with remote operator support and continuous learning capabilities. Public status is listed as in production, and it is positioned for industrial automation; Manufacturing.</t>
        </is>
      </c>
      <c r="N172" s="157" t="inlineStr">
        <is>
          <t>https://humanoid.guide/product/robo-t1/</t>
        </is>
      </c>
      <c r="O172" s="152" t="inlineStr">
        <is>
          <t>https://www.roborobotics.com</t>
        </is>
      </c>
      <c r="P172" s="152" t="inlineStr">
        <is>
          <t>4 ft 3 in</t>
        </is>
      </c>
      <c r="Q172" s="152" t="n">
        <v>130</v>
      </c>
      <c r="R172" s="152" t="n">
        <v>110.2</v>
      </c>
      <c r="S172" s="152" t="n">
        <v>50</v>
      </c>
      <c r="T172" s="156" t="inlineStr">
        <is>
          <t>Not disclosed</t>
        </is>
      </c>
      <c r="U172" s="152" t="n"/>
      <c r="V172" s="152" t="inlineStr">
        <is>
          <t>12</t>
        </is>
      </c>
      <c r="W172" s="156" t="inlineStr">
        <is>
          <t>6</t>
        </is>
      </c>
      <c r="X172" s="152" t="n">
        <v>11</v>
      </c>
      <c r="Y172" s="152" t="n">
        <v>5</v>
      </c>
      <c r="Z172" s="152" t="n">
        <v>1.24</v>
      </c>
      <c r="AA172" s="152" t="n">
        <v>2</v>
      </c>
      <c r="AB172" s="152" t="n"/>
      <c r="AC172" s="156" t="inlineStr">
        <is>
          <t>≈ 4 hours</t>
        </is>
      </c>
      <c r="AD172" s="156" t="inlineStr">
        <is>
          <t>4</t>
        </is>
      </c>
      <c r="AE172" s="152" t="n"/>
      <c r="AF172" s="152" t="inlineStr">
        <is>
          <t>Not disclosed</t>
        </is>
      </c>
      <c r="AG172" s="156" t="inlineStr">
        <is>
          <t>2-finger gripping claws</t>
        </is>
      </c>
      <c r="AH172" s="152" t="inlineStr">
        <is>
          <t>2-finger gripping claws</t>
        </is>
      </c>
      <c r="AI172" s="152" t="n"/>
      <c r="AJ172" s="156" t="inlineStr">
        <is>
          <t>Not disclosed</t>
        </is>
      </c>
      <c r="AK172" s="156" t="n"/>
      <c r="AL172" s="152" t="inlineStr">
        <is>
          <t>Not disclosed</t>
        </is>
      </c>
      <c r="AM172" s="152" t="n"/>
      <c r="AN172" s="152" t="inlineStr">
        <is>
          <t>Not disclosed</t>
        </is>
      </c>
      <c r="AO172" s="152" t="inlineStr">
        <is>
          <t>Not disclosed</t>
        </is>
      </c>
      <c r="AP172" s="152" t="inlineStr">
        <is>
          <t>Not disclosed</t>
        </is>
      </c>
      <c r="AQ172" s="152" t="inlineStr">
        <is>
          <t>Not disclosed</t>
        </is>
      </c>
      <c r="AR172" s="152" t="n"/>
      <c r="AS172" s="152" t="n"/>
      <c r="AT172" s="156" t="inlineStr">
        <is>
          <t>Not disclosed</t>
        </is>
      </c>
      <c r="AU172" s="156" t="inlineStr">
        <is>
          <t>Ethernet; Wi-Fi</t>
        </is>
      </c>
      <c r="AV172" s="152" t="inlineStr">
        <is>
          <t>Not disclosed</t>
        </is>
      </c>
      <c r="AW172" s="156" t="inlineStr">
        <is>
          <t>Not disclosed</t>
        </is>
      </c>
      <c r="AX172" s="152" t="n"/>
      <c r="AY172" s="156" t="inlineStr">
        <is>
          <t>Not disclosed</t>
        </is>
      </c>
      <c r="AZ172" s="156" t="inlineStr">
        <is>
          <t>Behavior learning from demonstrations</t>
        </is>
      </c>
      <c r="BA172" s="156" t="n"/>
      <c r="BB172" s="156" t="inlineStr">
        <is>
          <t>Electric servo motors</t>
        </is>
      </c>
      <c r="BC172" s="156" t="inlineStr">
        <is>
          <t>Harmonic drives</t>
        </is>
      </c>
      <c r="BD172" s="152" t="inlineStr">
        <is>
          <t>Aluminum + composites</t>
        </is>
      </c>
      <c r="BE172" s="152" t="inlineStr">
        <is>
          <t>Not disclosed</t>
        </is>
      </c>
      <c r="BF172" s="152" t="n"/>
      <c r="BG172" s="152" t="n"/>
      <c r="BH172" s="152" t="n"/>
      <c r="BI172" s="152" t="n"/>
      <c r="BJ172" s="152" t="n"/>
      <c r="BK172" s="152" t="n"/>
      <c r="BL172" s="152" t="n"/>
      <c r="BM172" s="152" t="inlineStr">
        <is>
          <t>Yes</t>
        </is>
      </c>
      <c r="BN172" s="152" t="inlineStr">
        <is>
          <t>Not disclosed</t>
        </is>
      </c>
      <c r="BO172" s="156" t="inlineStr">
        <is>
          <t>Market: Industrial automation; Manufacturing · Human-safe: Yes · AI: Behavior learning from demonstrations · Actuation: Electric servo motors · Peak 2 km/h · Runtime 4</t>
        </is>
      </c>
      <c r="BP172" s="152" t="n"/>
      <c r="BQ172" s="156" t="inlineStr">
        <is>
          <t>Industrial automation; Manufacturing</t>
        </is>
      </c>
      <c r="BR172" s="156" t="inlineStr">
        <is>
          <t>In production</t>
        </is>
      </c>
      <c r="BS172" s="156" t="inlineStr">
        <is>
          <t>In production</t>
        </is>
      </c>
      <c r="BT172" s="152" t="n"/>
      <c r="BU172" s="152" t="inlineStr">
        <is>
          <t>Not verified</t>
        </is>
      </c>
      <c r="BV172" s="156" t="n"/>
      <c r="BW172" s="156" t="inlineStr">
        <is>
          <t>Origin &amp; status — USA · In production · 2026 | Manipulation — 2-finger gripping claws · Hand DOF 6 · Payload 11 lb | Sensing &amp; software — Behavior learning from demonstrations | Buying notes — From $12,000 · 12 months manufacturer standard (typical research/commercial humanoid) · Best fit: Industrial automation</t>
        </is>
      </c>
      <c r="BX172" s="156" t="inlineStr">
        <is>
          <t>as_shipped|ROBO-T1|12000|As shipped</t>
        </is>
      </c>
      <c r="BY172" s="152" t="inlineStr">
        <is>
          <t>robo_t1|Manufacturer finish|#e2e8f0|0</t>
        </is>
      </c>
      <c r="BZ172" s="152" t="inlineStr"/>
      <c r="CA172" s="156" t="n"/>
      <c r="CB172" s="156" t="inlineStr">
        <is>
          <t>12 months manufacturer standard (typical research/commercial humanoid)</t>
        </is>
      </c>
      <c r="CC172" s="154" t="n">
        <v>12</v>
      </c>
      <c r="CD172" s="156" t="inlineStr">
        <is>
          <t>+3 Year Extended ≈24% of configuration (default in configurator)</t>
        </is>
      </c>
      <c r="CE172" s="152" t="inlineStr">
        <is>
          <t>Humanoid category norm 2025–2026</t>
        </is>
      </c>
      <c r="CF172" s="152" t="inlineStr">
        <is>
          <t>Estimated</t>
        </is>
      </c>
      <c r="CG172" s="156" t="inlineStr">
        <is>
          <t>Confirm on formal OEM quote. EDU or enterprise packages may differ.</t>
        </is>
      </c>
      <c r="CH172" s="152" t="inlineStr">
        <is>
          <t>10%</t>
        </is>
      </c>
      <c r="CI172" s="152" t="inlineStr">
        <is>
          <t>17%</t>
        </is>
      </c>
      <c r="CJ172" s="152" t="inlineStr">
        <is>
          <t>24%</t>
        </is>
      </c>
      <c r="CK172" s="156" t="inlineStr">
        <is>
          <t>+1yr ≈10% | +2yr ≈17% | +3yr ≈24% of selected configuration price (parts &amp; labor beyond manufacturer standard).</t>
        </is>
      </c>
      <c r="CL172"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72" s="152" t="inlineStr">
        <is>
          <t>12 months manufacturer standard (typical research/commercial humanoid)</t>
        </is>
      </c>
      <c r="CQ172" s="101" t="inlineStr">
        <is>
          <t>Height: 4 ft 3 in | Weight: 110.2 | Degrees of Freedom: 12 | Payload: 11 | Max Speed: 1.24 | Battery / Runtime: ≈ 4 hours</t>
        </is>
      </c>
    </row>
    <row r="173" ht="31.5" customHeight="1" s="102">
      <c r="A173" s="145" t="inlineStr">
        <is>
          <t>roboforce_titan</t>
        </is>
      </c>
      <c r="B173" s="153" t="inlineStr">
        <is>
          <t>Humanoid.guide</t>
        </is>
      </c>
      <c r="C173" s="145" t="inlineStr">
        <is>
          <t>RoboForce</t>
        </is>
      </c>
      <c r="D173" s="145" t="inlineStr">
        <is>
          <t>TITAN</t>
        </is>
      </c>
      <c r="E173" s="145" t="inlineStr">
        <is>
          <t>[RoboForce] TITAN (2026)</t>
        </is>
      </c>
      <c r="F173" s="146" t="inlineStr">
        <is>
          <t>humanoid</t>
        </is>
      </c>
      <c r="G173" s="145" t="inlineStr">
        <is>
          <t>USA</t>
        </is>
      </c>
      <c r="H173" s="145" t="n"/>
      <c r="I173" s="148" t="n">
        <v>100000</v>
      </c>
      <c r="J173" s="145" t="inlineStr">
        <is>
          <t>Humanoid.guide list</t>
        </is>
      </c>
      <c r="K173" s="149" t="inlineStr">
        <is>
          <t>TITAN by RoboForce is a rugged, AI-powered industrial humanoid robot with dual-arm manipulation, 1 mm precision and 40 kg payload, built to automate harsh outdoor and heavy-duty jobs.</t>
        </is>
      </c>
      <c r="L173" s="101" t="inlineStr">
        <is>
          <t>TITAN by RoboForce is a rugged, AI-powered industrial humanoid robot with dual-arm manipulation, 1 mm precision and 40 kg payload, built to automate harsh outdoor and heavy-duty jobs.</t>
        </is>
      </c>
      <c r="M173" s="101" t="inlineStr">
        <is>
          <t>TITAN by RoboForce is a rugged, AI-powered industrial humanoid robot with dual-arm manipulation, 1 mm precision and 40 kg payload, built to automate harsh outdoor and heavy-duty jobs. Public status is listed as prototype, and it is positioned for data Center; Manufacturing; Mining; Shipping; Solar; Space.</t>
        </is>
      </c>
      <c r="N173" s="150" t="inlineStr">
        <is>
          <t>https://humanoid.guide/product/titan/</t>
        </is>
      </c>
      <c r="O173" s="150" t="inlineStr">
        <is>
          <t>http://www.roboforce.ai</t>
        </is>
      </c>
      <c r="P173" s="145" t="inlineStr">
        <is>
          <t>6 ft 11 in</t>
        </is>
      </c>
      <c r="Q173" s="145" t="n">
        <v>210</v>
      </c>
      <c r="R173" s="145" t="n"/>
      <c r="S173" s="145" t="n"/>
      <c r="T173" s="149" t="inlineStr">
        <is>
          <t>Not disclosed</t>
        </is>
      </c>
      <c r="U173" s="145" t="n"/>
      <c r="V173" s="145" t="inlineStr">
        <is>
          <t>Not disclosed</t>
        </is>
      </c>
      <c r="W173" s="149" t="inlineStr">
        <is>
          <t>Not disclosed</t>
        </is>
      </c>
      <c r="X173" s="145" t="n">
        <v>88.2</v>
      </c>
      <c r="Y173" s="145" t="n">
        <v>40</v>
      </c>
      <c r="Z173" s="145" t="n">
        <v>5.59</v>
      </c>
      <c r="AA173" s="145" t="n">
        <v>9</v>
      </c>
      <c r="AB173" s="145" t="n">
        <v>9</v>
      </c>
      <c r="AC173" s="149" t="inlineStr">
        <is>
          <t>≈ 8 hours</t>
        </is>
      </c>
      <c r="AD173" s="149" t="inlineStr">
        <is>
          <t>8</t>
        </is>
      </c>
      <c r="AE173" s="145" t="n"/>
      <c r="AF173" s="145" t="inlineStr">
        <is>
          <t>Not disclosed</t>
        </is>
      </c>
      <c r="AG173" s="149" t="inlineStr">
        <is>
          <t>4</t>
        </is>
      </c>
      <c r="AH173" s="145" t="inlineStr">
        <is>
          <t>4</t>
        </is>
      </c>
      <c r="AI173" s="158" t="n">
        <v>2</v>
      </c>
      <c r="AJ173" s="149" t="inlineStr">
        <is>
          <t>Not disclosed</t>
        </is>
      </c>
      <c r="AK173" s="149" t="inlineStr">
        <is>
          <t>Not specified</t>
        </is>
      </c>
      <c r="AL173" s="145" t="inlineStr">
        <is>
          <t>Not disclosed</t>
        </is>
      </c>
      <c r="AM173" s="145" t="n"/>
      <c r="AN173" s="145" t="inlineStr">
        <is>
          <t>Not disclosed</t>
        </is>
      </c>
      <c r="AO173" s="145" t="inlineStr">
        <is>
          <t>Not disclosed</t>
        </is>
      </c>
      <c r="AP173" s="145" t="inlineStr">
        <is>
          <t>Not disclosed</t>
        </is>
      </c>
      <c r="AQ173" s="145" t="inlineStr">
        <is>
          <t>Not disclosed</t>
        </is>
      </c>
      <c r="AR173" s="145" t="n"/>
      <c r="AS173" s="145" t="n"/>
      <c r="AT173" s="149" t="inlineStr">
        <is>
          <t>Not disclosed</t>
        </is>
      </c>
      <c r="AU173" s="149" t="inlineStr">
        <is>
          <t>Not disclosed</t>
        </is>
      </c>
      <c r="AV173" s="145" t="inlineStr">
        <is>
          <t>Not disclosed</t>
        </is>
      </c>
      <c r="AW173" s="149" t="inlineStr">
        <is>
          <t>Not disclosed</t>
        </is>
      </c>
      <c r="AX173" s="158" t="n">
        <v>2</v>
      </c>
      <c r="AY173" s="149" t="inlineStr">
        <is>
          <t>Not disclosed</t>
        </is>
      </c>
      <c r="AZ173" s="149" t="inlineStr">
        <is>
          <t>Not disclosed</t>
        </is>
      </c>
      <c r="BA173" s="149" t="inlineStr">
        <is>
          <t>Not specified</t>
        </is>
      </c>
      <c r="BB173" s="149" t="inlineStr">
        <is>
          <t>Not disclosed</t>
        </is>
      </c>
      <c r="BC173" s="149" t="inlineStr">
        <is>
          <t>Not disclosed</t>
        </is>
      </c>
      <c r="BD173" s="145" t="inlineStr">
        <is>
          <t>Not disclosed</t>
        </is>
      </c>
      <c r="BE173" s="145" t="inlineStr">
        <is>
          <t>Not disclosed</t>
        </is>
      </c>
      <c r="BF173" s="145" t="inlineStr">
        <is>
          <t>Not specified</t>
        </is>
      </c>
      <c r="BG173" s="145" t="n"/>
      <c r="BH173" s="145" t="n"/>
      <c r="BI173" s="145" t="n"/>
      <c r="BJ173" s="145" t="n"/>
      <c r="BK173" s="145" t="n"/>
      <c r="BL173" s="145" t="n"/>
      <c r="BM173" s="145" t="inlineStr">
        <is>
          <t>Yes</t>
        </is>
      </c>
      <c r="BN173" s="145" t="inlineStr">
        <is>
          <t>Not disclosed</t>
        </is>
      </c>
      <c r="BO173" s="149" t="inlineStr">
        <is>
          <t>Market: Data Center; Manufacturing; Mining; Shipping; Solar; Space · Manipulation 2/4 · Navigation 2/4 · Human-safe: Yes · AI: Not specified · Actuation: Not specified · Peak 9 km/h · Walk 9 km/h · Runtime 8</t>
        </is>
      </c>
      <c r="BP173" s="145" t="n"/>
      <c r="BQ173" s="149" t="inlineStr">
        <is>
          <t>Data Center; Manufacturing; Mining; Shipping; Solar; Space</t>
        </is>
      </c>
      <c r="BR173" s="149" t="inlineStr">
        <is>
          <t>Prototype</t>
        </is>
      </c>
      <c r="BS173" s="149" t="inlineStr">
        <is>
          <t>Prototype</t>
        </is>
      </c>
      <c r="BT173" s="145" t="n"/>
      <c r="BU173" s="145" t="inlineStr">
        <is>
          <t>Not verified</t>
        </is>
      </c>
      <c r="BV173" s="149" t="n"/>
      <c r="BW173" s="149" t="inlineStr">
        <is>
          <t>Origin &amp; status — USA · Prototype · 2026 | Manipulation — 4 · 4 fingers · Payload 88.2 lb | Sensing &amp; software — Sensor and compute package confirmed on formal quote | Buying notes — From $100,000 · 12 months manufacturer standard (typical research/commercial humanoid) · Best fit: Data Center</t>
        </is>
      </c>
      <c r="BX173" s="149" t="inlineStr">
        <is>
          <t>as_shipped|TITAN|100000|As shipped</t>
        </is>
      </c>
      <c r="BY173" s="145" t="inlineStr">
        <is>
          <t>titan|Manufacturer finish|#e2e8f0|0</t>
        </is>
      </c>
      <c r="BZ173" s="145" t="inlineStr"/>
      <c r="CA173" s="149" t="n"/>
      <c r="CB173" s="149" t="inlineStr">
        <is>
          <t>12 months manufacturer standard (typical research/commercial humanoid)</t>
        </is>
      </c>
      <c r="CC173" s="147" t="n">
        <v>12</v>
      </c>
      <c r="CD173" s="149" t="inlineStr">
        <is>
          <t>+3 Year Extended ≈24% of configuration (default in configurator)</t>
        </is>
      </c>
      <c r="CE173" s="145" t="inlineStr">
        <is>
          <t>Humanoid category norm 2025–2026</t>
        </is>
      </c>
      <c r="CF173" s="145" t="inlineStr">
        <is>
          <t>Estimated</t>
        </is>
      </c>
      <c r="CG173" s="149" t="inlineStr">
        <is>
          <t>Confirm on formal OEM quote. EDU or enterprise packages may differ.</t>
        </is>
      </c>
      <c r="CH173" s="145" t="inlineStr">
        <is>
          <t>10%</t>
        </is>
      </c>
      <c r="CI173" s="145" t="inlineStr">
        <is>
          <t>17%</t>
        </is>
      </c>
      <c r="CJ173" s="145" t="inlineStr">
        <is>
          <t>24%</t>
        </is>
      </c>
      <c r="CK173" s="149" t="inlineStr">
        <is>
          <t>+1yr ≈10% | +2yr ≈17% | +3yr ≈24% of selected configuration price (parts &amp; labor beyond manufacturer standard).</t>
        </is>
      </c>
      <c r="CL173"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73" s="145" t="inlineStr">
        <is>
          <t>12 months manufacturer standard (typical research/commercial humanoid)</t>
        </is>
      </c>
      <c r="CN173" s="203" t="inlineStr">
        <is>
          <t>https://aixzd.com/robot/titan</t>
        </is>
      </c>
      <c r="CQ173" s="101" t="inlineStr">
        <is>
          <t>Height: 6 ft 11 in | Weight: Not disclosed | Degrees of Freedom: Not disclosed | Payload: 88.2 | Max Speed: 5.59 | Battery / Runtime: ≈ 8 hours</t>
        </is>
      </c>
    </row>
    <row r="174" ht="31.5" customHeight="1" s="102">
      <c r="A174" s="152" t="inlineStr">
        <is>
          <t>roboligent_inc_robin</t>
        </is>
      </c>
      <c r="B174" s="153" t="inlineStr">
        <is>
          <t>Humanoid.guide</t>
        </is>
      </c>
      <c r="C174" s="152" t="inlineStr">
        <is>
          <t>Roboligent Inc.</t>
        </is>
      </c>
      <c r="D174" s="152" t="inlineStr">
        <is>
          <t>Robin</t>
        </is>
      </c>
      <c r="E174" s="152" t="inlineStr">
        <is>
          <t>[Roboligent Inc.] Robin (2026)</t>
        </is>
      </c>
      <c r="F174" s="146" t="inlineStr">
        <is>
          <t>humanoid</t>
        </is>
      </c>
      <c r="G174" s="152" t="inlineStr">
        <is>
          <t>USA</t>
        </is>
      </c>
      <c r="H174" s="152" t="n"/>
      <c r="I174" s="155" t="n">
        <v>85000</v>
      </c>
      <c r="J174" s="152" t="inlineStr">
        <is>
          <t>Humanoid.guide list</t>
        </is>
      </c>
      <c r="K174" s="156" t="inlineStr">
        <is>
          <t>ROBIN is a mobile dual‑arm robot from Roboligent that blends compliant manipulators, AI-based imitation learning, and navigation to automate material handling, machine tending, and logistics in smart factories.</t>
        </is>
      </c>
      <c r="L174" s="101" t="inlineStr">
        <is>
          <t>ROBIN is a mobile dual‑arm robot from Roboligent that blends compliant manipulators, AI-based imitation learning, and navigation to automate material handling, machine tending, and logistics in smart factories.</t>
        </is>
      </c>
      <c r="M174" s="101" t="inlineStr">
        <is>
          <t>ROBIN is a mobile dual‑arm robot from Roboligent that blends compliant manipulators, AI-based imitation learning, and navigation to automate material handling, machine tending, and logistics in smart factories. Public status is listed as in production, and it is positioned for factory automation; logistics; Manufacturing; Warehouse.</t>
        </is>
      </c>
      <c r="N174" s="157" t="inlineStr">
        <is>
          <t>https://humanoid.guide/product/robin/</t>
        </is>
      </c>
      <c r="O174" s="157" t="inlineStr">
        <is>
          <t>https://www.roboligent.com/</t>
        </is>
      </c>
      <c r="P174" s="152" t="inlineStr">
        <is>
          <t>4 ft 11 in</t>
        </is>
      </c>
      <c r="Q174" s="152" t="n">
        <v>150</v>
      </c>
      <c r="R174" s="152" t="n">
        <v>176.4</v>
      </c>
      <c r="S174" s="152" t="n">
        <v>80</v>
      </c>
      <c r="T174" s="156" t="inlineStr">
        <is>
          <t>Not disclosed</t>
        </is>
      </c>
      <c r="U174" s="152" t="n"/>
      <c r="V174" s="152" t="inlineStr">
        <is>
          <t>14</t>
        </is>
      </c>
      <c r="W174" s="156" t="inlineStr">
        <is>
          <t>Not disclosed</t>
        </is>
      </c>
      <c r="X174" s="152" t="n">
        <v>22</v>
      </c>
      <c r="Y174" s="152" t="n">
        <v>10</v>
      </c>
      <c r="Z174" s="152" t="n">
        <v>2.8</v>
      </c>
      <c r="AA174" s="152" t="n">
        <v>4.5</v>
      </c>
      <c r="AB174" s="152" t="n"/>
      <c r="AC174" s="156" t="inlineStr">
        <is>
          <t>≈ 8 hours</t>
        </is>
      </c>
      <c r="AD174" s="156" t="inlineStr">
        <is>
          <t>8</t>
        </is>
      </c>
      <c r="AE174" s="152" t="n"/>
      <c r="AF174" s="152" t="inlineStr">
        <is>
          <t>Not disclosed</t>
        </is>
      </c>
      <c r="AG174" s="156" t="inlineStr">
        <is>
          <t>2–5 per hand</t>
        </is>
      </c>
      <c r="AH174" s="152" t="inlineStr">
        <is>
          <t>2–5 per hand</t>
        </is>
      </c>
      <c r="AI174" s="161" t="n">
        <v>4</v>
      </c>
      <c r="AJ174" s="156" t="inlineStr">
        <is>
          <t>Not disclosed</t>
        </is>
      </c>
      <c r="AK174" s="156" t="n"/>
      <c r="AL174" s="152" t="inlineStr">
        <is>
          <t>Not disclosed</t>
        </is>
      </c>
      <c r="AM174" s="152" t="n"/>
      <c r="AN174" s="152" t="inlineStr">
        <is>
          <t>Not disclosed</t>
        </is>
      </c>
      <c r="AO174" s="152" t="inlineStr">
        <is>
          <t>Not disclosed</t>
        </is>
      </c>
      <c r="AP174" s="152" t="inlineStr">
        <is>
          <t>Not disclosed</t>
        </is>
      </c>
      <c r="AQ174" s="152" t="inlineStr">
        <is>
          <t>Not disclosed</t>
        </is>
      </c>
      <c r="AR174" s="152" t="n"/>
      <c r="AS174" s="152" t="n"/>
      <c r="AT174" s="156" t="inlineStr">
        <is>
          <t>Not disclosed</t>
        </is>
      </c>
      <c r="AU174" s="156" t="inlineStr">
        <is>
          <t>Ethernet; Wi‑Fi</t>
        </is>
      </c>
      <c r="AV174" s="152" t="inlineStr">
        <is>
          <t>Not disclosed</t>
        </is>
      </c>
      <c r="AW174" s="156" t="inlineStr">
        <is>
          <t>Not disclosed</t>
        </is>
      </c>
      <c r="AX174" s="151" t="n">
        <v>3</v>
      </c>
      <c r="AY174" s="156" t="inlineStr">
        <is>
          <t>Not disclosed</t>
        </is>
      </c>
      <c r="AZ174" s="156" t="inlineStr">
        <is>
          <t>Not disclosed</t>
        </is>
      </c>
      <c r="BA174" s="156" t="n"/>
      <c r="BB174" s="156" t="inlineStr">
        <is>
          <t>Compliant “soft‑robot” arms with force‑control actuators; base likely uses standard electric motors/wheel drive</t>
        </is>
      </c>
      <c r="BC174" s="156" t="inlineStr">
        <is>
          <t>Not disclosed</t>
        </is>
      </c>
      <c r="BD174" s="152" t="inlineStr">
        <is>
          <t>Not disclosed</t>
        </is>
      </c>
      <c r="BE174" s="152" t="inlineStr">
        <is>
          <t>IP20</t>
        </is>
      </c>
      <c r="BF174" s="152" t="inlineStr">
        <is>
          <t>IP20</t>
        </is>
      </c>
      <c r="BG174" s="152" t="n"/>
      <c r="BH174" s="152" t="n"/>
      <c r="BI174" s="152" t="n"/>
      <c r="BJ174" s="152" t="n"/>
      <c r="BK174" s="152" t="n"/>
      <c r="BL174" s="152" t="n"/>
      <c r="BM174" s="152" t="inlineStr">
        <is>
          <t>Yes</t>
        </is>
      </c>
      <c r="BN174" s="152" t="inlineStr">
        <is>
          <t>Not disclosed</t>
        </is>
      </c>
      <c r="BO174" s="156" t="inlineStr">
        <is>
          <t>Market: factory automation; logistics; Manufacturing; Warehouse · Manipulation 4/4 · Navigation 3/4 · Human-safe: Yes · AI: Not specified · Actuation: Compliant “soft‑robot” arms with force‑control actuators; base likely uses standard electric motors/wheel d… · Peak 4.5 km/h · Runtime 8</t>
        </is>
      </c>
      <c r="BP174" s="152" t="n"/>
      <c r="BQ174" s="156" t="inlineStr">
        <is>
          <t>factory automation; logistics; Manufacturing; Warehouse</t>
        </is>
      </c>
      <c r="BR174" s="156" t="inlineStr">
        <is>
          <t>In production</t>
        </is>
      </c>
      <c r="BS174" s="156" t="inlineStr">
        <is>
          <t>In production</t>
        </is>
      </c>
      <c r="BT174" s="152" t="inlineStr">
        <is>
          <t>Black; White</t>
        </is>
      </c>
      <c r="BU174" s="152" t="inlineStr">
        <is>
          <t>Not verified</t>
        </is>
      </c>
      <c r="BV174" s="156" t="n"/>
      <c r="BW174" s="156" t="inlineStr">
        <is>
          <t>Origin &amp; status — USA · In production · 2026 | Manipulation — 2–5 per hand · 2–5 per hand fingers · Payload 22 lb | Sensing &amp; software — Sensor and compute package confirmed on formal quote | Buying notes — From $85,000 · 12 months manufacturer standard (typical research/commercial humanoid) · Best fit: factory automation</t>
        </is>
      </c>
      <c r="BX174" s="156" t="inlineStr">
        <is>
          <t>as_shipped|Robin|85000|As shipped</t>
        </is>
      </c>
      <c r="BY174" s="152" t="inlineStr">
        <is>
          <t>black|Black|#e2e8f0|0 || white|White|#1e293b|0</t>
        </is>
      </c>
      <c r="BZ174" s="152" t="inlineStr"/>
      <c r="CA174" s="156" t="n"/>
      <c r="CB174" s="156" t="inlineStr">
        <is>
          <t>12 months manufacturer standard (typical research/commercial humanoid)</t>
        </is>
      </c>
      <c r="CC174" s="154" t="n">
        <v>12</v>
      </c>
      <c r="CD174" s="156" t="inlineStr">
        <is>
          <t>+3 Year Extended ≈24% of configuration (default in configurator)</t>
        </is>
      </c>
      <c r="CE174" s="152" t="inlineStr">
        <is>
          <t>Humanoid category norm 2025–2026</t>
        </is>
      </c>
      <c r="CF174" s="152" t="inlineStr">
        <is>
          <t>Estimated</t>
        </is>
      </c>
      <c r="CG174" s="156" t="inlineStr">
        <is>
          <t>Confirm on formal OEM quote. EDU or enterprise packages may differ.</t>
        </is>
      </c>
      <c r="CH174" s="152" t="inlineStr">
        <is>
          <t>10%</t>
        </is>
      </c>
      <c r="CI174" s="152" t="inlineStr">
        <is>
          <t>17%</t>
        </is>
      </c>
      <c r="CJ174" s="152" t="inlineStr">
        <is>
          <t>24%</t>
        </is>
      </c>
      <c r="CK174" s="156" t="inlineStr">
        <is>
          <t>+1yr ≈10% | +2yr ≈17% | +3yr ≈24% of selected configuration price (parts &amp; labor beyond manufacturer standard).</t>
        </is>
      </c>
      <c r="CL174"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74" s="152" t="inlineStr">
        <is>
          <t>12 months manufacturer standard (typical research/commercial humanoid)</t>
        </is>
      </c>
      <c r="CQ174" s="101" t="inlineStr">
        <is>
          <t>Height: 4 ft 11 in | Weight: 176.4 | Degrees of Freedom: 14 | Payload: 22 | Max Speed: 2.8 | Battery / Runtime: ≈ 8 hours</t>
        </is>
      </c>
    </row>
    <row r="175" ht="31.5" customHeight="1" s="102">
      <c r="A175" s="145" t="inlineStr">
        <is>
          <t>robot_com_rnoid</t>
        </is>
      </c>
      <c r="B175" s="153" t="inlineStr">
        <is>
          <t>Humanoid.guide</t>
        </is>
      </c>
      <c r="C175" s="145" t="inlineStr">
        <is>
          <t>Robot.com</t>
        </is>
      </c>
      <c r="D175" s="145" t="inlineStr">
        <is>
          <t>RNoid</t>
        </is>
      </c>
      <c r="E175" s="145" t="inlineStr">
        <is>
          <t>[Robot.com] RNoid (2026)</t>
        </is>
      </c>
      <c r="F175" s="146" t="inlineStr">
        <is>
          <t>humanoid</t>
        </is>
      </c>
      <c r="G175" s="145" t="inlineStr">
        <is>
          <t>USA</t>
        </is>
      </c>
      <c r="H175" s="145" t="n"/>
      <c r="I175" s="148" t="n">
        <v>19000</v>
      </c>
      <c r="J175" s="145" t="inlineStr">
        <is>
          <t>Humanoid.guide list</t>
        </is>
      </c>
      <c r="K175" s="149" t="inlineStr">
        <is>
          <t>RNoid is a friendly, service-focused humanoid robot designed for indoor customer support and front-desk assistance.</t>
        </is>
      </c>
      <c r="L175" s="101" t="inlineStr">
        <is>
          <t>RNoid is a friendly, service-focused humanoid robot designed for indoor customer support and front-desk assistance.</t>
        </is>
      </c>
      <c r="M175" s="101" t="inlineStr">
        <is>
          <t>RNoid is a friendly, service-focused humanoid robot designed for indoor customer support and front-desk assistance. Public status is listed as production-ready prototype / early commercial units, and it is positioned for hospitality; reception; Workplace assistance, light logistics, education.</t>
        </is>
      </c>
      <c r="N175" s="150" t="inlineStr">
        <is>
          <t>https://humanoid.guide/product/r-noid/</t>
        </is>
      </c>
      <c r="O175" s="150" t="inlineStr">
        <is>
          <t>https://www.robot.com/</t>
        </is>
      </c>
      <c r="P175" s="145" t="inlineStr">
        <is>
          <t>5 ft 3 in</t>
        </is>
      </c>
      <c r="Q175" s="145" t="n">
        <v>160</v>
      </c>
      <c r="R175" s="145" t="n">
        <v>110.2</v>
      </c>
      <c r="S175" s="145" t="n">
        <v>50</v>
      </c>
      <c r="T175" s="149" t="inlineStr">
        <is>
          <t>Not disclosed</t>
        </is>
      </c>
      <c r="U175" s="145" t="inlineStr">
        <is>
          <t>95 × 70 × 170 cm</t>
        </is>
      </c>
      <c r="V175" s="145" t="inlineStr">
        <is>
          <t>22</t>
        </is>
      </c>
      <c r="W175" s="149" t="inlineStr">
        <is>
          <t>10</t>
        </is>
      </c>
      <c r="X175" s="145" t="n">
        <v>19.8</v>
      </c>
      <c r="Y175" s="145" t="n">
        <v>9</v>
      </c>
      <c r="Z175" s="145" t="n">
        <v>3.73</v>
      </c>
      <c r="AA175" s="145" t="n">
        <v>6</v>
      </c>
      <c r="AB175" s="145" t="n">
        <v>6</v>
      </c>
      <c r="AC175" s="149" t="inlineStr">
        <is>
          <t>≈ 6 hours</t>
        </is>
      </c>
      <c r="AD175" s="149" t="inlineStr">
        <is>
          <t>6</t>
        </is>
      </c>
      <c r="AE175" s="145" t="n"/>
      <c r="AF175" s="145" t="inlineStr">
        <is>
          <t>Not disclosed</t>
        </is>
      </c>
      <c r="AG175" s="149" t="inlineStr">
        <is>
          <t>5 per hand</t>
        </is>
      </c>
      <c r="AH175" s="145" t="inlineStr">
        <is>
          <t>5 per hand</t>
        </is>
      </c>
      <c r="AI175" s="158" t="n">
        <v>2</v>
      </c>
      <c r="AJ175" s="149" t="inlineStr">
        <is>
          <t>1080p</t>
        </is>
      </c>
      <c r="AK175" s="149" t="inlineStr">
        <is>
          <t>1080p</t>
        </is>
      </c>
      <c r="AL175" s="145" t="inlineStr">
        <is>
          <t>Not disclosed</t>
        </is>
      </c>
      <c r="AM175" s="145" t="n"/>
      <c r="AN175" s="145" t="inlineStr">
        <is>
          <t>Not disclosed</t>
        </is>
      </c>
      <c r="AO175" s="145" t="inlineStr">
        <is>
          <t>Not disclosed</t>
        </is>
      </c>
      <c r="AP175" s="145" t="inlineStr">
        <is>
          <t>Not disclosed</t>
        </is>
      </c>
      <c r="AQ175" s="145" t="inlineStr">
        <is>
          <t>Not disclosed</t>
        </is>
      </c>
      <c r="AR175" s="145" t="n"/>
      <c r="AS175" s="145" t="n"/>
      <c r="AT175" s="149" t="inlineStr">
        <is>
          <t>ARM-based CPU + embedded AI accelerator (assumed)</t>
        </is>
      </c>
      <c r="AU175" s="149" t="inlineStr">
        <is>
          <t>Wi-Fi, Bluetooth, 5G</t>
        </is>
      </c>
      <c r="AV175" s="145" t="inlineStr">
        <is>
          <t>Not disclosed</t>
        </is>
      </c>
      <c r="AW175" s="149" t="inlineStr">
        <is>
          <t>Not disclosed</t>
        </is>
      </c>
      <c r="AX175" s="151" t="n">
        <v>3</v>
      </c>
      <c r="AY175" s="149" t="inlineStr">
        <is>
          <t>Linux + robot.com service OS layer</t>
        </is>
      </c>
      <c r="AZ175" s="149" t="inlineStr">
        <is>
          <t>Cloud-based LLM dialogue support</t>
        </is>
      </c>
      <c r="BA175" s="149" t="inlineStr">
        <is>
          <t>250–450 ms</t>
        </is>
      </c>
      <c r="BB175" s="149" t="inlineStr">
        <is>
          <t>Brushless Motor</t>
        </is>
      </c>
      <c r="BC175" s="149" t="inlineStr">
        <is>
          <t>Harmonic drive for arms, planetary gears in joints</t>
        </is>
      </c>
      <c r="BD175" s="145" t="inlineStr">
        <is>
          <t>Aluminum alloy + ABS composite shells</t>
        </is>
      </c>
      <c r="BE175" s="145" t="inlineStr">
        <is>
          <t>IP32</t>
        </is>
      </c>
      <c r="BF175" s="145" t="inlineStr">
        <is>
          <t>IP32</t>
        </is>
      </c>
      <c r="BG175" s="145" t="n"/>
      <c r="BH175" s="145" t="n"/>
      <c r="BI175" s="145" t="n"/>
      <c r="BJ175" s="145" t="n"/>
      <c r="BK175" s="145" t="n"/>
      <c r="BL175" s="145" t="n"/>
      <c r="BM175" s="145" t="inlineStr">
        <is>
          <t>Yes</t>
        </is>
      </c>
      <c r="BN175" s="145" t="inlineStr">
        <is>
          <t>Not disclosed</t>
        </is>
      </c>
      <c r="BO175" s="149" t="inlineStr">
        <is>
          <t>Market: Hospitality; reception; Workplace assistance, light logistics, education · Manipulation 2/4 · Navigation 3/4 · Human-safe: Yes · AI: Cloud-based LLM dialogue support · Actuation: Brushless Motor · Peak 6 km/h · Walk 6 km/h · Runtime 6</t>
        </is>
      </c>
      <c r="BP175" s="145" t="n"/>
      <c r="BQ175" s="149" t="inlineStr">
        <is>
          <t>Hospitality; reception; Workplace assistance, light logistics, education</t>
        </is>
      </c>
      <c r="BR175" s="149" t="inlineStr">
        <is>
          <t>Production-ready prototype / early commercial units</t>
        </is>
      </c>
      <c r="BS175" s="149" t="inlineStr">
        <is>
          <t>Production-ready prototype / early commercial units</t>
        </is>
      </c>
      <c r="BT175" s="145" t="inlineStr">
        <is>
          <t>White</t>
        </is>
      </c>
      <c r="BU175" s="145" t="inlineStr">
        <is>
          <t>Not verified</t>
        </is>
      </c>
      <c r="BV175" s="149" t="n"/>
      <c r="BW175" s="149" t="inlineStr">
        <is>
          <t>Origin &amp; status — USA · Production-ready prototype / early commercial units · 2026 | Manipulation — 5 per hand · 5 per hand fingers · Hand DOF 10 · Payload 19.8 lb | Sensing &amp; software — 1080p · Cloud-based LLM dialogue support · Linux + robot.com service OS layer | Buying notes — From $19,000 · 12 months manufacturer standard (typical research/commercial humanoid) · Best fit: Hospitality</t>
        </is>
      </c>
      <c r="BX175" s="149" t="inlineStr">
        <is>
          <t>as_shipped|RNoid|19000|As shipped</t>
        </is>
      </c>
      <c r="BY175" s="145" t="inlineStr">
        <is>
          <t>white|White|#e2e8f0|0</t>
        </is>
      </c>
      <c r="BZ175" s="145" t="inlineStr"/>
      <c r="CA175" s="149" t="n"/>
      <c r="CB175" s="149" t="inlineStr">
        <is>
          <t>12 months manufacturer standard (typical research/commercial humanoid)</t>
        </is>
      </c>
      <c r="CC175" s="147" t="n">
        <v>12</v>
      </c>
      <c r="CD175" s="149" t="inlineStr">
        <is>
          <t>+3 Year Extended ≈24% of configuration (default in configurator)</t>
        </is>
      </c>
      <c r="CE175" s="145" t="inlineStr">
        <is>
          <t>Humanoid category norm 2025–2026</t>
        </is>
      </c>
      <c r="CF175" s="145" t="inlineStr">
        <is>
          <t>Estimated</t>
        </is>
      </c>
      <c r="CG175" s="149" t="inlineStr">
        <is>
          <t>Confirm on formal OEM quote. EDU or enterprise packages may differ.</t>
        </is>
      </c>
      <c r="CH175" s="145" t="inlineStr">
        <is>
          <t>10%</t>
        </is>
      </c>
      <c r="CI175" s="145" t="inlineStr">
        <is>
          <t>17%</t>
        </is>
      </c>
      <c r="CJ175" s="145" t="inlineStr">
        <is>
          <t>24%</t>
        </is>
      </c>
      <c r="CK175" s="149" t="inlineStr">
        <is>
          <t>+1yr ≈10% | +2yr ≈17% | +3yr ≈24% of selected configuration price (parts &amp; labor beyond manufacturer standard).</t>
        </is>
      </c>
      <c r="CL17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75" s="145" t="inlineStr">
        <is>
          <t>12 months manufacturer standard (typical research/commercial humanoid)</t>
        </is>
      </c>
      <c r="CQ175" s="101" t="inlineStr">
        <is>
          <t>Height: 5 ft 3 in | Weight: 110.2 | Degrees of Freedom: 22 | Payload: 19.8 | Max Speed: 3.73 | Battery / Runtime: ≈ 6 hours</t>
        </is>
      </c>
    </row>
    <row r="176" ht="31.5" customHeight="1" s="102">
      <c r="A176" s="159" t="inlineStr">
        <is>
          <t>robotera_l7</t>
        </is>
      </c>
      <c r="B176" s="144" t="inlineStr">
        <is>
          <t>Both</t>
        </is>
      </c>
      <c r="C176" s="152" t="inlineStr">
        <is>
          <t>RobotEra</t>
        </is>
      </c>
      <c r="D176" s="152" t="inlineStr">
        <is>
          <t>Robotera L7</t>
        </is>
      </c>
      <c r="E176" s="152" t="inlineStr">
        <is>
          <t>[RobotEra] L7 (2025)</t>
        </is>
      </c>
      <c r="F176" s="146" t="inlineStr">
        <is>
          <t>humanoid</t>
        </is>
      </c>
      <c r="G176" s="152" t="inlineStr">
        <is>
          <t>China</t>
        </is>
      </c>
      <c r="H176" s="154" t="n">
        <v>2025</v>
      </c>
      <c r="I176" s="155" t="n">
        <v>50000</v>
      </c>
      <c r="J176" s="152" t="inlineStr">
        <is>
          <t>Website store</t>
        </is>
      </c>
      <c r="K176" s="156" t="inlineStr">
        <is>
          <t>RobotEra L7 is a 171 cm‑tall, 65 kg Chinese humanoid that reaches 4 m/s and wields 12‑DoF dexterous hands, aiming to blend flashy agility with factory‑grade manipulation for logistics and service deployments.</t>
        </is>
      </c>
      <c r="L176" s="101" t="inlineStr">
        <is>
          <t>RobotEra L7 is a 171 cm‑tall, 65 kg Chinese humanoid that reaches 4 m/s and wields 12‑DoF dexterous hands, aiming to blend flashy agility with factory‑grade manipulation for logistics and service deployments.</t>
        </is>
      </c>
      <c r="M176" s="101" t="inlineStr">
        <is>
          <t>RobotEra L7 is a 171 cm‑tall, 65 kg Chinese humanoid that reaches 4 m/s and wields 12‑DoF dexterous hands, aiming to blend flashy agility with factory‑grade manipulation for logistics and service deployments. Public status is listed as mass deployment (thousands in Chinese logistics centers 2026), and it is positioned for logistics / Industrial / Athletic.</t>
        </is>
      </c>
      <c r="N176" s="157" t="inlineStr">
        <is>
          <t>https://humanoid.guide/product/robotera-l7/</t>
        </is>
      </c>
      <c r="O176" s="157" t="inlineStr">
        <is>
          <t>https://www.robotera.com</t>
        </is>
      </c>
      <c r="P176" s="152" t="inlineStr">
        <is>
          <t>5 ft 7 in – 5 ft 9 in</t>
        </is>
      </c>
      <c r="Q176" s="152" t="n">
        <v>171</v>
      </c>
      <c r="R176" s="152" t="n">
        <v>143.3</v>
      </c>
      <c r="S176" s="152" t="n">
        <v>65</v>
      </c>
      <c r="T176" s="156" t="inlineStr">
        <is>
          <t>Not disclosed</t>
        </is>
      </c>
      <c r="U176" s="152" t="n"/>
      <c r="V176" s="152" t="inlineStr">
        <is>
          <t>55</t>
        </is>
      </c>
      <c r="W176" s="156" t="inlineStr">
        <is>
          <t>12</t>
        </is>
      </c>
      <c r="X176" s="152" t="inlineStr">
        <is>
          <t>20 lb</t>
        </is>
      </c>
      <c r="Y176" s="152" t="n">
        <v>20</v>
      </c>
      <c r="Z176" s="152" t="n">
        <v>8.949999999999999</v>
      </c>
      <c r="AA176" s="152" t="n">
        <v>14.4</v>
      </c>
      <c r="AB176" s="152" t="n"/>
      <c r="AC176" s="156" t="inlineStr">
        <is>
          <t>Not disclosed</t>
        </is>
      </c>
      <c r="AD176" s="156" t="inlineStr">
        <is>
          <t>Not specified</t>
        </is>
      </c>
      <c r="AE176" s="152" t="n"/>
      <c r="AF176" s="152" t="inlineStr">
        <is>
          <t>Not disclosed</t>
        </is>
      </c>
      <c r="AG176" s="156" t="inlineStr">
        <is>
          <t>Grippers or dexterous hands depending on configuration</t>
        </is>
      </c>
      <c r="AH176" s="152" t="inlineStr">
        <is>
          <t>10</t>
        </is>
      </c>
      <c r="AI176" s="158" t="n">
        <v>2</v>
      </c>
      <c r="AJ176" s="156" t="inlineStr">
        <is>
          <t>RGB and/or depth cameras for navigation and manipulation (configuration specific)</t>
        </is>
      </c>
      <c r="AK176" s="156" t="inlineStr">
        <is>
          <t>Multi‑sensor head (stereo RGB‑D + LiDAR)</t>
        </is>
      </c>
      <c r="AL176" s="152" t="inlineStr">
        <is>
          <t>Onboard streams for teleoperation and logging when equipped</t>
        </is>
      </c>
      <c r="AM176" s="152" t="n"/>
      <c r="AN176" s="152" t="inlineStr">
        <is>
          <t>Not disclosed</t>
        </is>
      </c>
      <c r="AO176" s="152" t="inlineStr">
        <is>
          <t>Microphone array on interaction-oriented builds</t>
        </is>
      </c>
      <c r="AP176" s="152" t="inlineStr">
        <is>
          <t>Not disclosed</t>
        </is>
      </c>
      <c r="AQ176" s="152" t="inlineStr">
        <is>
          <t>Not disclosed</t>
        </is>
      </c>
      <c r="AR176" s="152" t="n"/>
      <c r="AS176" s="152" t="n"/>
      <c r="AT176" s="156" t="inlineStr">
        <is>
          <t>“ERA‑42” on‑board embodied‑AI computer</t>
        </is>
      </c>
      <c r="AU176" s="156" t="inlineStr">
        <is>
          <t>Not disclosed</t>
        </is>
      </c>
      <c r="AV176" s="152" t="inlineStr">
        <is>
          <t>Manufacturer app and/or SDK</t>
        </is>
      </c>
      <c r="AW176" s="156" t="inlineStr">
        <is>
          <t>Bipedal balance and walking controllers</t>
        </is>
      </c>
      <c r="AX176" s="158" t="n">
        <v>2</v>
      </c>
      <c r="AY176" s="156" t="inlineStr">
        <is>
          <t>Not disclosed</t>
        </is>
      </c>
      <c r="AZ176" s="156" t="inlineStr">
        <is>
          <t>ERA‑42 large multimodal model for vision &amp; language</t>
        </is>
      </c>
      <c r="BA176" s="156" t="inlineStr">
        <is>
          <t>Not specified</t>
        </is>
      </c>
      <c r="BB176" s="156" t="inlineStr">
        <is>
          <t>Direct‑drive, high‑torque servo modules</t>
        </is>
      </c>
      <c r="BC176" s="156" t="inlineStr">
        <is>
          <t>Not disclosed</t>
        </is>
      </c>
      <c r="BD176" s="152" t="inlineStr">
        <is>
          <t>photos suggest alloy frame + polymer shells</t>
        </is>
      </c>
      <c r="BE176" s="152" t="inlineStr">
        <is>
          <t>Not disclosed</t>
        </is>
      </c>
      <c r="BF176" s="152" t="inlineStr">
        <is>
          <t>Not disclosed</t>
        </is>
      </c>
      <c r="BG176" s="152" t="n"/>
      <c r="BH176" s="152" t="n"/>
      <c r="BI176" s="152" t="n"/>
      <c r="BJ176" s="152" t="n"/>
      <c r="BK176" s="152" t="n"/>
      <c r="BL176" s="152" t="n"/>
      <c r="BM176" s="152" t="inlineStr">
        <is>
          <t>No formal safety rating</t>
        </is>
      </c>
      <c r="BN176" s="152" t="inlineStr">
        <is>
          <t>Not disclosed</t>
        </is>
      </c>
      <c r="BO176" s="156" t="inlineStr">
        <is>
          <t>Market: Logistics / Industrial / Athletic · Manipulation 2/4 · Navigation 2/4 · Human-safe: No formal safety rating · AI: ERA‑42 large multimodal model for vision &amp; language · Actuation: Direct‑drive, high‑torque servo modules · Peak 14.4 km/h · Runtime Not specified</t>
        </is>
      </c>
      <c r="BP176" s="152" t="n"/>
      <c r="BQ176" s="156" t="inlineStr">
        <is>
          <t>Logistics / Industrial / Athletic</t>
        </is>
      </c>
      <c r="BR176" s="156" t="inlineStr">
        <is>
          <t>Mass deployment (thousands in Chinese logistics centers 2026)</t>
        </is>
      </c>
      <c r="BS176" s="156" t="inlineStr">
        <is>
          <t>Prototype</t>
        </is>
      </c>
      <c r="BT176" s="152" t="n"/>
      <c r="BU176" s="152" t="inlineStr">
        <is>
          <t>Not verified</t>
        </is>
      </c>
      <c r="BV176" s="156" t="inlineStr">
        <is>
          <t>Successor to STAR1; up to 8.9 mph (14.4 km/h) claims; high-efficiency package sorting reported Humanoid.guide listed price $120,000.</t>
        </is>
      </c>
      <c r="BW176" s="156" t="inlineStr">
        <is>
          <t>Origin &amp; status — China · Mass deployment (thousands in Chinese logistics centers 2026) · 2025 | Manipulation — Grippers or dexterous hands depending on configuration · 10 fingers · Hand DOF 12 · Payload 20 lb | Sensing &amp; software — RGB and/or depth cameras for navigation and manipulation (configuration specific) · ERA‑42 large multimodal model for vision &amp; language · Manufacturer app a… | Buying notes — From $50,000 · 12 months manufacturer standard (typical research/commercial humanoid) · Best fit: Logistics</t>
        </is>
      </c>
      <c r="BX176" s="156" t="inlineStr">
        <is>
          <t>as_shipped|L7|50000|As shipped</t>
        </is>
      </c>
      <c r="BY176" s="152" t="inlineStr">
        <is>
          <t>l7|Manufacturer finish|#e2e8f0|0</t>
        </is>
      </c>
      <c r="BZ176" s="152" t="inlineStr"/>
      <c r="CA176" s="156" t="inlineStr">
        <is>
          <t>Add-ons: case; 2 color options; Multi-year extended warranty available</t>
        </is>
      </c>
      <c r="CB176" s="156" t="inlineStr">
        <is>
          <t>12 months manufacturer standard (typical research/commercial humanoid)</t>
        </is>
      </c>
      <c r="CC176" s="154" t="n">
        <v>12</v>
      </c>
      <c r="CD176" s="156" t="inlineStr">
        <is>
          <t>+3 Year Extended ≈24% of configuration (default in configurator)</t>
        </is>
      </c>
      <c r="CE176" s="152" t="inlineStr">
        <is>
          <t>Humanoid category norm 2025–2026</t>
        </is>
      </c>
      <c r="CF176" s="152" t="inlineStr">
        <is>
          <t>Estimated</t>
        </is>
      </c>
      <c r="CG176" s="156" t="inlineStr">
        <is>
          <t>EDU or enterprise packages may differ; confirm on formal quote.</t>
        </is>
      </c>
      <c r="CH176" s="152" t="inlineStr">
        <is>
          <t>10%</t>
        </is>
      </c>
      <c r="CI176" s="152" t="inlineStr">
        <is>
          <t>17%</t>
        </is>
      </c>
      <c r="CJ176" s="152" t="inlineStr">
        <is>
          <t>24%</t>
        </is>
      </c>
      <c r="CK176"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176"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76" s="152" t="inlineStr">
        <is>
          <t>12 months manufacturer standard (typical research/commercial humanoid)</t>
        </is>
      </c>
      <c r="CN176" s="203" t="inlineStr">
        <is>
          <t>https://aixzd.com/robot/l7</t>
        </is>
      </c>
      <c r="CQ176" s="101" t="inlineStr">
        <is>
          <t>Height: 5 ft 7 in – 5 ft 9 in | Weight: 143.3 | Degrees of Freedom: 55 | Payload: 20 lb | Max Speed: 8.95 | Battery / Runtime: Not disclosed</t>
        </is>
      </c>
    </row>
    <row r="177" ht="31.5" customHeight="1" s="102">
      <c r="A177" s="145" t="inlineStr">
        <is>
          <t>robotera_robotera_m7</t>
        </is>
      </c>
      <c r="B177" s="153" t="inlineStr">
        <is>
          <t>Humanoid.guide</t>
        </is>
      </c>
      <c r="C177" s="145" t="inlineStr">
        <is>
          <t>Robotera</t>
        </is>
      </c>
      <c r="D177" s="145" t="inlineStr">
        <is>
          <t>Robotera M7</t>
        </is>
      </c>
      <c r="E177" s="145" t="inlineStr">
        <is>
          <t>[Robotera] Robotera M7 (2026)</t>
        </is>
      </c>
      <c r="F177" s="146" t="inlineStr">
        <is>
          <t>humanoid</t>
        </is>
      </c>
      <c r="G177" s="145" t="inlineStr">
        <is>
          <t>China</t>
        </is>
      </c>
      <c r="H177" s="145" t="n"/>
      <c r="I177" s="148" t="n">
        <v>100000</v>
      </c>
      <c r="J177" s="145" t="inlineStr">
        <is>
          <t>Humanoid.guide list</t>
        </is>
      </c>
      <c r="K177" s="149" t="inlineStr">
        <is>
          <t>Robotera M7 is an upper-body humanoid robot built for embodied AI research, teleoperation, and dexterous manipulation.</t>
        </is>
      </c>
      <c r="L177" s="101" t="inlineStr">
        <is>
          <t>Robotera M7 is an upper-body humanoid robot built for embodied AI research, teleoperation, and dexterous manipulation.</t>
        </is>
      </c>
      <c r="M177" s="101" t="inlineStr">
        <is>
          <t>Robotera M7 is an upper-body humanoid robot built for embodied AI research, teleoperation, and dexterous manipulation. Public status is listed as in production, and it is positioned for aI development; logistics; Manufacturing; Research.</t>
        </is>
      </c>
      <c r="N177" s="150" t="inlineStr">
        <is>
          <t>https://humanoid.guide/product/robotera-m7/</t>
        </is>
      </c>
      <c r="O177" s="150" t="inlineStr">
        <is>
          <t>https://www.robotera.com</t>
        </is>
      </c>
      <c r="P177" s="145" t="inlineStr">
        <is>
          <t>3 ft 11 in</t>
        </is>
      </c>
      <c r="Q177" s="145" t="n">
        <v>119</v>
      </c>
      <c r="R177" s="145" t="n">
        <v>94.8</v>
      </c>
      <c r="S177" s="145" t="n">
        <v>43</v>
      </c>
      <c r="T177" s="149" t="inlineStr">
        <is>
          <t>Not disclosed</t>
        </is>
      </c>
      <c r="U177" s="145" t="n"/>
      <c r="V177" s="145" t="inlineStr">
        <is>
          <t>43</t>
        </is>
      </c>
      <c r="W177" s="149" t="inlineStr">
        <is>
          <t>24</t>
        </is>
      </c>
      <c r="X177" s="145" t="n">
        <v>44.1</v>
      </c>
      <c r="Y177" s="145" t="n">
        <v>20</v>
      </c>
      <c r="Z177" s="145" t="n"/>
      <c r="AA177" s="145" t="n"/>
      <c r="AB177" s="145" t="n"/>
      <c r="AC177" s="149" t="inlineStr">
        <is>
          <t>Not disclosed</t>
        </is>
      </c>
      <c r="AD177" s="149" t="n"/>
      <c r="AE177" s="145" t="n"/>
      <c r="AF177" s="145" t="inlineStr">
        <is>
          <t>Not disclosed</t>
        </is>
      </c>
      <c r="AG177" s="149" t="inlineStr">
        <is>
          <t>10 (5 per hand)</t>
        </is>
      </c>
      <c r="AH177" s="145" t="inlineStr">
        <is>
          <t>10 (5 per hand)</t>
        </is>
      </c>
      <c r="AI177" s="145" t="n"/>
      <c r="AJ177" s="149" t="inlineStr">
        <is>
          <t>Stereo RGB vision</t>
        </is>
      </c>
      <c r="AK177" s="149" t="inlineStr">
        <is>
          <t>Stereo RGB vision</t>
        </is>
      </c>
      <c r="AL177" s="145" t="inlineStr">
        <is>
          <t>Not disclosed</t>
        </is>
      </c>
      <c r="AM177" s="145" t="n"/>
      <c r="AN177" s="145" t="inlineStr">
        <is>
          <t>Not disclosed</t>
        </is>
      </c>
      <c r="AO177" s="145" t="inlineStr">
        <is>
          <t>Not disclosed</t>
        </is>
      </c>
      <c r="AP177" s="145" t="inlineStr">
        <is>
          <t>Not disclosed</t>
        </is>
      </c>
      <c r="AQ177" s="145" t="inlineStr">
        <is>
          <t>Not disclosed</t>
        </is>
      </c>
      <c r="AR177" s="145" t="n"/>
      <c r="AS177" s="145" t="n"/>
      <c r="AT177" s="149" t="inlineStr">
        <is>
          <t>Not disclosed</t>
        </is>
      </c>
      <c r="AU177" s="149" t="inlineStr">
        <is>
          <t>Ethernet; USB; Wi-Fi</t>
        </is>
      </c>
      <c r="AV177" s="145" t="inlineStr">
        <is>
          <t>Not disclosed</t>
        </is>
      </c>
      <c r="AW177" s="149" t="inlineStr">
        <is>
          <t>Not disclosed</t>
        </is>
      </c>
      <c r="AX177" s="145" t="n"/>
      <c r="AY177" s="149" t="inlineStr">
        <is>
          <t>Robotera software stack based on Linux/ROS ecosystem</t>
        </is>
      </c>
      <c r="AZ177" s="149" t="inlineStr">
        <is>
          <t>Yes, compatible with Robotera’s embodied AI/VLA models</t>
        </is>
      </c>
      <c r="BA177" s="149" t="n"/>
      <c r="BB177" s="149" t="inlineStr">
        <is>
          <t>Electric servo actuators</t>
        </is>
      </c>
      <c r="BC177" s="149" t="inlineStr">
        <is>
          <t>Harmonic reducers and precision robotic joints</t>
        </is>
      </c>
      <c r="BD177" s="145" t="inlineStr">
        <is>
          <t>Aluminum alloy and engineering composites</t>
        </is>
      </c>
      <c r="BE177" s="145" t="inlineStr">
        <is>
          <t>Not disclosed</t>
        </is>
      </c>
      <c r="BF177" s="145" t="inlineStr">
        <is>
          <t>Not disclosed</t>
        </is>
      </c>
      <c r="BG177" s="145" t="n"/>
      <c r="BH177" s="145" t="n"/>
      <c r="BI177" s="145" t="n"/>
      <c r="BJ177" s="145" t="n"/>
      <c r="BK177" s="145" t="n"/>
      <c r="BL177" s="145" t="n"/>
      <c r="BM177" s="145" t="inlineStr">
        <is>
          <t>Yes</t>
        </is>
      </c>
      <c r="BN177" s="145" t="inlineStr">
        <is>
          <t>Not disclosed</t>
        </is>
      </c>
      <c r="BO177" s="149" t="inlineStr">
        <is>
          <t>Market: AI development; logistics; Manufacturing; Research · Human-safe: Yes · AI: Yes, compatible with Robotera’s embodied AI/VLA models · Actuation: Electric servo actuators</t>
        </is>
      </c>
      <c r="BP177" s="145" t="n"/>
      <c r="BQ177" s="149" t="inlineStr">
        <is>
          <t>AI development; logistics; Manufacturing; Research</t>
        </is>
      </c>
      <c r="BR177" s="149" t="inlineStr">
        <is>
          <t>In production</t>
        </is>
      </c>
      <c r="BS177" s="149" t="inlineStr">
        <is>
          <t>In production</t>
        </is>
      </c>
      <c r="BT177" s="145" t="inlineStr">
        <is>
          <t>White and Black</t>
        </is>
      </c>
      <c r="BU177" s="145" t="n"/>
      <c r="BV177" s="149" t="n"/>
      <c r="BW177" s="149" t="inlineStr">
        <is>
          <t>Origin &amp; status — China · In production · 2026 | Manipulation — 10 (5 per hand) · 10 (5 per hand) fingers · Hand DOF 24 · Payload 44.1 lb | Sensing &amp; software — Stereo RGB vision · Yes, compatible with Robotera’s embodied AI/VLA models · Robotera software stack based on Linux/ROS ecosystem | Buying notes — From $100,000 · 12 months manufacturer standard (typical research/commercial humanoid) · Best fit: AI development</t>
        </is>
      </c>
      <c r="BX177" s="149" t="inlineStr">
        <is>
          <t>as_shipped|Robotera M7|100000|As shipped</t>
        </is>
      </c>
      <c r="BY177" s="145" t="inlineStr">
        <is>
          <t>white_and_black|White and Black|#e2e8f0|0</t>
        </is>
      </c>
      <c r="BZ177" s="145" t="inlineStr"/>
      <c r="CA177" s="149" t="n"/>
      <c r="CB177" s="149" t="inlineStr">
        <is>
          <t>12 months manufacturer standard (typical research/commercial humanoid)</t>
        </is>
      </c>
      <c r="CC177" s="147" t="n">
        <v>12</v>
      </c>
      <c r="CD177" s="149" t="inlineStr">
        <is>
          <t>+3 Year Extended ≈24% of configuration (default in configurator)</t>
        </is>
      </c>
      <c r="CE177" s="145" t="inlineStr">
        <is>
          <t>Humanoid category norm 2025–2026</t>
        </is>
      </c>
      <c r="CF177" s="145" t="inlineStr">
        <is>
          <t>Estimated</t>
        </is>
      </c>
      <c r="CG177" s="149" t="inlineStr">
        <is>
          <t>Confirm on formal OEM quote. EDU or enterprise packages may differ.</t>
        </is>
      </c>
      <c r="CH177" s="145" t="inlineStr">
        <is>
          <t>10%</t>
        </is>
      </c>
      <c r="CI177" s="145" t="inlineStr">
        <is>
          <t>17%</t>
        </is>
      </c>
      <c r="CJ177" s="145" t="inlineStr">
        <is>
          <t>24%</t>
        </is>
      </c>
      <c r="CK177" s="149" t="inlineStr">
        <is>
          <t>+1yr ≈10% | +2yr ≈17% | +3yr ≈24% of selected configuration price (parts &amp; labor beyond manufacturer standard).</t>
        </is>
      </c>
      <c r="CL177"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77" s="145" t="inlineStr">
        <is>
          <t>12 months manufacturer standard (typical research/commercial humanoid)</t>
        </is>
      </c>
      <c r="CQ177" s="101" t="inlineStr">
        <is>
          <t>Height: 3 ft 11 in | Weight: 94.8 | Degrees of Freedom: 43 | Payload: 44.1 | Max Speed: Not disclosed | Battery / Runtime: Not disclosed</t>
        </is>
      </c>
    </row>
    <row r="178" ht="31.5" customHeight="1" s="102">
      <c r="A178" s="152" t="inlineStr">
        <is>
          <t>robotera_robotera_q5</t>
        </is>
      </c>
      <c r="B178" s="153" t="inlineStr">
        <is>
          <t>Humanoid.guide</t>
        </is>
      </c>
      <c r="C178" s="152" t="inlineStr">
        <is>
          <t>Robotera</t>
        </is>
      </c>
      <c r="D178" s="152" t="inlineStr">
        <is>
          <t>ROBOTERA Q5</t>
        </is>
      </c>
      <c r="E178" s="152" t="inlineStr">
        <is>
          <t>[Robotera] ROBOTERA Q5 (2026)</t>
        </is>
      </c>
      <c r="F178" s="146" t="inlineStr">
        <is>
          <t>humanoid</t>
        </is>
      </c>
      <c r="G178" s="152" t="inlineStr">
        <is>
          <t>China</t>
        </is>
      </c>
      <c r="H178" s="152" t="n"/>
      <c r="I178" s="155" t="n">
        <v>70000</v>
      </c>
      <c r="J178" s="152" t="inlineStr">
        <is>
          <t>Humanoid.guide list</t>
        </is>
      </c>
      <c r="K178" s="156" t="inlineStr">
        <is>
          <t>ROBOTERA Q5 is a wheeled humanoid service robot with a slim, human-like build, natural voice interaction in 37+ languages, and dexterous hands for light physical tasks in hotels, retail, and healthcare settings.</t>
        </is>
      </c>
      <c r="L178" s="101" t="inlineStr">
        <is>
          <t>ROBOTERA Q5 is a wheeled humanoid service robot with a slim, human-like build, natural voice interaction in 37+ languages, and dexterous hands for light physical tasks in hotels, retail, and healthcare settings.</t>
        </is>
      </c>
      <c r="M178" s="101" t="inlineStr">
        <is>
          <t>ROBOTERA Q5 is a wheeled humanoid service robot with a slim, human-like build, natural voice interaction in 37+ languages, and dexterous hands for light physical tasks in hotels, retail, and healthcare settings. Public status is listed as in production, and it is positioned for education; healthcare; Hospitality; retail; tourism.</t>
        </is>
      </c>
      <c r="N178" s="157" t="inlineStr">
        <is>
          <t>https://humanoid.guide/product/robotera-q5/</t>
        </is>
      </c>
      <c r="O178" s="157" t="inlineStr">
        <is>
          <t>https://www.robotera.com</t>
        </is>
      </c>
      <c r="P178" s="152" t="inlineStr">
        <is>
          <t>5 ft 5 in</t>
        </is>
      </c>
      <c r="Q178" s="152" t="n">
        <v>165</v>
      </c>
      <c r="R178" s="152" t="n">
        <v>154.3</v>
      </c>
      <c r="S178" s="152" t="n">
        <v>70</v>
      </c>
      <c r="T178" s="156" t="inlineStr">
        <is>
          <t>Not disclosed</t>
        </is>
      </c>
      <c r="U178" s="152" t="n"/>
      <c r="V178" s="152" t="inlineStr">
        <is>
          <t>44</t>
        </is>
      </c>
      <c r="W178" s="156" t="inlineStr">
        <is>
          <t>22</t>
        </is>
      </c>
      <c r="X178" s="152" t="n">
        <v>22</v>
      </c>
      <c r="Y178" s="152" t="n">
        <v>10</v>
      </c>
      <c r="Z178" s="152" t="n">
        <v>3.73</v>
      </c>
      <c r="AA178" s="152" t="n">
        <v>6</v>
      </c>
      <c r="AB178" s="152" t="n"/>
      <c r="AC178" s="156" t="inlineStr">
        <is>
          <t>≈ 4 hours</t>
        </is>
      </c>
      <c r="AD178" s="156" t="inlineStr">
        <is>
          <t>4</t>
        </is>
      </c>
      <c r="AE178" s="152" t="n"/>
      <c r="AF178" s="152" t="inlineStr">
        <is>
          <t>Not disclosed</t>
        </is>
      </c>
      <c r="AG178" s="156" t="inlineStr">
        <is>
          <t>10 (5 per hand)</t>
        </is>
      </c>
      <c r="AH178" s="152" t="inlineStr">
        <is>
          <t>10 (5 per hand)</t>
        </is>
      </c>
      <c r="AI178" s="152" t="n"/>
      <c r="AJ178" s="156" t="inlineStr">
        <is>
          <t>Stereo RGB cameras + Mid-360 LiDAR</t>
        </is>
      </c>
      <c r="AK178" s="156" t="inlineStr">
        <is>
          <t>Stereo RGB cameras + Mid-360 LiDAR</t>
        </is>
      </c>
      <c r="AL178" s="152" t="inlineStr">
        <is>
          <t>Not disclosed</t>
        </is>
      </c>
      <c r="AM178" s="152" t="n"/>
      <c r="AN178" s="152" t="inlineStr">
        <is>
          <t>Not disclosed</t>
        </is>
      </c>
      <c r="AO178" s="152" t="inlineStr">
        <is>
          <t>Not disclosed</t>
        </is>
      </c>
      <c r="AP178" s="152" t="inlineStr">
        <is>
          <t>Not disclosed</t>
        </is>
      </c>
      <c r="AQ178" s="152" t="inlineStr">
        <is>
          <t>Not disclosed</t>
        </is>
      </c>
      <c r="AR178" s="152" t="n"/>
      <c r="AS178" s="152" t="n"/>
      <c r="AT178" s="156" t="inlineStr">
        <is>
          <t>Not disclosed</t>
        </is>
      </c>
      <c r="AU178" s="156" t="inlineStr">
        <is>
          <t>Ethernet; USB; Wi-Fi</t>
        </is>
      </c>
      <c r="AV178" s="152" t="inlineStr">
        <is>
          <t>Not disclosed</t>
        </is>
      </c>
      <c r="AW178" s="156" t="inlineStr">
        <is>
          <t>Not disclosed</t>
        </is>
      </c>
      <c r="AX178" s="152" t="n"/>
      <c r="AY178" s="156" t="inlineStr">
        <is>
          <t>Proprietary EraAI platform (ROS-compatible, SDK available)</t>
        </is>
      </c>
      <c r="AZ178" s="156" t="inlineStr">
        <is>
          <t>Yes — preloaded with DeepSeek LLM, supports custom RAG knowledge bases</t>
        </is>
      </c>
      <c r="BA178" s="156" t="n"/>
      <c r="BB178" s="156" t="inlineStr">
        <is>
          <t>High-precision bionic 7-axis joints; direct-drive actuation in hands</t>
        </is>
      </c>
      <c r="BC178" s="156" t="inlineStr">
        <is>
          <t>Harmonic drive actuators</t>
        </is>
      </c>
      <c r="BD178" s="152" t="inlineStr">
        <is>
          <t>Aluminum and polymer composites</t>
        </is>
      </c>
      <c r="BE178" s="152" t="inlineStr">
        <is>
          <t>Not disclosed</t>
        </is>
      </c>
      <c r="BF178" s="152" t="n"/>
      <c r="BG178" s="152" t="n"/>
      <c r="BH178" s="152" t="n"/>
      <c r="BI178" s="152" t="n"/>
      <c r="BJ178" s="152" t="n"/>
      <c r="BK178" s="152" t="n"/>
      <c r="BL178" s="152" t="n"/>
      <c r="BM178" s="152" t="inlineStr">
        <is>
          <t>Yes</t>
        </is>
      </c>
      <c r="BN178" s="152" t="inlineStr">
        <is>
          <t>Not disclosed</t>
        </is>
      </c>
      <c r="BO178" s="156" t="inlineStr">
        <is>
          <t>Market: education; healthcare; Hospitality; retail; tourism · Human-safe: Yes · AI: Yes — preloaded with DeepSeek LLM, supports custom RAG knowledge bases · Actuation: High-precision bionic 7-axis joints; direct-drive actuation in hands · Peak 6 km/h · Runtime 4</t>
        </is>
      </c>
      <c r="BP178" s="152" t="n"/>
      <c r="BQ178" s="156" t="inlineStr">
        <is>
          <t>education; healthcare; Hospitality; retail; tourism</t>
        </is>
      </c>
      <c r="BR178" s="156" t="inlineStr">
        <is>
          <t>In production</t>
        </is>
      </c>
      <c r="BS178" s="156" t="inlineStr">
        <is>
          <t>In production</t>
        </is>
      </c>
      <c r="BT178" s="152" t="inlineStr">
        <is>
          <t>White and Black</t>
        </is>
      </c>
      <c r="BU178" s="152" t="n"/>
      <c r="BV178" s="156" t="n"/>
      <c r="BW178" s="156" t="inlineStr">
        <is>
          <t>Origin &amp; status — China · In production · 2026 | Manipulation — 10 (5 per hand) · 10 (5 per hand) fingers · Hand DOF 22 · Payload 22 lb | Sensing &amp; software — Stereo RGB cameras + Mid-360 LiDAR · Yes — preloaded with DeepSeek LLM, supports custom RAG knowledge bases · Proprietary EraAI platform (ROS-compatible, SD… | Buying notes — From $70,000 · 12 months manufacturer standard (typical research/commercial humanoid) · Best fit: education</t>
        </is>
      </c>
      <c r="BX178" s="156" t="inlineStr">
        <is>
          <t>as_shipped|ROBOTERA Q5|70000|As shipped</t>
        </is>
      </c>
      <c r="BY178" s="152" t="inlineStr">
        <is>
          <t>white_and_black|White and Black|#e2e8f0|0</t>
        </is>
      </c>
      <c r="BZ178" s="152" t="inlineStr"/>
      <c r="CA178" s="156" t="n"/>
      <c r="CB178" s="156" t="inlineStr">
        <is>
          <t>12 months manufacturer standard (typical research/commercial humanoid)</t>
        </is>
      </c>
      <c r="CC178" s="154" t="n">
        <v>12</v>
      </c>
      <c r="CD178" s="156" t="inlineStr">
        <is>
          <t>+3 Year Extended ≈24% of configuration (default in configurator)</t>
        </is>
      </c>
      <c r="CE178" s="152" t="inlineStr">
        <is>
          <t>Humanoid category norm 2025–2026</t>
        </is>
      </c>
      <c r="CF178" s="152" t="inlineStr">
        <is>
          <t>Estimated</t>
        </is>
      </c>
      <c r="CG178" s="156" t="inlineStr">
        <is>
          <t>Confirm on formal OEM quote. EDU or enterprise packages may differ.</t>
        </is>
      </c>
      <c r="CH178" s="152" t="inlineStr">
        <is>
          <t>10%</t>
        </is>
      </c>
      <c r="CI178" s="152" t="inlineStr">
        <is>
          <t>17%</t>
        </is>
      </c>
      <c r="CJ178" s="152" t="inlineStr">
        <is>
          <t>24%</t>
        </is>
      </c>
      <c r="CK178" s="156" t="inlineStr">
        <is>
          <t>+1yr ≈10% | +2yr ≈17% | +3yr ≈24% of selected configuration price (parts &amp; labor beyond manufacturer standard).</t>
        </is>
      </c>
      <c r="CL178"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78" s="152" t="inlineStr">
        <is>
          <t>12 months manufacturer standard (typical research/commercial humanoid)</t>
        </is>
      </c>
      <c r="CQ178" s="101" t="inlineStr">
        <is>
          <t>Height: 5 ft 5 in | Weight: 154.3 | Degrees of Freedom: 44 | Payload: 22 | Max Speed: 3.73 | Battery / Runtime: ≈ 4 hours</t>
        </is>
      </c>
    </row>
    <row r="179" ht="31.5" customHeight="1" s="102">
      <c r="A179" s="143" t="inlineStr">
        <is>
          <t>robotera_star1</t>
        </is>
      </c>
      <c r="B179" s="144" t="inlineStr">
        <is>
          <t>Both</t>
        </is>
      </c>
      <c r="C179" s="145" t="inlineStr">
        <is>
          <t>RobotEra</t>
        </is>
      </c>
      <c r="D179" s="145" t="inlineStr">
        <is>
          <t>Star1</t>
        </is>
      </c>
      <c r="E179" s="145" t="inlineStr">
        <is>
          <t>[RobotEra] STAR1 (2024)</t>
        </is>
      </c>
      <c r="F179" s="146" t="inlineStr">
        <is>
          <t>humanoid</t>
        </is>
      </c>
      <c r="G179" s="145" t="inlineStr">
        <is>
          <t>China</t>
        </is>
      </c>
      <c r="H179" s="147" t="n">
        <v>2024</v>
      </c>
      <c r="I179" s="148" t="n">
        <v>96000</v>
      </c>
      <c r="J179" s="145" t="inlineStr">
        <is>
          <t>Website store</t>
        </is>
      </c>
      <c r="K179" s="149" t="inlineStr">
        <is>
          <t>ROBOTERA STAR1 is a next-generation, high-performance humanoid robot designed for exceptional mobility and dexterity.</t>
        </is>
      </c>
      <c r="L179" s="101" t="inlineStr">
        <is>
          <t>ROBOTERA STAR1 is a next-generation, high-performance humanoid robot designed for exceptional mobility and dexterity.</t>
        </is>
      </c>
      <c r="M179" s="101" t="inlineStr">
        <is>
          <t>STAR1 is RobotEra's humanoid, introduced around 2024 in China. ROBOTERA STAR1 is a next-generation, high-performance humanoid robot designed for exceptional mobility and dexterity. Public status is listed as production / Deploying, and it is positioned for research / Demo / Industrial.</t>
        </is>
      </c>
      <c r="N179" s="150" t="inlineStr">
        <is>
          <t>https://humanoid.guide/product/star1/</t>
        </is>
      </c>
      <c r="O179" s="150" t="inlineStr">
        <is>
          <t>https://www.robotera.com</t>
        </is>
      </c>
      <c r="P179" s="145" t="inlineStr">
        <is>
          <t>5 ft 7 in</t>
        </is>
      </c>
      <c r="Q179" s="145" t="n">
        <v>171</v>
      </c>
      <c r="R179" s="145" t="n">
        <v>138.9</v>
      </c>
      <c r="S179" s="145" t="n">
        <v>63</v>
      </c>
      <c r="T179" s="149" t="inlineStr">
        <is>
          <t>Not disclosed</t>
        </is>
      </c>
      <c r="U179" s="145" t="n"/>
      <c r="V179" s="145" t="inlineStr">
        <is>
          <t>55</t>
        </is>
      </c>
      <c r="W179" s="149" t="inlineStr">
        <is>
          <t>Not disclosed</t>
        </is>
      </c>
      <c r="X179" s="145" t="inlineStr">
        <is>
          <t>20 lb</t>
        </is>
      </c>
      <c r="Y179" s="145" t="n">
        <v>20</v>
      </c>
      <c r="Z179" s="145" t="n">
        <v>8.02</v>
      </c>
      <c r="AA179" s="145" t="n">
        <v>12.9</v>
      </c>
      <c r="AB179" s="145" t="n"/>
      <c r="AC179" s="149" t="inlineStr">
        <is>
          <t>≈ 4 hours</t>
        </is>
      </c>
      <c r="AD179" s="149" t="inlineStr">
        <is>
          <t>4</t>
        </is>
      </c>
      <c r="AE179" s="145" t="n"/>
      <c r="AF179" s="145" t="inlineStr">
        <is>
          <t>Not disclosed</t>
        </is>
      </c>
      <c r="AG179" s="149" t="inlineStr">
        <is>
          <t>Dexterous manipulation options</t>
        </is>
      </c>
      <c r="AH179" s="145" t="inlineStr">
        <is>
          <t>Not disclosed</t>
        </is>
      </c>
      <c r="AI179" s="158" t="n">
        <v>2</v>
      </c>
      <c r="AJ179" s="149" t="inlineStr">
        <is>
          <t>Research humanoid vision</t>
        </is>
      </c>
      <c r="AK179" s="149" t="n"/>
      <c r="AL179" s="145" t="inlineStr">
        <is>
          <t>Not disclosed</t>
        </is>
      </c>
      <c r="AM179" s="145" t="n"/>
      <c r="AN179" s="145" t="inlineStr">
        <is>
          <t>Not disclosed</t>
        </is>
      </c>
      <c r="AO179" s="145" t="inlineStr">
        <is>
          <t>Not disclosed</t>
        </is>
      </c>
      <c r="AP179" s="145" t="inlineStr">
        <is>
          <t>Not disclosed</t>
        </is>
      </c>
      <c r="AQ179" s="145" t="inlineStr">
        <is>
          <t>Not disclosed</t>
        </is>
      </c>
      <c r="AR179" s="145" t="n"/>
      <c r="AS179" s="145" t="n"/>
      <c r="AT179" s="149" t="inlineStr">
        <is>
          <t>Not disclosed</t>
        </is>
      </c>
      <c r="AU179" s="149" t="inlineStr">
        <is>
          <t>Not disclosed</t>
        </is>
      </c>
      <c r="AV179" s="145" t="inlineStr">
        <is>
          <t>RobotEra research stack</t>
        </is>
      </c>
      <c r="AW179" s="149" t="inlineStr">
        <is>
          <t>Not disclosed</t>
        </is>
      </c>
      <c r="AX179" s="158" t="n">
        <v>2</v>
      </c>
      <c r="AY179" s="149" t="inlineStr">
        <is>
          <t>Not disclosed</t>
        </is>
      </c>
      <c r="AZ179" s="149" t="inlineStr">
        <is>
          <t>Not disclosed</t>
        </is>
      </c>
      <c r="BA179" s="149" t="n"/>
      <c r="BB179" s="149" t="inlineStr">
        <is>
          <t>Not disclosed</t>
        </is>
      </c>
      <c r="BC179" s="149" t="inlineStr">
        <is>
          <t>Not disclosed</t>
        </is>
      </c>
      <c r="BD179" s="145" t="inlineStr">
        <is>
          <t>Not disclosed</t>
        </is>
      </c>
      <c r="BE179" s="145" t="inlineStr">
        <is>
          <t>Not disclosed</t>
        </is>
      </c>
      <c r="BF179" s="145" t="n"/>
      <c r="BG179" s="145" t="n"/>
      <c r="BH179" s="145" t="n"/>
      <c r="BI179" s="145" t="n"/>
      <c r="BJ179" s="145" t="n"/>
      <c r="BK179" s="145" t="n"/>
      <c r="BL179" s="145" t="n"/>
      <c r="BM179" s="145" t="inlineStr">
        <is>
          <t>Not disclosed</t>
        </is>
      </c>
      <c r="BN179" s="145" t="inlineStr">
        <is>
          <t>Not disclosed</t>
        </is>
      </c>
      <c r="BO179" s="149" t="inlineStr">
        <is>
          <t>Market: Research / Demo / Industrial · Manipulation 2/4 · Navigation 2/4 · Peak 12.9 km/h · Runtime 4</t>
        </is>
      </c>
      <c r="BP179" s="145" t="n"/>
      <c r="BQ179" s="149" t="inlineStr">
        <is>
          <t>Research / Demo / Industrial</t>
        </is>
      </c>
      <c r="BR179" s="149" t="inlineStr">
        <is>
          <t>Production / Deploying</t>
        </is>
      </c>
      <c r="BS179" s="149" t="inlineStr">
        <is>
          <t>Prototype</t>
        </is>
      </c>
      <c r="BT179" s="145" t="n"/>
      <c r="BU179" s="145" t="inlineStr">
        <is>
          <t>Not verified</t>
        </is>
      </c>
      <c r="BV179" s="149" t="inlineStr">
        <is>
          <t>Former world-record speed (8.1 mph sustained); XHAND1 12-DOF direct-drive hands; Tsinghua spin-out; ERA-42 VLA Humanoid.guide listed price $120,000.</t>
        </is>
      </c>
      <c r="BW179" s="149" t="inlineStr">
        <is>
          <t>Origin &amp; status — China · Production / Deploying · 2024 | Manipulation — Dexterous manipulation options · Payload 20 lb | Sensing &amp; software — Research humanoid vision · RobotEra research stack | Buying notes — From $96,000 · 12 months manufacturer standard (typical research/commercial humanoid) · Best fit: Research</t>
        </is>
      </c>
      <c r="BX179" s="149" t="inlineStr">
        <is>
          <t>as_shipped|STAR1|96000|As shipped</t>
        </is>
      </c>
      <c r="BY179" s="145" t="inlineStr">
        <is>
          <t>star1|Manufacturer finish|#e2e8f0|0</t>
        </is>
      </c>
      <c r="BZ179" s="145" t="inlineStr"/>
      <c r="CA179" s="149" t="inlineStr">
        <is>
          <t>Add-ons: case; 2 color options; Multi-year extended warranty available</t>
        </is>
      </c>
      <c r="CB179" s="149" t="inlineStr">
        <is>
          <t>12 months manufacturer standard (typical research/commercial humanoid)</t>
        </is>
      </c>
      <c r="CC179" s="147" t="n">
        <v>12</v>
      </c>
      <c r="CD179" s="149" t="inlineStr">
        <is>
          <t>+3 Year Extended ≈24% of configuration (default in configurator)</t>
        </is>
      </c>
      <c r="CE179" s="145" t="inlineStr">
        <is>
          <t>Humanoid category norm 2025–2026</t>
        </is>
      </c>
      <c r="CF179" s="145" t="inlineStr">
        <is>
          <t>Estimated</t>
        </is>
      </c>
      <c r="CG179" s="149" t="inlineStr">
        <is>
          <t>EDU or enterprise packages may differ; confirm on formal quote.</t>
        </is>
      </c>
      <c r="CH179" s="145" t="inlineStr">
        <is>
          <t>10%</t>
        </is>
      </c>
      <c r="CI179" s="145" t="inlineStr">
        <is>
          <t>17%</t>
        </is>
      </c>
      <c r="CJ179" s="145" t="inlineStr">
        <is>
          <t>24%</t>
        </is>
      </c>
      <c r="CK17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17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79" s="145" t="inlineStr">
        <is>
          <t>12 months manufacturer standard (typical research/commercial humanoid)</t>
        </is>
      </c>
      <c r="CN179" s="203" t="inlineStr">
        <is>
          <t>https://aixzd.com/robot/r1</t>
        </is>
      </c>
      <c r="CQ179" s="101" t="inlineStr">
        <is>
          <t>Height: 5 ft 7 in | Weight: 138.9 | Degrees of Freedom: 55 | Payload: 20 lb | Max Speed: 8.02 | Battery / Runtime: ≈ 4 hours</t>
        </is>
      </c>
    </row>
    <row r="180" ht="31.5" customHeight="1" s="102">
      <c r="A180" s="152" t="inlineStr">
        <is>
          <t>robotis_ai_sapiens_k1</t>
        </is>
      </c>
      <c r="B180" s="153" t="inlineStr">
        <is>
          <t>Humanoid.guide</t>
        </is>
      </c>
      <c r="C180" s="152" t="inlineStr">
        <is>
          <t>Robotis</t>
        </is>
      </c>
      <c r="D180" s="152" t="inlineStr">
        <is>
          <t>AI Sapiens K1</t>
        </is>
      </c>
      <c r="E180" s="152" t="inlineStr">
        <is>
          <t>[Robotis] AI Sapiens K1 (2026)</t>
        </is>
      </c>
      <c r="F180" s="146" t="inlineStr">
        <is>
          <t>humanoid</t>
        </is>
      </c>
      <c r="G180" s="152" t="inlineStr">
        <is>
          <t>South Korea</t>
        </is>
      </c>
      <c r="H180" s="152" t="n"/>
      <c r="I180" s="155" t="n">
        <v>8000</v>
      </c>
      <c r="J180" s="152" t="inlineStr">
        <is>
          <t>Humanoid.guide list</t>
        </is>
      </c>
      <c r="K180" s="156" t="inlineStr">
        <is>
          <t>AI Sapiens K1 is Robotis's humanoid — 4 ft 5 in class, 23 DOF, 8.8 lb payload. 5 per hand; aimed at education.</t>
        </is>
      </c>
      <c r="L180" s="101" t="inlineStr">
        <is>
          <t>AI Sapiens K1 is Robotis's humanoid — 4 ft 5 in class, 23 DOF, 8.8 lb payload. 5 per hand; aimed at education.</t>
        </is>
      </c>
      <c r="M180" s="101" t="inlineStr">
        <is>
          <t>AI Sapiens K1 is Robotis's humanoid — 4 ft 5 in class, 23 DOF, 8.8 lb payload. 5 per hand; aimed at education. Public status is listed as in production, and it is positioned for education; Research; robotics development.</t>
        </is>
      </c>
      <c r="N180" s="157" t="inlineStr">
        <is>
          <t>https://humanoid.guide/product/ai-sapiens-k1/</t>
        </is>
      </c>
      <c r="O180" s="157" t="inlineStr">
        <is>
          <t>https://www.robotis.com</t>
        </is>
      </c>
      <c r="P180" s="152" t="inlineStr">
        <is>
          <t>4 ft 5 in</t>
        </is>
      </c>
      <c r="Q180" s="152" t="n">
        <v>135.5</v>
      </c>
      <c r="R180" s="152" t="n">
        <v>77.2</v>
      </c>
      <c r="S180" s="152" t="n">
        <v>35</v>
      </c>
      <c r="T180" s="156" t="inlineStr">
        <is>
          <t>Not disclosed</t>
        </is>
      </c>
      <c r="U180" s="152" t="n"/>
      <c r="V180" s="152" t="inlineStr">
        <is>
          <t>23</t>
        </is>
      </c>
      <c r="W180" s="156" t="inlineStr">
        <is>
          <t>10</t>
        </is>
      </c>
      <c r="X180" s="152" t="n">
        <v>8.800000000000001</v>
      </c>
      <c r="Y180" s="152" t="n">
        <v>4</v>
      </c>
      <c r="Z180" s="152" t="n">
        <v>2.67</v>
      </c>
      <c r="AA180" s="152" t="n">
        <v>4.3</v>
      </c>
      <c r="AB180" s="152" t="n"/>
      <c r="AC180" s="156" t="inlineStr">
        <is>
          <t>≈ 2 hours</t>
        </is>
      </c>
      <c r="AD180" s="156" t="inlineStr">
        <is>
          <t>2</t>
        </is>
      </c>
      <c r="AE180" s="152" t="n"/>
      <c r="AF180" s="152" t="inlineStr">
        <is>
          <t>Not disclosed</t>
        </is>
      </c>
      <c r="AG180" s="156" t="inlineStr">
        <is>
          <t>5 per hand</t>
        </is>
      </c>
      <c r="AH180" s="152" t="inlineStr">
        <is>
          <t>5 per hand</t>
        </is>
      </c>
      <c r="AI180" s="152" t="n"/>
      <c r="AJ180" s="156" t="inlineStr">
        <is>
          <t>Not disclosed</t>
        </is>
      </c>
      <c r="AK180" s="156" t="n"/>
      <c r="AL180" s="152" t="inlineStr">
        <is>
          <t>Not disclosed</t>
        </is>
      </c>
      <c r="AM180" s="152" t="n"/>
      <c r="AN180" s="152" t="inlineStr">
        <is>
          <t>Not disclosed</t>
        </is>
      </c>
      <c r="AO180" s="152" t="inlineStr">
        <is>
          <t>Not disclosed</t>
        </is>
      </c>
      <c r="AP180" s="152" t="inlineStr">
        <is>
          <t>Not disclosed</t>
        </is>
      </c>
      <c r="AQ180" s="152" t="inlineStr">
        <is>
          <t>Not disclosed</t>
        </is>
      </c>
      <c r="AR180" s="152" t="n"/>
      <c r="AS180" s="152" t="n"/>
      <c r="AT180" s="156" t="inlineStr">
        <is>
          <t>NVIDIA Jetson Orin NX 16GB — 8-core Arm Cortex-A78AE, 1024-core Ampere GPU, 32 Tensor Cores, 157 TOPS, 256 GB SSD</t>
        </is>
      </c>
      <c r="AU180" s="156" t="inlineStr">
        <is>
          <t>2.5 GbE ×1; Bluetooth; USB-A 3.2 Gen 2 ×3; Wi-Fi</t>
        </is>
      </c>
      <c r="AV180" s="152" t="inlineStr">
        <is>
          <t>Not disclosed</t>
        </is>
      </c>
      <c r="AW180" s="156" t="inlineStr">
        <is>
          <t>Not disclosed</t>
        </is>
      </c>
      <c r="AX180" s="152" t="n"/>
      <c r="AY180" s="156" t="inlineStr">
        <is>
          <t>Cyclo OS (Yocto-based) · ROS 2 Jazzy</t>
        </is>
      </c>
      <c r="AZ180" s="156" t="inlineStr">
        <is>
          <t>Not native — open ROS 2 stack permits it</t>
        </is>
      </c>
      <c r="BA180" s="156" t="n"/>
      <c r="BB180" s="156" t="inlineStr">
        <is>
          <t>DYNAMIXEL-Q QDD, low-inertia inner-rotor PMSM, 48 V</t>
        </is>
      </c>
      <c r="BC180" s="156" t="inlineStr">
        <is>
          <t>20:1 single-stage quasi-direct drive, 10 arcmin backlash</t>
        </is>
      </c>
      <c r="BD180" s="152" t="inlineStr">
        <is>
          <t>Aluminium alloy frame with polymer covers</t>
        </is>
      </c>
      <c r="BE180" s="152" t="inlineStr">
        <is>
          <t>Not disclosed</t>
        </is>
      </c>
      <c r="BF180" s="152" t="n"/>
      <c r="BG180" s="152" t="n"/>
      <c r="BH180" s="152" t="n"/>
      <c r="BI180" s="152" t="n"/>
      <c r="BJ180" s="152" t="n"/>
      <c r="BK180" s="152" t="n"/>
      <c r="BL180" s="152" t="n"/>
      <c r="BM180" s="152" t="inlineStr">
        <is>
          <t>Yes</t>
        </is>
      </c>
      <c r="BN180" s="152" t="inlineStr">
        <is>
          <t>Not disclosed</t>
        </is>
      </c>
      <c r="BO180" s="156" t="inlineStr">
        <is>
          <t>Market: education; Research; robotics development · Human-safe: Yes · AI: Not native — open ROS 2 stack permits it · Actuation: DYNAMIXEL-Q QDD, low-inertia inner-rotor PMSM, 48 V · Peak 4.3 km/h · Runtime 2</t>
        </is>
      </c>
      <c r="BP180" s="152" t="n"/>
      <c r="BQ180" s="156" t="inlineStr">
        <is>
          <t>education; Research; robotics development</t>
        </is>
      </c>
      <c r="BR180" s="156" t="inlineStr">
        <is>
          <t>In production</t>
        </is>
      </c>
      <c r="BS180" s="156" t="inlineStr">
        <is>
          <t>In production</t>
        </is>
      </c>
      <c r="BT180" s="152" t="n"/>
      <c r="BU180" s="152" t="n"/>
      <c r="BV180" s="156" t="n"/>
      <c r="BW180" s="156" t="inlineStr">
        <is>
          <t>Origin &amp; status — South Korea · In production · 2026 | Manipulation — 5 per hand · 5 per hand fingers · Hand DOF 10 · Payload 8.8 lb | Sensing &amp; software — Not native — open ROS 2 stack permits it · Cyclo OS (Yocto-based) · ROS 2 Jazzy | Buying notes — From $8,000 · 12 months manufacturer standard (typical research/commercial humanoid) · Best fit: education</t>
        </is>
      </c>
      <c r="BX180" s="156" t="inlineStr">
        <is>
          <t>as_shipped|AI Sapiens K1|8000|As shipped</t>
        </is>
      </c>
      <c r="BY180" s="152" t="inlineStr">
        <is>
          <t>ai_sapiens_k1|Manufacturer finish|#e2e8f0|0</t>
        </is>
      </c>
      <c r="BZ180" s="152" t="inlineStr"/>
      <c r="CA180" s="156" t="n"/>
      <c r="CB180" s="156" t="inlineStr">
        <is>
          <t>12 months manufacturer standard (typical research/commercial humanoid)</t>
        </is>
      </c>
      <c r="CC180" s="154" t="n">
        <v>12</v>
      </c>
      <c r="CD180" s="156" t="inlineStr">
        <is>
          <t>+3 Year Extended ≈24% of configuration (default in configurator)</t>
        </is>
      </c>
      <c r="CE180" s="152" t="inlineStr">
        <is>
          <t>Humanoid category norm 2025–2026</t>
        </is>
      </c>
      <c r="CF180" s="152" t="inlineStr">
        <is>
          <t>Estimated</t>
        </is>
      </c>
      <c r="CG180" s="156" t="inlineStr">
        <is>
          <t>Confirm on formal OEM quote. EDU or enterprise packages may differ.</t>
        </is>
      </c>
      <c r="CH180" s="152" t="inlineStr">
        <is>
          <t>10%</t>
        </is>
      </c>
      <c r="CI180" s="152" t="inlineStr">
        <is>
          <t>17%</t>
        </is>
      </c>
      <c r="CJ180" s="152" t="inlineStr">
        <is>
          <t>24%</t>
        </is>
      </c>
      <c r="CK180" s="156" t="inlineStr">
        <is>
          <t>+1yr ≈10% | +2yr ≈17% | +3yr ≈24% of selected configuration price (parts &amp; labor beyond manufacturer standard).</t>
        </is>
      </c>
      <c r="CL180"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80" s="152" t="inlineStr">
        <is>
          <t>12 months manufacturer standard (typical research/commercial humanoid)</t>
        </is>
      </c>
      <c r="CQ180" s="101" t="inlineStr">
        <is>
          <t>Height: 4 ft 5 in | Weight: 77.2 | Degrees of Freedom: 23 | Payload: 8.8 | Max Speed: 2.67 | Battery / Runtime: ≈ 2 hours</t>
        </is>
      </c>
    </row>
    <row r="181" ht="31.5" customHeight="1" s="102">
      <c r="A181" s="145" t="inlineStr">
        <is>
          <t>robotis_ai_worker</t>
        </is>
      </c>
      <c r="B181" s="153" t="inlineStr">
        <is>
          <t>Humanoid.guide</t>
        </is>
      </c>
      <c r="C181" s="145" t="inlineStr">
        <is>
          <t>Robotis</t>
        </is>
      </c>
      <c r="D181" s="145" t="inlineStr">
        <is>
          <t>AI Worker</t>
        </is>
      </c>
      <c r="E181" s="145" t="inlineStr">
        <is>
          <t>[Robotis] AI Worker (2026)</t>
        </is>
      </c>
      <c r="F181" s="146" t="inlineStr">
        <is>
          <t>humanoid</t>
        </is>
      </c>
      <c r="G181" s="145" t="inlineStr">
        <is>
          <t>South Korea</t>
        </is>
      </c>
      <c r="H181" s="145" t="n"/>
      <c r="I181" s="148" t="n">
        <v>60000</v>
      </c>
      <c r="J181" s="145" t="inlineStr">
        <is>
          <t>Humanoid.guide list</t>
        </is>
      </c>
      <c r="K181" s="149" t="inlineStr">
        <is>
          <t>Semi‑humanoid robot that learns from human demos to automate complex industrial tasks, increasing productivity and relieving labor shortages.</t>
        </is>
      </c>
      <c r="L181" s="101" t="inlineStr">
        <is>
          <t>Semi‑humanoid robot that learns from human demos to automate complex industrial tasks, increasing productivity and relieving labor shortages.</t>
        </is>
      </c>
      <c r="M181" s="101" t="inlineStr">
        <is>
          <t>AI Worker is Robotis's humanoid, introduced around 2026 in South Korea. Semi‑humanoid robot that learns from human demos to automate complex industrial tasks, increasing productivity and relieving labor shortages. Public status is listed as in production, and it is positioned for logistics; Manufacturing; R&amp;D.</t>
        </is>
      </c>
      <c r="N181" s="150" t="inlineStr">
        <is>
          <t>https://humanoid.guide/product/ai-worker/</t>
        </is>
      </c>
      <c r="O181" s="150" t="inlineStr">
        <is>
          <t>https://www.robotis.com</t>
        </is>
      </c>
      <c r="P181" s="145" t="inlineStr">
        <is>
          <t>5 ft 4 in</t>
        </is>
      </c>
      <c r="Q181" s="145" t="n">
        <v>162</v>
      </c>
      <c r="R181" s="145" t="n">
        <v>198.4</v>
      </c>
      <c r="S181" s="145" t="n">
        <v>90</v>
      </c>
      <c r="T181" s="149" t="inlineStr">
        <is>
          <t>Not disclosed</t>
        </is>
      </c>
      <c r="U181" s="145" t="n"/>
      <c r="V181" s="145" t="inlineStr">
        <is>
          <t>25</t>
        </is>
      </c>
      <c r="W181" s="149" t="inlineStr">
        <is>
          <t>7</t>
        </is>
      </c>
      <c r="X181" s="145" t="n">
        <v>13.2</v>
      </c>
      <c r="Y181" s="145" t="n">
        <v>6</v>
      </c>
      <c r="Z181" s="145" t="n">
        <v>3.36</v>
      </c>
      <c r="AA181" s="145" t="n">
        <v>5.4</v>
      </c>
      <c r="AB181" s="145" t="n"/>
      <c r="AC181" s="149" t="inlineStr">
        <is>
          <t>≈ 4 hours</t>
        </is>
      </c>
      <c r="AD181" s="149" t="inlineStr">
        <is>
          <t>4</t>
        </is>
      </c>
      <c r="AE181" s="145" t="n"/>
      <c r="AF181" s="145" t="inlineStr">
        <is>
          <t>Not disclosed</t>
        </is>
      </c>
      <c r="AG181" s="149" t="inlineStr">
        <is>
          <t>4</t>
        </is>
      </c>
      <c r="AH181" s="145" t="inlineStr">
        <is>
          <t>4</t>
        </is>
      </c>
      <c r="AI181" s="158" t="n">
        <v>2</v>
      </c>
      <c r="AJ181" s="149" t="inlineStr">
        <is>
          <t>Not disclosed</t>
        </is>
      </c>
      <c r="AK181" s="149" t="inlineStr">
        <is>
          <t>Not specified</t>
        </is>
      </c>
      <c r="AL181" s="145" t="inlineStr">
        <is>
          <t>Not disclosed</t>
        </is>
      </c>
      <c r="AM181" s="145" t="n"/>
      <c r="AN181" s="145" t="inlineStr">
        <is>
          <t>Not disclosed</t>
        </is>
      </c>
      <c r="AO181" s="145" t="inlineStr">
        <is>
          <t>Not disclosed</t>
        </is>
      </c>
      <c r="AP181" s="145" t="inlineStr">
        <is>
          <t>Not disclosed</t>
        </is>
      </c>
      <c r="AQ181" s="145" t="inlineStr">
        <is>
          <t>Not disclosed</t>
        </is>
      </c>
      <c r="AR181" s="145" t="n"/>
      <c r="AS181" s="145" t="n"/>
      <c r="AT181" s="149" t="inlineStr">
        <is>
          <t>AGX Orin; Nvidia Jetson</t>
        </is>
      </c>
      <c r="AU181" s="149" t="inlineStr">
        <is>
          <t>Wi‑Fi</t>
        </is>
      </c>
      <c r="AV181" s="145" t="inlineStr">
        <is>
          <t>Not disclosed</t>
        </is>
      </c>
      <c r="AW181" s="149" t="inlineStr">
        <is>
          <t>Not disclosed</t>
        </is>
      </c>
      <c r="AX181" s="158" t="n">
        <v>2</v>
      </c>
      <c r="AY181" s="149" t="inlineStr">
        <is>
          <t>Linux; ROS 2</t>
        </is>
      </c>
      <c r="AZ181" s="149" t="inlineStr">
        <is>
          <t>ACT; GR00T; PI</t>
        </is>
      </c>
      <c r="BA181" s="149" t="inlineStr">
        <is>
          <t>Not specified</t>
        </is>
      </c>
      <c r="BB181" s="149" t="inlineStr">
        <is>
          <t>DYNAMIXEL</t>
        </is>
      </c>
      <c r="BC181" s="149" t="inlineStr">
        <is>
          <t>DYNAMIXEL DRIVE (DYD)</t>
        </is>
      </c>
      <c r="BD181" s="145" t="inlineStr">
        <is>
          <t>Aluminium; Plastic</t>
        </is>
      </c>
      <c r="BE181" s="145" t="inlineStr">
        <is>
          <t>Not disclosed</t>
        </is>
      </c>
      <c r="BF181" s="145" t="inlineStr">
        <is>
          <t>Not specified</t>
        </is>
      </c>
      <c r="BG181" s="145" t="n"/>
      <c r="BH181" s="145" t="n"/>
      <c r="BI181" s="145" t="n"/>
      <c r="BJ181" s="145" t="n"/>
      <c r="BK181" s="145" t="n"/>
      <c r="BL181" s="145" t="n"/>
      <c r="BM181" s="145" t="inlineStr">
        <is>
          <t>Yes</t>
        </is>
      </c>
      <c r="BN181" s="145" t="inlineStr">
        <is>
          <t>Not disclosed</t>
        </is>
      </c>
      <c r="BO181" s="149" t="inlineStr">
        <is>
          <t>Market: logistics; Manufacturing; R&amp;D · Manipulation 2/4 · Navigation 2/4 · Human-safe: Yes · AI: ACT; GR00T; PI · Actuation: DYNAMIXEL · Peak 5.4 km/h · Runtime 4</t>
        </is>
      </c>
      <c r="BP181" s="145" t="n"/>
      <c r="BQ181" s="149" t="inlineStr">
        <is>
          <t>logistics; Manufacturing; R&amp;D</t>
        </is>
      </c>
      <c r="BR181" s="149" t="inlineStr">
        <is>
          <t>In production</t>
        </is>
      </c>
      <c r="BS181" s="149" t="inlineStr">
        <is>
          <t>In production</t>
        </is>
      </c>
      <c r="BT181" s="145" t="n"/>
      <c r="BU181" s="145" t="inlineStr">
        <is>
          <t>Not verified</t>
        </is>
      </c>
      <c r="BV181" s="149" t="n"/>
      <c r="BW181" s="149" t="inlineStr">
        <is>
          <t>Origin &amp; status — South Korea · In production · 2026 | Manipulation — 4 · 4 fingers · Hand DOF 7 · Payload 13.2 lb | Sensing &amp; software — ACT; GR00T; PI · Linux; ROS 2 | Buying notes — From $60,000 · 12 months manufacturer standard (typical research/commercial humanoid) · Best fit: logistics</t>
        </is>
      </c>
      <c r="BX181" s="149" t="inlineStr">
        <is>
          <t>as_shipped|AI Worker|60000|As shipped</t>
        </is>
      </c>
      <c r="BY181" s="145" t="inlineStr">
        <is>
          <t>ai_worker|Manufacturer finish|#e2e8f0|0</t>
        </is>
      </c>
      <c r="BZ181" s="145" t="inlineStr"/>
      <c r="CA181" s="149" t="n"/>
      <c r="CB181" s="149" t="inlineStr">
        <is>
          <t>12 months manufacturer standard (typical research/commercial humanoid)</t>
        </is>
      </c>
      <c r="CC181" s="147" t="n">
        <v>12</v>
      </c>
      <c r="CD181" s="149" t="inlineStr">
        <is>
          <t>+3 Year Extended ≈24% of configuration (default in configurator)</t>
        </is>
      </c>
      <c r="CE181" s="145" t="inlineStr">
        <is>
          <t>Humanoid category norm 2025–2026</t>
        </is>
      </c>
      <c r="CF181" s="145" t="inlineStr">
        <is>
          <t>Estimated</t>
        </is>
      </c>
      <c r="CG181" s="149" t="inlineStr">
        <is>
          <t>Confirm on formal OEM quote. EDU or enterprise packages may differ.</t>
        </is>
      </c>
      <c r="CH181" s="145" t="inlineStr">
        <is>
          <t>10%</t>
        </is>
      </c>
      <c r="CI181" s="145" t="inlineStr">
        <is>
          <t>17%</t>
        </is>
      </c>
      <c r="CJ181" s="145" t="inlineStr">
        <is>
          <t>24%</t>
        </is>
      </c>
      <c r="CK181" s="149" t="inlineStr">
        <is>
          <t>+1yr ≈10% | +2yr ≈17% | +3yr ≈24% of selected configuration price (parts &amp; labor beyond manufacturer standard).</t>
        </is>
      </c>
      <c r="CL18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81" s="145" t="inlineStr">
        <is>
          <t>12 months manufacturer standard (typical research/commercial humanoid)</t>
        </is>
      </c>
      <c r="CN181" s="203" t="inlineStr">
        <is>
          <t>https://aixzd.com/robot/ai-worker</t>
        </is>
      </c>
      <c r="CQ181" s="101" t="inlineStr">
        <is>
          <t>Height: 5 ft 4 in | Weight: 198.4 | Degrees of Freedom: 25 | Payload: 13.2 | Max Speed: 3.36 | Battery / Runtime: ≈ 4 hours</t>
        </is>
      </c>
    </row>
    <row r="182" ht="31.5" customHeight="1" s="102">
      <c r="A182" s="152" t="inlineStr">
        <is>
          <t>robotis_k0</t>
        </is>
      </c>
      <c r="B182" s="153" t="inlineStr">
        <is>
          <t>Humanoid.guide</t>
        </is>
      </c>
      <c r="C182" s="152" t="inlineStr">
        <is>
          <t>Robotis</t>
        </is>
      </c>
      <c r="D182" s="152" t="inlineStr">
        <is>
          <t>K0</t>
        </is>
      </c>
      <c r="E182" s="152" t="inlineStr">
        <is>
          <t>[Robotis] K0 (2026)</t>
        </is>
      </c>
      <c r="F182" s="146" t="inlineStr">
        <is>
          <t>humanoid</t>
        </is>
      </c>
      <c r="G182" s="152" t="inlineStr">
        <is>
          <t>South Korea</t>
        </is>
      </c>
      <c r="H182" s="152" t="n"/>
      <c r="I182" s="155" t="n">
        <v>15000</v>
      </c>
      <c r="J182" s="152" t="inlineStr">
        <is>
          <t>Humanoid.guide list</t>
        </is>
      </c>
      <c r="K182" s="156" t="inlineStr">
        <is>
          <t>K0 by ROBOTIS is an open-source humanoid robot designed for research, education, and AI development, offering full hardware and software transparency for customization and experimentation.</t>
        </is>
      </c>
      <c r="L182" s="101" t="inlineStr">
        <is>
          <t>K0 by ROBOTIS is an open-source humanoid robot designed for research, education, and AI development, offering full hardware and software transparency for customization and experimentation.</t>
        </is>
      </c>
      <c r="M182" s="101" t="inlineStr">
        <is>
          <t>K0 by ROBOTIS is an open-source humanoid robot designed for research, education, and AI development, offering full hardware and software transparency for customization and experimentation. Public status is listed as prototype, and it is positioned for research &amp; education.</t>
        </is>
      </c>
      <c r="N182" s="157" t="inlineStr">
        <is>
          <t>https://humanoid.guide/product/k0-by-robotis/</t>
        </is>
      </c>
      <c r="O182" s="157" t="inlineStr">
        <is>
          <t>https://www.robotis.com</t>
        </is>
      </c>
      <c r="P182" s="152" t="inlineStr">
        <is>
          <t>4 ft 3 in</t>
        </is>
      </c>
      <c r="Q182" s="152" t="n">
        <v>130</v>
      </c>
      <c r="R182" s="152" t="n">
        <v>75</v>
      </c>
      <c r="S182" s="152" t="n">
        <v>34</v>
      </c>
      <c r="T182" s="156" t="inlineStr">
        <is>
          <t>Not disclosed</t>
        </is>
      </c>
      <c r="U182" s="152" t="n"/>
      <c r="V182" s="152" t="inlineStr">
        <is>
          <t>23</t>
        </is>
      </c>
      <c r="W182" s="156" t="inlineStr">
        <is>
          <t>0</t>
        </is>
      </c>
      <c r="X182" s="152" t="n">
        <v>11</v>
      </c>
      <c r="Y182" s="152" t="n">
        <v>5</v>
      </c>
      <c r="Z182" s="152" t="n">
        <v>2.49</v>
      </c>
      <c r="AA182" s="152" t="n">
        <v>4</v>
      </c>
      <c r="AB182" s="152" t="n"/>
      <c r="AC182" s="156" t="inlineStr">
        <is>
          <t>≈ 1 hours</t>
        </is>
      </c>
      <c r="AD182" s="156" t="inlineStr">
        <is>
          <t>1</t>
        </is>
      </c>
      <c r="AE182" s="152" t="n"/>
      <c r="AF182" s="152" t="inlineStr">
        <is>
          <t>Not disclosed</t>
        </is>
      </c>
      <c r="AG182" s="156" t="inlineStr">
        <is>
          <t>0</t>
        </is>
      </c>
      <c r="AH182" s="152" t="inlineStr">
        <is>
          <t>0</t>
        </is>
      </c>
      <c r="AI182" s="152" t="n"/>
      <c r="AJ182" s="156" t="inlineStr">
        <is>
          <t>Not disclosed</t>
        </is>
      </c>
      <c r="AK182" s="156" t="n"/>
      <c r="AL182" s="152" t="inlineStr">
        <is>
          <t>Not disclosed</t>
        </is>
      </c>
      <c r="AM182" s="152" t="n"/>
      <c r="AN182" s="152" t="inlineStr">
        <is>
          <t>Not disclosed</t>
        </is>
      </c>
      <c r="AO182" s="152" t="inlineStr">
        <is>
          <t>Not disclosed</t>
        </is>
      </c>
      <c r="AP182" s="152" t="inlineStr">
        <is>
          <t>Not disclosed</t>
        </is>
      </c>
      <c r="AQ182" s="152" t="inlineStr">
        <is>
          <t>Not disclosed</t>
        </is>
      </c>
      <c r="AR182" s="152" t="n"/>
      <c r="AS182" s="152" t="n"/>
      <c r="AT182" s="156" t="inlineStr">
        <is>
          <t>Cortex-A76 ×4 + Cortex-A55 ×4; Mali-G610</t>
        </is>
      </c>
      <c r="AU182" s="156" t="inlineStr">
        <is>
          <t>Wi-Fi 5, Bluetooth 5.0, Ethernet ×2, USB 2.0/3.0</t>
        </is>
      </c>
      <c r="AV182" s="152" t="inlineStr">
        <is>
          <t>Not disclosed</t>
        </is>
      </c>
      <c r="AW182" s="156" t="inlineStr">
        <is>
          <t>Not disclosed</t>
        </is>
      </c>
      <c r="AX182" s="152" t="n"/>
      <c r="AY182" s="156" t="inlineStr">
        <is>
          <t>Not disclosed</t>
        </is>
      </c>
      <c r="AZ182" s="156" t="inlineStr">
        <is>
          <t>Possible via external compute (not native)</t>
        </is>
      </c>
      <c r="BA182" s="156" t="n"/>
      <c r="BB182" s="156" t="inlineStr">
        <is>
          <t>Dynamixel Q actuators</t>
        </is>
      </c>
      <c r="BC182" s="156" t="inlineStr">
        <is>
          <t>Integrated precision servo gear systems</t>
        </is>
      </c>
      <c r="BD182" s="152" t="inlineStr">
        <is>
          <t>Aluminum alloy + engineered plastics</t>
        </is>
      </c>
      <c r="BE182" s="152" t="inlineStr">
        <is>
          <t>Not disclosed</t>
        </is>
      </c>
      <c r="BF182" s="152" t="n"/>
      <c r="BG182" s="152" t="n"/>
      <c r="BH182" s="152" t="n"/>
      <c r="BI182" s="152" t="n"/>
      <c r="BJ182" s="152" t="n"/>
      <c r="BK182" s="152" t="n"/>
      <c r="BL182" s="152" t="n"/>
      <c r="BM182" s="152" t="inlineStr">
        <is>
          <t>Yes</t>
        </is>
      </c>
      <c r="BN182" s="152" t="inlineStr">
        <is>
          <t>Not disclosed</t>
        </is>
      </c>
      <c r="BO182" s="156" t="inlineStr">
        <is>
          <t>Market: Research &amp; education · Human-safe: Yes · AI: Possible via external compute (not native) · Actuation: Dynamixel Q actuators · Peak 4 km/h · Runtime 1</t>
        </is>
      </c>
      <c r="BP182" s="152" t="n"/>
      <c r="BQ182" s="156" t="inlineStr">
        <is>
          <t>Research &amp; education</t>
        </is>
      </c>
      <c r="BR182" s="156" t="inlineStr">
        <is>
          <t>Prototype</t>
        </is>
      </c>
      <c r="BS182" s="156" t="inlineStr">
        <is>
          <t>Prototype</t>
        </is>
      </c>
      <c r="BT182" s="152" t="n"/>
      <c r="BU182" s="152" t="n"/>
      <c r="BV182" s="156" t="n"/>
      <c r="BW182" s="156" t="inlineStr">
        <is>
          <t>Origin &amp; status — South Korea · Prototype · 2026 | Manipulation — 0 · 0 fingers · Hand DOF 0 · Payload 11 lb | Sensing &amp; software — Possible via external compute (not native) | Buying notes — From $15,000 · 12 months manufacturer standard (typical research/commercial humanoid) · Best fit: Research &amp; education</t>
        </is>
      </c>
      <c r="BX182" s="156" t="inlineStr">
        <is>
          <t>as_shipped|K0|15000|As shipped</t>
        </is>
      </c>
      <c r="BY182" s="152" t="inlineStr">
        <is>
          <t>k0|Manufacturer finish|#e2e8f0|0</t>
        </is>
      </c>
      <c r="BZ182" s="152" t="inlineStr"/>
      <c r="CA182" s="156" t="n"/>
      <c r="CB182" s="156" t="inlineStr">
        <is>
          <t>12 months manufacturer standard (typical research/commercial humanoid)</t>
        </is>
      </c>
      <c r="CC182" s="154" t="n">
        <v>12</v>
      </c>
      <c r="CD182" s="156" t="inlineStr">
        <is>
          <t>+3 Year Extended ≈24% of configuration (default in configurator)</t>
        </is>
      </c>
      <c r="CE182" s="152" t="inlineStr">
        <is>
          <t>Humanoid category norm 2025–2026</t>
        </is>
      </c>
      <c r="CF182" s="152" t="inlineStr">
        <is>
          <t>Estimated</t>
        </is>
      </c>
      <c r="CG182" s="156" t="inlineStr">
        <is>
          <t>Confirm on formal OEM quote. EDU or enterprise packages may differ.</t>
        </is>
      </c>
      <c r="CH182" s="152" t="inlineStr">
        <is>
          <t>10%</t>
        </is>
      </c>
      <c r="CI182" s="152" t="inlineStr">
        <is>
          <t>17%</t>
        </is>
      </c>
      <c r="CJ182" s="152" t="inlineStr">
        <is>
          <t>24%</t>
        </is>
      </c>
      <c r="CK182" s="156" t="inlineStr">
        <is>
          <t>+1yr ≈10% | +2yr ≈17% | +3yr ≈24% of selected configuration price (parts &amp; labor beyond manufacturer standard).</t>
        </is>
      </c>
      <c r="CL182"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82" s="152" t="inlineStr">
        <is>
          <t>12 months manufacturer standard (typical research/commercial humanoid)</t>
        </is>
      </c>
      <c r="CQ182" s="101" t="inlineStr">
        <is>
          <t>Height: 4 ft 3 in | Weight: 75 | Degrees of Freedom: 23 | Payload: 11 | Max Speed: 2.49 | Battery / Runtime: ≈ 1 hours</t>
        </is>
      </c>
    </row>
    <row r="183" ht="31.5" customHeight="1" s="102">
      <c r="A183" s="145" t="inlineStr">
        <is>
          <t>robros_igris_c</t>
        </is>
      </c>
      <c r="B183" s="153" t="inlineStr">
        <is>
          <t>Humanoid.guide</t>
        </is>
      </c>
      <c r="C183" s="145" t="inlineStr">
        <is>
          <t>ROBROS</t>
        </is>
      </c>
      <c r="D183" s="145" t="inlineStr">
        <is>
          <t>IGRIS-C</t>
        </is>
      </c>
      <c r="E183" s="145" t="inlineStr">
        <is>
          <t>[ROBROS] IGRIS-C (2026)</t>
        </is>
      </c>
      <c r="F183" s="146" t="inlineStr">
        <is>
          <t>humanoid</t>
        </is>
      </c>
      <c r="G183" s="145" t="inlineStr">
        <is>
          <t>South Korea</t>
        </is>
      </c>
      <c r="H183" s="145" t="n"/>
      <c r="I183" s="148" t="n">
        <v>100000</v>
      </c>
      <c r="J183" s="145" t="inlineStr">
        <is>
          <t>Humanoid.guide list</t>
        </is>
      </c>
      <c r="K183" s="149" t="inlineStr">
        <is>
          <t>IGRIS-C is a production-ready humanoid robot developed by Robros to connect advanced AI research with real-world industrial deployment.</t>
        </is>
      </c>
      <c r="L183" s="101" t="inlineStr">
        <is>
          <t>IGRIS-C is a production-ready humanoid robot developed by Robros to connect advanced AI research with real-world industrial deployment.</t>
        </is>
      </c>
      <c r="M183" s="101" t="inlineStr">
        <is>
          <t>IGRIS-C is a production-ready humanoid robot developed by Robros to connect advanced AI research with real-world industrial deployment. It is positioned for industrial Manufacturing.</t>
        </is>
      </c>
      <c r="N183" s="150" t="inlineStr">
        <is>
          <t>https://humanoid.guide/product/igris-c/</t>
        </is>
      </c>
      <c r="O183" s="150" t="inlineStr">
        <is>
          <t>https://www.robros.co.kr/en</t>
        </is>
      </c>
      <c r="P183" s="145" t="inlineStr">
        <is>
          <t>5 ft 1 in</t>
        </is>
      </c>
      <c r="Q183" s="145" t="n">
        <v>154</v>
      </c>
      <c r="R183" s="145" t="n">
        <v>123.5</v>
      </c>
      <c r="S183" s="145" t="n">
        <v>56</v>
      </c>
      <c r="T183" s="149" t="inlineStr">
        <is>
          <t>Not disclosed</t>
        </is>
      </c>
      <c r="U183" s="145" t="n"/>
      <c r="V183" s="145" t="inlineStr">
        <is>
          <t>43</t>
        </is>
      </c>
      <c r="W183" s="149" t="inlineStr">
        <is>
          <t>12</t>
        </is>
      </c>
      <c r="X183" s="145" t="n">
        <v>13.2</v>
      </c>
      <c r="Y183" s="145" t="n">
        <v>6</v>
      </c>
      <c r="Z183" s="145" t="n">
        <v>6.21</v>
      </c>
      <c r="AA183" s="145" t="n">
        <v>10</v>
      </c>
      <c r="AB183" s="145" t="n">
        <v>2.1</v>
      </c>
      <c r="AC183" s="149" t="inlineStr">
        <is>
          <t>≈ 3 hours</t>
        </is>
      </c>
      <c r="AD183" s="149" t="inlineStr">
        <is>
          <t>3</t>
        </is>
      </c>
      <c r="AE183" s="145" t="n"/>
      <c r="AF183" s="145" t="inlineStr">
        <is>
          <t>Not disclosed</t>
        </is>
      </c>
      <c r="AG183" s="149" t="inlineStr">
        <is>
          <t>5</t>
        </is>
      </c>
      <c r="AH183" s="145" t="inlineStr">
        <is>
          <t>5</t>
        </is>
      </c>
      <c r="AI183" s="145" t="n"/>
      <c r="AJ183" s="149" t="inlineStr">
        <is>
          <t>Not disclosed</t>
        </is>
      </c>
      <c r="AK183" s="149" t="n"/>
      <c r="AL183" s="145" t="inlineStr">
        <is>
          <t>Not disclosed</t>
        </is>
      </c>
      <c r="AM183" s="145" t="n"/>
      <c r="AN183" s="145" t="inlineStr">
        <is>
          <t>Not disclosed</t>
        </is>
      </c>
      <c r="AO183" s="145" t="inlineStr">
        <is>
          <t>Not disclosed</t>
        </is>
      </c>
      <c r="AP183" s="145" t="inlineStr">
        <is>
          <t>Not disclosed</t>
        </is>
      </c>
      <c r="AQ183" s="145" t="inlineStr">
        <is>
          <t>Not disclosed</t>
        </is>
      </c>
      <c r="AR183" s="145" t="n"/>
      <c r="AS183" s="145" t="n"/>
      <c r="AT183" s="149" t="inlineStr">
        <is>
          <t>NUC i7</t>
        </is>
      </c>
      <c r="AU183" s="149" t="inlineStr">
        <is>
          <t>Not disclosed</t>
        </is>
      </c>
      <c r="AV183" s="145" t="inlineStr">
        <is>
          <t>Not disclosed</t>
        </is>
      </c>
      <c r="AW183" s="149" t="inlineStr">
        <is>
          <t>Not disclosed</t>
        </is>
      </c>
      <c r="AX183" s="145" t="n"/>
      <c r="AY183" s="149" t="inlineStr">
        <is>
          <t>Linux</t>
        </is>
      </c>
      <c r="AZ183" s="149" t="inlineStr">
        <is>
          <t>Not disclosed</t>
        </is>
      </c>
      <c r="BA183" s="149" t="n"/>
      <c r="BB183" s="149" t="inlineStr">
        <is>
          <t>Not disclosed</t>
        </is>
      </c>
      <c r="BC183" s="149" t="inlineStr">
        <is>
          <t>Not disclosed</t>
        </is>
      </c>
      <c r="BD183" s="145" t="inlineStr">
        <is>
          <t>Aluminium</t>
        </is>
      </c>
      <c r="BE183" s="145" t="inlineStr">
        <is>
          <t>Not disclosed</t>
        </is>
      </c>
      <c r="BF183" s="145" t="n"/>
      <c r="BG183" s="145" t="n"/>
      <c r="BH183" s="145" t="n"/>
      <c r="BI183" s="145" t="n"/>
      <c r="BJ183" s="145" t="n"/>
      <c r="BK183" s="145" t="n"/>
      <c r="BL183" s="145" t="n"/>
      <c r="BM183" s="145" t="inlineStr">
        <is>
          <t>Yes</t>
        </is>
      </c>
      <c r="BN183" s="145" t="inlineStr">
        <is>
          <t>Not disclosed</t>
        </is>
      </c>
      <c r="BO183" s="149" t="inlineStr">
        <is>
          <t>Market: Industrial Manufacturing · Human-safe: Yes · Peak 10 km/h · Walk 2.1 km/h · Runtime 3</t>
        </is>
      </c>
      <c r="BP183" s="145" t="n"/>
      <c r="BQ183" s="149" t="inlineStr">
        <is>
          <t>Industrial Manufacturing</t>
        </is>
      </c>
      <c r="BR183" s="149" t="inlineStr">
        <is>
          <t>Production</t>
        </is>
      </c>
      <c r="BS183" s="149" t="inlineStr">
        <is>
          <t>Production</t>
        </is>
      </c>
      <c r="BT183" s="145" t="n"/>
      <c r="BU183" s="145" t="inlineStr">
        <is>
          <t>Verified</t>
        </is>
      </c>
      <c r="BV183" s="149" t="n"/>
      <c r="BW183" s="149" t="inlineStr">
        <is>
          <t>Origin &amp; status — South Korea · Production · 2026 | Manipulation — 5 · 5 fingers · Hand DOF 12 · Payload 13.2 lb | Sensing &amp; software — Linux | Buying notes — From $100,000 · 12 months manufacturer standard (typical research/commercial humanoid) · Best fit: Industrial Manufacturing</t>
        </is>
      </c>
      <c r="BX183" s="149" t="inlineStr">
        <is>
          <t>as_shipped|IGRIS-C|100000|As shipped</t>
        </is>
      </c>
      <c r="BY183" s="145" t="inlineStr">
        <is>
          <t>igris_c|Manufacturer finish|#e2e8f0|0</t>
        </is>
      </c>
      <c r="BZ183" s="145" t="inlineStr"/>
      <c r="CA183" s="149" t="n"/>
      <c r="CB183" s="149" t="inlineStr">
        <is>
          <t>12 months manufacturer standard (typical research/commercial humanoid)</t>
        </is>
      </c>
      <c r="CC183" s="147" t="n">
        <v>12</v>
      </c>
      <c r="CD183" s="149" t="inlineStr">
        <is>
          <t>+3 Year Extended ≈24% of configuration (default in configurator)</t>
        </is>
      </c>
      <c r="CE183" s="145" t="inlineStr">
        <is>
          <t>Humanoid category norm 2025–2026</t>
        </is>
      </c>
      <c r="CF183" s="145" t="inlineStr">
        <is>
          <t>Estimated</t>
        </is>
      </c>
      <c r="CG183" s="149" t="inlineStr">
        <is>
          <t>Confirm on formal OEM quote. EDU or enterprise packages may differ.</t>
        </is>
      </c>
      <c r="CH183" s="145" t="inlineStr">
        <is>
          <t>10%</t>
        </is>
      </c>
      <c r="CI183" s="145" t="inlineStr">
        <is>
          <t>17%</t>
        </is>
      </c>
      <c r="CJ183" s="145" t="inlineStr">
        <is>
          <t>24%</t>
        </is>
      </c>
      <c r="CK183" s="149" t="inlineStr">
        <is>
          <t>+1yr ≈10% | +2yr ≈17% | +3yr ≈24% of selected configuration price (parts &amp; labor beyond manufacturer standard).</t>
        </is>
      </c>
      <c r="CL183"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83" s="145" t="inlineStr">
        <is>
          <t>12 months manufacturer standard (typical research/commercial humanoid)</t>
        </is>
      </c>
      <c r="CN183" s="203" t="inlineStr">
        <is>
          <t>https://aixzd.com/robot/igris-c</t>
        </is>
      </c>
      <c r="CQ183" s="101" t="inlineStr">
        <is>
          <t>Height: 5 ft 1 in | Weight: 123.5 | Degrees of Freedom: 43 | Payload: 13.2 | Max Speed: 6.21 | Battery / Runtime: ≈ 3 hours</t>
        </is>
      </c>
    </row>
    <row r="184" ht="31.5" customHeight="1" s="102">
      <c r="A184" s="159" t="inlineStr">
        <is>
          <t>sanctuary_ai_phoenix_gen_7_8</t>
        </is>
      </c>
      <c r="B184" s="144" t="inlineStr">
        <is>
          <t>Both</t>
        </is>
      </c>
      <c r="C184" s="152" t="inlineStr">
        <is>
          <t>Sanctuary AI</t>
        </is>
      </c>
      <c r="D184" s="152" t="inlineStr">
        <is>
          <t>Phoenix</t>
        </is>
      </c>
      <c r="E184" s="152" t="inlineStr">
        <is>
          <t>[Sanctuary AI] Phoenix (2023)</t>
        </is>
      </c>
      <c r="F184" s="146" t="inlineStr">
        <is>
          <t>humanoid</t>
        </is>
      </c>
      <c r="G184" s="152" t="inlineStr">
        <is>
          <t>Canada</t>
        </is>
      </c>
      <c r="H184" s="154" t="n">
        <v>2023</v>
      </c>
      <c r="I184" s="155" t="n">
        <v>50000</v>
      </c>
      <c r="J184" s="152" t="inlineStr">
        <is>
          <t>Website store</t>
        </is>
      </c>
      <c r="K184" s="156" t="inlineStr">
        <is>
          <t>Phoenix is an advanced humanoid general-purpose robot developed by Sanctuary AI, a Canadian company at the forefront of robotics and artificial intelligence.</t>
        </is>
      </c>
      <c r="L184" s="101" t="inlineStr">
        <is>
          <t>Phoenix is an advanced humanoid general-purpose robot developed by Sanctuary AI, a Canadian company at the forefront of robotics and artificial intelligence.</t>
        </is>
      </c>
      <c r="M184" s="101" t="inlineStr">
        <is>
          <t>Phoenix is an advanced humanoid general-purpose robot developed by Sanctuary AI, a Canadian company at the forefront of robotics and artificial intelligence. Public status is listed as pilot deployments (Canadian Tire etc.); Carbon AI, and it is positioned for general-purpose / Retail / Light mfg.</t>
        </is>
      </c>
      <c r="N184" s="157" t="inlineStr">
        <is>
          <t>https://humanoid.guide/product/phoenix/</t>
        </is>
      </c>
      <c r="O184" s="157" t="inlineStr">
        <is>
          <t>https://sanctuary.ai</t>
        </is>
      </c>
      <c r="P184" s="152" t="inlineStr">
        <is>
          <t>5 ft 7 in</t>
        </is>
      </c>
      <c r="Q184" s="152" t="n">
        <v>170</v>
      </c>
      <c r="R184" s="152" t="n">
        <v>154.3</v>
      </c>
      <c r="S184" s="152" t="n">
        <v>70</v>
      </c>
      <c r="T184" s="156" t="inlineStr">
        <is>
          <t>Not disclosed</t>
        </is>
      </c>
      <c r="U184" s="152" t="n"/>
      <c r="V184" s="152" t="inlineStr">
        <is>
          <t>40–75 (hands 20+)</t>
        </is>
      </c>
      <c r="W184" s="156" t="inlineStr">
        <is>
          <t>Not disclosed</t>
        </is>
      </c>
      <c r="X184" s="152" t="inlineStr">
        <is>
          <t>25 lb</t>
        </is>
      </c>
      <c r="Y184" s="152" t="n">
        <v>25</v>
      </c>
      <c r="Z184" s="152" t="n">
        <v>3.11</v>
      </c>
      <c r="AA184" s="152" t="n">
        <v>5</v>
      </c>
      <c r="AB184" s="152" t="n">
        <v>4</v>
      </c>
      <c r="AC184" s="156" t="inlineStr">
        <is>
          <t>≈ 4 h class</t>
        </is>
      </c>
      <c r="AD184" s="156" t="inlineStr">
        <is>
          <t>8</t>
        </is>
      </c>
      <c r="AE184" s="152" t="n"/>
      <c r="AF184" s="152" t="inlineStr">
        <is>
          <t>Not disclosed</t>
        </is>
      </c>
      <c r="AG184" s="156" t="inlineStr">
        <is>
          <t>High-DOF Carbon hand systems (20+ DOF class hands)</t>
        </is>
      </c>
      <c r="AH184" s="152" t="inlineStr">
        <is>
          <t>Not disclosed</t>
        </is>
      </c>
      <c r="AI184" s="158" t="n">
        <v>2</v>
      </c>
      <c r="AJ184" s="156" t="inlineStr">
        <is>
          <t>Vision suite for general-purpose manipulation</t>
        </is>
      </c>
      <c r="AK184" s="156" t="n"/>
      <c r="AL184" s="152" t="inlineStr">
        <is>
          <t>Not disclosed</t>
        </is>
      </c>
      <c r="AM184" s="152" t="n"/>
      <c r="AN184" s="152" t="inlineStr">
        <is>
          <t>Not disclosed</t>
        </is>
      </c>
      <c r="AO184" s="152" t="inlineStr">
        <is>
          <t>Not disclosed</t>
        </is>
      </c>
      <c r="AP184" s="152" t="inlineStr">
        <is>
          <t>Not disclosed</t>
        </is>
      </c>
      <c r="AQ184" s="152" t="inlineStr">
        <is>
          <t>Not disclosed</t>
        </is>
      </c>
      <c r="AR184" s="152" t="n"/>
      <c r="AS184" s="152" t="n"/>
      <c r="AT184" s="156" t="inlineStr">
        <is>
          <t>Not disclosed</t>
        </is>
      </c>
      <c r="AU184" s="156" t="inlineStr">
        <is>
          <t>Not disclosed</t>
        </is>
      </c>
      <c r="AV184" s="152" t="inlineStr">
        <is>
          <t>Sanctuary AI Carbon / pilot deployment software</t>
        </is>
      </c>
      <c r="AW184" s="156" t="inlineStr">
        <is>
          <t>Bipedal mobility for retail and light manufacturing pilots</t>
        </is>
      </c>
      <c r="AX184" s="158" t="n">
        <v>2</v>
      </c>
      <c r="AY184" s="156" t="inlineStr">
        <is>
          <t>Not disclosed</t>
        </is>
      </c>
      <c r="AZ184" s="156" t="inlineStr">
        <is>
          <t>Not disclosed</t>
        </is>
      </c>
      <c r="BA184" s="156" t="n"/>
      <c r="BB184" s="156" t="inlineStr">
        <is>
          <t>Not disclosed</t>
        </is>
      </c>
      <c r="BC184" s="156" t="inlineStr">
        <is>
          <t>Not disclosed</t>
        </is>
      </c>
      <c r="BD184" s="152" t="inlineStr">
        <is>
          <t>Not disclosed</t>
        </is>
      </c>
      <c r="BE184" s="152" t="inlineStr">
        <is>
          <t>Not disclosed</t>
        </is>
      </c>
      <c r="BF184" s="152" t="n"/>
      <c r="BG184" s="152" t="n"/>
      <c r="BH184" s="152" t="n"/>
      <c r="BI184" s="152" t="n"/>
      <c r="BJ184" s="152" t="n"/>
      <c r="BK184" s="152" t="n"/>
      <c r="BL184" s="152" t="n"/>
      <c r="BM184" s="152" t="inlineStr">
        <is>
          <t>Not disclosed</t>
        </is>
      </c>
      <c r="BN184" s="152" t="inlineStr">
        <is>
          <t>Not disclosed</t>
        </is>
      </c>
      <c r="BO184" s="156" t="inlineStr">
        <is>
          <t>Market: General-purpose / Retail / Light mfg · Manipulation 2/4 · Navigation 2/4 · Peak 5 km/h · Walk 4 km/h · Runtime 8</t>
        </is>
      </c>
      <c r="BP184" s="152" t="n"/>
      <c r="BQ184" s="156" t="inlineStr">
        <is>
          <t>General-purpose / Retail / Light mfg</t>
        </is>
      </c>
      <c r="BR184" s="156" t="inlineStr">
        <is>
          <t>Pilot deployments (Canadian Tire etc.); Carbon AI</t>
        </is>
      </c>
      <c r="BS184" s="156" t="inlineStr">
        <is>
          <t>Prototype</t>
        </is>
      </c>
      <c r="BT184" s="152" t="n"/>
      <c r="BU184" s="152" t="inlineStr">
        <is>
          <t>Not verified</t>
        </is>
      </c>
      <c r="BV184" s="156" t="inlineStr">
        <is>
          <t>Industry-leading hand dexterity claims Humanoid.guide listed price $40,000.</t>
        </is>
      </c>
      <c r="BW184" s="156" t="inlineStr">
        <is>
          <t>Origin &amp; status — Canada · Pilot deployments (Canadian Tire etc.); Carbon AI · 2023 | Manipulation — High-DOF Carbon hand systems (20+ DOF class hands) · Payload 25 lb | Sensing &amp; software — Vision suite for general-purpose manipulation · Sanctuary AI Carbon / pilot deployment software | Buying notes — From $50,000 · 12 months manufacturer standard (typical research/commercial humanoid) · Best fit: General-purpose</t>
        </is>
      </c>
      <c r="BX184" s="156" t="inlineStr">
        <is>
          <t>as_shipped|Phoenix|50000|As shipped</t>
        </is>
      </c>
      <c r="BY184" s="152" t="inlineStr">
        <is>
          <t>phoenix|Manufacturer finish|#e2e8f0|0</t>
        </is>
      </c>
      <c r="BZ184" s="152" t="inlineStr"/>
      <c r="CA184" s="156" t="inlineStr">
        <is>
          <t>Add-ons: case; 2 color options; Multi-year extended warranty available</t>
        </is>
      </c>
      <c r="CB184" s="156" t="inlineStr">
        <is>
          <t>12 months manufacturer standard (typical research/commercial humanoid)</t>
        </is>
      </c>
      <c r="CC184" s="154" t="n">
        <v>12</v>
      </c>
      <c r="CD184" s="156" t="inlineStr">
        <is>
          <t>+3 Year Extended ≈24% of configuration (default in configurator)</t>
        </is>
      </c>
      <c r="CE184" s="152" t="inlineStr">
        <is>
          <t>Humanoid category norm 2025–2026</t>
        </is>
      </c>
      <c r="CF184" s="152" t="inlineStr">
        <is>
          <t>Estimated</t>
        </is>
      </c>
      <c r="CG184" s="156" t="inlineStr">
        <is>
          <t>EDU or enterprise packages may differ; confirm on formal quote.</t>
        </is>
      </c>
      <c r="CH184" s="152" t="inlineStr">
        <is>
          <t>10%</t>
        </is>
      </c>
      <c r="CI184" s="152" t="inlineStr">
        <is>
          <t>17%</t>
        </is>
      </c>
      <c r="CJ184" s="152" t="inlineStr">
        <is>
          <t>24%</t>
        </is>
      </c>
      <c r="CK184"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184"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84" s="152" t="inlineStr">
        <is>
          <t>12 months manufacturer standard (typical research/commercial humanoid)</t>
        </is>
      </c>
      <c r="CQ184" s="101" t="inlineStr">
        <is>
          <t>Height: 5 ft 7 in | Weight: 154.3 | Degrees of Freedom: 40–75 (hands 20+) | Payload: 25 lb | Max Speed: 3.11 | Battery / Runtime: ≈ 4 h class</t>
        </is>
      </c>
    </row>
    <row r="185" ht="31.5" customHeight="1" s="102">
      <c r="A185" s="145" t="inlineStr">
        <is>
          <t>shanghai_roboparty_technology_co_ltd_roboto_orig</t>
        </is>
      </c>
      <c r="B185" s="153" t="inlineStr">
        <is>
          <t>Humanoid.guide</t>
        </is>
      </c>
      <c r="C185" s="145" t="inlineStr">
        <is>
          <t>Shanghai RoboParty Technology Co., Ltd.</t>
        </is>
      </c>
      <c r="D185" s="145" t="inlineStr">
        <is>
          <t>Roboto Origin</t>
        </is>
      </c>
      <c r="E185" s="145" t="inlineStr">
        <is>
          <t>[Shanghai RoboParty Technology Co., Ltd.] Roboto Origin (2026)</t>
        </is>
      </c>
      <c r="F185" s="146" t="inlineStr">
        <is>
          <t>humanoid</t>
        </is>
      </c>
      <c r="G185" s="145" t="inlineStr">
        <is>
          <t>China</t>
        </is>
      </c>
      <c r="H185" s="145" t="n"/>
      <c r="I185" s="148" t="n">
        <v>4900</v>
      </c>
      <c r="J185" s="145" t="inlineStr">
        <is>
          <t>Humanoid.guide list</t>
        </is>
      </c>
      <c r="K185" s="149" t="inlineStr">
        <is>
          <t>Roboto Origin is a full-stack open-source humanoid robot designed for robotics research, education, and hands-on development.</t>
        </is>
      </c>
      <c r="L185" s="101" t="inlineStr">
        <is>
          <t>Roboto Origin is a full-stack open-source humanoid robot designed for robotics research, education, and hands-on development.</t>
        </is>
      </c>
      <c r="M185" s="101" t="inlineStr">
        <is>
          <t>Roboto Origin is a full-stack open-source humanoid robot designed for robotics research, education, and hands-on development. Public status is listed as prototype, and it is positioned for education; makers; Research; robotics development.</t>
        </is>
      </c>
      <c r="N185" s="150" t="inlineStr">
        <is>
          <t>https://humanoid.guide/product/roboto-origin/</t>
        </is>
      </c>
      <c r="O185" s="150" t="inlineStr">
        <is>
          <t>https://www.roboparty.com/</t>
        </is>
      </c>
      <c r="P185" s="145" t="inlineStr">
        <is>
          <t>4 ft 1 in</t>
        </is>
      </c>
      <c r="Q185" s="145" t="n">
        <v>125</v>
      </c>
      <c r="R185" s="145" t="n">
        <v>75</v>
      </c>
      <c r="S185" s="145" t="n">
        <v>34</v>
      </c>
      <c r="T185" s="149" t="inlineStr">
        <is>
          <t>Not disclosed</t>
        </is>
      </c>
      <c r="U185" s="145" t="n"/>
      <c r="V185" s="145" t="inlineStr">
        <is>
          <t>23</t>
        </is>
      </c>
      <c r="W185" s="149" t="inlineStr">
        <is>
          <t>0</t>
        </is>
      </c>
      <c r="X185" s="145" t="n">
        <v>11</v>
      </c>
      <c r="Y185" s="145" t="n">
        <v>5</v>
      </c>
      <c r="Z185" s="145" t="n">
        <v>6.21</v>
      </c>
      <c r="AA185" s="145" t="n">
        <v>10</v>
      </c>
      <c r="AB185" s="145" t="n"/>
      <c r="AC185" s="149" t="inlineStr">
        <is>
          <t>≈ 2 hours</t>
        </is>
      </c>
      <c r="AD185" s="149" t="inlineStr">
        <is>
          <t>2</t>
        </is>
      </c>
      <c r="AE185" s="145" t="n"/>
      <c r="AF185" s="145" t="inlineStr">
        <is>
          <t>Not disclosed</t>
        </is>
      </c>
      <c r="AG185" s="149" t="inlineStr">
        <is>
          <t>0</t>
        </is>
      </c>
      <c r="AH185" s="145" t="inlineStr">
        <is>
          <t>0</t>
        </is>
      </c>
      <c r="AI185" s="145" t="n"/>
      <c r="AJ185" s="149" t="inlineStr">
        <is>
          <t>Optional Intel RealSense D435i; exact resolution not specified by RoboParty</t>
        </is>
      </c>
      <c r="AK185" s="149" t="inlineStr">
        <is>
          <t>Optional Intel RealSense D435i; exact resolution not specified by RoboParty</t>
        </is>
      </c>
      <c r="AL185" s="145" t="inlineStr">
        <is>
          <t>Not disclosed</t>
        </is>
      </c>
      <c r="AM185" s="145" t="n"/>
      <c r="AN185" s="145" t="inlineStr">
        <is>
          <t>Not disclosed</t>
        </is>
      </c>
      <c r="AO185" s="145" t="inlineStr">
        <is>
          <t>Not disclosed</t>
        </is>
      </c>
      <c r="AP185" s="145" t="inlineStr">
        <is>
          <t>Not disclosed</t>
        </is>
      </c>
      <c r="AQ185" s="145" t="inlineStr">
        <is>
          <t>Not disclosed</t>
        </is>
      </c>
      <c r="AR185" s="145" t="n"/>
      <c r="AS185" s="145" t="n"/>
      <c r="AT185" s="149" t="inlineStr">
        <is>
          <t>D-Robotics RDK X5: 8× Cortex-A55 @ 1.5 GHz, 10 TOPS BPU, 32 GFLOPS GPU</t>
        </is>
      </c>
      <c r="AU185" s="149" t="inlineStr">
        <is>
          <t>Bluetooth 5.4; CAN FD; RDK X5 also supports Gigabit Ethernet; USB-to-CAN; Wi-Fi 6</t>
        </is>
      </c>
      <c r="AV185" s="145" t="inlineStr">
        <is>
          <t>Not disclosed</t>
        </is>
      </c>
      <c r="AW185" s="149" t="inlineStr">
        <is>
          <t>Not disclosed</t>
        </is>
      </c>
      <c r="AX185" s="145" t="n"/>
      <c r="AY185" s="149" t="inlineStr">
        <is>
          <t>Ubuntu 22.04 / Linux; ROS 2 software stack</t>
        </is>
      </c>
      <c r="AZ185" s="149" t="inlineStr">
        <is>
          <t>Not disclosed</t>
        </is>
      </c>
      <c r="BA185" s="149" t="n"/>
      <c r="BB185" s="149" t="inlineStr">
        <is>
          <t>DAMIAO servo motors</t>
        </is>
      </c>
      <c r="BC185" s="149" t="inlineStr">
        <is>
          <t>High-torque joints use 10:1 gearing; compact joints use 40:1 gearing</t>
        </is>
      </c>
      <c r="BD185" s="145" t="inlineStr">
        <is>
          <t>CNC-machined aluminum</t>
        </is>
      </c>
      <c r="BE185" s="145" t="inlineStr">
        <is>
          <t>Not disclosed</t>
        </is>
      </c>
      <c r="BF185" s="145" t="n"/>
      <c r="BG185" s="145" t="n"/>
      <c r="BH185" s="145" t="n"/>
      <c r="BI185" s="145" t="n"/>
      <c r="BJ185" s="145" t="n"/>
      <c r="BK185" s="145" t="n"/>
      <c r="BL185" s="145" t="n"/>
      <c r="BM185" s="145" t="inlineStr">
        <is>
          <t>Yes</t>
        </is>
      </c>
      <c r="BN185" s="145" t="inlineStr">
        <is>
          <t>Not disclosed</t>
        </is>
      </c>
      <c r="BO185" s="149" t="inlineStr">
        <is>
          <t>Market: education; makers; Research; robotics development · Human-safe: Yes · Actuation: DAMIAO servo motors · Peak 10 km/h · Runtime 2</t>
        </is>
      </c>
      <c r="BP185" s="145" t="n"/>
      <c r="BQ185" s="149" t="inlineStr">
        <is>
          <t>education; makers; Research; robotics development</t>
        </is>
      </c>
      <c r="BR185" s="149" t="inlineStr">
        <is>
          <t>Prototype</t>
        </is>
      </c>
      <c r="BS185" s="149" t="inlineStr">
        <is>
          <t>Prototype</t>
        </is>
      </c>
      <c r="BT185" s="145" t="n"/>
      <c r="BU185" s="145" t="n"/>
      <c r="BV185" s="149" t="n"/>
      <c r="BW185" s="149" t="inlineStr">
        <is>
          <t>Origin &amp; status — China · Prototype · 2026 | Manipulation — 0 · 0 fingers · Hand DOF 0 · Payload 11 lb | Sensing &amp; software — Optional Intel RealSense D435i; exact resolution not specified by RoboParty · Ubuntu 22.04 / Linux; ROS 2 software stack | Buying notes — From $4,900 · 12 months manufacturer standard (typical research/commercial humanoid) · Best fit: education</t>
        </is>
      </c>
      <c r="BX185" s="149" t="inlineStr">
        <is>
          <t>as_shipped|Roboto Origin|4900|As shipped</t>
        </is>
      </c>
      <c r="BY185" s="145" t="inlineStr">
        <is>
          <t>roboto_origin|Manufacturer finish|#e2e8f0|0</t>
        </is>
      </c>
      <c r="BZ185" s="145" t="inlineStr"/>
      <c r="CA185" s="149" t="n"/>
      <c r="CB185" s="149" t="inlineStr">
        <is>
          <t>12 months manufacturer standard (typical research/commercial humanoid)</t>
        </is>
      </c>
      <c r="CC185" s="147" t="n">
        <v>12</v>
      </c>
      <c r="CD185" s="149" t="inlineStr">
        <is>
          <t>+3 Year Extended ≈24% of configuration (default in configurator)</t>
        </is>
      </c>
      <c r="CE185" s="145" t="inlineStr">
        <is>
          <t>Humanoid category norm 2025–2026</t>
        </is>
      </c>
      <c r="CF185" s="145" t="inlineStr">
        <is>
          <t>Estimated</t>
        </is>
      </c>
      <c r="CG185" s="149" t="inlineStr">
        <is>
          <t>Confirm on formal OEM quote. EDU or enterprise packages may differ.</t>
        </is>
      </c>
      <c r="CH185" s="145" t="inlineStr">
        <is>
          <t>10%</t>
        </is>
      </c>
      <c r="CI185" s="145" t="inlineStr">
        <is>
          <t>17%</t>
        </is>
      </c>
      <c r="CJ185" s="145" t="inlineStr">
        <is>
          <t>24%</t>
        </is>
      </c>
      <c r="CK185" s="149" t="inlineStr">
        <is>
          <t>+1yr ≈10% | +2yr ≈17% | +3yr ≈24% of selected configuration price (parts &amp; labor beyond manufacturer standard).</t>
        </is>
      </c>
      <c r="CL18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85" s="145" t="inlineStr">
        <is>
          <t>12 months manufacturer standard (typical research/commercial humanoid)</t>
        </is>
      </c>
      <c r="CQ185" s="101" t="inlineStr">
        <is>
          <t>Height: 4 ft 1 in | Weight: 75 | Degrees of Freedom: 23 | Payload: 11 | Max Speed: 6.21 | Battery / Runtime: ≈ 2 hours</t>
        </is>
      </c>
    </row>
    <row r="186" ht="31.5" customHeight="1" s="102">
      <c r="A186" s="152" t="inlineStr">
        <is>
          <t>siasun_robot_automation_duco</t>
        </is>
      </c>
      <c r="B186" s="153" t="inlineStr">
        <is>
          <t>Humanoid.guide</t>
        </is>
      </c>
      <c r="C186" s="152" t="inlineStr">
        <is>
          <t>Siasun Robot &amp; Automation</t>
        </is>
      </c>
      <c r="D186" s="152" t="inlineStr">
        <is>
          <t>DUCO</t>
        </is>
      </c>
      <c r="E186" s="152" t="inlineStr">
        <is>
          <t>[Siasun Robot &amp; Automation] DUCO (2026)</t>
        </is>
      </c>
      <c r="F186" s="146" t="inlineStr">
        <is>
          <t>humanoid</t>
        </is>
      </c>
      <c r="G186" s="152" t="inlineStr">
        <is>
          <t>China</t>
        </is>
      </c>
      <c r="H186" s="152" t="n"/>
      <c r="I186" s="155" t="n">
        <v>85000</v>
      </c>
      <c r="J186" s="152" t="inlineStr">
        <is>
          <t>Humanoid.guide list</t>
        </is>
      </c>
      <c r="K186" s="156" t="inlineStr">
        <is>
          <t>DUCO is a humanoid-style mobile manipulation robot developed by SIASUN for industrial and service applications.</t>
        </is>
      </c>
      <c r="L186" s="101" t="inlineStr">
        <is>
          <t>DUCO is a humanoid-style mobile manipulation robot developed by SIASUN for industrial and service applications.</t>
        </is>
      </c>
      <c r="M186" s="101" t="inlineStr">
        <is>
          <t>DUCO is a humanoid-style mobile manipulation robot developed by SIASUN for industrial and service applications. Public status is listed as prototype, and it is positioned for industrial; logistics; service robotics.</t>
        </is>
      </c>
      <c r="N186" s="157" t="inlineStr">
        <is>
          <t>https://humanoid.guide/product/duco/</t>
        </is>
      </c>
      <c r="O186" s="157" t="inlineStr">
        <is>
          <t>https://www.siasun.com</t>
        </is>
      </c>
      <c r="P186" s="152" t="inlineStr">
        <is>
          <t>4 ft 11 in</t>
        </is>
      </c>
      <c r="Q186" s="152" t="n">
        <v>150</v>
      </c>
      <c r="R186" s="152" t="n">
        <v>198.4</v>
      </c>
      <c r="S186" s="152" t="n">
        <v>90</v>
      </c>
      <c r="T186" s="156" t="inlineStr">
        <is>
          <t>Not disclosed</t>
        </is>
      </c>
      <c r="U186" s="152" t="n"/>
      <c r="V186" s="152" t="inlineStr">
        <is>
          <t>~30–35</t>
        </is>
      </c>
      <c r="W186" s="156" t="inlineStr">
        <is>
          <t>~5 per hand</t>
        </is>
      </c>
      <c r="X186" s="152" t="n">
        <v>22</v>
      </c>
      <c r="Y186" s="152" t="n">
        <v>10</v>
      </c>
      <c r="Z186" s="152" t="n">
        <v>3.11</v>
      </c>
      <c r="AA186" s="152" t="n">
        <v>5</v>
      </c>
      <c r="AB186" s="152" t="n"/>
      <c r="AC186" s="156" t="inlineStr">
        <is>
          <t>~6–8</t>
        </is>
      </c>
      <c r="AD186" s="156" t="inlineStr">
        <is>
          <t>~6–8</t>
        </is>
      </c>
      <c r="AE186" s="152" t="n"/>
      <c r="AF186" s="152" t="inlineStr">
        <is>
          <t>Not disclosed</t>
        </is>
      </c>
      <c r="AG186" s="156" t="inlineStr">
        <is>
          <t>5 per hand</t>
        </is>
      </c>
      <c r="AH186" s="152" t="inlineStr">
        <is>
          <t>5 per hand</t>
        </is>
      </c>
      <c r="AI186" s="152" t="n"/>
      <c r="AJ186" s="156" t="inlineStr">
        <is>
          <t>RGB / depth cameras, ~1080p</t>
        </is>
      </c>
      <c r="AK186" s="156" t="inlineStr">
        <is>
          <t>RGB / depth cameras, ~1080p</t>
        </is>
      </c>
      <c r="AL186" s="152" t="inlineStr">
        <is>
          <t>Not disclosed</t>
        </is>
      </c>
      <c r="AM186" s="152" t="n"/>
      <c r="AN186" s="152" t="inlineStr">
        <is>
          <t>Not disclosed</t>
        </is>
      </c>
      <c r="AO186" s="152" t="inlineStr">
        <is>
          <t>Not disclosed</t>
        </is>
      </c>
      <c r="AP186" s="152" t="inlineStr">
        <is>
          <t>Not disclosed</t>
        </is>
      </c>
      <c r="AQ186" s="152" t="inlineStr">
        <is>
          <t>Not disclosed</t>
        </is>
      </c>
      <c r="AR186" s="152" t="n"/>
      <c r="AS186" s="152" t="n"/>
      <c r="AT186" s="156" t="inlineStr">
        <is>
          <t>Industrial PC with AI acceleration</t>
        </is>
      </c>
      <c r="AU186" s="156" t="inlineStr">
        <is>
          <t>Ethernet; Wi‑Fi</t>
        </is>
      </c>
      <c r="AV186" s="152" t="inlineStr">
        <is>
          <t>Not disclosed</t>
        </is>
      </c>
      <c r="AW186" s="156" t="inlineStr">
        <is>
          <t>Not disclosed</t>
        </is>
      </c>
      <c r="AX186" s="152" t="n"/>
      <c r="AY186" s="156" t="inlineStr">
        <is>
          <t>Linux-based robotics OS</t>
        </is>
      </c>
      <c r="AZ186" s="156" t="inlineStr">
        <is>
          <t>Possible via external integration</t>
        </is>
      </c>
      <c r="BA186" s="156" t="n"/>
      <c r="BB186" s="156" t="inlineStr">
        <is>
          <t>Electric servo motors</t>
        </is>
      </c>
      <c r="BC186" s="156" t="inlineStr">
        <is>
          <t>Harmonic and precision reducers</t>
        </is>
      </c>
      <c r="BD186" s="152" t="inlineStr">
        <is>
          <t>Aluminum alloy frame with composite panels</t>
        </is>
      </c>
      <c r="BE186" s="152" t="inlineStr">
        <is>
          <t>Not disclosed</t>
        </is>
      </c>
      <c r="BF186" s="152" t="n"/>
      <c r="BG186" s="152" t="n"/>
      <c r="BH186" s="152" t="n"/>
      <c r="BI186" s="152" t="n"/>
      <c r="BJ186" s="152" t="n"/>
      <c r="BK186" s="152" t="n"/>
      <c r="BL186" s="152" t="n"/>
      <c r="BM186" s="152" t="inlineStr">
        <is>
          <t>Yes</t>
        </is>
      </c>
      <c r="BN186" s="152" t="inlineStr">
        <is>
          <t>Not disclosed</t>
        </is>
      </c>
      <c r="BO186" s="156" t="inlineStr">
        <is>
          <t>Market: Industrial; logistics; service robotics · Human-safe: Yes · AI: Possible via external integration · Actuation: Electric servo motors · Peak 5 km/h · Runtime ~6–8</t>
        </is>
      </c>
      <c r="BP186" s="152" t="n"/>
      <c r="BQ186" s="156" t="inlineStr">
        <is>
          <t>Industrial; logistics; service robotics</t>
        </is>
      </c>
      <c r="BR186" s="156" t="inlineStr">
        <is>
          <t>Prototype</t>
        </is>
      </c>
      <c r="BS186" s="156" t="inlineStr">
        <is>
          <t>Prototype</t>
        </is>
      </c>
      <c r="BT186" s="152" t="inlineStr">
        <is>
          <t>Black; Dark Grey</t>
        </is>
      </c>
      <c r="BU186" s="152" t="inlineStr">
        <is>
          <t>Not verified</t>
        </is>
      </c>
      <c r="BV186" s="156" t="n"/>
      <c r="BW186" s="156" t="inlineStr">
        <is>
          <t>Origin &amp; status — China · Prototype · 2026 | Manipulation — 5 per hand · 5 per hand fingers · Hand DOF ~5 per hand · Payload 22 lb | Sensing &amp; software — RGB / depth cameras, ~1080p · Possible via external integration · Linux-based robotics OS | Buying notes — From $85,000 · 12 months manufacturer standard (typical research/commercial humanoid) · Best fit: Industrial</t>
        </is>
      </c>
      <c r="BX186" s="156" t="inlineStr">
        <is>
          <t>as_shipped|DUCO|85000|As shipped</t>
        </is>
      </c>
      <c r="BY186" s="152" t="inlineStr">
        <is>
          <t>black|Black|#e2e8f0|0 || dark_grey|Dark Grey|#1e293b|0</t>
        </is>
      </c>
      <c r="BZ186" s="152" t="inlineStr"/>
      <c r="CA186" s="156" t="n"/>
      <c r="CB186" s="156" t="inlineStr">
        <is>
          <t>12 months manufacturer standard (typical research/commercial humanoid)</t>
        </is>
      </c>
      <c r="CC186" s="154" t="n">
        <v>12</v>
      </c>
      <c r="CD186" s="156" t="inlineStr">
        <is>
          <t>+3 Year Extended ≈24% of configuration (default in configurator)</t>
        </is>
      </c>
      <c r="CE186" s="152" t="inlineStr">
        <is>
          <t>Humanoid category norm 2025–2026</t>
        </is>
      </c>
      <c r="CF186" s="152" t="inlineStr">
        <is>
          <t>Estimated</t>
        </is>
      </c>
      <c r="CG186" s="156" t="inlineStr">
        <is>
          <t>Confirm on formal OEM quote. EDU or enterprise packages may differ.</t>
        </is>
      </c>
      <c r="CH186" s="152" t="inlineStr">
        <is>
          <t>10%</t>
        </is>
      </c>
      <c r="CI186" s="152" t="inlineStr">
        <is>
          <t>17%</t>
        </is>
      </c>
      <c r="CJ186" s="152" t="inlineStr">
        <is>
          <t>24%</t>
        </is>
      </c>
      <c r="CK186" s="156" t="inlineStr">
        <is>
          <t>+1yr ≈10% | +2yr ≈17% | +3yr ≈24% of selected configuration price (parts &amp; labor beyond manufacturer standard).</t>
        </is>
      </c>
      <c r="CL186"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86" s="152" t="inlineStr">
        <is>
          <t>12 months manufacturer standard (typical research/commercial humanoid)</t>
        </is>
      </c>
      <c r="CQ186" s="101" t="inlineStr">
        <is>
          <t>Height: 4 ft 11 in | Weight: 198.4 | Degrees of Freedom: ~30–35 | Payload: 22 | Max Speed: 3.11 | Battery / Runtime: ~6–8</t>
        </is>
      </c>
    </row>
    <row r="187" ht="31.5" customHeight="1" s="102">
      <c r="A187" s="145" t="inlineStr">
        <is>
          <t>siasun_robot_automation_songxing</t>
        </is>
      </c>
      <c r="B187" s="153" t="inlineStr">
        <is>
          <t>Humanoid.guide</t>
        </is>
      </c>
      <c r="C187" s="145" t="inlineStr">
        <is>
          <t>Siasun Robot &amp; Automation</t>
        </is>
      </c>
      <c r="D187" s="145" t="inlineStr">
        <is>
          <t>Songxing</t>
        </is>
      </c>
      <c r="E187" s="145" t="inlineStr">
        <is>
          <t>[Siasun Robot &amp; Automation] Songxing (2026)</t>
        </is>
      </c>
      <c r="F187" s="146" t="inlineStr">
        <is>
          <t>humanoid</t>
        </is>
      </c>
      <c r="G187" s="145" t="inlineStr">
        <is>
          <t>China</t>
        </is>
      </c>
      <c r="H187" s="145" t="n"/>
      <c r="I187" s="148" t="n">
        <v>140000</v>
      </c>
      <c r="J187" s="145" t="inlineStr">
        <is>
          <t>Humanoid.guide list</t>
        </is>
      </c>
      <c r="K187" s="149" t="inlineStr">
        <is>
          <t>Songxing is a full-size humanoid robot designed for industrial research, demonstrations, and controlled human-robot collaboration.</t>
        </is>
      </c>
      <c r="L187" s="101" t="inlineStr">
        <is>
          <t>Songxing is a full-size humanoid robot designed for industrial research, demonstrations, and controlled human-robot collaboration.</t>
        </is>
      </c>
      <c r="M187" s="101" t="inlineStr">
        <is>
          <t>Songxing is a full-size humanoid robot designed for industrial research, demonstrations, and controlled human-robot collaboration. Public status is listed as early production / limited release, and it is positioned for exhibitions; Industrial; Industrial R&amp;D; Research &amp; education.</t>
        </is>
      </c>
      <c r="N187" s="150" t="inlineStr">
        <is>
          <t>https://humanoid.guide/product/songxing/</t>
        </is>
      </c>
      <c r="O187" s="150" t="inlineStr">
        <is>
          <t>https://www.siasun.com</t>
        </is>
      </c>
      <c r="P187" s="145" t="inlineStr">
        <is>
          <t>5 ft 5 in</t>
        </is>
      </c>
      <c r="Q187" s="145" t="n">
        <v>165</v>
      </c>
      <c r="R187" s="145" t="n">
        <v>187.4</v>
      </c>
      <c r="S187" s="145" t="n">
        <v>85</v>
      </c>
      <c r="T187" s="149" t="inlineStr">
        <is>
          <t>Not disclosed</t>
        </is>
      </c>
      <c r="U187" s="145" t="n"/>
      <c r="V187" s="145" t="inlineStr">
        <is>
          <t>38</t>
        </is>
      </c>
      <c r="W187" s="149" t="inlineStr">
        <is>
          <t>10</t>
        </is>
      </c>
      <c r="X187" s="145" t="n">
        <v>26.5</v>
      </c>
      <c r="Y187" s="145" t="n">
        <v>12</v>
      </c>
      <c r="Z187" s="145" t="n">
        <v>1.86</v>
      </c>
      <c r="AA187" s="145" t="n">
        <v>3</v>
      </c>
      <c r="AB187" s="145" t="n">
        <v>3</v>
      </c>
      <c r="AC187" s="149" t="inlineStr">
        <is>
          <t>≈ 3 hours</t>
        </is>
      </c>
      <c r="AD187" s="149" t="inlineStr">
        <is>
          <t>3</t>
        </is>
      </c>
      <c r="AE187" s="145" t="n"/>
      <c r="AF187" s="145" t="inlineStr">
        <is>
          <t>Not disclosed</t>
        </is>
      </c>
      <c r="AG187" s="149" t="inlineStr">
        <is>
          <t>5 per hand</t>
        </is>
      </c>
      <c r="AH187" s="145" t="inlineStr">
        <is>
          <t>5 per hand</t>
        </is>
      </c>
      <c r="AI187" s="151" t="n">
        <v>3</v>
      </c>
      <c r="AJ187" s="149" t="inlineStr">
        <is>
          <t>Not disclosed</t>
        </is>
      </c>
      <c r="AK187" s="149" t="n"/>
      <c r="AL187" s="145" t="inlineStr">
        <is>
          <t>Not disclosed</t>
        </is>
      </c>
      <c r="AM187" s="145" t="n"/>
      <c r="AN187" s="145" t="inlineStr">
        <is>
          <t>Not disclosed</t>
        </is>
      </c>
      <c r="AO187" s="145" t="inlineStr">
        <is>
          <t>Not disclosed</t>
        </is>
      </c>
      <c r="AP187" s="145" t="inlineStr">
        <is>
          <t>Not disclosed</t>
        </is>
      </c>
      <c r="AQ187" s="145" t="inlineStr">
        <is>
          <t>Not disclosed</t>
        </is>
      </c>
      <c r="AR187" s="145" t="n"/>
      <c r="AS187" s="145" t="n"/>
      <c r="AT187" s="149" t="inlineStr">
        <is>
          <t>Industrial x86 CPU + optional NVIDIA GPU (assumed)</t>
        </is>
      </c>
      <c r="AU187" s="149" t="inlineStr">
        <is>
          <t>Ethernet; Wi‑Fi</t>
        </is>
      </c>
      <c r="AV187" s="145" t="inlineStr">
        <is>
          <t>Not disclosed</t>
        </is>
      </c>
      <c r="AW187" s="149" t="inlineStr">
        <is>
          <t>Not disclosed</t>
        </is>
      </c>
      <c r="AX187" s="158" t="n">
        <v>2</v>
      </c>
      <c r="AY187" s="149" t="inlineStr">
        <is>
          <t>Linux-based ROS environment</t>
        </is>
      </c>
      <c r="AZ187" s="149" t="inlineStr">
        <is>
          <t>Yes</t>
        </is>
      </c>
      <c r="BA187" s="149" t="n"/>
      <c r="BB187" s="149" t="inlineStr">
        <is>
          <t>Electric servo motors</t>
        </is>
      </c>
      <c r="BC187" s="149" t="inlineStr">
        <is>
          <t>Harmonic / planetary gears (assumed)</t>
        </is>
      </c>
      <c r="BD187" s="145" t="inlineStr">
        <is>
          <t>Aluminum alloy + composites</t>
        </is>
      </c>
      <c r="BE187" s="145" t="inlineStr">
        <is>
          <t>IP54</t>
        </is>
      </c>
      <c r="BF187" s="145" t="inlineStr">
        <is>
          <t>IP54</t>
        </is>
      </c>
      <c r="BG187" s="145" t="n"/>
      <c r="BH187" s="145" t="n"/>
      <c r="BI187" s="145" t="n"/>
      <c r="BJ187" s="145" t="n"/>
      <c r="BK187" s="145" t="n"/>
      <c r="BL187" s="145" t="n"/>
      <c r="BM187" s="145" t="inlineStr">
        <is>
          <t>Yes</t>
        </is>
      </c>
      <c r="BN187" s="145" t="inlineStr">
        <is>
          <t>Not disclosed</t>
        </is>
      </c>
      <c r="BO187" s="149" t="inlineStr">
        <is>
          <t>Market: exhibitions; Industrial; Industrial R&amp;D; Research &amp; education · Manipulation 3/4 · Navigation 2/4 · Human-safe: Yes · AI: Yes · Actuation: Electric servo motors · Peak 3 km/h · Walk 3 km/h · Runtime 3</t>
        </is>
      </c>
      <c r="BP187" s="145" t="n"/>
      <c r="BQ187" s="149" t="inlineStr">
        <is>
          <t>exhibitions; Industrial; Industrial R&amp;D; Research &amp; education</t>
        </is>
      </c>
      <c r="BR187" s="149" t="inlineStr">
        <is>
          <t>Early production / limited release</t>
        </is>
      </c>
      <c r="BS187" s="149" t="inlineStr">
        <is>
          <t>Early production / limited release</t>
        </is>
      </c>
      <c r="BT187" s="145" t="inlineStr">
        <is>
          <t>White</t>
        </is>
      </c>
      <c r="BU187" s="145" t="inlineStr">
        <is>
          <t>Not verified</t>
        </is>
      </c>
      <c r="BV187" s="149" t="n"/>
      <c r="BW187" s="149" t="inlineStr">
        <is>
          <t>Origin &amp; status — China · Early production / limited release · 2026 | Manipulation — 5 per hand · 5 per hand fingers · Hand DOF 10 · Payload 26.5 lb | Sensing &amp; software — Yes · Linux-based ROS environment | Buying notes — From $140,000 · 12 months manufacturer standard (typical research/commercial humanoid) · Best fit: exhibitions</t>
        </is>
      </c>
      <c r="BX187" s="149" t="inlineStr">
        <is>
          <t>as_shipped|Songxing|140000|As shipped</t>
        </is>
      </c>
      <c r="BY187" s="145" t="inlineStr">
        <is>
          <t>white|White|#e2e8f0|0</t>
        </is>
      </c>
      <c r="BZ187" s="145" t="inlineStr"/>
      <c r="CA187" s="149" t="n"/>
      <c r="CB187" s="149" t="inlineStr">
        <is>
          <t>12 months manufacturer standard (typical research/commercial humanoid)</t>
        </is>
      </c>
      <c r="CC187" s="147" t="n">
        <v>12</v>
      </c>
      <c r="CD187" s="149" t="inlineStr">
        <is>
          <t>+3 Year Extended ≈24% of configuration (default in configurator)</t>
        </is>
      </c>
      <c r="CE187" s="145" t="inlineStr">
        <is>
          <t>Humanoid category norm 2025–2026</t>
        </is>
      </c>
      <c r="CF187" s="145" t="inlineStr">
        <is>
          <t>Estimated</t>
        </is>
      </c>
      <c r="CG187" s="149" t="inlineStr">
        <is>
          <t>Confirm on formal OEM quote. EDU or enterprise packages may differ.</t>
        </is>
      </c>
      <c r="CH187" s="145" t="inlineStr">
        <is>
          <t>10%</t>
        </is>
      </c>
      <c r="CI187" s="145" t="inlineStr">
        <is>
          <t>17%</t>
        </is>
      </c>
      <c r="CJ187" s="145" t="inlineStr">
        <is>
          <t>24%</t>
        </is>
      </c>
      <c r="CK187" s="149" t="inlineStr">
        <is>
          <t>+1yr ≈10% | +2yr ≈17% | +3yr ≈24% of selected configuration price (parts &amp; labor beyond manufacturer standard).</t>
        </is>
      </c>
      <c r="CL187"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87" s="145" t="inlineStr">
        <is>
          <t>12 months manufacturer standard (typical research/commercial humanoid)</t>
        </is>
      </c>
      <c r="CQ187" s="101" t="inlineStr">
        <is>
          <t>Height: 5 ft 5 in | Weight: 187.4 | Degrees of Freedom: 38 | Payload: 26.5 | Max Speed: 1.86 | Battery / Runtime: ≈ 3 hours</t>
        </is>
      </c>
    </row>
    <row r="188" ht="31.5" customHeight="1" s="102">
      <c r="A188" s="152" t="inlineStr">
        <is>
          <t>simplexity_robotics_i_series</t>
        </is>
      </c>
      <c r="B188" s="153" t="inlineStr">
        <is>
          <t>Humanoid.guide</t>
        </is>
      </c>
      <c r="C188" s="152" t="inlineStr">
        <is>
          <t>Simplexity Robotics</t>
        </is>
      </c>
      <c r="D188" s="152" t="inlineStr">
        <is>
          <t>I-Series</t>
        </is>
      </c>
      <c r="E188" s="152" t="inlineStr">
        <is>
          <t>[Simplexity Robotics] I-Series (2026)</t>
        </is>
      </c>
      <c r="F188" s="146" t="inlineStr">
        <is>
          <t>humanoid</t>
        </is>
      </c>
      <c r="G188" s="152" t="inlineStr">
        <is>
          <t>China</t>
        </is>
      </c>
      <c r="H188" s="152" t="n"/>
      <c r="I188" s="155" t="n">
        <v>78000</v>
      </c>
      <c r="J188" s="152" t="inlineStr">
        <is>
          <t>Humanoid.guide list</t>
        </is>
      </c>
      <c r="K188" s="156" t="inlineStr">
        <is>
          <t>The I-Series by Simplexity Robotics is a humanoid robot platform designed to combine perception, reasoning, and physical interaction in real-world environments.</t>
        </is>
      </c>
      <c r="L188" s="101" t="inlineStr">
        <is>
          <t>The I-Series by Simplexity Robotics is a humanoid robot platform designed to combine perception, reasoning, and physical interaction in real-world environments.</t>
        </is>
      </c>
      <c r="M188" s="101" t="inlineStr">
        <is>
          <t>The I-Series by Simplexity Robotics is a humanoid robot platform designed to combine perception, reasoning, and physical interaction in real-world environments. Public status is listed as prototype, and it is positioned for aI research; Industrial automation; logistics; retail.</t>
        </is>
      </c>
      <c r="N188" s="157" t="inlineStr">
        <is>
          <t>https://humanoid.guide/product/simplexity-robotics-i-series/</t>
        </is>
      </c>
      <c r="O188" s="152" t="inlineStr">
        <is>
          <t>https://www.simplexity.com</t>
        </is>
      </c>
      <c r="P188" s="152" t="inlineStr">
        <is>
          <t>5 ft 9 in</t>
        </is>
      </c>
      <c r="Q188" s="152" t="n">
        <v>175</v>
      </c>
      <c r="R188" s="152" t="n">
        <v>132.3</v>
      </c>
      <c r="S188" s="152" t="n">
        <v>60</v>
      </c>
      <c r="T188" s="156" t="inlineStr">
        <is>
          <t>Not disclosed</t>
        </is>
      </c>
      <c r="U188" s="152" t="n"/>
      <c r="V188" s="152" t="inlineStr">
        <is>
          <t>20</t>
        </is>
      </c>
      <c r="W188" s="156" t="inlineStr">
        <is>
          <t>10</t>
        </is>
      </c>
      <c r="X188" s="152" t="n">
        <v>11</v>
      </c>
      <c r="Y188" s="152" t="n">
        <v>5</v>
      </c>
      <c r="Z188" s="152" t="n">
        <v>1.86</v>
      </c>
      <c r="AA188" s="152" t="n">
        <v>3</v>
      </c>
      <c r="AB188" s="152" t="n"/>
      <c r="AC188" s="156" t="inlineStr">
        <is>
          <t>≈ 2 hours</t>
        </is>
      </c>
      <c r="AD188" s="156" t="inlineStr">
        <is>
          <t>2</t>
        </is>
      </c>
      <c r="AE188" s="152" t="n"/>
      <c r="AF188" s="152" t="inlineStr">
        <is>
          <t>Not disclosed</t>
        </is>
      </c>
      <c r="AG188" s="156" t="inlineStr">
        <is>
          <t>5</t>
        </is>
      </c>
      <c r="AH188" s="152" t="inlineStr">
        <is>
          <t>5</t>
        </is>
      </c>
      <c r="AI188" s="152" t="n"/>
      <c r="AJ188" s="156" t="inlineStr">
        <is>
          <t>Not disclosed</t>
        </is>
      </c>
      <c r="AK188" s="156" t="n"/>
      <c r="AL188" s="152" t="inlineStr">
        <is>
          <t>Not disclosed</t>
        </is>
      </c>
      <c r="AM188" s="152" t="n"/>
      <c r="AN188" s="152" t="inlineStr">
        <is>
          <t>Not disclosed</t>
        </is>
      </c>
      <c r="AO188" s="152" t="inlineStr">
        <is>
          <t>Not disclosed</t>
        </is>
      </c>
      <c r="AP188" s="152" t="inlineStr">
        <is>
          <t>Not disclosed</t>
        </is>
      </c>
      <c r="AQ188" s="152" t="inlineStr">
        <is>
          <t>Not disclosed</t>
        </is>
      </c>
      <c r="AR188" s="152" t="n"/>
      <c r="AS188" s="152" t="n"/>
      <c r="AT188" s="156" t="inlineStr">
        <is>
          <t>AI compute platform (likely GPU + edge AI accelerators)</t>
        </is>
      </c>
      <c r="AU188" s="156" t="inlineStr">
        <is>
          <t>Ethernet; Wi-Fi</t>
        </is>
      </c>
      <c r="AV188" s="152" t="inlineStr">
        <is>
          <t>Not disclosed</t>
        </is>
      </c>
      <c r="AW188" s="156" t="inlineStr">
        <is>
          <t>Not disclosed</t>
        </is>
      </c>
      <c r="AX188" s="152" t="n"/>
      <c r="AY188" s="156" t="inlineStr">
        <is>
          <t>Not disclosed</t>
        </is>
      </c>
      <c r="AZ188" s="156" t="inlineStr">
        <is>
          <t>Yes</t>
        </is>
      </c>
      <c r="BA188" s="156" t="n"/>
      <c r="BB188" s="156" t="inlineStr">
        <is>
          <t>Electric actuators with torque control</t>
        </is>
      </c>
      <c r="BC188" s="156" t="inlineStr">
        <is>
          <t>Harmonic / reduction gears</t>
        </is>
      </c>
      <c r="BD188" s="152" t="inlineStr">
        <is>
          <t>Aluminum + composite materials</t>
        </is>
      </c>
      <c r="BE188" s="152" t="inlineStr">
        <is>
          <t>Not disclosed</t>
        </is>
      </c>
      <c r="BF188" s="152" t="n"/>
      <c r="BG188" s="152" t="n"/>
      <c r="BH188" s="152" t="n"/>
      <c r="BI188" s="152" t="n"/>
      <c r="BJ188" s="152" t="n"/>
      <c r="BK188" s="152" t="n"/>
      <c r="BL188" s="152" t="n"/>
      <c r="BM188" s="152" t="inlineStr">
        <is>
          <t>Yes</t>
        </is>
      </c>
      <c r="BN188" s="152" t="inlineStr">
        <is>
          <t>Not disclosed</t>
        </is>
      </c>
      <c r="BO188" s="156" t="inlineStr">
        <is>
          <t>Market: AI research; Industrial automation; logistics; retail · Human-safe: Yes · AI: Yes · Actuation: Electric actuators with torque control · Peak 3 km/h · Runtime 2</t>
        </is>
      </c>
      <c r="BP188" s="152" t="n"/>
      <c r="BQ188" s="156" t="inlineStr">
        <is>
          <t>AI research; Industrial automation; logistics; retail</t>
        </is>
      </c>
      <c r="BR188" s="156" t="inlineStr">
        <is>
          <t>Prototype</t>
        </is>
      </c>
      <c r="BS188" s="156" t="inlineStr">
        <is>
          <t>Prototype</t>
        </is>
      </c>
      <c r="BT188" s="152" t="inlineStr">
        <is>
          <t>White</t>
        </is>
      </c>
      <c r="BU188" s="152" t="inlineStr">
        <is>
          <t>Not verified</t>
        </is>
      </c>
      <c r="BV188" s="156" t="n"/>
      <c r="BW188" s="156" t="inlineStr">
        <is>
          <t>Origin &amp; status — China · Prototype · 2026 | Manipulation — 5 · 5 fingers · Hand DOF 10 · Payload 11 lb | Sensing &amp; software — Yes | Buying notes — From $78,000 · 12 months manufacturer standard (typical research/commercial humanoid) · Best fit: AI research</t>
        </is>
      </c>
      <c r="BX188" s="156" t="inlineStr">
        <is>
          <t>as_shipped|I-Series|78000|As shipped</t>
        </is>
      </c>
      <c r="BY188" s="152" t="inlineStr">
        <is>
          <t>white|White|#e2e8f0|0</t>
        </is>
      </c>
      <c r="BZ188" s="152" t="inlineStr"/>
      <c r="CA188" s="156" t="n"/>
      <c r="CB188" s="156" t="inlineStr">
        <is>
          <t>12 months manufacturer standard (typical research/commercial humanoid)</t>
        </is>
      </c>
      <c r="CC188" s="154" t="n">
        <v>12</v>
      </c>
      <c r="CD188" s="156" t="inlineStr">
        <is>
          <t>+3 Year Extended ≈24% of configuration (default in configurator)</t>
        </is>
      </c>
      <c r="CE188" s="152" t="inlineStr">
        <is>
          <t>Humanoid category norm 2025–2026</t>
        </is>
      </c>
      <c r="CF188" s="152" t="inlineStr">
        <is>
          <t>Estimated</t>
        </is>
      </c>
      <c r="CG188" s="156" t="inlineStr">
        <is>
          <t>Confirm on formal OEM quote. EDU or enterprise packages may differ.</t>
        </is>
      </c>
      <c r="CH188" s="152" t="inlineStr">
        <is>
          <t>10%</t>
        </is>
      </c>
      <c r="CI188" s="152" t="inlineStr">
        <is>
          <t>17%</t>
        </is>
      </c>
      <c r="CJ188" s="152" t="inlineStr">
        <is>
          <t>24%</t>
        </is>
      </c>
      <c r="CK188" s="156" t="inlineStr">
        <is>
          <t>+1yr ≈10% | +2yr ≈17% | +3yr ≈24% of selected configuration price (parts &amp; labor beyond manufacturer standard).</t>
        </is>
      </c>
      <c r="CL188"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88" s="152" t="inlineStr">
        <is>
          <t>12 months manufacturer standard (typical research/commercial humanoid)</t>
        </is>
      </c>
      <c r="CQ188" s="101" t="inlineStr">
        <is>
          <t>Height: 5 ft 9 in | Weight: 132.3 | Degrees of Freedom: 20 | Payload: 11 | Max Speed: 1.86 | Battery / Runtime: ≈ 2 hours</t>
        </is>
      </c>
    </row>
    <row r="189" ht="31.5" customHeight="1" s="102">
      <c r="A189" s="145" t="inlineStr">
        <is>
          <t>spirit_ai_moz1</t>
        </is>
      </c>
      <c r="B189" s="153" t="inlineStr">
        <is>
          <t>Humanoid.guide</t>
        </is>
      </c>
      <c r="C189" s="145" t="inlineStr">
        <is>
          <t>Spirit AI</t>
        </is>
      </c>
      <c r="D189" s="145" t="inlineStr">
        <is>
          <t>Moz1</t>
        </is>
      </c>
      <c r="E189" s="145" t="inlineStr">
        <is>
          <t>[Spirit AI] Moz1 (2026)</t>
        </is>
      </c>
      <c r="F189" s="146" t="inlineStr">
        <is>
          <t>humanoid</t>
        </is>
      </c>
      <c r="G189" s="145" t="inlineStr">
        <is>
          <t>China</t>
        </is>
      </c>
      <c r="H189" s="145" t="n"/>
      <c r="I189" s="148" t="n">
        <v>150000</v>
      </c>
      <c r="J189" s="145" t="inlineStr">
        <is>
          <t>Humanoid.guide list</t>
        </is>
      </c>
      <c r="K189" s="149" t="inlineStr">
        <is>
          <t>The Moz1 is a high-performance bipedal humanoid robot developed by Spirit AI, integrating an in-house Vision-Language-Action (VLA) model called Spirit V1.</t>
        </is>
      </c>
      <c r="L189" s="101" t="inlineStr">
        <is>
          <t>The Moz1 is a high-performance bipedal humanoid robot developed by Spirit AI, integrating an in-house Vision-Language-Action (VLA) model called Spirit V1.</t>
        </is>
      </c>
      <c r="M189" s="101" t="inlineStr">
        <is>
          <t>The Moz1 is a high-performance bipedal humanoid robot developed by Spirit AI, integrating an in-house Vision-Language-Action (VLA) model called Spirit V1. Public status is listed as prototype, and it is positioned for aI research; education; service robotics.</t>
        </is>
      </c>
      <c r="N189" s="150" t="inlineStr">
        <is>
          <t>https://humanoid.guide/product/moz1/</t>
        </is>
      </c>
      <c r="O189" s="150" t="inlineStr">
        <is>
          <t>https://spirit-ai.com/</t>
        </is>
      </c>
      <c r="P189" s="145" t="inlineStr">
        <is>
          <t>5 ft 3 in</t>
        </is>
      </c>
      <c r="Q189" s="145" t="n">
        <v>160</v>
      </c>
      <c r="R189" s="145" t="n">
        <v>154.3</v>
      </c>
      <c r="S189" s="145" t="n">
        <v>70</v>
      </c>
      <c r="T189" s="149" t="inlineStr">
        <is>
          <t>Not disclosed</t>
        </is>
      </c>
      <c r="U189" s="145" t="inlineStr">
        <is>
          <t>~180 × 85 × 65 cm</t>
        </is>
      </c>
      <c r="V189" s="145" t="inlineStr">
        <is>
          <t>26</t>
        </is>
      </c>
      <c r="W189" s="149" t="inlineStr">
        <is>
          <t>&amp;gt;10</t>
        </is>
      </c>
      <c r="X189" s="145" t="n">
        <v>57.3</v>
      </c>
      <c r="Y189" s="145" t="n">
        <v>26</v>
      </c>
      <c r="Z189" s="145" t="n">
        <v>2.24</v>
      </c>
      <c r="AA189" s="145" t="n">
        <v>3.6</v>
      </c>
      <c r="AB189" s="145" t="n">
        <v>3.5</v>
      </c>
      <c r="AC189" s="149" t="inlineStr">
        <is>
          <t>≈ 3 hours</t>
        </is>
      </c>
      <c r="AD189" s="149" t="inlineStr">
        <is>
          <t>3</t>
        </is>
      </c>
      <c r="AE189" s="145" t="n"/>
      <c r="AF189" s="145" t="inlineStr">
        <is>
          <t>Not disclosed</t>
        </is>
      </c>
      <c r="AG189" s="149" t="inlineStr">
        <is>
          <t>5 per hand</t>
        </is>
      </c>
      <c r="AH189" s="145" t="inlineStr">
        <is>
          <t>5 per hand</t>
        </is>
      </c>
      <c r="AI189" s="151" t="n">
        <v>3</v>
      </c>
      <c r="AJ189" s="149" t="inlineStr">
        <is>
          <t>RGB + depth cameras, ~1080p</t>
        </is>
      </c>
      <c r="AK189" s="149" t="inlineStr">
        <is>
          <t>RGB + depth cameras, ~1080p</t>
        </is>
      </c>
      <c r="AL189" s="145" t="inlineStr">
        <is>
          <t>Not disclosed</t>
        </is>
      </c>
      <c r="AM189" s="145" t="n"/>
      <c r="AN189" s="145" t="inlineStr">
        <is>
          <t>Not disclosed</t>
        </is>
      </c>
      <c r="AO189" s="145" t="inlineStr">
        <is>
          <t>Not disclosed</t>
        </is>
      </c>
      <c r="AP189" s="145" t="inlineStr">
        <is>
          <t>Not disclosed</t>
        </is>
      </c>
      <c r="AQ189" s="145" t="inlineStr">
        <is>
          <t>Not disclosed</t>
        </is>
      </c>
      <c r="AR189" s="145" t="n"/>
      <c r="AS189" s="145" t="n"/>
      <c r="AT189" s="149" t="inlineStr">
        <is>
          <t>Industrial CPU + AI accelerator / GPU (assumed)</t>
        </is>
      </c>
      <c r="AU189" s="149" t="inlineStr">
        <is>
          <t>Ethernet; USB; Wi‑Fi</t>
        </is>
      </c>
      <c r="AV189" s="145" t="inlineStr">
        <is>
          <t>Not disclosed</t>
        </is>
      </c>
      <c r="AW189" s="149" t="inlineStr">
        <is>
          <t>Not disclosed</t>
        </is>
      </c>
      <c r="AX189" s="151" t="n">
        <v>3</v>
      </c>
      <c r="AY189" s="149" t="inlineStr">
        <is>
          <t>Linux-based / ROS</t>
        </is>
      </c>
      <c r="AZ189" s="149" t="inlineStr">
        <is>
          <t>Possible via external system integration</t>
        </is>
      </c>
      <c r="BA189" s="149" t="inlineStr">
        <is>
          <t>150–250 ms</t>
        </is>
      </c>
      <c r="BB189" s="149" t="inlineStr">
        <is>
          <t>Electric servo motors</t>
        </is>
      </c>
      <c r="BC189" s="149" t="inlineStr">
        <is>
          <t>Harmonic / compact precision gears</t>
        </is>
      </c>
      <c r="BD189" s="145" t="inlineStr">
        <is>
          <t>Aluminum alloy + composites</t>
        </is>
      </c>
      <c r="BE189" s="145" t="inlineStr">
        <is>
          <t>Not disclosed</t>
        </is>
      </c>
      <c r="BF189" s="145" t="n"/>
      <c r="BG189" s="145" t="n"/>
      <c r="BH189" s="145" t="n"/>
      <c r="BI189" s="145" t="n"/>
      <c r="BJ189" s="145" t="n"/>
      <c r="BK189" s="145" t="n"/>
      <c r="BL189" s="145" t="n"/>
      <c r="BM189" s="145" t="inlineStr">
        <is>
          <t>Yes</t>
        </is>
      </c>
      <c r="BN189" s="145" t="inlineStr">
        <is>
          <t>Not disclosed</t>
        </is>
      </c>
      <c r="BO189" s="149" t="inlineStr">
        <is>
          <t>Market: AI research; education; service robotics · Manipulation 3/4 · Navigation 3/4 · Human-safe: Yes · AI: Possible via external system integration · Actuation: Electric servo motors · Peak 3.6 km/h · Walk 3.5 km/h · Runtime 3</t>
        </is>
      </c>
      <c r="BP189" s="145" t="n"/>
      <c r="BQ189" s="149" t="inlineStr">
        <is>
          <t>AI research; education; service robotics</t>
        </is>
      </c>
      <c r="BR189" s="149" t="inlineStr">
        <is>
          <t>Prototype</t>
        </is>
      </c>
      <c r="BS189" s="149" t="inlineStr">
        <is>
          <t>Prototype</t>
        </is>
      </c>
      <c r="BT189" s="145" t="inlineStr">
        <is>
          <t>Black</t>
        </is>
      </c>
      <c r="BU189" s="145" t="inlineStr">
        <is>
          <t>Not verified</t>
        </is>
      </c>
      <c r="BV189" s="149" t="n"/>
      <c r="BW189" s="149" t="inlineStr">
        <is>
          <t>Origin &amp; status — China · Prototype · 2026 | Manipulation — 5 per hand · 5 per hand fingers · Hand DOF &amp;gt;10 · Payload 57.3 lb | Sensing &amp; software — RGB + depth cameras, ~1080p · Possible via external system integration · Linux-based / ROS | Buying notes — From $150,000 · 12 months manufacturer standard (typical research/commercial humanoid) · Best fit: AI research</t>
        </is>
      </c>
      <c r="BX189" s="149" t="inlineStr">
        <is>
          <t>as_shipped|Moz1|150000|As shipped</t>
        </is>
      </c>
      <c r="BY189" s="145" t="inlineStr">
        <is>
          <t>black|Black|#e2e8f0|0</t>
        </is>
      </c>
      <c r="BZ189" s="145" t="inlineStr"/>
      <c r="CA189" s="149" t="n"/>
      <c r="CB189" s="149" t="inlineStr">
        <is>
          <t>12 months manufacturer standard (typical research/commercial humanoid)</t>
        </is>
      </c>
      <c r="CC189" s="147" t="n">
        <v>12</v>
      </c>
      <c r="CD189" s="149" t="inlineStr">
        <is>
          <t>+3 Year Extended ≈24% of configuration (default in configurator)</t>
        </is>
      </c>
      <c r="CE189" s="145" t="inlineStr">
        <is>
          <t>Humanoid category norm 2025–2026</t>
        </is>
      </c>
      <c r="CF189" s="145" t="inlineStr">
        <is>
          <t>Estimated</t>
        </is>
      </c>
      <c r="CG189" s="149" t="inlineStr">
        <is>
          <t>Confirm on formal OEM quote. EDU or enterprise packages may differ.</t>
        </is>
      </c>
      <c r="CH189" s="145" t="inlineStr">
        <is>
          <t>10%</t>
        </is>
      </c>
      <c r="CI189" s="145" t="inlineStr">
        <is>
          <t>17%</t>
        </is>
      </c>
      <c r="CJ189" s="145" t="inlineStr">
        <is>
          <t>24%</t>
        </is>
      </c>
      <c r="CK189" s="149" t="inlineStr">
        <is>
          <t>+1yr ≈10% | +2yr ≈17% | +3yr ≈24% of selected configuration price (parts &amp; labor beyond manufacturer standard).</t>
        </is>
      </c>
      <c r="CL18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89" s="145" t="inlineStr">
        <is>
          <t>12 months manufacturer standard (typical research/commercial humanoid)</t>
        </is>
      </c>
      <c r="CN189" s="203" t="inlineStr">
        <is>
          <t>https://aixzd.com/robot/moz1</t>
        </is>
      </c>
      <c r="CQ189" s="101" t="inlineStr">
        <is>
          <t>Height: 5 ft 3 in | Weight: 154.3 | Degrees of Freedom: 26 | Payload: 57.3 | Max Speed: 2.24 | Battery / Runtime: ≈ 3 hours</t>
        </is>
      </c>
    </row>
    <row r="190" ht="31.5" customHeight="1" s="102">
      <c r="A190" s="152" t="inlineStr">
        <is>
          <t>sulu_be_steve</t>
        </is>
      </c>
      <c r="B190" s="153" t="inlineStr">
        <is>
          <t>Humanoid.guide</t>
        </is>
      </c>
      <c r="C190" s="152" t="inlineStr">
        <is>
          <t>Sulu.be</t>
        </is>
      </c>
      <c r="D190" s="152" t="inlineStr">
        <is>
          <t>Steve</t>
        </is>
      </c>
      <c r="E190" s="152" t="inlineStr">
        <is>
          <t>[Sulu.be] Steve (2026)</t>
        </is>
      </c>
      <c r="F190" s="146" t="inlineStr">
        <is>
          <t>humanoid</t>
        </is>
      </c>
      <c r="G190" s="152" t="inlineStr">
        <is>
          <t>Belgian</t>
        </is>
      </c>
      <c r="H190" s="152" t="n"/>
      <c r="I190" s="155" t="n">
        <v>60000</v>
      </c>
      <c r="J190" s="152" t="inlineStr">
        <is>
          <t>Humanoid.guide list</t>
        </is>
      </c>
      <c r="K190" s="156" t="inlineStr">
        <is>
          <t>Steve is a 210 cm tall humanoid robot blending robotics with character design, created to engage people emotionally rather than functionally.</t>
        </is>
      </c>
      <c r="L190" s="101" t="inlineStr">
        <is>
          <t>Steve is a 210 cm tall humanoid robot blending robotics with character design, created to engage people emotionally rather than functionally.</t>
        </is>
      </c>
      <c r="M190" s="101" t="inlineStr">
        <is>
          <t>Steve is a 210 cm tall humanoid robot blending robotics with character design, created to engage people emotionally rather than functionally. Public status is listed as in production, and it is positioned for entertainment; Hospitality.</t>
        </is>
      </c>
      <c r="N190" s="157" t="inlineStr">
        <is>
          <t>https://humanoid.guide/product/steve/</t>
        </is>
      </c>
      <c r="O190" s="157" t="inlineStr">
        <is>
          <t>https://jandecoster.com/</t>
        </is>
      </c>
      <c r="P190" s="152" t="inlineStr">
        <is>
          <t>6 ft 11 in</t>
        </is>
      </c>
      <c r="Q190" s="152" t="n">
        <v>210</v>
      </c>
      <c r="R190" s="152" t="n">
        <v>308.6</v>
      </c>
      <c r="S190" s="152" t="n">
        <v>140</v>
      </c>
      <c r="T190" s="156" t="inlineStr">
        <is>
          <t>Not disclosed</t>
        </is>
      </c>
      <c r="U190" s="152" t="n"/>
      <c r="V190" s="152" t="inlineStr">
        <is>
          <t>22</t>
        </is>
      </c>
      <c r="W190" s="156" t="inlineStr">
        <is>
          <t>2</t>
        </is>
      </c>
      <c r="X190" s="152" t="n">
        <v>11</v>
      </c>
      <c r="Y190" s="152" t="n">
        <v>5</v>
      </c>
      <c r="Z190" s="152" t="n">
        <v>4.97</v>
      </c>
      <c r="AA190" s="152" t="n">
        <v>8</v>
      </c>
      <c r="AB190" s="152" t="n"/>
      <c r="AC190" s="156" t="inlineStr">
        <is>
          <t>≈ 2 hours</t>
        </is>
      </c>
      <c r="AD190" s="156" t="inlineStr">
        <is>
          <t>2</t>
        </is>
      </c>
      <c r="AE190" s="152" t="n"/>
      <c r="AF190" s="152" t="inlineStr">
        <is>
          <t>Not disclosed</t>
        </is>
      </c>
      <c r="AG190" s="156" t="inlineStr">
        <is>
          <t>10</t>
        </is>
      </c>
      <c r="AH190" s="152" t="inlineStr">
        <is>
          <t>10</t>
        </is>
      </c>
      <c r="AI190" s="158" t="n">
        <v>2</v>
      </c>
      <c r="AJ190" s="156" t="inlineStr">
        <is>
          <t>Not disclosed</t>
        </is>
      </c>
      <c r="AK190" s="156" t="n"/>
      <c r="AL190" s="152" t="inlineStr">
        <is>
          <t>Not disclosed</t>
        </is>
      </c>
      <c r="AM190" s="152" t="n"/>
      <c r="AN190" s="152" t="inlineStr">
        <is>
          <t>Not disclosed</t>
        </is>
      </c>
      <c r="AO190" s="152" t="inlineStr">
        <is>
          <t>Not disclosed</t>
        </is>
      </c>
      <c r="AP190" s="152" t="inlineStr">
        <is>
          <t>Not disclosed</t>
        </is>
      </c>
      <c r="AQ190" s="152" t="inlineStr">
        <is>
          <t>Not disclosed</t>
        </is>
      </c>
      <c r="AR190" s="152" t="n"/>
      <c r="AS190" s="152" t="n"/>
      <c r="AT190" s="156" t="inlineStr">
        <is>
          <t>Arduino</t>
        </is>
      </c>
      <c r="AU190" s="156" t="inlineStr">
        <is>
          <t>WiFi</t>
        </is>
      </c>
      <c r="AV190" s="152" t="inlineStr">
        <is>
          <t>Not disclosed</t>
        </is>
      </c>
      <c r="AW190" s="156" t="inlineStr">
        <is>
          <t>Not disclosed</t>
        </is>
      </c>
      <c r="AX190" s="158" t="n">
        <v>2</v>
      </c>
      <c r="AY190" s="156" t="inlineStr">
        <is>
          <t>Arduino</t>
        </is>
      </c>
      <c r="AZ190" s="156" t="inlineStr">
        <is>
          <t>OpenAI</t>
        </is>
      </c>
      <c r="BA190" s="156" t="n"/>
      <c r="BB190" s="156" t="inlineStr">
        <is>
          <t>DC</t>
        </is>
      </c>
      <c r="BC190" s="156" t="inlineStr">
        <is>
          <t>Aluminium Custom Gears</t>
        </is>
      </c>
      <c r="BD190" s="152" t="inlineStr">
        <is>
          <t>Aluminium; Steel</t>
        </is>
      </c>
      <c r="BE190" s="152" t="inlineStr">
        <is>
          <t>1</t>
        </is>
      </c>
      <c r="BF190" s="152" t="inlineStr">
        <is>
          <t>1</t>
        </is>
      </c>
      <c r="BG190" s="152" t="n"/>
      <c r="BH190" s="152" t="n"/>
      <c r="BI190" s="152" t="n"/>
      <c r="BJ190" s="152" t="n"/>
      <c r="BK190" s="152" t="n"/>
      <c r="BL190" s="152" t="n"/>
      <c r="BM190" s="152" t="inlineStr">
        <is>
          <t>Yes</t>
        </is>
      </c>
      <c r="BN190" s="152" t="inlineStr">
        <is>
          <t>Not disclosed</t>
        </is>
      </c>
      <c r="BO190" s="156" t="inlineStr">
        <is>
          <t>Market: Entertainment; Hospitality · Manipulation 2/4 · Navigation 2/4 · Human-safe: Yes · AI: OpenAI · Actuation: DC · Peak 8 km/h · Runtime 2</t>
        </is>
      </c>
      <c r="BP190" s="152" t="n"/>
      <c r="BQ190" s="156" t="inlineStr">
        <is>
          <t>Entertainment; Hospitality</t>
        </is>
      </c>
      <c r="BR190" s="156" t="inlineStr">
        <is>
          <t>In production</t>
        </is>
      </c>
      <c r="BS190" s="156" t="inlineStr">
        <is>
          <t>In production</t>
        </is>
      </c>
      <c r="BT190" s="152" t="n"/>
      <c r="BU190" s="152" t="inlineStr">
        <is>
          <t>Not verified</t>
        </is>
      </c>
      <c r="BV190" s="156" t="n"/>
      <c r="BW190" s="156" t="inlineStr">
        <is>
          <t>Origin &amp; status — Belgian · In production · 2026 | Manipulation — 10 · 10 fingers · Hand DOF 2 · Payload 11 lb | Sensing &amp; software — OpenAI · Arduino | Buying notes — From $60,000 · 12 months manufacturer standard (typical research/commercial humanoid) · Best fit: Entertainment</t>
        </is>
      </c>
      <c r="BX190" s="156" t="inlineStr">
        <is>
          <t>as_shipped|Steve|60000|As shipped</t>
        </is>
      </c>
      <c r="BY190" s="152" t="inlineStr">
        <is>
          <t>steve|Manufacturer finish|#e2e8f0|0</t>
        </is>
      </c>
      <c r="BZ190" s="152" t="inlineStr"/>
      <c r="CA190" s="156" t="n"/>
      <c r="CB190" s="156" t="inlineStr">
        <is>
          <t>12 months manufacturer standard (typical research/commercial humanoid)</t>
        </is>
      </c>
      <c r="CC190" s="154" t="n">
        <v>12</v>
      </c>
      <c r="CD190" s="156" t="inlineStr">
        <is>
          <t>+3 Year Extended ≈24% of configuration (default in configurator)</t>
        </is>
      </c>
      <c r="CE190" s="152" t="inlineStr">
        <is>
          <t>Humanoid category norm 2025–2026</t>
        </is>
      </c>
      <c r="CF190" s="152" t="inlineStr">
        <is>
          <t>Estimated</t>
        </is>
      </c>
      <c r="CG190" s="156" t="inlineStr">
        <is>
          <t>Confirm on formal OEM quote. EDU or enterprise packages may differ.</t>
        </is>
      </c>
      <c r="CH190" s="152" t="inlineStr">
        <is>
          <t>10%</t>
        </is>
      </c>
      <c r="CI190" s="152" t="inlineStr">
        <is>
          <t>17%</t>
        </is>
      </c>
      <c r="CJ190" s="152" t="inlineStr">
        <is>
          <t>24%</t>
        </is>
      </c>
      <c r="CK190" s="156" t="inlineStr">
        <is>
          <t>+1yr ≈10% | +2yr ≈17% | +3yr ≈24% of selected configuration price (parts &amp; labor beyond manufacturer standard).</t>
        </is>
      </c>
      <c r="CL190"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90" s="152" t="inlineStr">
        <is>
          <t>12 months manufacturer standard (typical research/commercial humanoid)</t>
        </is>
      </c>
      <c r="CQ190" s="101" t="inlineStr">
        <is>
          <t>Height: 6 ft 11 in | Weight: 308.6 | Degrees of Freedom: 22 | Payload: 11 | Max Speed: 4.97 | Battery / Runtime: ≈ 2 hours</t>
        </is>
      </c>
    </row>
    <row r="191" ht="31.5" customHeight="1" s="102">
      <c r="A191" s="143" t="inlineStr">
        <is>
          <t>sunday_robotics_memo</t>
        </is>
      </c>
      <c r="B191" s="153" t="inlineStr">
        <is>
          <t>Major-player brief 11 Sep 2026</t>
        </is>
      </c>
      <c r="C191" s="145" t="inlineStr">
        <is>
          <t>Sunday Robotics</t>
        </is>
      </c>
      <c r="D191" s="145" t="inlineStr">
        <is>
          <t>Memo</t>
        </is>
      </c>
      <c r="E191" s="145" t="inlineStr">
        <is>
          <t>[Sunday Robotics] Memo (2026)</t>
        </is>
      </c>
      <c r="F191" s="146" t="inlineStr">
        <is>
          <t>humanoid</t>
        </is>
      </c>
      <c r="G191" s="145" t="inlineStr">
        <is>
          <t>USA</t>
        </is>
      </c>
      <c r="H191" s="198" t="n">
        <v>2026</v>
      </c>
      <c r="I191" s="148" t="n">
        <v>10000</v>
      </c>
      <c r="J191" s="145" t="inlineStr">
        <is>
          <t>Humanoid.guide list</t>
        </is>
      </c>
      <c r="K191" s="149" t="inlineStr">
        <is>
          <t>Memo is designed for household chores such as clearing tables, loading dishwashers and handling laundry.</t>
        </is>
      </c>
      <c r="L191" s="101" t="inlineStr">
        <is>
          <t>Memo is designed for household chores such as clearing tables, loading dishwashers and handling laundry.</t>
        </is>
      </c>
      <c r="M191" s="101" t="inlineStr">
        <is>
          <t>Sunday Robotics built Memo as a wheeled home robot trained on real-home data. It is aimed at clearing tables, loading dishwashers, and handling laundry rather than walking like a biped.</t>
        </is>
      </c>
      <c r="N191" s="150" t="inlineStr">
        <is>
          <t>https://humanoid.guide/product/memo/</t>
        </is>
      </c>
      <c r="O191" s="150" t="inlineStr">
        <is>
          <t>https://www.sunday.ai</t>
        </is>
      </c>
      <c r="P191" s="145" t="inlineStr">
        <is>
          <t>5 ft 7 in</t>
        </is>
      </c>
      <c r="Q191" s="145" t="n">
        <v>170</v>
      </c>
      <c r="R191" s="145" t="n">
        <v>169.8</v>
      </c>
      <c r="S191" s="145" t="n">
        <v>77</v>
      </c>
      <c r="T191" s="149" t="inlineStr">
        <is>
          <t>Not disclosed</t>
        </is>
      </c>
      <c r="U191" s="145" t="n"/>
      <c r="V191" s="145" t="inlineStr">
        <is>
          <t>20</t>
        </is>
      </c>
      <c r="W191" s="149" t="inlineStr">
        <is>
          <t>3</t>
        </is>
      </c>
      <c r="X191" s="145" t="n">
        <v>13.2</v>
      </c>
      <c r="Y191" s="145" t="n">
        <v>6</v>
      </c>
      <c r="Z191" s="145" t="n">
        <v>2.24</v>
      </c>
      <c r="AA191" s="145" t="n">
        <v>3.6</v>
      </c>
      <c r="AB191" s="145" t="n">
        <v>3.6</v>
      </c>
      <c r="AC191" s="149" t="inlineStr">
        <is>
          <t>≈ 4 hours</t>
        </is>
      </c>
      <c r="AD191" s="149" t="inlineStr">
        <is>
          <t>4</t>
        </is>
      </c>
      <c r="AE191" s="145" t="n"/>
      <c r="AF191" s="145" t="inlineStr">
        <is>
          <t>Not disclosed</t>
        </is>
      </c>
      <c r="AG191" s="149" t="inlineStr">
        <is>
          <t>4</t>
        </is>
      </c>
      <c r="AH191" s="145" t="inlineStr">
        <is>
          <t>4</t>
        </is>
      </c>
      <c r="AI191" s="158" t="n">
        <v>2</v>
      </c>
      <c r="AJ191" s="149" t="inlineStr">
        <is>
          <t>Not disclosed</t>
        </is>
      </c>
      <c r="AK191" s="149" t="inlineStr">
        <is>
          <t>Not specified</t>
        </is>
      </c>
      <c r="AL191" s="145" t="inlineStr">
        <is>
          <t>Not disclosed</t>
        </is>
      </c>
      <c r="AM191" s="145" t="n"/>
      <c r="AN191" s="145" t="inlineStr">
        <is>
          <t>Not disclosed</t>
        </is>
      </c>
      <c r="AO191" s="145" t="inlineStr">
        <is>
          <t>Not disclosed</t>
        </is>
      </c>
      <c r="AP191" s="145" t="inlineStr">
        <is>
          <t>Not disclosed</t>
        </is>
      </c>
      <c r="AQ191" s="145" t="inlineStr">
        <is>
          <t>Not disclosed</t>
        </is>
      </c>
      <c r="AR191" s="145" t="n"/>
      <c r="AS191" s="145" t="n"/>
      <c r="AT191" s="149" t="inlineStr">
        <is>
          <t>Likely onboard GPU-accelerated compute plus edge services for ACT-1</t>
        </is>
      </c>
      <c r="AU191" s="149" t="inlineStr">
        <is>
          <t>Not disclosed</t>
        </is>
      </c>
      <c r="AV191" s="145" t="inlineStr">
        <is>
          <t>Not disclosed</t>
        </is>
      </c>
      <c r="AW191" s="149" t="inlineStr">
        <is>
          <t>Not disclosed</t>
        </is>
      </c>
      <c r="AX191" s="158" t="n">
        <v>2</v>
      </c>
      <c r="AY191" s="149" t="inlineStr">
        <is>
          <t>Not disclosed; internal robotics stack running ACT-1; likely Linux-based</t>
        </is>
      </c>
      <c r="AZ191" s="149" t="inlineStr">
        <is>
          <t>Uses ACT-1 robot foundation model for policy and planning; no public integration with general-purpose chat LLMs announced</t>
        </is>
      </c>
      <c r="BA191" s="149" t="inlineStr">
        <is>
          <t>Not specified</t>
        </is>
      </c>
      <c r="BB191" s="149" t="inlineStr">
        <is>
          <t>Not disclosed</t>
        </is>
      </c>
      <c r="BC191" s="149" t="inlineStr">
        <is>
          <t>Not disclosed</t>
        </is>
      </c>
      <c r="BD191" s="145" t="inlineStr">
        <is>
          <t>Internal structure with rigid + elastic polymers, soft silicone outer shell</t>
        </is>
      </c>
      <c r="BE191" s="145" t="inlineStr">
        <is>
          <t>Not disclosed</t>
        </is>
      </c>
      <c r="BF191" s="145" t="inlineStr">
        <is>
          <t>Not specified</t>
        </is>
      </c>
      <c r="BG191" s="145" t="n"/>
      <c r="BH191" s="145" t="n"/>
      <c r="BI191" s="145" t="n"/>
      <c r="BJ191" s="145" t="n"/>
      <c r="BK191" s="145" t="n"/>
      <c r="BL191" s="145" t="n"/>
      <c r="BM191" s="145" t="inlineStr">
        <is>
          <t>Yes</t>
        </is>
      </c>
      <c r="BN191" s="145" t="inlineStr">
        <is>
          <t>Not disclosed</t>
        </is>
      </c>
      <c r="BO191" s="149" t="inlineStr">
        <is>
          <t>Market: Domestic home chores · Manipulation 2/4 · Navigation 2/4 · Human-safe: Yes · AI: Uses ACT-1 robot foundation model for policy and planning; no public integration with general-purpose chat LLMs announced · Actuation: Not specified · Peak 3.6 km/h · Walk 3.6 km/h · Runtime 4</t>
        </is>
      </c>
      <c r="BP191" s="145" t="n"/>
      <c r="BQ191" s="149" t="inlineStr">
        <is>
          <t>Household chores — tables, dishwashers, laundry</t>
        </is>
      </c>
      <c r="BR191" s="149" t="inlineStr">
        <is>
          <t>Prototype</t>
        </is>
      </c>
      <c r="BS191" s="149" t="inlineStr">
        <is>
          <t>Prototype</t>
        </is>
      </c>
      <c r="BT191" s="145" t="n"/>
      <c r="BU191" s="145" t="inlineStr">
        <is>
          <t>Not verified</t>
        </is>
      </c>
      <c r="BV191" s="149" t="n"/>
      <c r="BW191" s="149" t="inlineStr">
        <is>
          <t>Origin &amp; status — USA · Prototype · 2026 | Manipulation — 4 · 4 fingers · Hand DOF 3 · Payload 13.2 lb | Sensing &amp; software — Uses ACT-1 robot foundation model for policy and planning; no public integration with general-purpose chat LLMs announced · Not disclosed; internal robotics… | Buying notes — From $10,000 · 12 months manufacturer standard (typical research/commercial humanoid) · Best fit: Domestic home chores</t>
        </is>
      </c>
      <c r="BX191" s="149" t="inlineStr">
        <is>
          <t>as_shipped|MEMO|10000|As shipped</t>
        </is>
      </c>
      <c r="BY191" s="145" t="inlineStr">
        <is>
          <t>memo|Manufacturer finish|#e2e8f0|0</t>
        </is>
      </c>
      <c r="BZ191" s="145" t="inlineStr"/>
      <c r="CA191" s="149" t="n"/>
      <c r="CB191" s="149" t="inlineStr">
        <is>
          <t>12 months manufacturer standard (typical research/commercial humanoid)</t>
        </is>
      </c>
      <c r="CC191" s="147" t="n">
        <v>12</v>
      </c>
      <c r="CD191" s="149" t="inlineStr">
        <is>
          <t>+3 Year Extended ≈24% of configuration (default in configurator)</t>
        </is>
      </c>
      <c r="CE191" s="145" t="inlineStr">
        <is>
          <t>Humanoid category norm 2025–2026</t>
        </is>
      </c>
      <c r="CF191" s="145" t="inlineStr">
        <is>
          <t>Estimated</t>
        </is>
      </c>
      <c r="CG191" s="149" t="inlineStr">
        <is>
          <t>Confirm on formal OEM quote. EDU or enterprise packages may differ.</t>
        </is>
      </c>
      <c r="CH191" s="145" t="inlineStr">
        <is>
          <t>10%</t>
        </is>
      </c>
      <c r="CI191" s="145" t="inlineStr">
        <is>
          <t>17%</t>
        </is>
      </c>
      <c r="CJ191" s="145" t="inlineStr">
        <is>
          <t>24%</t>
        </is>
      </c>
      <c r="CK191" s="149" t="inlineStr">
        <is>
          <t>+1yr ≈10% | +2yr ≈17% | +3yr ≈24% of selected configuration price (parts &amp; labor beyond manufacturer standard).</t>
        </is>
      </c>
      <c r="CL19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91" s="145" t="inlineStr">
        <is>
          <t>12 months manufacturer standard (typical research/commercial humanoid)</t>
        </is>
      </c>
      <c r="CN191" s="203" t="inlineStr">
        <is>
          <t>https://aixzd.com/robot/memo</t>
        </is>
      </c>
      <c r="CQ191" s="101" t="inlineStr">
        <is>
          <t>Height: 5 ft 7 in | Weight: 169.8 | Degrees of Freedom: 20 | Payload: 13.2 | Max Speed: 2.24 | Battery / Runtime: ≈ 4 hours</t>
        </is>
      </c>
    </row>
    <row r="192" ht="31.5" customHeight="1" s="102">
      <c r="A192" s="152" t="inlineStr">
        <is>
          <t>svaya_robotics_bimanual</t>
        </is>
      </c>
      <c r="B192" s="153" t="inlineStr">
        <is>
          <t>Humanoid.guide</t>
        </is>
      </c>
      <c r="C192" s="152" t="inlineStr">
        <is>
          <t>Svaya Robotics</t>
        </is>
      </c>
      <c r="D192" s="152" t="inlineStr">
        <is>
          <t>Bimanual</t>
        </is>
      </c>
      <c r="E192" s="152" t="inlineStr">
        <is>
          <t>[Svaya Robotics] Bimanual (2026)</t>
        </is>
      </c>
      <c r="F192" s="146" t="inlineStr">
        <is>
          <t>humanoid</t>
        </is>
      </c>
      <c r="G192" s="152" t="inlineStr">
        <is>
          <t>India</t>
        </is>
      </c>
      <c r="H192" s="152" t="n"/>
      <c r="I192" s="155" t="n">
        <v>90000</v>
      </c>
      <c r="J192" s="152" t="inlineStr">
        <is>
          <t>Humanoid.guide list</t>
        </is>
      </c>
      <c r="K192" s="156" t="inlineStr">
        <is>
          <t>Bimanual is Svaya Robotics's humanoid — 5 ft 1 in class, 12 DOF, 22 lb payload. 2-finger gripping claws; onboard AI: Possible via external system integration.</t>
        </is>
      </c>
      <c r="L192" s="101" t="inlineStr">
        <is>
          <t>Bimanual is Svaya Robotics's humanoid — 5 ft 1 in class, 12 DOF, 22 lb payload. 2-finger gripping claws; onboard AI: Possible via external system integration.</t>
        </is>
      </c>
      <c r="M192" s="101" t="inlineStr">
        <is>
          <t>Bimanual is Svaya Robotics's humanoid — 5 ft 1 in class, 12 DOF, 22 lb payload. 2-finger gripping claws; onboard AI: Possible via external system integration. Public status is listed as early production / limited release, and it is positioned for industrial R&amp;D; Research &amp; education.</t>
        </is>
      </c>
      <c r="N192" s="157" t="inlineStr">
        <is>
          <t>https://humanoid.guide/product/bimanual/</t>
        </is>
      </c>
      <c r="O192" s="157" t="inlineStr">
        <is>
          <t>https://svayarobotics.com/</t>
        </is>
      </c>
      <c r="P192" s="152" t="inlineStr">
        <is>
          <t>5 ft 1 in</t>
        </is>
      </c>
      <c r="Q192" s="152" t="n">
        <v>155</v>
      </c>
      <c r="R192" s="152" t="n">
        <v>154.3</v>
      </c>
      <c r="S192" s="152" t="n">
        <v>70</v>
      </c>
      <c r="T192" s="156" t="inlineStr">
        <is>
          <t>Not disclosed</t>
        </is>
      </c>
      <c r="U192" s="152" t="n"/>
      <c r="V192" s="152" t="inlineStr">
        <is>
          <t>12</t>
        </is>
      </c>
      <c r="W192" s="156" t="inlineStr">
        <is>
          <t>Not disclosed</t>
        </is>
      </c>
      <c r="X192" s="152" t="n">
        <v>22</v>
      </c>
      <c r="Y192" s="152" t="n">
        <v>10</v>
      </c>
      <c r="Z192" s="152" t="n">
        <v>0</v>
      </c>
      <c r="AA192" s="152" t="n">
        <v>0</v>
      </c>
      <c r="AB192" s="152" t="n"/>
      <c r="AC192" s="156" t="inlineStr">
        <is>
          <t>≈ 2 hours</t>
        </is>
      </c>
      <c r="AD192" s="156" t="inlineStr">
        <is>
          <t>2</t>
        </is>
      </c>
      <c r="AE192" s="152" t="n"/>
      <c r="AF192" s="152" t="inlineStr">
        <is>
          <t>Not disclosed</t>
        </is>
      </c>
      <c r="AG192" s="156" t="inlineStr">
        <is>
          <t>2-finger gripping claws</t>
        </is>
      </c>
      <c r="AH192" s="152" t="inlineStr">
        <is>
          <t>2-finger gripping claws</t>
        </is>
      </c>
      <c r="AI192" s="161" t="n">
        <v>4</v>
      </c>
      <c r="AJ192" s="156" t="inlineStr">
        <is>
          <t>Not disclosed</t>
        </is>
      </c>
      <c r="AK192" s="156" t="n"/>
      <c r="AL192" s="152" t="inlineStr">
        <is>
          <t>Not disclosed</t>
        </is>
      </c>
      <c r="AM192" s="152" t="n"/>
      <c r="AN192" s="152" t="inlineStr">
        <is>
          <t>Not disclosed</t>
        </is>
      </c>
      <c r="AO192" s="152" t="inlineStr">
        <is>
          <t>Not disclosed</t>
        </is>
      </c>
      <c r="AP192" s="152" t="inlineStr">
        <is>
          <t>Not disclosed</t>
        </is>
      </c>
      <c r="AQ192" s="152" t="inlineStr">
        <is>
          <t>Not disclosed</t>
        </is>
      </c>
      <c r="AR192" s="152" t="n"/>
      <c r="AS192" s="152" t="n"/>
      <c r="AT192" s="156" t="inlineStr">
        <is>
          <t>Industrial x86 CPU + optional NVIDIA GPU (assumed)</t>
        </is>
      </c>
      <c r="AU192" s="156" t="inlineStr">
        <is>
          <t>EtherCAT backbone; Ethernet; Modbus TCP; Profinet</t>
        </is>
      </c>
      <c r="AV192" s="152" t="inlineStr">
        <is>
          <t>Not disclosed</t>
        </is>
      </c>
      <c r="AW192" s="156" t="inlineStr">
        <is>
          <t>Not disclosed</t>
        </is>
      </c>
      <c r="AX192" s="162" t="n">
        <v>1</v>
      </c>
      <c r="AY192" s="156" t="inlineStr">
        <is>
          <t>Linux-based ROS environment</t>
        </is>
      </c>
      <c r="AZ192" s="156" t="inlineStr">
        <is>
          <t>Possible via external system integration</t>
        </is>
      </c>
      <c r="BA192" s="156" t="inlineStr">
        <is>
          <t>150–250 ms</t>
        </is>
      </c>
      <c r="BB192" s="156" t="inlineStr">
        <is>
          <t>Electric servo motors</t>
        </is>
      </c>
      <c r="BC192" s="156" t="inlineStr">
        <is>
          <t>Harmonic / planetary gears (assumed)</t>
        </is>
      </c>
      <c r="BD192" s="152" t="inlineStr">
        <is>
          <t>Aluminum alloy + composites</t>
        </is>
      </c>
      <c r="BE192" s="152" t="inlineStr">
        <is>
          <t>IP54</t>
        </is>
      </c>
      <c r="BF192" s="152" t="inlineStr">
        <is>
          <t>IP54</t>
        </is>
      </c>
      <c r="BG192" s="152" t="n"/>
      <c r="BH192" s="152" t="n"/>
      <c r="BI192" s="152" t="n"/>
      <c r="BJ192" s="152" t="n"/>
      <c r="BK192" s="152" t="n"/>
      <c r="BL192" s="152" t="n"/>
      <c r="BM192" s="152" t="inlineStr">
        <is>
          <t>Yes</t>
        </is>
      </c>
      <c r="BN192" s="152" t="inlineStr">
        <is>
          <t>Not disclosed</t>
        </is>
      </c>
      <c r="BO192" s="156" t="inlineStr">
        <is>
          <t>Market: Industrial R&amp;D; Research &amp; education · Manipulation 4/4 · Navigation 1/4 · Human-safe: Yes · AI: Possible via external system integration · Actuation: Electric servo motors · Runtime 2</t>
        </is>
      </c>
      <c r="BP192" s="152" t="n"/>
      <c r="BQ192" s="156" t="inlineStr">
        <is>
          <t>Industrial R&amp;D; Research &amp; education</t>
        </is>
      </c>
      <c r="BR192" s="156" t="inlineStr">
        <is>
          <t>Early production / limited release</t>
        </is>
      </c>
      <c r="BS192" s="156" t="inlineStr">
        <is>
          <t>Early production / limited release</t>
        </is>
      </c>
      <c r="BT192" s="152" t="inlineStr">
        <is>
          <t>Grey</t>
        </is>
      </c>
      <c r="BU192" s="152" t="inlineStr">
        <is>
          <t>Not verified</t>
        </is>
      </c>
      <c r="BV192" s="156" t="n"/>
      <c r="BW192" s="156" t="inlineStr">
        <is>
          <t>Origin &amp; status — India · Early production / limited release · 2026 | Manipulation — 2-finger gripping claws · Payload 22 lb | Sensing &amp; software — Possible via external system integration · Linux-based ROS environment | Buying notes — From $90,000 · 12 months manufacturer standard (typical research/commercial humanoid) · Best fit: Industrial R&amp;D</t>
        </is>
      </c>
      <c r="BX192" s="156" t="inlineStr">
        <is>
          <t>as_shipped|Bimanual|90000|As shipped</t>
        </is>
      </c>
      <c r="BY192" s="152" t="inlineStr">
        <is>
          <t>grey|Grey|#e2e8f0|0</t>
        </is>
      </c>
      <c r="BZ192" s="152" t="inlineStr"/>
      <c r="CA192" s="156" t="n"/>
      <c r="CB192" s="156" t="inlineStr">
        <is>
          <t>12 months manufacturer standard (typical research/commercial humanoid)</t>
        </is>
      </c>
      <c r="CC192" s="154" t="n">
        <v>12</v>
      </c>
      <c r="CD192" s="156" t="inlineStr">
        <is>
          <t>+3 Year Extended ≈24% of configuration (default in configurator)</t>
        </is>
      </c>
      <c r="CE192" s="152" t="inlineStr">
        <is>
          <t>Humanoid category norm 2025–2026</t>
        </is>
      </c>
      <c r="CF192" s="152" t="inlineStr">
        <is>
          <t>Estimated</t>
        </is>
      </c>
      <c r="CG192" s="156" t="inlineStr">
        <is>
          <t>Confirm on formal OEM quote. EDU or enterprise packages may differ.</t>
        </is>
      </c>
      <c r="CH192" s="152" t="inlineStr">
        <is>
          <t>10%</t>
        </is>
      </c>
      <c r="CI192" s="152" t="inlineStr">
        <is>
          <t>17%</t>
        </is>
      </c>
      <c r="CJ192" s="152" t="inlineStr">
        <is>
          <t>24%</t>
        </is>
      </c>
      <c r="CK192" s="156" t="inlineStr">
        <is>
          <t>+1yr ≈10% | +2yr ≈17% | +3yr ≈24% of selected configuration price (parts &amp; labor beyond manufacturer standard).</t>
        </is>
      </c>
      <c r="CL192"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92" s="152" t="inlineStr">
        <is>
          <t>12 months manufacturer standard (typical research/commercial humanoid)</t>
        </is>
      </c>
      <c r="CQ192" s="101" t="inlineStr">
        <is>
          <t>Height: 5 ft 1 in | Weight: 154.3 | Degrees of Freedom: 12 | Payload: 22 | Max Speed: 0 | Battery / Runtime: ≈ 2 hours</t>
        </is>
      </c>
    </row>
    <row r="193" ht="31.5" customHeight="1" s="102">
      <c r="A193" s="145" t="inlineStr">
        <is>
          <t>switchbot_onero_h1</t>
        </is>
      </c>
      <c r="B193" s="153" t="inlineStr">
        <is>
          <t>Humanoid.guide</t>
        </is>
      </c>
      <c r="C193" s="145" t="inlineStr">
        <is>
          <t>SwitchBot</t>
        </is>
      </c>
      <c r="D193" s="145" t="inlineStr">
        <is>
          <t>Onero H1</t>
        </is>
      </c>
      <c r="E193" s="145" t="inlineStr">
        <is>
          <t>[SwitchBot] Onero H1 (2026)</t>
        </is>
      </c>
      <c r="F193" s="146" t="inlineStr">
        <is>
          <t>humanoid</t>
        </is>
      </c>
      <c r="G193" s="145" t="inlineStr">
        <is>
          <t>Japan</t>
        </is>
      </c>
      <c r="H193" s="145" t="n"/>
      <c r="I193" s="148" t="n">
        <v>24500</v>
      </c>
      <c r="J193" s="145" t="inlineStr">
        <is>
          <t>Humanoid.guide list</t>
        </is>
      </c>
      <c r="K193" s="149" t="inlineStr">
        <is>
          <t>Onero H1 is a home-focused humanoid robot concept by SwitchBot. It aims to extend smart-home automation into physical interaction by combining mobility, manipulation, and AI-driven assistance.</t>
        </is>
      </c>
      <c r="L193" s="101" t="inlineStr">
        <is>
          <t>Onero H1 is a home-focused humanoid robot concept by SwitchBot. It aims to extend smart-home automation into physical interaction by combining mobility, manipulation, and AI-driven assistance.</t>
        </is>
      </c>
      <c r="M193" s="101" t="inlineStr">
        <is>
          <t>Onero H1 is a home-focused humanoid robot concept by SwitchBot. It aims to extend smart-home automation into physical interaction by combining mobility, manipulation, and AI-driven assistance. Public status is listed as prototype, and it is positioned for domestic assistance; Smart home.</t>
        </is>
      </c>
      <c r="N193" s="150" t="inlineStr">
        <is>
          <t>https://humanoid.guide/product/onero-h1/</t>
        </is>
      </c>
      <c r="O193" s="150" t="inlineStr">
        <is>
          <t>https://www.switch-bot.com</t>
        </is>
      </c>
      <c r="P193" s="145" t="inlineStr">
        <is>
          <t>3 ft 11 in</t>
        </is>
      </c>
      <c r="Q193" s="145" t="n">
        <v>120</v>
      </c>
      <c r="R193" s="145" t="n">
        <v>77.2</v>
      </c>
      <c r="S193" s="145" t="n">
        <v>35</v>
      </c>
      <c r="T193" s="149" t="inlineStr">
        <is>
          <t>Not disclosed</t>
        </is>
      </c>
      <c r="U193" s="145" t="n"/>
      <c r="V193" s="145" t="inlineStr">
        <is>
          <t>~28–32</t>
        </is>
      </c>
      <c r="W193" s="149" t="inlineStr">
        <is>
          <t>~5 per hand</t>
        </is>
      </c>
      <c r="X193" s="145" t="n">
        <v>11</v>
      </c>
      <c r="Y193" s="145" t="n">
        <v>5</v>
      </c>
      <c r="Z193" s="145" t="n">
        <v>1.86</v>
      </c>
      <c r="AA193" s="145" t="n">
        <v>3</v>
      </c>
      <c r="AB193" s="145" t="n"/>
      <c r="AC193" s="149" t="inlineStr">
        <is>
          <t>~4–6</t>
        </is>
      </c>
      <c r="AD193" s="149" t="inlineStr">
        <is>
          <t>~4–6</t>
        </is>
      </c>
      <c r="AE193" s="145" t="n"/>
      <c r="AF193" s="145" t="inlineStr">
        <is>
          <t>Not disclosed</t>
        </is>
      </c>
      <c r="AG193" s="149" t="inlineStr">
        <is>
          <t>5 per hand</t>
        </is>
      </c>
      <c r="AH193" s="145" t="inlineStr">
        <is>
          <t>5 per hand</t>
        </is>
      </c>
      <c r="AI193" s="145" t="n"/>
      <c r="AJ193" s="149" t="inlineStr">
        <is>
          <t>Not disclosed</t>
        </is>
      </c>
      <c r="AK193" s="149" t="n"/>
      <c r="AL193" s="145" t="inlineStr">
        <is>
          <t>Not disclosed</t>
        </is>
      </c>
      <c r="AM193" s="145" t="n"/>
      <c r="AN193" s="145" t="inlineStr">
        <is>
          <t>Not disclosed</t>
        </is>
      </c>
      <c r="AO193" s="145" t="inlineStr">
        <is>
          <t>Not disclosed</t>
        </is>
      </c>
      <c r="AP193" s="145" t="inlineStr">
        <is>
          <t>Not disclosed</t>
        </is>
      </c>
      <c r="AQ193" s="145" t="inlineStr">
        <is>
          <t>Not disclosed</t>
        </is>
      </c>
      <c r="AR193" s="145" t="n"/>
      <c r="AS193" s="145" t="n"/>
      <c r="AT193" s="149" t="inlineStr">
        <is>
          <t>ARM-based onboard computer (assumed)</t>
        </is>
      </c>
      <c r="AU193" s="149" t="inlineStr">
        <is>
          <t>Bluetooth; Wi‑Fi</t>
        </is>
      </c>
      <c r="AV193" s="145" t="inlineStr">
        <is>
          <t>Not disclosed</t>
        </is>
      </c>
      <c r="AW193" s="149" t="inlineStr">
        <is>
          <t>Not disclosed</t>
        </is>
      </c>
      <c r="AX193" s="145" t="n"/>
      <c r="AY193" s="149" t="inlineStr">
        <is>
          <t>Linux-based embedded OS</t>
        </is>
      </c>
      <c r="AZ193" s="149" t="inlineStr">
        <is>
          <t>Possible via cloud services</t>
        </is>
      </c>
      <c r="BA193" s="149" t="inlineStr">
        <is>
          <t>Moderate (consumer robotics class)</t>
        </is>
      </c>
      <c r="BB193" s="149" t="inlineStr">
        <is>
          <t>Electric servo motors</t>
        </is>
      </c>
      <c r="BC193" s="149" t="inlineStr">
        <is>
          <t>Harmonic / planetary gear drives</t>
        </is>
      </c>
      <c r="BD193" s="145" t="inlineStr">
        <is>
          <t>Plastic shell with aluminum frame</t>
        </is>
      </c>
      <c r="BE193" s="145" t="inlineStr">
        <is>
          <t>Not disclosed</t>
        </is>
      </c>
      <c r="BF193" s="145" t="n"/>
      <c r="BG193" s="145" t="n"/>
      <c r="BH193" s="145" t="n"/>
      <c r="BI193" s="145" t="n"/>
      <c r="BJ193" s="145" t="n"/>
      <c r="BK193" s="145" t="n"/>
      <c r="BL193" s="145" t="n"/>
      <c r="BM193" s="145" t="inlineStr">
        <is>
          <t>Yes</t>
        </is>
      </c>
      <c r="BN193" s="145" t="inlineStr">
        <is>
          <t>Not disclosed</t>
        </is>
      </c>
      <c r="BO193" s="149" t="inlineStr">
        <is>
          <t>Market: domestic assistance; Smart home · Human-safe: Yes · AI: Possible via cloud services · Actuation: Electric servo motors · Peak 3 km/h · Runtime ~4–6</t>
        </is>
      </c>
      <c r="BP193" s="145" t="n"/>
      <c r="BQ193" s="149" t="inlineStr">
        <is>
          <t>domestic assistance; Smart home</t>
        </is>
      </c>
      <c r="BR193" s="149" t="inlineStr">
        <is>
          <t>Prototype</t>
        </is>
      </c>
      <c r="BS193" s="149" t="inlineStr">
        <is>
          <t>Prototype</t>
        </is>
      </c>
      <c r="BT193" s="145" t="inlineStr">
        <is>
          <t>White</t>
        </is>
      </c>
      <c r="BU193" s="145" t="inlineStr">
        <is>
          <t>Not verified</t>
        </is>
      </c>
      <c r="BV193" s="149" t="n"/>
      <c r="BW193" s="149" t="inlineStr">
        <is>
          <t>Origin &amp; status — Japan · Prototype · 2026 | Manipulation — 5 per hand · 5 per hand fingers · Hand DOF ~5 per hand · Payload 11 lb | Sensing &amp; software — Possible via cloud services · Linux-based embedded OS | Buying notes — From $24,500 · 12 months manufacturer standard (typical research/commercial humanoid) · Best fit: domestic assistance</t>
        </is>
      </c>
      <c r="BX193" s="149" t="inlineStr">
        <is>
          <t>as_shipped|Onero H1|24500|As shipped</t>
        </is>
      </c>
      <c r="BY193" s="145" t="inlineStr">
        <is>
          <t>white|White|#e2e8f0|0</t>
        </is>
      </c>
      <c r="BZ193" s="145" t="inlineStr"/>
      <c r="CA193" s="149" t="n"/>
      <c r="CB193" s="149" t="inlineStr">
        <is>
          <t>12 months manufacturer standard (typical research/commercial humanoid)</t>
        </is>
      </c>
      <c r="CC193" s="147" t="n">
        <v>12</v>
      </c>
      <c r="CD193" s="149" t="inlineStr">
        <is>
          <t>+3 Year Extended ≈24% of configuration (default in configurator)</t>
        </is>
      </c>
      <c r="CE193" s="145" t="inlineStr">
        <is>
          <t>Humanoid category norm 2025–2026</t>
        </is>
      </c>
      <c r="CF193" s="145" t="inlineStr">
        <is>
          <t>Estimated</t>
        </is>
      </c>
      <c r="CG193" s="149" t="inlineStr">
        <is>
          <t>Confirm on formal OEM quote. EDU or enterprise packages may differ.</t>
        </is>
      </c>
      <c r="CH193" s="145" t="inlineStr">
        <is>
          <t>10%</t>
        </is>
      </c>
      <c r="CI193" s="145" t="inlineStr">
        <is>
          <t>17%</t>
        </is>
      </c>
      <c r="CJ193" s="145" t="inlineStr">
        <is>
          <t>24%</t>
        </is>
      </c>
      <c r="CK193" s="149" t="inlineStr">
        <is>
          <t>+1yr ≈10% | +2yr ≈17% | +3yr ≈24% of selected configuration price (parts &amp; labor beyond manufacturer standard).</t>
        </is>
      </c>
      <c r="CL193"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93" s="145" t="inlineStr">
        <is>
          <t>12 months manufacturer standard (typical research/commercial humanoid)</t>
        </is>
      </c>
      <c r="CN193" s="203" t="inlineStr">
        <is>
          <t>https://aixzd.com/robot/onero-h1</t>
        </is>
      </c>
      <c r="CO193" s="203" t="inlineStr">
        <is>
          <t>https://theresanaiforthat.com/robots/</t>
        </is>
      </c>
      <c r="CP193" s="203" t="inlineStr">
        <is>
          <t>Cross-checked against TAAFT Robots directory (669 entries) 28 Aug 2026 — individual TAAFT permalinks are JS/Cloudflare gated.</t>
        </is>
      </c>
      <c r="CQ193" s="101" t="inlineStr">
        <is>
          <t>Height: 3 ft 11 in | Weight: 77.2 | Degrees of Freedom: ~28–32 | Payload: 11 | Max Speed: 1.86 | Battery / Runtime: ~4–6</t>
        </is>
      </c>
    </row>
    <row r="194" ht="31.5" customHeight="1" s="102">
      <c r="A194" s="152" t="inlineStr">
        <is>
          <t>tangible_robots_eggie</t>
        </is>
      </c>
      <c r="B194" s="153" t="inlineStr">
        <is>
          <t>Humanoid.guide</t>
        </is>
      </c>
      <c r="C194" s="152" t="inlineStr">
        <is>
          <t>Tangible Robots</t>
        </is>
      </c>
      <c r="D194" s="152" t="inlineStr">
        <is>
          <t>Eggie</t>
        </is>
      </c>
      <c r="E194" s="152" t="inlineStr">
        <is>
          <t>[Tangible Robots] Eggie (2026)</t>
        </is>
      </c>
      <c r="F194" s="146" t="inlineStr">
        <is>
          <t>humanoid</t>
        </is>
      </c>
      <c r="G194" s="152" t="inlineStr">
        <is>
          <t>USA</t>
        </is>
      </c>
      <c r="H194" s="152" t="n"/>
      <c r="I194" s="155" t="n">
        <v>32000</v>
      </c>
      <c r="J194" s="152" t="inlineStr">
        <is>
          <t>Humanoid.guide list</t>
        </is>
      </c>
      <c r="K194" s="156" t="inlineStr">
        <is>
          <t>Eggie is a friendly mobile humanoid robot designed for interaction, education, and light service tasks.</t>
        </is>
      </c>
      <c r="L194" s="101" t="inlineStr">
        <is>
          <t>Eggie is a friendly mobile humanoid robot designed for interaction, education, and light service tasks.</t>
        </is>
      </c>
      <c r="M194" s="101" t="inlineStr">
        <is>
          <t>Eggie is a friendly mobile humanoid robot designed for interaction, education, and light service tasks. Public status is listed as prototype, and it is positioned for exhibitions; Home assistance; Research &amp; education.</t>
        </is>
      </c>
      <c r="N194" s="157" t="inlineStr">
        <is>
          <t>https://humanoid.guide/product/eggie/</t>
        </is>
      </c>
      <c r="O194" s="157" t="inlineStr">
        <is>
          <t>https://tangiblerobots.ai/</t>
        </is>
      </c>
      <c r="P194" s="152" t="inlineStr">
        <is>
          <t>5 ft 3 in</t>
        </is>
      </c>
      <c r="Q194" s="152" t="n">
        <v>160</v>
      </c>
      <c r="R194" s="152" t="n">
        <v>99.2</v>
      </c>
      <c r="S194" s="152" t="n">
        <v>45</v>
      </c>
      <c r="T194" s="156" t="inlineStr">
        <is>
          <t>Not disclosed</t>
        </is>
      </c>
      <c r="U194" s="152" t="n"/>
      <c r="V194" s="152" t="inlineStr">
        <is>
          <t>20</t>
        </is>
      </c>
      <c r="W194" s="156" t="inlineStr">
        <is>
          <t>3</t>
        </is>
      </c>
      <c r="X194" s="152" t="n">
        <v>8.800000000000001</v>
      </c>
      <c r="Y194" s="152" t="n">
        <v>4</v>
      </c>
      <c r="Z194" s="152" t="n">
        <v>1.86</v>
      </c>
      <c r="AA194" s="152" t="n">
        <v>3</v>
      </c>
      <c r="AB194" s="152" t="n"/>
      <c r="AC194" s="156" t="inlineStr">
        <is>
          <t>≈ 7 hours</t>
        </is>
      </c>
      <c r="AD194" s="156" t="inlineStr">
        <is>
          <t>7</t>
        </is>
      </c>
      <c r="AE194" s="152" t="n"/>
      <c r="AF194" s="152" t="inlineStr">
        <is>
          <t>Not disclosed</t>
        </is>
      </c>
      <c r="AG194" s="156" t="inlineStr">
        <is>
          <t>5 per hand</t>
        </is>
      </c>
      <c r="AH194" s="152" t="inlineStr">
        <is>
          <t>5 per hand</t>
        </is>
      </c>
      <c r="AI194" s="158" t="n">
        <v>2</v>
      </c>
      <c r="AJ194" s="156" t="inlineStr">
        <is>
          <t>Dual 1080p depth + RGB</t>
        </is>
      </c>
      <c r="AK194" s="156" t="inlineStr">
        <is>
          <t>Dual 1080p depth + RGB</t>
        </is>
      </c>
      <c r="AL194" s="152" t="inlineStr">
        <is>
          <t>Not disclosed</t>
        </is>
      </c>
      <c r="AM194" s="152" t="n"/>
      <c r="AN194" s="152" t="inlineStr">
        <is>
          <t>Not disclosed</t>
        </is>
      </c>
      <c r="AO194" s="152" t="inlineStr">
        <is>
          <t>Not disclosed</t>
        </is>
      </c>
      <c r="AP194" s="152" t="inlineStr">
        <is>
          <t>Not disclosed</t>
        </is>
      </c>
      <c r="AQ194" s="152" t="inlineStr">
        <is>
          <t>Not disclosed</t>
        </is>
      </c>
      <c r="AR194" s="152" t="n"/>
      <c r="AS194" s="152" t="n"/>
      <c r="AT194" s="156" t="inlineStr">
        <is>
          <t>Likely NVIDIA Jetson or similar embedded AI board</t>
        </is>
      </c>
      <c r="AU194" s="156" t="inlineStr">
        <is>
          <t>Bluetooth; Wi‑Fi</t>
        </is>
      </c>
      <c r="AV194" s="152" t="inlineStr">
        <is>
          <t>Not disclosed</t>
        </is>
      </c>
      <c r="AW194" s="156" t="inlineStr">
        <is>
          <t>Not disclosed</t>
        </is>
      </c>
      <c r="AX194" s="151" t="n">
        <v>3</v>
      </c>
      <c r="AY194" s="156" t="inlineStr">
        <is>
          <t>Linux-based ROS environment</t>
        </is>
      </c>
      <c r="AZ194" s="156" t="inlineStr">
        <is>
          <t>Likely via cloud API (OpenAI, Alibaba Qwen, Baidu, etc.)</t>
        </is>
      </c>
      <c r="BA194" s="156" t="inlineStr">
        <is>
          <t>&amp;lt;200ms (End-to-End)</t>
        </is>
      </c>
      <c r="BB194" s="156" t="inlineStr">
        <is>
          <t>Electric servo motors</t>
        </is>
      </c>
      <c r="BC194" s="156" t="inlineStr">
        <is>
          <t>Plastic/composite gear trains</t>
        </is>
      </c>
      <c r="BD194" s="152" t="inlineStr">
        <is>
          <t>Aluminum frame + composite panels</t>
        </is>
      </c>
      <c r="BE194" s="152" t="inlineStr">
        <is>
          <t>IP20</t>
        </is>
      </c>
      <c r="BF194" s="152" t="inlineStr">
        <is>
          <t>IP20</t>
        </is>
      </c>
      <c r="BG194" s="152" t="n"/>
      <c r="BH194" s="152" t="n"/>
      <c r="BI194" s="152" t="n"/>
      <c r="BJ194" s="152" t="n"/>
      <c r="BK194" s="152" t="n"/>
      <c r="BL194" s="152" t="n"/>
      <c r="BM194" s="152" t="inlineStr">
        <is>
          <t>Yes</t>
        </is>
      </c>
      <c r="BN194" s="152" t="inlineStr">
        <is>
          <t>Not disclosed</t>
        </is>
      </c>
      <c r="BO194" s="156" t="inlineStr">
        <is>
          <t>Market: exhibitions; Home assistance; Research &amp; education · Manipulation 2/4 · Navigation 3/4 · Human-safe: Yes · AI: Likely via cloud API (OpenAI, Alibaba Qwen, Baidu, etc.) · Actuation: Electric servo motors · Peak 3 km/h · Runtime 7</t>
        </is>
      </c>
      <c r="BP194" s="152" t="n"/>
      <c r="BQ194" s="156" t="inlineStr">
        <is>
          <t>exhibitions; Home assistance; Research &amp; education</t>
        </is>
      </c>
      <c r="BR194" s="156" t="inlineStr">
        <is>
          <t>Prototype</t>
        </is>
      </c>
      <c r="BS194" s="156" t="inlineStr">
        <is>
          <t>Prototype</t>
        </is>
      </c>
      <c r="BT194" s="152" t="inlineStr">
        <is>
          <t>White</t>
        </is>
      </c>
      <c r="BU194" s="152" t="inlineStr">
        <is>
          <t>Not verified</t>
        </is>
      </c>
      <c r="BV194" s="156" t="n"/>
      <c r="BW194" s="156" t="inlineStr">
        <is>
          <t>Origin &amp; status — USA · Prototype · 2026 | Manipulation — 5 per hand · 5 per hand fingers · Hand DOF 3 · Payload 8.8 lb | Sensing &amp; software — Dual 1080p depth + RGB · Likely via cloud API (OpenAI, Alibaba Qwen, Baidu, etc.) · Linux-based ROS environment | Buying notes — From $32,000 · 12 months manufacturer standard (typical research/commercial humanoid) · Best fit: exhibitions</t>
        </is>
      </c>
      <c r="BX194" s="156" t="inlineStr">
        <is>
          <t>as_shipped|Eggie|32000|As shipped</t>
        </is>
      </c>
      <c r="BY194" s="152" t="inlineStr">
        <is>
          <t>white|White|#e2e8f0|0</t>
        </is>
      </c>
      <c r="BZ194" s="152" t="inlineStr"/>
      <c r="CA194" s="156" t="n"/>
      <c r="CB194" s="156" t="inlineStr">
        <is>
          <t>12 months manufacturer standard (typical research/commercial humanoid)</t>
        </is>
      </c>
      <c r="CC194" s="154" t="n">
        <v>12</v>
      </c>
      <c r="CD194" s="156" t="inlineStr">
        <is>
          <t>+3 Year Extended ≈24% of configuration (default in configurator)</t>
        </is>
      </c>
      <c r="CE194" s="152" t="inlineStr">
        <is>
          <t>Humanoid category norm 2025–2026</t>
        </is>
      </c>
      <c r="CF194" s="152" t="inlineStr">
        <is>
          <t>Estimated</t>
        </is>
      </c>
      <c r="CG194" s="156" t="inlineStr">
        <is>
          <t>Confirm on formal OEM quote. EDU or enterprise packages may differ.</t>
        </is>
      </c>
      <c r="CH194" s="152" t="inlineStr">
        <is>
          <t>10%</t>
        </is>
      </c>
      <c r="CI194" s="152" t="inlineStr">
        <is>
          <t>17%</t>
        </is>
      </c>
      <c r="CJ194" s="152" t="inlineStr">
        <is>
          <t>24%</t>
        </is>
      </c>
      <c r="CK194" s="156" t="inlineStr">
        <is>
          <t>+1yr ≈10% | +2yr ≈17% | +3yr ≈24% of selected configuration price (parts &amp; labor beyond manufacturer standard).</t>
        </is>
      </c>
      <c r="CL194"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94" s="152" t="inlineStr">
        <is>
          <t>12 months manufacturer standard (typical research/commercial humanoid)</t>
        </is>
      </c>
      <c r="CN194" s="203" t="inlineStr">
        <is>
          <t>https://aixzd.com/robot/eggie</t>
        </is>
      </c>
      <c r="CQ194" s="101" t="inlineStr">
        <is>
          <t>Height: 5 ft 3 in | Weight: 99.2 | Degrees of Freedom: 20 | Payload: 8.8 | Max Speed: 1.86 | Battery / Runtime: ≈ 7 hours</t>
        </is>
      </c>
    </row>
    <row r="195" ht="31.5" customHeight="1" s="102">
      <c r="A195" s="145" t="inlineStr">
        <is>
          <t>tars_robotics_shanghai_tars</t>
        </is>
      </c>
      <c r="B195" s="153" t="inlineStr">
        <is>
          <t>Humanoid.guide</t>
        </is>
      </c>
      <c r="C195" s="145" t="inlineStr">
        <is>
          <t>TARS Robotics (Shanghai)</t>
        </is>
      </c>
      <c r="D195" s="145" t="inlineStr">
        <is>
          <t>TARS</t>
        </is>
      </c>
      <c r="E195" s="145" t="inlineStr">
        <is>
          <t>[TARS Robotics] TARS (2026)</t>
        </is>
      </c>
      <c r="F195" s="146" t="inlineStr">
        <is>
          <t>humanoid</t>
        </is>
      </c>
      <c r="G195" s="145" t="inlineStr">
        <is>
          <t>China</t>
        </is>
      </c>
      <c r="H195" s="145" t="n"/>
      <c r="I195" s="148" t="n">
        <v>95000</v>
      </c>
      <c r="J195" s="145" t="inlineStr">
        <is>
          <t>Humanoid.guide list</t>
        </is>
      </c>
      <c r="K195" s="149" t="inlineStr">
        <is>
          <t>TARS is a next-generation humanoid robot by Chinese startup TARS Robotics. It combines AI with dexterous physical control and recently demonstrated world-first two-hand stitching, showing advanced fine-motor capabilities that could transform precision manufacturing.</t>
        </is>
      </c>
      <c r="L195" s="101" t="inlineStr">
        <is>
          <t>TARS is a next-generation humanoid robot by Chinese startup TARS Robotics. It combines AI with dexterous physical control and recently demonstrated world-first two-hand stitching, showing advanced fine-motor capabilities that could transform precision manufacturing.</t>
        </is>
      </c>
      <c r="M195" s="101" t="inlineStr">
        <is>
          <t>TARS is a next-generation humanoid robot by Chinese startup TARS Robotics. It combines AI with dexterous physical control and recently demonstrated world-first two-hand stitching, showing advanced fine-motor capabilities that could transform precision manufacturing. Public status is listed as prototype, and it is positioned for industrial automation; Industrial logistics; Manufacturing.</t>
        </is>
      </c>
      <c r="N195" s="150" t="inlineStr">
        <is>
          <t>https://humanoid.guide/product/tars/</t>
        </is>
      </c>
      <c r="O195" s="150" t="inlineStr">
        <is>
          <t>https://www.tarsupv.com/</t>
        </is>
      </c>
      <c r="P195" s="145" t="inlineStr">
        <is>
          <t>5 ft 3 in</t>
        </is>
      </c>
      <c r="Q195" s="145" t="n">
        <v>160</v>
      </c>
      <c r="R195" s="145" t="n">
        <v>176.4</v>
      </c>
      <c r="S195" s="145" t="n">
        <v>80</v>
      </c>
      <c r="T195" s="149" t="inlineStr">
        <is>
          <t>Not disclosed</t>
        </is>
      </c>
      <c r="U195" s="145" t="n"/>
      <c r="V195" s="145" t="inlineStr">
        <is>
          <t>Assumed 30–40+</t>
        </is>
      </c>
      <c r="W195" s="149" t="inlineStr">
        <is>
          <t>Assumed 10–20 (bi-manual manipulation)</t>
        </is>
      </c>
      <c r="X195" s="145" t="n">
        <v>33.1</v>
      </c>
      <c r="Y195" s="145" t="n">
        <v>15</v>
      </c>
      <c r="Z195" s="145" t="n">
        <v>2.49</v>
      </c>
      <c r="AA195" s="145" t="n">
        <v>4</v>
      </c>
      <c r="AB195" s="145" t="n">
        <v>3</v>
      </c>
      <c r="AC195" s="149" t="inlineStr">
        <is>
          <t>≈ 3 hours</t>
        </is>
      </c>
      <c r="AD195" s="149" t="inlineStr">
        <is>
          <t>3</t>
        </is>
      </c>
      <c r="AE195" s="145" t="n"/>
      <c r="AF195" s="145" t="inlineStr">
        <is>
          <t>Not disclosed</t>
        </is>
      </c>
      <c r="AG195" s="149" t="inlineStr">
        <is>
          <t>5 per hand</t>
        </is>
      </c>
      <c r="AH195" s="145" t="inlineStr">
        <is>
          <t>5 per hand</t>
        </is>
      </c>
      <c r="AI195" s="145" t="n"/>
      <c r="AJ195" s="149" t="inlineStr">
        <is>
          <t>RGB + depth, ~1080p</t>
        </is>
      </c>
      <c r="AK195" s="149" t="inlineStr">
        <is>
          <t>RGB + depth, ~1080p</t>
        </is>
      </c>
      <c r="AL195" s="145" t="inlineStr">
        <is>
          <t>Not disclosed</t>
        </is>
      </c>
      <c r="AM195" s="145" t="n"/>
      <c r="AN195" s="145" t="inlineStr">
        <is>
          <t>Not disclosed</t>
        </is>
      </c>
      <c r="AO195" s="145" t="inlineStr">
        <is>
          <t>Not disclosed</t>
        </is>
      </c>
      <c r="AP195" s="145" t="inlineStr">
        <is>
          <t>Not disclosed</t>
        </is>
      </c>
      <c r="AQ195" s="145" t="inlineStr">
        <is>
          <t>Not disclosed</t>
        </is>
      </c>
      <c r="AR195" s="145" t="n"/>
      <c r="AS195" s="145" t="n"/>
      <c r="AT195" s="149" t="inlineStr">
        <is>
          <t>Assumed AI acceleration hardware onboard</t>
        </is>
      </c>
      <c r="AU195" s="149" t="inlineStr">
        <is>
          <t>5G-A support for remote control; Ethernet; Wi‑Fi</t>
        </is>
      </c>
      <c r="AV195" s="145" t="inlineStr">
        <is>
          <t>Not disclosed</t>
        </is>
      </c>
      <c r="AW195" s="149" t="inlineStr">
        <is>
          <t>Not disclosed</t>
        </is>
      </c>
      <c r="AX195" s="145" t="n"/>
      <c r="AY195" s="149" t="inlineStr">
        <is>
          <t>Linux-based industrial OS / ROS</t>
        </is>
      </c>
      <c r="AZ195" s="149" t="inlineStr">
        <is>
          <t>Possible via external system integration</t>
        </is>
      </c>
      <c r="BA195" s="149" t="inlineStr">
        <is>
          <t>150–250 ms</t>
        </is>
      </c>
      <c r="BB195" s="149" t="inlineStr">
        <is>
          <t>Electric servo actuators</t>
        </is>
      </c>
      <c r="BC195" s="149" t="inlineStr">
        <is>
          <t>Harmonic / planetary gears (assumed)</t>
        </is>
      </c>
      <c r="BD195" s="145" t="inlineStr">
        <is>
          <t>Aluminum + plastic composites</t>
        </is>
      </c>
      <c r="BE195" s="145" t="inlineStr">
        <is>
          <t>IP20</t>
        </is>
      </c>
      <c r="BF195" s="145" t="inlineStr">
        <is>
          <t>IP20</t>
        </is>
      </c>
      <c r="BG195" s="145" t="n"/>
      <c r="BH195" s="145" t="n"/>
      <c r="BI195" s="145" t="n"/>
      <c r="BJ195" s="145" t="n"/>
      <c r="BK195" s="145" t="n"/>
      <c r="BL195" s="145" t="n"/>
      <c r="BM195" s="145" t="inlineStr">
        <is>
          <t>Yes</t>
        </is>
      </c>
      <c r="BN195" s="145" t="inlineStr">
        <is>
          <t>Not disclosed</t>
        </is>
      </c>
      <c r="BO195" s="149" t="inlineStr">
        <is>
          <t>Market: Industrial automation; Industrial logistics; Manufacturing · Human-safe: Yes · AI: Possible via external system integration · Actuation: Electric servo actuators · Peak 4 km/h · Walk 3 km/h · Runtime 3</t>
        </is>
      </c>
      <c r="BP195" s="145" t="n"/>
      <c r="BQ195" s="149" t="inlineStr">
        <is>
          <t>Industrial automation; Industrial logistics; Manufacturing</t>
        </is>
      </c>
      <c r="BR195" s="149" t="inlineStr">
        <is>
          <t>Prototype</t>
        </is>
      </c>
      <c r="BS195" s="149" t="inlineStr">
        <is>
          <t>Prototype</t>
        </is>
      </c>
      <c r="BT195" s="145" t="inlineStr">
        <is>
          <t>Black; Grey</t>
        </is>
      </c>
      <c r="BU195" s="145" t="inlineStr">
        <is>
          <t>Not verified</t>
        </is>
      </c>
      <c r="BV195" s="149" t="n"/>
      <c r="BW195" s="149" t="inlineStr">
        <is>
          <t>Origin &amp; status — China · Prototype · 2026 | Manipulation — 5 per hand · 5 per hand fingers · Hand DOF Assumed 10–20 (bi-manual manipulation) · Payload 33.1 lb | Sensing &amp; software — RGB + depth, ~1080p · Possible via external system integration · Linux-based industrial OS / ROS | Buying notes — From $95,000 · 12 months manufacturer standard (typical research/commercial humanoid) · Best fit: Industrial automation</t>
        </is>
      </c>
      <c r="BX195" s="149" t="inlineStr">
        <is>
          <t>as_shipped|TARS|95000|As shipped</t>
        </is>
      </c>
      <c r="BY195" s="145" t="inlineStr">
        <is>
          <t>black|Black|#e2e8f0|0 || grey|Grey|#1e293b|0</t>
        </is>
      </c>
      <c r="BZ195" s="145" t="inlineStr"/>
      <c r="CA195" s="149" t="n"/>
      <c r="CB195" s="149" t="inlineStr">
        <is>
          <t>12 months manufacturer standard (typical research/commercial humanoid)</t>
        </is>
      </c>
      <c r="CC195" s="147" t="n">
        <v>12</v>
      </c>
      <c r="CD195" s="149" t="inlineStr">
        <is>
          <t>+3 Year Extended ≈24% of configuration (default in configurator)</t>
        </is>
      </c>
      <c r="CE195" s="145" t="inlineStr">
        <is>
          <t>Humanoid category norm 2025–2026</t>
        </is>
      </c>
      <c r="CF195" s="145" t="inlineStr">
        <is>
          <t>Estimated</t>
        </is>
      </c>
      <c r="CG195" s="149" t="inlineStr">
        <is>
          <t>Confirm on formal OEM quote. EDU or enterprise packages may differ.</t>
        </is>
      </c>
      <c r="CH195" s="145" t="inlineStr">
        <is>
          <t>10%</t>
        </is>
      </c>
      <c r="CI195" s="145" t="inlineStr">
        <is>
          <t>17%</t>
        </is>
      </c>
      <c r="CJ195" s="145" t="inlineStr">
        <is>
          <t>24%</t>
        </is>
      </c>
      <c r="CK195" s="149" t="inlineStr">
        <is>
          <t>+1yr ≈10% | +2yr ≈17% | +3yr ≈24% of selected configuration price (parts &amp; labor beyond manufacturer standard).</t>
        </is>
      </c>
      <c r="CL19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95" s="145" t="inlineStr">
        <is>
          <t>12 months manufacturer standard (typical research/commercial humanoid)</t>
        </is>
      </c>
      <c r="CQ195" s="101" t="inlineStr">
        <is>
          <t>Height: 5 ft 3 in | Weight: 176.4 | Degrees of Freedom: Assumed 30–40+ | Payload: 33.1 | Max Speed: 2.49 | Battery / Runtime: ≈ 3 hours</t>
        </is>
      </c>
    </row>
    <row r="196" ht="31.5" customHeight="1" s="102">
      <c r="A196" s="152" t="inlineStr">
        <is>
          <t>techman_robot_tm_xplore_1</t>
        </is>
      </c>
      <c r="B196" s="153" t="inlineStr">
        <is>
          <t>Humanoid.guide</t>
        </is>
      </c>
      <c r="C196" s="152" t="inlineStr">
        <is>
          <t>Techman Robot</t>
        </is>
      </c>
      <c r="D196" s="152" t="inlineStr">
        <is>
          <t>TM Xplore 1</t>
        </is>
      </c>
      <c r="E196" s="152" t="inlineStr">
        <is>
          <t>[Techman Robot] TM Xplore 1 (2026)</t>
        </is>
      </c>
      <c r="F196" s="146" t="inlineStr">
        <is>
          <t>humanoid</t>
        </is>
      </c>
      <c r="G196" s="152" t="inlineStr">
        <is>
          <t>Taiwan</t>
        </is>
      </c>
      <c r="H196" s="152" t="n"/>
      <c r="I196" s="155" t="n">
        <v>25000</v>
      </c>
      <c r="J196" s="152" t="inlineStr">
        <is>
          <t>Humanoid.guide list</t>
        </is>
      </c>
      <c r="K196" s="156" t="inlineStr">
        <is>
          <t>TM Xplore I is Techman Robot’s first wheeled humanoid prototype, combining AI vision, articulated arms, and a mobile base for flexible handling and industrial automation in warehouses and factories.</t>
        </is>
      </c>
      <c r="L196" s="101" t="inlineStr">
        <is>
          <t>TM Xplore I is Techman Robot’s first wheeled humanoid prototype, combining AI vision, articulated arms, and a mobile base for flexible handling and industrial automation in warehouses and factories.</t>
        </is>
      </c>
      <c r="M196" s="101" t="inlineStr">
        <is>
          <t>TM Xplore 1 is Techman Robot's humanoid, introduced around 2026 in Taiwan. TM Xplore I is Techman Robot’s first wheeled humanoid prototype, combining AI vision, articulated arms, and a mobile base for flexible handling and industrial automation in warehouses and factories. It is positioned for electronics/semiconductor factories; Industrial automation; logistics; Manufacturing; Warehouse.</t>
        </is>
      </c>
      <c r="N196" s="157" t="inlineStr">
        <is>
          <t>https://humanoid.guide/product/tm-xplore-1/</t>
        </is>
      </c>
      <c r="O196" s="157" t="inlineStr">
        <is>
          <t>https://www.tm-robot.com</t>
        </is>
      </c>
      <c r="P196" s="152" t="inlineStr">
        <is>
          <t>5 ft 3 in</t>
        </is>
      </c>
      <c r="Q196" s="152" t="n">
        <v>160</v>
      </c>
      <c r="R196" s="152" t="n"/>
      <c r="S196" s="152" t="n"/>
      <c r="T196" s="156" t="inlineStr">
        <is>
          <t>Not disclosed</t>
        </is>
      </c>
      <c r="U196" s="152" t="n"/>
      <c r="V196" s="152" t="inlineStr">
        <is>
          <t>22</t>
        </is>
      </c>
      <c r="W196" s="156" t="inlineStr">
        <is>
          <t>Not disclosed</t>
        </is>
      </c>
      <c r="X196" s="152" t="n">
        <v>13.2</v>
      </c>
      <c r="Y196" s="152" t="n">
        <v>6</v>
      </c>
      <c r="Z196" s="152" t="n">
        <v>1.86</v>
      </c>
      <c r="AA196" s="152" t="n">
        <v>3</v>
      </c>
      <c r="AB196" s="152" t="n"/>
      <c r="AC196" s="156" t="inlineStr">
        <is>
          <t>≈ 2 hours</t>
        </is>
      </c>
      <c r="AD196" s="156" t="inlineStr">
        <is>
          <t>2</t>
        </is>
      </c>
      <c r="AE196" s="152" t="n"/>
      <c r="AF196" s="152" t="inlineStr">
        <is>
          <t>Not disclosed</t>
        </is>
      </c>
      <c r="AG196" s="156" t="inlineStr">
        <is>
          <t>5 per hand</t>
        </is>
      </c>
      <c r="AH196" s="152" t="inlineStr">
        <is>
          <t>5 per hand</t>
        </is>
      </c>
      <c r="AI196" s="151" t="n">
        <v>3</v>
      </c>
      <c r="AJ196" s="156" t="inlineStr">
        <is>
          <t>Advanced inspection cameras + AI vision</t>
        </is>
      </c>
      <c r="AK196" s="156" t="inlineStr">
        <is>
          <t>Advanced inspection cameras + AI vision</t>
        </is>
      </c>
      <c r="AL196" s="152" t="inlineStr">
        <is>
          <t>Not disclosed</t>
        </is>
      </c>
      <c r="AM196" s="152" t="n"/>
      <c r="AN196" s="152" t="inlineStr">
        <is>
          <t>Not disclosed</t>
        </is>
      </c>
      <c r="AO196" s="152" t="inlineStr">
        <is>
          <t>Not disclosed</t>
        </is>
      </c>
      <c r="AP196" s="152" t="inlineStr">
        <is>
          <t>Not disclosed</t>
        </is>
      </c>
      <c r="AQ196" s="152" t="inlineStr">
        <is>
          <t>Not disclosed</t>
        </is>
      </c>
      <c r="AR196" s="152" t="n"/>
      <c r="AS196" s="152" t="n"/>
      <c r="AT196" s="156" t="inlineStr">
        <is>
          <t>NVIDIA Jetson Orin platform for AI inference and edge computing</t>
        </is>
      </c>
      <c r="AU196" s="156" t="inlineStr">
        <is>
          <t>Bluetooth; Wi‑Fi</t>
        </is>
      </c>
      <c r="AV196" s="152" t="inlineStr">
        <is>
          <t>Not disclosed</t>
        </is>
      </c>
      <c r="AW196" s="156" t="inlineStr">
        <is>
          <t>Not disclosed</t>
        </is>
      </c>
      <c r="AX196" s="158" t="n">
        <v>2</v>
      </c>
      <c r="AY196" s="156" t="inlineStr">
        <is>
          <t>Linux-based ROS environment</t>
        </is>
      </c>
      <c r="AZ196" s="156" t="inlineStr">
        <is>
          <t>Yes</t>
        </is>
      </c>
      <c r="BA196" s="156" t="n"/>
      <c r="BB196" s="156" t="inlineStr">
        <is>
          <t>Uses Techman’s in-house developed motor modules for articulated joints</t>
        </is>
      </c>
      <c r="BC196" s="156" t="inlineStr">
        <is>
          <t>Not disclosed</t>
        </is>
      </c>
      <c r="BD196" s="152" t="inlineStr">
        <is>
          <t>lightweight metals/plastics + joint modules</t>
        </is>
      </c>
      <c r="BE196" s="152" t="inlineStr">
        <is>
          <t>Not disclosed</t>
        </is>
      </c>
      <c r="BF196" s="152" t="n"/>
      <c r="BG196" s="152" t="n"/>
      <c r="BH196" s="152" t="n"/>
      <c r="BI196" s="152" t="n"/>
      <c r="BJ196" s="152" t="n"/>
      <c r="BK196" s="152" t="n"/>
      <c r="BL196" s="152" t="n"/>
      <c r="BM196" s="152" t="inlineStr">
        <is>
          <t>Yes</t>
        </is>
      </c>
      <c r="BN196" s="152" t="inlineStr">
        <is>
          <t>Not disclosed</t>
        </is>
      </c>
      <c r="BO196" s="156" t="inlineStr">
        <is>
          <t>Market: electronics/semiconductor factories; Industrial automation; logistics; Manufacturing; Warehouse · Manipulation 3/4 · Navigation 2/4 · Human-safe: Yes · AI: Yes · Actuation: Uses Techman’s in-house developed motor modules for articulated joints · Peak 3 km/h · Runtime 2</t>
        </is>
      </c>
      <c r="BP196" s="152" t="n"/>
      <c r="BQ196" s="156" t="inlineStr">
        <is>
          <t>electronics/semiconductor factories; Industrial automation; logistics; Manufacturing; Warehouse</t>
        </is>
      </c>
      <c r="BR196" s="156" t="inlineStr">
        <is>
          <t>Prototype</t>
        </is>
      </c>
      <c r="BS196" s="156" t="inlineStr">
        <is>
          <t>Prototype</t>
        </is>
      </c>
      <c r="BT196" s="152" t="inlineStr">
        <is>
          <t>Black</t>
        </is>
      </c>
      <c r="BU196" s="152" t="inlineStr">
        <is>
          <t>Not verified</t>
        </is>
      </c>
      <c r="BV196" s="156" t="n"/>
      <c r="BW196" s="156" t="inlineStr">
        <is>
          <t>Origin &amp; status — Taiwan · Prototype · 2026 | Manipulation — 5 per hand · 5 per hand fingers · Payload 13.2 lb | Sensing &amp; software — Advanced inspection cameras + AI vision · Yes · Linux-based ROS environment | Buying notes — From $25,000 · 12 months manufacturer standard (typical research/commercial humanoid) · Best fit: electronics</t>
        </is>
      </c>
      <c r="BX196" s="156" t="inlineStr">
        <is>
          <t>as_shipped|TM Xplore 1|25000|As shipped</t>
        </is>
      </c>
      <c r="BY196" s="152" t="inlineStr">
        <is>
          <t>black|Black|#e2e8f0|0</t>
        </is>
      </c>
      <c r="BZ196" s="152" t="inlineStr"/>
      <c r="CA196" s="156" t="n"/>
      <c r="CB196" s="156" t="inlineStr">
        <is>
          <t>12 months manufacturer standard (typical research/commercial humanoid)</t>
        </is>
      </c>
      <c r="CC196" s="154" t="n">
        <v>12</v>
      </c>
      <c r="CD196" s="156" t="inlineStr">
        <is>
          <t>+3 Year Extended ≈24% of configuration (default in configurator)</t>
        </is>
      </c>
      <c r="CE196" s="152" t="inlineStr">
        <is>
          <t>Humanoid category norm 2025–2026</t>
        </is>
      </c>
      <c r="CF196" s="152" t="inlineStr">
        <is>
          <t>Estimated</t>
        </is>
      </c>
      <c r="CG196" s="156" t="inlineStr">
        <is>
          <t>Confirm on formal OEM quote. EDU or enterprise packages may differ.</t>
        </is>
      </c>
      <c r="CH196" s="152" t="inlineStr">
        <is>
          <t>10%</t>
        </is>
      </c>
      <c r="CI196" s="152" t="inlineStr">
        <is>
          <t>17%</t>
        </is>
      </c>
      <c r="CJ196" s="152" t="inlineStr">
        <is>
          <t>24%</t>
        </is>
      </c>
      <c r="CK196" s="156" t="inlineStr">
        <is>
          <t>+1yr ≈10% | +2yr ≈17% | +3yr ≈24% of selected configuration price (parts &amp; labor beyond manufacturer standard).</t>
        </is>
      </c>
      <c r="CL196"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96" s="152" t="inlineStr">
        <is>
          <t>12 months manufacturer standard (typical research/commercial humanoid)</t>
        </is>
      </c>
      <c r="CN196" s="203" t="inlineStr">
        <is>
          <t>https://aixzd.com/robot/tm-xplore-1</t>
        </is>
      </c>
      <c r="CQ196" s="101" t="inlineStr">
        <is>
          <t>Height: 5 ft 3 in | Weight: Not disclosed | Degrees of Freedom: 22 | Payload: 13.2 | Max Speed: 1.86 | Battery / Runtime: ≈ 2 hours</t>
        </is>
      </c>
    </row>
    <row r="197" ht="31.5" customHeight="1" s="102">
      <c r="A197" s="145" t="inlineStr">
        <is>
          <t>tekntrash_alpha</t>
        </is>
      </c>
      <c r="B197" s="153" t="inlineStr">
        <is>
          <t>Humanoid.guide</t>
        </is>
      </c>
      <c r="C197" s="145" t="inlineStr">
        <is>
          <t>TeknTrash</t>
        </is>
      </c>
      <c r="D197" s="145" t="inlineStr">
        <is>
          <t>ALPHA</t>
        </is>
      </c>
      <c r="E197" s="145" t="inlineStr">
        <is>
          <t>[TeknTrash] ALPHA (2026)</t>
        </is>
      </c>
      <c r="F197" s="146" t="inlineStr">
        <is>
          <t>humanoid</t>
        </is>
      </c>
      <c r="G197" s="145" t="inlineStr">
        <is>
          <t>UK</t>
        </is>
      </c>
      <c r="H197" s="145" t="n"/>
      <c r="I197" s="148" t="n">
        <v>55000</v>
      </c>
      <c r="J197" s="145" t="inlineStr">
        <is>
          <t>Humanoid.guide list</t>
        </is>
      </c>
      <c r="K197" s="149" t="inlineStr">
        <is>
          <t>ALPHA, developed by TeknTrash, is a humanoid robot designed to transform waste handling by automating repetitive, unsafe tasks in recycling facilities.</t>
        </is>
      </c>
      <c r="L197" s="101" t="inlineStr">
        <is>
          <t>ALPHA, developed by TeknTrash, is a humanoid robot designed to transform waste handling by automating repetitive, unsafe tasks in recycling facilities.</t>
        </is>
      </c>
      <c r="M197" s="101" t="inlineStr">
        <is>
          <t>ALPHA, developed by TeknTrash, is a humanoid robot designed to transform waste handling by automating repetitive, unsafe tasks in recycling facilities. Public status is listed as prototype.</t>
        </is>
      </c>
      <c r="N197" s="150" t="inlineStr">
        <is>
          <t>https://humanoid.guide/product/alpha/</t>
        </is>
      </c>
      <c r="O197" s="150" t="inlineStr">
        <is>
          <t>https://www.tekntrash.com/</t>
        </is>
      </c>
      <c r="P197" s="145" t="inlineStr">
        <is>
          <t>6 ft 7 in</t>
        </is>
      </c>
      <c r="Q197" s="145" t="n">
        <v>200</v>
      </c>
      <c r="R197" s="145" t="n">
        <v>198.4</v>
      </c>
      <c r="S197" s="145" t="n">
        <v>90</v>
      </c>
      <c r="T197" s="149" t="inlineStr">
        <is>
          <t>Not disclosed</t>
        </is>
      </c>
      <c r="U197" s="145" t="n"/>
      <c r="V197" s="145" t="inlineStr">
        <is>
          <t>13</t>
        </is>
      </c>
      <c r="W197" s="149" t="inlineStr">
        <is>
          <t>2</t>
        </is>
      </c>
      <c r="X197" s="145" t="n">
        <v>11</v>
      </c>
      <c r="Y197" s="145" t="n">
        <v>5</v>
      </c>
      <c r="Z197" s="145" t="n">
        <v>0.5600000000000001</v>
      </c>
      <c r="AA197" s="145" t="n">
        <v>0.9</v>
      </c>
      <c r="AB197" s="145" t="n"/>
      <c r="AC197" s="149" t="inlineStr">
        <is>
          <t>≈ 7 hours</t>
        </is>
      </c>
      <c r="AD197" s="149" t="inlineStr">
        <is>
          <t>7</t>
        </is>
      </c>
      <c r="AE197" s="145" t="n"/>
      <c r="AF197" s="145" t="inlineStr">
        <is>
          <t>Not disclosed</t>
        </is>
      </c>
      <c r="AG197" s="149" t="inlineStr">
        <is>
          <t>4</t>
        </is>
      </c>
      <c r="AH197" s="145" t="inlineStr">
        <is>
          <t>4</t>
        </is>
      </c>
      <c r="AI197" s="158" t="n">
        <v>2</v>
      </c>
      <c r="AJ197" s="149" t="inlineStr">
        <is>
          <t>640x480</t>
        </is>
      </c>
      <c r="AK197" s="149" t="inlineStr">
        <is>
          <t>640x480</t>
        </is>
      </c>
      <c r="AL197" s="145" t="inlineStr">
        <is>
          <t>Not disclosed</t>
        </is>
      </c>
      <c r="AM197" s="145" t="n"/>
      <c r="AN197" s="145" t="inlineStr">
        <is>
          <t>Not disclosed</t>
        </is>
      </c>
      <c r="AO197" s="145" t="inlineStr">
        <is>
          <t>Not disclosed</t>
        </is>
      </c>
      <c r="AP197" s="145" t="inlineStr">
        <is>
          <t>Not disclosed</t>
        </is>
      </c>
      <c r="AQ197" s="145" t="inlineStr">
        <is>
          <t>Not disclosed</t>
        </is>
      </c>
      <c r="AR197" s="145" t="n"/>
      <c r="AS197" s="145" t="n"/>
      <c r="AT197" s="149" t="inlineStr">
        <is>
          <t>Nvidia Orin AGX 64</t>
        </is>
      </c>
      <c r="AU197" s="149" t="inlineStr">
        <is>
          <t>WiFi</t>
        </is>
      </c>
      <c r="AV197" s="145" t="inlineStr">
        <is>
          <t>Not disclosed</t>
        </is>
      </c>
      <c r="AW197" s="149" t="inlineStr">
        <is>
          <t>Not disclosed</t>
        </is>
      </c>
      <c r="AX197" s="158" t="n">
        <v>2</v>
      </c>
      <c r="AY197" s="149" t="inlineStr">
        <is>
          <t>Ubuntu 24</t>
        </is>
      </c>
      <c r="AZ197" s="149" t="inlineStr">
        <is>
          <t>deepseek</t>
        </is>
      </c>
      <c r="BA197" s="149" t="inlineStr">
        <is>
          <t>20 ms</t>
        </is>
      </c>
      <c r="BB197" s="149" t="inlineStr">
        <is>
          <t>Realman</t>
        </is>
      </c>
      <c r="BC197" s="149" t="inlineStr">
        <is>
          <t>Realman</t>
        </is>
      </c>
      <c r="BD197" s="145" t="inlineStr">
        <is>
          <t>Aluminum; Plastic</t>
        </is>
      </c>
      <c r="BE197" s="145" t="inlineStr">
        <is>
          <t>IP32</t>
        </is>
      </c>
      <c r="BF197" s="145" t="inlineStr">
        <is>
          <t>IP32</t>
        </is>
      </c>
      <c r="BG197" s="145" t="n"/>
      <c r="BH197" s="145" t="n"/>
      <c r="BI197" s="145" t="n"/>
      <c r="BJ197" s="145" t="n"/>
      <c r="BK197" s="145" t="n"/>
      <c r="BL197" s="145" t="n"/>
      <c r="BM197" s="145" t="inlineStr">
        <is>
          <t>Yes</t>
        </is>
      </c>
      <c r="BN197" s="145" t="inlineStr">
        <is>
          <t>Not disclosed</t>
        </is>
      </c>
      <c r="BO197" s="149" t="inlineStr">
        <is>
          <t>Market: Recycling · Manipulation 2/4 · Navigation 2/4 · Human-safe: Yes · AI: deepseek · Actuation: Realman · Peak 0.9 km/h · Runtime 7</t>
        </is>
      </c>
      <c r="BP197" s="145" t="n"/>
      <c r="BQ197" s="149" t="inlineStr">
        <is>
          <t>Recycling</t>
        </is>
      </c>
      <c r="BR197" s="149" t="inlineStr">
        <is>
          <t>Prototype</t>
        </is>
      </c>
      <c r="BS197" s="149" t="inlineStr">
        <is>
          <t>Prototype</t>
        </is>
      </c>
      <c r="BT197" s="145" t="n"/>
      <c r="BU197" s="145" t="inlineStr">
        <is>
          <t>Not verified</t>
        </is>
      </c>
      <c r="BV197" s="149" t="n"/>
      <c r="BW197" s="149" t="inlineStr">
        <is>
          <t>Origin &amp; status — UK · Prototype · 2026 | Manipulation — 4 · 4 fingers · Hand DOF 2 · Payload 11 lb | Sensing &amp; software — 640x480 · deepseek · Ubuntu 24 | Buying notes — From $55,000 · 12 months manufacturer standard (typical research/commercial humanoid) · Best fit: Recycling</t>
        </is>
      </c>
      <c r="BX197" s="149" t="inlineStr">
        <is>
          <t>as_shipped|ALPHA|55000|As shipped</t>
        </is>
      </c>
      <c r="BY197" s="145" t="inlineStr">
        <is>
          <t>alpha|Manufacturer finish|#e2e8f0|0</t>
        </is>
      </c>
      <c r="BZ197" s="145" t="inlineStr"/>
      <c r="CA197" s="149" t="n"/>
      <c r="CB197" s="149" t="inlineStr">
        <is>
          <t>12 months manufacturer standard (typical research/commercial humanoid)</t>
        </is>
      </c>
      <c r="CC197" s="147" t="n">
        <v>12</v>
      </c>
      <c r="CD197" s="149" t="inlineStr">
        <is>
          <t>+3 Year Extended ≈24% of configuration (default in configurator)</t>
        </is>
      </c>
      <c r="CE197" s="145" t="inlineStr">
        <is>
          <t>Humanoid category norm 2025–2026</t>
        </is>
      </c>
      <c r="CF197" s="145" t="inlineStr">
        <is>
          <t>Estimated</t>
        </is>
      </c>
      <c r="CG197" s="149" t="inlineStr">
        <is>
          <t>Confirm on formal OEM quote. EDU or enterprise packages may differ.</t>
        </is>
      </c>
      <c r="CH197" s="145" t="inlineStr">
        <is>
          <t>10%</t>
        </is>
      </c>
      <c r="CI197" s="145" t="inlineStr">
        <is>
          <t>17%</t>
        </is>
      </c>
      <c r="CJ197" s="145" t="inlineStr">
        <is>
          <t>24%</t>
        </is>
      </c>
      <c r="CK197" s="149" t="inlineStr">
        <is>
          <t>+1yr ≈10% | +2yr ≈17% | +3yr ≈24% of selected configuration price (parts &amp; labor beyond manufacturer standard).</t>
        </is>
      </c>
      <c r="CL197"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97" s="145" t="inlineStr">
        <is>
          <t>12 months manufacturer standard (typical research/commercial humanoid)</t>
        </is>
      </c>
      <c r="CQ197" s="101" t="inlineStr">
        <is>
          <t>Height: 6 ft 7 in | Weight: 198.4 | Degrees of Freedom: 13 | Payload: 11 | Max Speed: 0.56 | Battery / Runtime: ≈ 7 hours</t>
        </is>
      </c>
    </row>
    <row r="198" ht="31.5" customHeight="1" s="102">
      <c r="A198" s="152" t="inlineStr">
        <is>
          <t>tencent_robotics_x_xiao_liu</t>
        </is>
      </c>
      <c r="B198" s="153" t="inlineStr">
        <is>
          <t>Humanoid.guide</t>
        </is>
      </c>
      <c r="C198" s="152" t="inlineStr">
        <is>
          <t>Tencent Robotics X</t>
        </is>
      </c>
      <c r="D198" s="152" t="inlineStr">
        <is>
          <t>Xiao Liu</t>
        </is>
      </c>
      <c r="E198" s="152" t="inlineStr">
        <is>
          <t>[Tencent Robotics X] Xiao Liu (2026)</t>
        </is>
      </c>
      <c r="F198" s="146" t="inlineStr">
        <is>
          <t>humanoid</t>
        </is>
      </c>
      <c r="G198" s="152" t="inlineStr">
        <is>
          <t>China</t>
        </is>
      </c>
      <c r="H198" s="152" t="n"/>
      <c r="I198" s="155" t="n">
        <v>90000</v>
      </c>
      <c r="J198" s="152" t="inlineStr">
        <is>
          <t>Humanoid.guide list</t>
        </is>
      </c>
      <c r="K198" s="156" t="inlineStr">
        <is>
          <t>Xiao Liu is Tencent Robotics X Lab’s newest demonstration humanoid, a wheeled eldercare and home-assistance robot that performs precise, human-like therapeutic massage through advanced force and tactile sensing.</t>
        </is>
      </c>
      <c r="L198" s="101" t="inlineStr">
        <is>
          <t>Xiao Liu is Tencent Robotics X Lab’s newest demonstration humanoid, a wheeled eldercare and home-assistance robot that performs precise, human-like therapeutic massage through advanced force and tactile sensing.</t>
        </is>
      </c>
      <c r="M198" s="101" t="inlineStr">
        <is>
          <t>Xiao Liu is Tencent Robotics X Lab’s newest demonstration humanoid, a wheeled eldercare and home-assistance robot that performs precise, human-like therapeutic massage through advanced force and tactile sensing. Public status is listed as prototype, and it is positioned for eldercare; Home assistance.</t>
        </is>
      </c>
      <c r="N198" s="157" t="inlineStr">
        <is>
          <t>https://humanoid.guide/product/xiao-liu/</t>
        </is>
      </c>
      <c r="O198" s="157" t="inlineStr">
        <is>
          <t>https://roboticsx.tencent.com</t>
        </is>
      </c>
      <c r="P198" s="152" t="inlineStr">
        <is>
          <t>5 ft 5 in</t>
        </is>
      </c>
      <c r="Q198" s="152" t="n">
        <v>165</v>
      </c>
      <c r="R198" s="152" t="n">
        <v>154.3</v>
      </c>
      <c r="S198" s="152" t="n">
        <v>70</v>
      </c>
      <c r="T198" s="156" t="inlineStr">
        <is>
          <t>Not disclosed</t>
        </is>
      </c>
      <c r="U198" s="152" t="n"/>
      <c r="V198" s="152" t="inlineStr">
        <is>
          <t>38</t>
        </is>
      </c>
      <c r="W198" s="156" t="inlineStr">
        <is>
          <t>12</t>
        </is>
      </c>
      <c r="X198" s="152" t="n">
        <v>22</v>
      </c>
      <c r="Y198" s="152" t="n">
        <v>10</v>
      </c>
      <c r="Z198" s="152" t="n">
        <v>3.11</v>
      </c>
      <c r="AA198" s="152" t="n">
        <v>5</v>
      </c>
      <c r="AB198" s="152" t="n"/>
      <c r="AC198" s="156" t="inlineStr">
        <is>
          <t>≈ 2 hours</t>
        </is>
      </c>
      <c r="AD198" s="156" t="inlineStr">
        <is>
          <t>2</t>
        </is>
      </c>
      <c r="AE198" s="152" t="n"/>
      <c r="AF198" s="152" t="inlineStr">
        <is>
          <t>Not disclosed</t>
        </is>
      </c>
      <c r="AG198" s="156" t="inlineStr">
        <is>
          <t>3 per hand</t>
        </is>
      </c>
      <c r="AH198" s="152" t="inlineStr">
        <is>
          <t>3 per hand</t>
        </is>
      </c>
      <c r="AI198" s="152" t="n"/>
      <c r="AJ198" s="156" t="inlineStr">
        <is>
          <t>Not disclosed</t>
        </is>
      </c>
      <c r="AK198" s="156" t="n"/>
      <c r="AL198" s="152" t="inlineStr">
        <is>
          <t>Not disclosed</t>
        </is>
      </c>
      <c r="AM198" s="152" t="n"/>
      <c r="AN198" s="152" t="inlineStr">
        <is>
          <t>Not disclosed</t>
        </is>
      </c>
      <c r="AO198" s="152" t="inlineStr">
        <is>
          <t>Not disclosed</t>
        </is>
      </c>
      <c r="AP198" s="152" t="inlineStr">
        <is>
          <t>Not disclosed</t>
        </is>
      </c>
      <c r="AQ198" s="152" t="inlineStr">
        <is>
          <t>Not disclosed</t>
        </is>
      </c>
      <c r="AR198" s="152" t="n"/>
      <c r="AS198" s="152" t="n"/>
      <c r="AT198" s="156" t="inlineStr">
        <is>
          <t>Not disclosed</t>
        </is>
      </c>
      <c r="AU198" s="156" t="inlineStr">
        <is>
          <t>Bluetooth; Wi-Fi</t>
        </is>
      </c>
      <c r="AV198" s="152" t="inlineStr">
        <is>
          <t>Not disclosed</t>
        </is>
      </c>
      <c r="AW198" s="156" t="inlineStr">
        <is>
          <t>Not disclosed</t>
        </is>
      </c>
      <c r="AX198" s="152" t="n"/>
      <c r="AY198" s="156" t="inlineStr">
        <is>
          <t>Not disclosed</t>
        </is>
      </c>
      <c r="AZ198" s="156" t="inlineStr">
        <is>
          <t>Not disclosed</t>
        </is>
      </c>
      <c r="BA198" s="156" t="n"/>
      <c r="BB198" s="156" t="inlineStr">
        <is>
          <t>Electric actuators</t>
        </is>
      </c>
      <c r="BC198" s="156" t="inlineStr">
        <is>
          <t>Cable-tendon (key-rope) drive</t>
        </is>
      </c>
      <c r="BD198" s="152" t="inlineStr">
        <is>
          <t>Aluminum alloy frame with polymer shell</t>
        </is>
      </c>
      <c r="BE198" s="152" t="inlineStr">
        <is>
          <t>Not disclosed</t>
        </is>
      </c>
      <c r="BF198" s="152" t="n"/>
      <c r="BG198" s="152" t="n"/>
      <c r="BH198" s="152" t="n"/>
      <c r="BI198" s="152" t="n"/>
      <c r="BJ198" s="152" t="n"/>
      <c r="BK198" s="152" t="n"/>
      <c r="BL198" s="152" t="n"/>
      <c r="BM198" s="152" t="inlineStr">
        <is>
          <t>Yes</t>
        </is>
      </c>
      <c r="BN198" s="152" t="inlineStr">
        <is>
          <t>Not disclosed</t>
        </is>
      </c>
      <c r="BO198" s="156" t="inlineStr">
        <is>
          <t>Market: Eldercare; Home assistance · Human-safe: Yes · Actuation: Electric actuators · Peak 5 km/h · Runtime 2</t>
        </is>
      </c>
      <c r="BP198" s="152" t="n"/>
      <c r="BQ198" s="156" t="inlineStr">
        <is>
          <t>Eldercare; Home assistance</t>
        </is>
      </c>
      <c r="BR198" s="156" t="inlineStr">
        <is>
          <t>Prototype</t>
        </is>
      </c>
      <c r="BS198" s="156" t="inlineStr">
        <is>
          <t>Prototype</t>
        </is>
      </c>
      <c r="BT198" s="152" t="n"/>
      <c r="BU198" s="152" t="n"/>
      <c r="BV198" s="156" t="n"/>
      <c r="BW198" s="156" t="inlineStr">
        <is>
          <t>Origin &amp; status — China · Prototype · 2026 | Manipulation — 3 per hand · 3 per hand fingers · Hand DOF 12 · Payload 22 lb | Sensing &amp; software — Sensor and compute package confirmed on formal quote | Buying notes — From $90,000 · 12 months manufacturer standard (typical research/commercial humanoid) · Best fit: Eldercare</t>
        </is>
      </c>
      <c r="BX198" s="156" t="inlineStr">
        <is>
          <t>as_shipped|Xiao Liu|90000|As shipped</t>
        </is>
      </c>
      <c r="BY198" s="152" t="inlineStr">
        <is>
          <t>xiao_liu|Manufacturer finish|#e2e8f0|0</t>
        </is>
      </c>
      <c r="BZ198" s="152" t="inlineStr"/>
      <c r="CA198" s="156" t="n"/>
      <c r="CB198" s="156" t="inlineStr">
        <is>
          <t>12 months manufacturer standard (typical research/commercial humanoid)</t>
        </is>
      </c>
      <c r="CC198" s="154" t="n">
        <v>12</v>
      </c>
      <c r="CD198" s="156" t="inlineStr">
        <is>
          <t>+3 Year Extended ≈24% of configuration (default in configurator)</t>
        </is>
      </c>
      <c r="CE198" s="152" t="inlineStr">
        <is>
          <t>Humanoid category norm 2025–2026</t>
        </is>
      </c>
      <c r="CF198" s="152" t="inlineStr">
        <is>
          <t>Estimated</t>
        </is>
      </c>
      <c r="CG198" s="156" t="inlineStr">
        <is>
          <t>Confirm on formal OEM quote. EDU or enterprise packages may differ.</t>
        </is>
      </c>
      <c r="CH198" s="152" t="inlineStr">
        <is>
          <t>10%</t>
        </is>
      </c>
      <c r="CI198" s="152" t="inlineStr">
        <is>
          <t>17%</t>
        </is>
      </c>
      <c r="CJ198" s="152" t="inlineStr">
        <is>
          <t>24%</t>
        </is>
      </c>
      <c r="CK198" s="156" t="inlineStr">
        <is>
          <t>+1yr ≈10% | +2yr ≈17% | +3yr ≈24% of selected configuration price (parts &amp; labor beyond manufacturer standard).</t>
        </is>
      </c>
      <c r="CL198"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98" s="152" t="inlineStr">
        <is>
          <t>12 months manufacturer standard (typical research/commercial humanoid)</t>
        </is>
      </c>
      <c r="CQ198" s="101" t="inlineStr">
        <is>
          <t>Height: 5 ft 5 in | Weight: 154.3 | Degrees of Freedom: 38 | Payload: 22 | Max Speed: 3.11 | Battery / Runtime: ≈ 2 hours</t>
        </is>
      </c>
    </row>
    <row r="199" ht="31.5" customHeight="1" s="102">
      <c r="A199" s="143" t="inlineStr">
        <is>
          <t>optimus</t>
        </is>
      </c>
      <c r="B199" s="144" t="inlineStr">
        <is>
          <t>Both</t>
        </is>
      </c>
      <c r="C199" s="145" t="inlineStr">
        <is>
          <t>Tesla</t>
        </is>
      </c>
      <c r="D199" s="145" t="inlineStr">
        <is>
          <t>Optimus</t>
        </is>
      </c>
      <c r="E199" s="145" t="inlineStr">
        <is>
          <t>[Tesla] Optimus (2026)</t>
        </is>
      </c>
      <c r="F199" s="146" t="inlineStr">
        <is>
          <t>humanoid</t>
        </is>
      </c>
      <c r="G199" s="145" t="inlineStr">
        <is>
          <t>USA</t>
        </is>
      </c>
      <c r="H199" s="147" t="n">
        <v>2026</v>
      </c>
      <c r="I199" s="148" t="n">
        <v>25000</v>
      </c>
      <c r="J199" s="145" t="inlineStr">
        <is>
          <t>Website store</t>
        </is>
      </c>
      <c r="K199" s="149" t="inlineStr">
        <is>
          <t>Optimus is Tesla's humanoid — ≈ 5 ft 8 in class, ≈ 28 body DOF · Gen 3 hands ≈ 22 DOF per hand (≈ 50 actuators total for both hands), ≈ 44 lb carry · ≈ 20 lb class per arm continuous · deadlift class ≈ 150 lb payload. Gen 3 tendon-driven hands ≈ 22 DOF per hand with tactile sensing; Multi-camera vision-primary stack (Tesla vision approach; no LiDAR in public descriptions).</t>
        </is>
      </c>
      <c r="L199" s="101" t="inlineStr">
        <is>
          <t>Optimus is Tesla's humanoid — ≈ 5 ft 8 in class, ≈ 28 body DOF · Gen 3 hands ≈ 22 DOF per hand (≈ 50 actuators total for both hands), ≈ 44 lb carry · ≈ 20 lb class per arm continuous · deadlift class ≈ 150 lb payload. Gen 3 tendon-driven hands ≈ 22 DOF per hand with tactile sensing; Multi-camera vision-primary stack (Tesla vision approach; no LiDAR in public descriptions).</t>
        </is>
      </c>
      <c r="M199" s="101" t="inlineStr">
        <is>
          <t>Tesla’s Optimus program applies the company’s automotive manufacturing methods to a general-purpose humanoid. The line runs from Gen 2 through the gold-coloured Gen 2.5 prototype into Gen 3.</t>
        </is>
      </c>
      <c r="N199" s="150" t="inlineStr">
        <is>
          <t>https://humanoid.guide/product/optimus/</t>
        </is>
      </c>
      <c r="O199" s="150" t="inlineStr">
        <is>
          <t>https://www.tesla.com/AI</t>
        </is>
      </c>
      <c r="P199" s="145" t="inlineStr">
        <is>
          <t>≈ 5 ft 8 in</t>
        </is>
      </c>
      <c r="Q199" s="145" t="n">
        <v>173</v>
      </c>
      <c r="R199" s="145" t="n">
        <v>123.5</v>
      </c>
      <c r="S199" s="145" t="n">
        <v>56</v>
      </c>
      <c r="T199" s="149" t="inlineStr">
        <is>
          <t>Not disclosed</t>
        </is>
      </c>
      <c r="U199" s="145" t="n"/>
      <c r="V199" s="145" t="inlineStr">
        <is>
          <t>≈ 28 body DOF · Gen 3 hands ≈ 22 DOF per hand (≈ 50 actuators total for both hands)</t>
        </is>
      </c>
      <c r="W199" s="149" t="inlineStr">
        <is>
          <t>Not disclosed</t>
        </is>
      </c>
      <c r="X199" s="145" t="n">
        <v>44.1</v>
      </c>
      <c r="Y199" s="145" t="n">
        <v>20</v>
      </c>
      <c r="Z199" s="145" t="n">
        <v>4.97</v>
      </c>
      <c r="AA199" s="145" t="n">
        <v>8</v>
      </c>
      <c r="AB199" s="145" t="n">
        <v>2.5</v>
      </c>
      <c r="AC199" s="149" t="inlineStr">
        <is>
          <t>≈ 2.3 kWh · designed for multi-hour / full-shift light duty</t>
        </is>
      </c>
      <c r="AD199" s="149" t="inlineStr">
        <is>
          <t>1</t>
        </is>
      </c>
      <c r="AE199" s="145" t="n"/>
      <c r="AF199" s="145" t="inlineStr">
        <is>
          <t>Not disclosed</t>
        </is>
      </c>
      <c r="AG199" s="149" t="inlineStr">
        <is>
          <t>Gen 3 tendon-driven hands ≈ 22 DOF per hand with tactile sensing</t>
        </is>
      </c>
      <c r="AH199" s="145" t="inlineStr">
        <is>
          <t>Not disclosed</t>
        </is>
      </c>
      <c r="AI199" s="158" t="n">
        <v>2</v>
      </c>
      <c r="AJ199" s="149" t="inlineStr">
        <is>
          <t>Multi-camera vision-primary stack (Tesla vision approach; no LiDAR in public descriptions)</t>
        </is>
      </c>
      <c r="AK199" s="149" t="n"/>
      <c r="AL199" s="145" t="inlineStr">
        <is>
          <t>Onboard multi-camera streams for autonomy and teleoperation</t>
        </is>
      </c>
      <c r="AM199" s="145" t="n"/>
      <c r="AN199" s="145" t="inlineStr">
        <is>
          <t>Not disclosed</t>
        </is>
      </c>
      <c r="AO199" s="145" t="inlineStr">
        <is>
          <t>Not disclosed</t>
        </is>
      </c>
      <c r="AP199" s="145" t="inlineStr">
        <is>
          <t>Full-body cameras · foot force/torque · proximity sensing</t>
        </is>
      </c>
      <c r="AQ199" s="145" t="inlineStr">
        <is>
          <t>Not disclosed</t>
        </is>
      </c>
      <c r="AR199" s="145" t="n"/>
      <c r="AS199" s="145" t="inlineStr">
        <is>
          <t>Tesla FSD-derived / AI5-class robot computer</t>
        </is>
      </c>
      <c r="AT199" s="149" t="inlineStr">
        <is>
          <t>Not disclosed</t>
        </is>
      </c>
      <c r="AU199" s="149" t="inlineStr">
        <is>
          <t>Not disclosed</t>
        </is>
      </c>
      <c r="AV199" s="145" t="inlineStr">
        <is>
          <t>Tesla internal autonomy stack; external sales timeline later</t>
        </is>
      </c>
      <c r="AW199" s="149" t="inlineStr">
        <is>
          <t>Bipedal mobility aimed at factory and general-purpose tasks</t>
        </is>
      </c>
      <c r="AX199" s="158" t="n">
        <v>2</v>
      </c>
      <c r="AY199" s="149" t="inlineStr">
        <is>
          <t>Not disclosed</t>
        </is>
      </c>
      <c r="AZ199" s="149" t="inlineStr">
        <is>
          <t>Not disclosed</t>
        </is>
      </c>
      <c r="BA199" s="149" t="n"/>
      <c r="BB199" s="149" t="inlineStr">
        <is>
          <t>Not disclosed</t>
        </is>
      </c>
      <c r="BC199" s="149" t="inlineStr">
        <is>
          <t>Not disclosed</t>
        </is>
      </c>
      <c r="BD199" s="145" t="inlineStr">
        <is>
          <t>Not disclosed</t>
        </is>
      </c>
      <c r="BE199" s="145" t="inlineStr">
        <is>
          <t>Not disclosed</t>
        </is>
      </c>
      <c r="BF199" s="145" t="n"/>
      <c r="BG199" s="145" t="n"/>
      <c r="BH199" s="145" t="n"/>
      <c r="BI199" s="145" t="n"/>
      <c r="BJ199" s="145" t="n"/>
      <c r="BK199" s="145" t="n"/>
      <c r="BL199" s="145" t="n"/>
      <c r="BM199" s="145" t="inlineStr">
        <is>
          <t>Not disclosed</t>
        </is>
      </c>
      <c r="BN199" s="145" t="inlineStr">
        <is>
          <t>Not disclosed</t>
        </is>
      </c>
      <c r="BO199" s="149" t="inlineStr">
        <is>
          <t>Manipulation 2/4 · Navigation 2/4 · Peak 8 km/h · Walk 2.5 km/h · Runtime 1</t>
        </is>
      </c>
      <c r="BP199" s="145" t="n"/>
      <c r="BQ199" s="149" t="inlineStr">
        <is>
          <t>Organisations monitoring Tesla’s humanoid roadmap and preparing for future availability.</t>
        </is>
      </c>
      <c r="BR199" s="149" t="inlineStr">
        <is>
          <t>Internal ramp · external sales later</t>
        </is>
      </c>
      <c r="BS199" s="149" t="inlineStr">
        <is>
          <t>Prototype</t>
        </is>
      </c>
      <c r="BT199" s="145" t="n"/>
      <c r="BU199" s="145" t="inlineStr">
        <is>
          <t>Not verified</t>
        </is>
      </c>
      <c r="BV199" s="149" t="inlineStr">
        <is>
          <t>Humanoid.guide listed price $30,000.</t>
        </is>
      </c>
      <c r="BW199" s="149" t="inlineStr">
        <is>
          <t>Origin &amp; status — USA · Internal ramp · external sales later · 2026 | Manipulation — Gen 3 tendon-driven hands ≈ 22 DOF per hand with tactile sensing · Payload ≈ 44 lb carry · ≈ 20 lb class per arm continuous · deadlift class ≈ 150 lb | Sensing &amp; software — Multi-camera vision-primary stack (Tesla vision approach; no LiDAR in public descriptions) · Tesla FSD-derived / AI5-class robot computer · Tesla internal a… | Buying notes — From $25,000 · 12 months manufacturer standard (typical research/commercial humanoid)</t>
        </is>
      </c>
      <c r="BX199" s="149" t="inlineStr">
        <is>
          <t>target|Volume Target (illustrative)|25000|Long-term scale target || early|Early External (illustrative)|50000|Possible early external band</t>
        </is>
      </c>
      <c r="BY199" s="145" t="inlineStr">
        <is>
          <t>white|Tesla White|#f8fafc|0 || black|Tesla Black|#111111|0</t>
        </is>
      </c>
      <c r="BZ199" s="145" t="inlineStr"/>
      <c r="CA199" s="149" t="inlineStr">
        <is>
          <t>2 configuration tiers; 2 color options; Multi-year extended warranty available</t>
        </is>
      </c>
      <c r="CB199" s="149" t="inlineStr">
        <is>
          <t>12 months manufacturer standard (typical research/commercial humanoid)</t>
        </is>
      </c>
      <c r="CC199" s="147" t="n">
        <v>12</v>
      </c>
      <c r="CD199" s="149" t="inlineStr">
        <is>
          <t>+3 Year Extended ≈24% of configuration (default in configurator)</t>
        </is>
      </c>
      <c r="CE199" s="145" t="inlineStr">
        <is>
          <t>Humanoid category norm 2025–2026</t>
        </is>
      </c>
      <c r="CF199" s="145" t="inlineStr">
        <is>
          <t>Estimated</t>
        </is>
      </c>
      <c r="CG199" s="149" t="inlineStr">
        <is>
          <t>EDU or enterprise packages may differ; confirm on formal quote.</t>
        </is>
      </c>
      <c r="CH199" s="145" t="inlineStr">
        <is>
          <t>10%</t>
        </is>
      </c>
      <c r="CI199" s="145" t="inlineStr">
        <is>
          <t>17%</t>
        </is>
      </c>
      <c r="CJ199" s="145" t="inlineStr">
        <is>
          <t>24%</t>
        </is>
      </c>
      <c r="CK19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19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99" s="145" t="inlineStr">
        <is>
          <t>12 months manufacturer standard (typical research/commercial humanoid)</t>
        </is>
      </c>
      <c r="CN199" s="203" t="inlineStr">
        <is>
          <t>https://aixzd.com/robot/optimus</t>
        </is>
      </c>
      <c r="CO199" s="203" t="inlineStr">
        <is>
          <t>https://theresanaiforthat.com/robots/</t>
        </is>
      </c>
      <c r="CP199" s="203" t="inlineStr">
        <is>
          <t>Cross-checked against TAAFT Robots directory (669 entries) 28 Aug 2026 — individual TAAFT permalinks are JS/Cloudflare gated.</t>
        </is>
      </c>
      <c r="CQ199" s="101" t="inlineStr">
        <is>
          <t>Height: ≈ 5 ft 8 in | Weight: 123.5 | Degrees of Freedom: ≈ 28 body DOF · Gen 3 hands ≈ 22 DOF per hand (≈ 50 actuators total for both hands) | Payload: 44.1 | Max Speed: 4.97 | Battery / Runtime: ≈ 2.3 kWh · designed for multi-hour / full-shift light duty</t>
        </is>
      </c>
    </row>
    <row r="200" ht="31.5" customHeight="1" s="102">
      <c r="A200" s="152" t="inlineStr">
        <is>
          <t>tesla_optimus_gen_3</t>
        </is>
      </c>
      <c r="B200" s="153" t="inlineStr">
        <is>
          <t>Humanoid.guide</t>
        </is>
      </c>
      <c r="C200" s="152" t="inlineStr">
        <is>
          <t>Tesla</t>
        </is>
      </c>
      <c r="D200" s="152" t="inlineStr">
        <is>
          <t>OPTIMUS GEN 3</t>
        </is>
      </c>
      <c r="E200" s="152" t="inlineStr">
        <is>
          <t>[Tesla] Optimus Gen 3 (2026)</t>
        </is>
      </c>
      <c r="F200" s="146" t="inlineStr">
        <is>
          <t>humanoid</t>
        </is>
      </c>
      <c r="G200" s="152" t="inlineStr">
        <is>
          <t>USA</t>
        </is>
      </c>
      <c r="H200" s="154" t="n">
        <v>2026</v>
      </c>
      <c r="I200" s="155" t="n">
        <v>30000</v>
      </c>
      <c r="J200" s="152" t="inlineStr">
        <is>
          <t>Humanoid.guide list</t>
        </is>
      </c>
      <c r="K200" s="156" t="inlineStr">
        <is>
          <t>Tesla Optimus v2.5 is the mid-prototype upgrade is to test the Electronics, Motors and AI systems for the new production version 3 coming in Q1 2026 and also to completely automate the factory production line for V3 robot to full scale 1M robots mass production a year to bring th.</t>
        </is>
      </c>
      <c r="L200" s="101" t="inlineStr">
        <is>
          <t>Tesla Optimus v2.5 is the mid-prototype upgrade is to test the Electronics, Motors and AI systems for the new production version 3 coming in Q1 2026 and also to completely automate the factory production line for V3 robot to full scale 1M robots mass production a year to bring th.</t>
        </is>
      </c>
      <c r="M200" s="101" t="inlineStr">
        <is>
          <t>Optimus Gen 3 is Tesla’s production-intent humanoid following the Gen 2 and Gen 2.5 prototypes. The company frames it as the first Optimus meant to be built with automotive-scale methods.</t>
        </is>
      </c>
      <c r="N200" s="157" t="inlineStr">
        <is>
          <t>https://humanoid.guide/product/optimus-gen-3/</t>
        </is>
      </c>
      <c r="O200" s="157" t="inlineStr">
        <is>
          <t>https://www.tesla.com/AI</t>
        </is>
      </c>
      <c r="P200" s="152" t="inlineStr">
        <is>
          <t>5 ft 11 in</t>
        </is>
      </c>
      <c r="Q200" s="152" t="n">
        <v>180</v>
      </c>
      <c r="R200" s="152" t="n">
        <v>99.2</v>
      </c>
      <c r="S200" s="152" t="n">
        <v>45</v>
      </c>
      <c r="T200" s="156" t="inlineStr">
        <is>
          <t>Not disclosed</t>
        </is>
      </c>
      <c r="U200" s="152" t="n"/>
      <c r="V200" s="152" t="inlineStr">
        <is>
          <t>75</t>
        </is>
      </c>
      <c r="W200" s="156" t="inlineStr">
        <is>
          <t>25</t>
        </is>
      </c>
      <c r="X200" s="152" t="n">
        <v>88.2</v>
      </c>
      <c r="Y200" s="152" t="n">
        <v>40</v>
      </c>
      <c r="Z200" s="152" t="n">
        <v>12.43</v>
      </c>
      <c r="AA200" s="152" t="n">
        <v>20</v>
      </c>
      <c r="AB200" s="152" t="n">
        <v>12</v>
      </c>
      <c r="AC200" s="156" t="inlineStr">
        <is>
          <t>≈ 5 hours</t>
        </is>
      </c>
      <c r="AD200" s="156" t="inlineStr">
        <is>
          <t>5</t>
        </is>
      </c>
      <c r="AE200" s="152" t="n"/>
      <c r="AF200" s="152" t="inlineStr">
        <is>
          <t>Not disclosed</t>
        </is>
      </c>
      <c r="AG200" s="156" t="inlineStr">
        <is>
          <t>5 per hand</t>
        </is>
      </c>
      <c r="AH200" s="152" t="inlineStr">
        <is>
          <t>5 per hand</t>
        </is>
      </c>
      <c r="AI200" s="152" t="n"/>
      <c r="AJ200" s="156" t="inlineStr">
        <is>
          <t>8 MP</t>
        </is>
      </c>
      <c r="AK200" s="156" t="inlineStr">
        <is>
          <t>8 MP</t>
        </is>
      </c>
      <c r="AL200" s="152" t="inlineStr">
        <is>
          <t>Not disclosed</t>
        </is>
      </c>
      <c r="AM200" s="152" t="n"/>
      <c r="AN200" s="152" t="inlineStr">
        <is>
          <t>Not disclosed</t>
        </is>
      </c>
      <c r="AO200" s="152" t="inlineStr">
        <is>
          <t>Not disclosed</t>
        </is>
      </c>
      <c r="AP200" s="152" t="inlineStr">
        <is>
          <t>Not disclosed</t>
        </is>
      </c>
      <c r="AQ200" s="152" t="inlineStr">
        <is>
          <t>Not disclosed</t>
        </is>
      </c>
      <c r="AR200" s="152" t="n"/>
      <c r="AS200" s="152" t="n"/>
      <c r="AT200" s="156" t="inlineStr">
        <is>
          <t>AI4 &amp; AI5 CHIP</t>
        </is>
      </c>
      <c r="AU200" s="156" t="inlineStr">
        <is>
          <t>5G; Bluetooth; WiFi</t>
        </is>
      </c>
      <c r="AV200" s="152" t="inlineStr">
        <is>
          <t>Not disclosed</t>
        </is>
      </c>
      <c r="AW200" s="156" t="inlineStr">
        <is>
          <t>Not disclosed</t>
        </is>
      </c>
      <c r="AX200" s="152" t="n"/>
      <c r="AY200" s="156" t="inlineStr">
        <is>
          <t>TESLA FSD ROBOT VERSION</t>
        </is>
      </c>
      <c r="AZ200" s="156" t="inlineStr">
        <is>
          <t>XAI GROK</t>
        </is>
      </c>
      <c r="BA200" s="156" t="inlineStr">
        <is>
          <t>NEURAL NETS</t>
        </is>
      </c>
      <c r="BB200" s="156" t="inlineStr">
        <is>
          <t>High torque-density motors</t>
        </is>
      </c>
      <c r="BC200" s="156" t="inlineStr">
        <is>
          <t>Not disclosed</t>
        </is>
      </c>
      <c r="BD200" s="152" t="inlineStr">
        <is>
          <t>Soft 3D-lattice polymer body</t>
        </is>
      </c>
      <c r="BE200" s="152" t="inlineStr">
        <is>
          <t>IP68</t>
        </is>
      </c>
      <c r="BF200" s="152" t="inlineStr">
        <is>
          <t>IP68 FOREARM TO HANDS &amp; FOOT</t>
        </is>
      </c>
      <c r="BG200" s="152" t="n"/>
      <c r="BH200" s="152" t="n"/>
      <c r="BI200" s="152" t="n"/>
      <c r="BJ200" s="152" t="n"/>
      <c r="BK200" s="152" t="n"/>
      <c r="BL200" s="152" t="n"/>
      <c r="BM200" s="152" t="inlineStr">
        <is>
          <t>Yes</t>
        </is>
      </c>
      <c r="BN200" s="152" t="inlineStr">
        <is>
          <t>Not disclosed</t>
        </is>
      </c>
      <c r="BO200" s="156" t="inlineStr">
        <is>
          <t>Market: Consumer home use; domestic assistance; Industrial automation; logistics; Manufacturing · Human-safe: Yes · AI: XAI GROK · Actuation: High torque-density motors · Peak 20 km/h · Walk 12 km/h · Runtime 5</t>
        </is>
      </c>
      <c r="BP200" s="152" t="n"/>
      <c r="BQ200" s="156" t="inlineStr">
        <is>
          <t>Consumer home use; domestic assistance; Industrial automation; logistics; Manufacturing</t>
        </is>
      </c>
      <c r="BR200" s="156" t="inlineStr">
        <is>
          <t>In production</t>
        </is>
      </c>
      <c r="BS200" s="156" t="inlineStr">
        <is>
          <t>In production</t>
        </is>
      </c>
      <c r="BT200" s="152" t="n"/>
      <c r="BU200" s="152" t="inlineStr">
        <is>
          <t>Verified</t>
        </is>
      </c>
      <c r="BV200" s="156" t="n"/>
      <c r="BW200" s="156" t="inlineStr">
        <is>
          <t>Origin &amp; status — USA · In production · 2026 | Manipulation — 5 per hand · 5 per hand fingers · Hand DOF 25 · Payload 88.2 lb | Sensing &amp; software — 8 MP · XAI GROK · TESLA FSD ROBOT VERSION | Buying notes — From $30,000 · 12 months manufacturer standard (typical research/commercial humanoid) · Best fit: Consumer home use</t>
        </is>
      </c>
      <c r="BX200" s="156" t="inlineStr">
        <is>
          <t>as_shipped|Optimus Gen 3|30000|As shipped</t>
        </is>
      </c>
      <c r="BY200" s="152" t="inlineStr">
        <is>
          <t>optimus_gen_3|Manufacturer finish|#e2e8f0|0</t>
        </is>
      </c>
      <c r="BZ200" s="152" t="inlineStr"/>
      <c r="CA200" s="156" t="n"/>
      <c r="CB200" s="156" t="inlineStr">
        <is>
          <t>12 months manufacturer standard (typical research/commercial humanoid)</t>
        </is>
      </c>
      <c r="CC200" s="154" t="n">
        <v>12</v>
      </c>
      <c r="CD200" s="156" t="inlineStr">
        <is>
          <t>+3 Year Extended ≈24% of configuration (default in configurator)</t>
        </is>
      </c>
      <c r="CE200" s="152" t="inlineStr">
        <is>
          <t>Humanoid category norm 2025–2026</t>
        </is>
      </c>
      <c r="CF200" s="152" t="inlineStr">
        <is>
          <t>Estimated</t>
        </is>
      </c>
      <c r="CG200" s="156" t="inlineStr">
        <is>
          <t>Confirm on formal OEM quote. EDU or enterprise packages may differ.</t>
        </is>
      </c>
      <c r="CH200" s="152" t="inlineStr">
        <is>
          <t>10%</t>
        </is>
      </c>
      <c r="CI200" s="152" t="inlineStr">
        <is>
          <t>17%</t>
        </is>
      </c>
      <c r="CJ200" s="152" t="inlineStr">
        <is>
          <t>24%</t>
        </is>
      </c>
      <c r="CK200" s="156" t="inlineStr">
        <is>
          <t>+1yr ≈10% | +2yr ≈17% | +3yr ≈24% of selected configuration price (parts &amp; labor beyond manufacturer standard).</t>
        </is>
      </c>
      <c r="CL200"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00" s="152" t="inlineStr">
        <is>
          <t>12 months manufacturer standard (typical research/commercial humanoid)</t>
        </is>
      </c>
      <c r="CN200" s="203" t="inlineStr">
        <is>
          <t>https://aixzd.com/robot/optimus-gen-3</t>
        </is>
      </c>
      <c r="CO200" s="203" t="inlineStr">
        <is>
          <t>https://theresanaiforthat.com/robots/</t>
        </is>
      </c>
      <c r="CP200" s="203" t="inlineStr">
        <is>
          <t>Cross-checked against TAAFT Robots directory (669 entries) 28 Aug 2026 — individual TAAFT permalinks are JS/Cloudflare gated.</t>
        </is>
      </c>
      <c r="CQ200" s="101" t="inlineStr">
        <is>
          <t>Height: 5 ft 11 in | Weight: 99.2 | Degrees of Freedom: 75 | Payload: 88.2 | Max Speed: 12.43 | Battery / Runtime: ≈ 5 hours</t>
        </is>
      </c>
    </row>
    <row r="201" ht="31.5" customHeight="1" s="102">
      <c r="A201" s="145" t="inlineStr">
        <is>
          <t>tesla_optimus_gen2</t>
        </is>
      </c>
      <c r="B201" s="153" t="inlineStr">
        <is>
          <t>Humanoid.guide</t>
        </is>
      </c>
      <c r="C201" s="145" t="inlineStr">
        <is>
          <t>Tesla</t>
        </is>
      </c>
      <c r="D201" s="145" t="inlineStr">
        <is>
          <t>Optimus Gen2</t>
        </is>
      </c>
      <c r="E201" s="145" t="inlineStr">
        <is>
          <t>[Tesla] Optimus Gen 2 (2023)</t>
        </is>
      </c>
      <c r="F201" s="146" t="inlineStr">
        <is>
          <t>humanoid</t>
        </is>
      </c>
      <c r="G201" s="145" t="inlineStr">
        <is>
          <t>USA</t>
        </is>
      </c>
      <c r="H201" s="145" t="n"/>
      <c r="I201" s="148" t="n">
        <v>30000</v>
      </c>
      <c r="J201" s="145" t="inlineStr">
        <is>
          <t>Humanoid.guide list</t>
        </is>
      </c>
      <c r="K201" s="149" t="inlineStr">
        <is>
          <t>Tesla’s Optimus Gen 2 robot is a groundbreaking advancement in humanoid robotics, designed to handle unsafe, repetitive, or mundane tasks.</t>
        </is>
      </c>
      <c r="L201" s="101" t="inlineStr">
        <is>
          <t>Tesla’s Optimus Gen 2 robot is a groundbreaking advancement in humanoid robotics, designed to handle unsafe, repetitive, or mundane tasks.</t>
        </is>
      </c>
      <c r="M201" s="101" t="inlineStr">
        <is>
          <t>Optimus Gen 2 was Tesla’s first widely shown walking humanoid after the 2022 prototype. It introduced the slimmer body, new hands, and on-robot neural-net control that later generations refined.</t>
        </is>
      </c>
      <c r="N201" s="150" t="inlineStr">
        <is>
          <t>https://humanoid.guide/product/optimus-gen2/</t>
        </is>
      </c>
      <c r="O201" s="150" t="inlineStr">
        <is>
          <t>https://www.tesla.com/AI</t>
        </is>
      </c>
      <c r="P201" s="145" t="inlineStr">
        <is>
          <t>5 ft 8 in</t>
        </is>
      </c>
      <c r="Q201" s="145" t="n">
        <v>173</v>
      </c>
      <c r="R201" s="145" t="n">
        <v>123.5</v>
      </c>
      <c r="S201" s="145" t="n">
        <v>56</v>
      </c>
      <c r="T201" s="149" t="inlineStr">
        <is>
          <t>Not disclosed</t>
        </is>
      </c>
      <c r="U201" s="145" t="n"/>
      <c r="V201" s="145" t="inlineStr">
        <is>
          <t>22</t>
        </is>
      </c>
      <c r="W201" s="149" t="inlineStr">
        <is>
          <t>Not disclosed</t>
        </is>
      </c>
      <c r="X201" s="145" t="n">
        <v>44.1</v>
      </c>
      <c r="Y201" s="145" t="n">
        <v>20</v>
      </c>
      <c r="Z201" s="145" t="n">
        <v>4.97</v>
      </c>
      <c r="AA201" s="145" t="n">
        <v>8</v>
      </c>
      <c r="AB201" s="145" t="n">
        <v>2</v>
      </c>
      <c r="AC201" s="149" t="inlineStr">
        <is>
          <t>≈ 1 hours</t>
        </is>
      </c>
      <c r="AD201" s="149" t="inlineStr">
        <is>
          <t>1</t>
        </is>
      </c>
      <c r="AE201" s="145" t="n"/>
      <c r="AF201" s="145" t="inlineStr">
        <is>
          <t>Not disclosed</t>
        </is>
      </c>
      <c r="AG201" s="149" t="inlineStr">
        <is>
          <t>Not disclosed</t>
        </is>
      </c>
      <c r="AH201" s="145" t="inlineStr">
        <is>
          <t>Not disclosed</t>
        </is>
      </c>
      <c r="AI201" s="151" t="n">
        <v>3</v>
      </c>
      <c r="AJ201" s="149" t="inlineStr">
        <is>
          <t>Not disclosed</t>
        </is>
      </c>
      <c r="AK201" s="149" t="n"/>
      <c r="AL201" s="145" t="inlineStr">
        <is>
          <t>Not disclosed</t>
        </is>
      </c>
      <c r="AM201" s="145" t="n"/>
      <c r="AN201" s="145" t="inlineStr">
        <is>
          <t>Not disclosed</t>
        </is>
      </c>
      <c r="AO201" s="145" t="inlineStr">
        <is>
          <t>Not disclosed</t>
        </is>
      </c>
      <c r="AP201" s="145" t="inlineStr">
        <is>
          <t>Not disclosed</t>
        </is>
      </c>
      <c r="AQ201" s="145" t="inlineStr">
        <is>
          <t>Not disclosed</t>
        </is>
      </c>
      <c r="AR201" s="145" t="n"/>
      <c r="AS201" s="145" t="n"/>
      <c r="AT201" s="149" t="inlineStr">
        <is>
          <t>Not disclosed</t>
        </is>
      </c>
      <c r="AU201" s="149" t="inlineStr">
        <is>
          <t>Not disclosed</t>
        </is>
      </c>
      <c r="AV201" s="145" t="inlineStr">
        <is>
          <t>Not disclosed</t>
        </is>
      </c>
      <c r="AW201" s="149" t="inlineStr">
        <is>
          <t>Not disclosed</t>
        </is>
      </c>
      <c r="AX201" s="151" t="n">
        <v>3</v>
      </c>
      <c r="AY201" s="149" t="inlineStr">
        <is>
          <t>Not disclosed</t>
        </is>
      </c>
      <c r="AZ201" s="149" t="inlineStr">
        <is>
          <t>Not disclosed</t>
        </is>
      </c>
      <c r="BA201" s="149" t="n"/>
      <c r="BB201" s="149" t="inlineStr">
        <is>
          <t>Not disclosed</t>
        </is>
      </c>
      <c r="BC201" s="149" t="inlineStr">
        <is>
          <t>Not disclosed</t>
        </is>
      </c>
      <c r="BD201" s="145" t="inlineStr">
        <is>
          <t>Not disclosed</t>
        </is>
      </c>
      <c r="BE201" s="145" t="inlineStr">
        <is>
          <t>Not disclosed</t>
        </is>
      </c>
      <c r="BF201" s="145" t="n"/>
      <c r="BG201" s="145" t="n"/>
      <c r="BH201" s="145" t="n"/>
      <c r="BI201" s="145" t="n"/>
      <c r="BJ201" s="145" t="n"/>
      <c r="BK201" s="145" t="n"/>
      <c r="BL201" s="145" t="n"/>
      <c r="BM201" s="145" t="inlineStr">
        <is>
          <t>Not disclosed</t>
        </is>
      </c>
      <c r="BN201" s="145" t="inlineStr">
        <is>
          <t>Not disclosed</t>
        </is>
      </c>
      <c r="BO201" s="149" t="inlineStr">
        <is>
          <t>Manipulation 3/4 · Navigation 3/4 · Peak 8 km/h · Walk 2 km/h · Runtime 1</t>
        </is>
      </c>
      <c r="BP201" s="145" t="n"/>
      <c r="BQ201" s="149" t="inlineStr">
        <is>
          <t>Research labs, commercial pilots, and education programs evaluating a humanoid from Tesla (USA) now listed as prototype.</t>
        </is>
      </c>
      <c r="BR201" s="149" t="inlineStr">
        <is>
          <t>Prototype</t>
        </is>
      </c>
      <c r="BS201" s="149" t="inlineStr">
        <is>
          <t>Prototype</t>
        </is>
      </c>
      <c r="BT201" s="145" t="n"/>
      <c r="BU201" s="145" t="inlineStr">
        <is>
          <t>Not verified</t>
        </is>
      </c>
      <c r="BV201" s="149" t="n"/>
      <c r="BW201" s="149" t="inlineStr">
        <is>
          <t>Origin &amp; status — USA · Prototype · 2026 | Manipulation — Payload 44.1 lb | Sensing &amp; software — Sensor and compute package confirmed on formal quote | Buying notes — From $30,000 · 12 months manufacturer standard (typical research/commercial humanoid)</t>
        </is>
      </c>
      <c r="BX201" s="149" t="inlineStr">
        <is>
          <t>as_shipped|Optimus Gen 2|30000|As shipped</t>
        </is>
      </c>
      <c r="BY201" s="145" t="inlineStr">
        <is>
          <t>optimus_gen_2|Manufacturer finish|#e2e8f0|0</t>
        </is>
      </c>
      <c r="BZ201" s="145" t="inlineStr"/>
      <c r="CA201" s="149" t="n"/>
      <c r="CB201" s="149" t="inlineStr">
        <is>
          <t>12 months manufacturer standard (typical research/commercial humanoid)</t>
        </is>
      </c>
      <c r="CC201" s="147" t="n">
        <v>12</v>
      </c>
      <c r="CD201" s="149" t="inlineStr">
        <is>
          <t>+3 Year Extended ≈24% of configuration (default in configurator)</t>
        </is>
      </c>
      <c r="CE201" s="145" t="inlineStr">
        <is>
          <t>Humanoid category norm 2025–2026</t>
        </is>
      </c>
      <c r="CF201" s="145" t="inlineStr">
        <is>
          <t>Estimated</t>
        </is>
      </c>
      <c r="CG201" s="149" t="inlineStr">
        <is>
          <t>Confirm on formal OEM quote. EDU or enterprise packages may differ.</t>
        </is>
      </c>
      <c r="CH201" s="145" t="inlineStr">
        <is>
          <t>10%</t>
        </is>
      </c>
      <c r="CI201" s="145" t="inlineStr">
        <is>
          <t>17%</t>
        </is>
      </c>
      <c r="CJ201" s="145" t="inlineStr">
        <is>
          <t>24%</t>
        </is>
      </c>
      <c r="CK201" s="149" t="inlineStr">
        <is>
          <t>+1yr ≈10% | +2yr ≈17% | +3yr ≈24% of selected configuration price (parts &amp; labor beyond manufacturer standard).</t>
        </is>
      </c>
      <c r="CL20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01" s="145" t="inlineStr">
        <is>
          <t>12 months manufacturer standard (typical research/commercial humanoid)</t>
        </is>
      </c>
      <c r="CN201" s="203" t="inlineStr">
        <is>
          <t>https://aixzd.com/robot/optimus</t>
        </is>
      </c>
      <c r="CO201" s="203" t="inlineStr">
        <is>
          <t>https://theresanaiforthat.com/robots/</t>
        </is>
      </c>
      <c r="CP201" s="203" t="inlineStr">
        <is>
          <t>Cross-checked against TAAFT Robots directory (669 entries) 28 Aug 2026 — individual TAAFT permalinks are JS/Cloudflare gated.</t>
        </is>
      </c>
      <c r="CQ201" s="101" t="inlineStr">
        <is>
          <t>Height: 5 ft 8 in | Weight: 123.5 | Degrees of Freedom: 22 | Payload: 44.1 | Max Speed: 4.97 | Battery / Runtime: ≈ 1 hours</t>
        </is>
      </c>
    </row>
    <row r="202" ht="31.5" customHeight="1" s="102">
      <c r="A202" s="159" t="inlineStr">
        <is>
          <t>tesla_optimus_v2_5</t>
        </is>
      </c>
      <c r="B202" s="153" t="inlineStr">
        <is>
          <t>Major-player brief 11 Sep 2026</t>
        </is>
      </c>
      <c r="C202" s="152" t="inlineStr">
        <is>
          <t>Tesla</t>
        </is>
      </c>
      <c r="D202" s="152" t="inlineStr">
        <is>
          <t>Optimus Gen 2.5</t>
        </is>
      </c>
      <c r="E202" s="152" t="inlineStr">
        <is>
          <t>[Tesla] Optimus Gen 2.5 (2025)</t>
        </is>
      </c>
      <c r="F202" s="146" t="inlineStr">
        <is>
          <t>humanoid</t>
        </is>
      </c>
      <c r="G202" s="152" t="inlineStr">
        <is>
          <t>USA</t>
        </is>
      </c>
      <c r="H202" s="154" t="n">
        <v>2025</v>
      </c>
      <c r="I202" s="155" t="n">
        <v>45000</v>
      </c>
      <c r="J202" s="152" t="inlineStr">
        <is>
          <t>Humanoid.guide list</t>
        </is>
      </c>
      <c r="K202" s="156" t="inlineStr">
        <is>
          <t>Tesla’s gold-coloured Optimus Gen 2.5 prototype represents the company’s ambition to bring automotive-scale production methods into general-purpose robotics.</t>
        </is>
      </c>
      <c r="L202" s="101" t="inlineStr">
        <is>
          <t>Tesla’s gold-coloured Optimus Gen 2.5 prototype represents the company’s ambition to bring automotive-scale production methods into general-purpose robotics.</t>
        </is>
      </c>
      <c r="M202" s="101" t="inlineStr">
        <is>
          <t>Optimus Gen 2.5 is Tesla’s gold-coloured production-path prototype. It exists to test the electronics, motors, and AI stack intended for volume manufacturing rather than to be a one-off show robot.</t>
        </is>
      </c>
      <c r="N202" s="157" t="inlineStr">
        <is>
          <t>https://humanoid.guide/product/tesla-optimus-v2-5/</t>
        </is>
      </c>
      <c r="O202" s="157" t="inlineStr">
        <is>
          <t>https://www.tesla.com/AI</t>
        </is>
      </c>
      <c r="P202" s="152" t="inlineStr">
        <is>
          <t>5 ft 9 in</t>
        </is>
      </c>
      <c r="Q202" s="152" t="n">
        <v>176.5</v>
      </c>
      <c r="R202" s="152" t="n">
        <v>121.3</v>
      </c>
      <c r="S202" s="152" t="n">
        <v>55</v>
      </c>
      <c r="T202" s="156" t="inlineStr">
        <is>
          <t>Not disclosed</t>
        </is>
      </c>
      <c r="U202" s="152" t="n"/>
      <c r="V202" s="152" t="inlineStr">
        <is>
          <t>65</t>
        </is>
      </c>
      <c r="W202" s="156" t="inlineStr">
        <is>
          <t>22</t>
        </is>
      </c>
      <c r="X202" s="152" t="n">
        <v>44.1</v>
      </c>
      <c r="Y202" s="152" t="n">
        <v>20</v>
      </c>
      <c r="Z202" s="152" t="n">
        <v>8.699999999999999</v>
      </c>
      <c r="AA202" s="152" t="n">
        <v>14</v>
      </c>
      <c r="AB202" s="152" t="n">
        <v>8</v>
      </c>
      <c r="AC202" s="156" t="inlineStr">
        <is>
          <t>≈ 4 hours</t>
        </is>
      </c>
      <c r="AD202" s="156" t="inlineStr">
        <is>
          <t>4</t>
        </is>
      </c>
      <c r="AE202" s="152" t="n"/>
      <c r="AF202" s="152" t="inlineStr">
        <is>
          <t>Not disclosed</t>
        </is>
      </c>
      <c r="AG202" s="156" t="inlineStr">
        <is>
          <t>5 per hand</t>
        </is>
      </c>
      <c r="AH202" s="152" t="inlineStr">
        <is>
          <t>5 per hand</t>
        </is>
      </c>
      <c r="AI202" s="152" t="n"/>
      <c r="AJ202" s="156" t="inlineStr">
        <is>
          <t>8 MP</t>
        </is>
      </c>
      <c r="AK202" s="156" t="inlineStr">
        <is>
          <t>8 MP</t>
        </is>
      </c>
      <c r="AL202" s="152" t="inlineStr">
        <is>
          <t>Not disclosed</t>
        </is>
      </c>
      <c r="AM202" s="152" t="n"/>
      <c r="AN202" s="152" t="inlineStr">
        <is>
          <t>Not disclosed</t>
        </is>
      </c>
      <c r="AO202" s="152" t="inlineStr">
        <is>
          <t>Not disclosed</t>
        </is>
      </c>
      <c r="AP202" s="152" t="inlineStr">
        <is>
          <t>Not disclosed</t>
        </is>
      </c>
      <c r="AQ202" s="152" t="inlineStr">
        <is>
          <t>Not disclosed</t>
        </is>
      </c>
      <c r="AR202" s="152" t="n"/>
      <c r="AS202" s="152" t="n"/>
      <c r="AT202" s="156" t="inlineStr">
        <is>
          <t>AI4 &amp; AI5 CHIP</t>
        </is>
      </c>
      <c r="AU202" s="156" t="inlineStr">
        <is>
          <t>WiFi</t>
        </is>
      </c>
      <c r="AV202" s="152" t="inlineStr">
        <is>
          <t>Not disclosed</t>
        </is>
      </c>
      <c r="AW202" s="156" t="inlineStr">
        <is>
          <t>Not disclosed</t>
        </is>
      </c>
      <c r="AX202" s="152" t="n"/>
      <c r="AY202" s="156" t="inlineStr">
        <is>
          <t>TESLA FSD ROBOT VERSION</t>
        </is>
      </c>
      <c r="AZ202" s="156" t="inlineStr">
        <is>
          <t>XAI GROK</t>
        </is>
      </c>
      <c r="BA202" s="156" t="n"/>
      <c r="BB202" s="156" t="inlineStr">
        <is>
          <t>Not disclosed</t>
        </is>
      </c>
      <c r="BC202" s="156" t="inlineStr">
        <is>
          <t>Not disclosed</t>
        </is>
      </c>
      <c r="BD202" s="152" t="inlineStr">
        <is>
          <t>Not disclosed</t>
        </is>
      </c>
      <c r="BE202" s="152" t="inlineStr">
        <is>
          <t>Not disclosed</t>
        </is>
      </c>
      <c r="BF202" s="152" t="n"/>
      <c r="BG202" s="152" t="n"/>
      <c r="BH202" s="152" t="n"/>
      <c r="BI202" s="152" t="n"/>
      <c r="BJ202" s="152" t="n"/>
      <c r="BK202" s="152" t="n"/>
      <c r="BL202" s="152" t="n"/>
      <c r="BM202" s="152" t="inlineStr">
        <is>
          <t>Yes</t>
        </is>
      </c>
      <c r="BN202" s="152" t="inlineStr">
        <is>
          <t>Not disclosed</t>
        </is>
      </c>
      <c r="BO202" s="156" t="inlineStr">
        <is>
          <t>Market: Consumer home use; domestic assistance; Industrial automation; logistics; Manufacturing · Human-safe: Yes · AI: XAI GROK · Peak 14 km/h · Walk 8 km/h · Runtime 4</t>
        </is>
      </c>
      <c r="BP202" s="152" t="n"/>
      <c r="BQ202" s="156" t="inlineStr">
        <is>
          <t>General-purpose humanoid; production-path prototype</t>
        </is>
      </c>
      <c r="BR202" s="156" t="inlineStr">
        <is>
          <t>Prototype</t>
        </is>
      </c>
      <c r="BS202" s="156" t="inlineStr">
        <is>
          <t>Prototype</t>
        </is>
      </c>
      <c r="BT202" s="152" t="n"/>
      <c r="BU202" s="152" t="inlineStr">
        <is>
          <t>Verified</t>
        </is>
      </c>
      <c r="BV202" s="156" t="n"/>
      <c r="BW202" s="156" t="inlineStr">
        <is>
          <t>Origin &amp; status — USA · Prototype · 2026 | Manipulation — 5 per hand · 5 per hand fingers · Hand DOF 22 · Payload 44.1 lb | Sensing &amp; software — 8 MP · XAI GROK · TESLA FSD ROBOT VERSION | Buying notes — From $45,000 · 12 months manufacturer standard (typical research/commercial humanoid) · Best fit: Consumer home use</t>
        </is>
      </c>
      <c r="BX202" s="156" t="inlineStr">
        <is>
          <t>as_shipped|Optimus V2.5|45000|As shipped</t>
        </is>
      </c>
      <c r="BY202" s="152" t="inlineStr">
        <is>
          <t>optimus_v2_5|Manufacturer finish|#e2e8f0|0</t>
        </is>
      </c>
      <c r="BZ202" s="152" t="inlineStr"/>
      <c r="CA202" s="156" t="n"/>
      <c r="CB202" s="156" t="inlineStr">
        <is>
          <t>12 months manufacturer standard (typical research/commercial humanoid)</t>
        </is>
      </c>
      <c r="CC202" s="154" t="n">
        <v>12</v>
      </c>
      <c r="CD202" s="156" t="inlineStr">
        <is>
          <t>+3 Year Extended ≈24% of configuration (default in configurator)</t>
        </is>
      </c>
      <c r="CE202" s="152" t="inlineStr">
        <is>
          <t>Humanoid category norm 2025–2026</t>
        </is>
      </c>
      <c r="CF202" s="152" t="inlineStr">
        <is>
          <t>Estimated</t>
        </is>
      </c>
      <c r="CG202" s="156" t="inlineStr">
        <is>
          <t>Confirm on formal OEM quote. EDU or enterprise packages may differ.</t>
        </is>
      </c>
      <c r="CH202" s="152" t="inlineStr">
        <is>
          <t>10%</t>
        </is>
      </c>
      <c r="CI202" s="152" t="inlineStr">
        <is>
          <t>17%</t>
        </is>
      </c>
      <c r="CJ202" s="152" t="inlineStr">
        <is>
          <t>24%</t>
        </is>
      </c>
      <c r="CK202" s="156" t="inlineStr">
        <is>
          <t>+1yr ≈10% | +2yr ≈17% | +3yr ≈24% of selected configuration price (parts &amp; labor beyond manufacturer standard).</t>
        </is>
      </c>
      <c r="CL202"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02" s="152" t="inlineStr">
        <is>
          <t>12 months manufacturer standard (typical research/commercial humanoid)</t>
        </is>
      </c>
      <c r="CN202" s="203" t="inlineStr">
        <is>
          <t>https://aixzd.com/robot/optimus</t>
        </is>
      </c>
      <c r="CO202" s="203" t="inlineStr">
        <is>
          <t>https://theresanaiforthat.com/robots/</t>
        </is>
      </c>
      <c r="CP202" s="203" t="inlineStr">
        <is>
          <t>Cross-checked against TAAFT Robots directory (669 entries) 28 Aug 2026 — individual TAAFT permalinks are JS/Cloudflare gated.</t>
        </is>
      </c>
      <c r="CQ202" s="101" t="inlineStr">
        <is>
          <t>Height: 5 ft 9 in | Weight: 121.3 | Degrees of Freedom: 65 | Payload: 44.1 | Max Speed: 8.7 | Battery / Runtime: ≈ 4 hours</t>
        </is>
      </c>
    </row>
    <row r="203" ht="31.5" customHeight="1" s="102">
      <c r="A203" s="145" t="inlineStr">
        <is>
          <t>tokyo_robotics_toraone</t>
        </is>
      </c>
      <c r="B203" s="153" t="inlineStr">
        <is>
          <t>Humanoid.guide</t>
        </is>
      </c>
      <c r="C203" s="145" t="inlineStr">
        <is>
          <t>Tokyo Robotics</t>
        </is>
      </c>
      <c r="D203" s="145" t="inlineStr">
        <is>
          <t>ToraOne</t>
        </is>
      </c>
      <c r="E203" s="145" t="inlineStr">
        <is>
          <t>[Tokyo Robotics] ToraOne (2026)</t>
        </is>
      </c>
      <c r="F203" s="146" t="inlineStr">
        <is>
          <t>humanoid</t>
        </is>
      </c>
      <c r="G203" s="145" t="inlineStr">
        <is>
          <t>China</t>
        </is>
      </c>
      <c r="H203" s="145" t="n"/>
      <c r="I203" s="148" t="n">
        <v>100000</v>
      </c>
      <c r="J203" s="145" t="inlineStr">
        <is>
          <t>Humanoid.guide list</t>
        </is>
      </c>
      <c r="K203" s="149" t="inlineStr">
        <is>
          <t>ToraOne is a groundbreaking humanoid robot from Paxini, offering advanced features, adaptability, and energy efficiency.</t>
        </is>
      </c>
      <c r="L203" s="101" t="inlineStr">
        <is>
          <t>ToraOne is a groundbreaking humanoid robot from Paxini, offering advanced features, adaptability, and energy efficiency.</t>
        </is>
      </c>
      <c r="M203" s="101" t="inlineStr">
        <is>
          <t>ToraOne is a groundbreaking humanoid robot from Paxini, offering advanced features, adaptability, and energy efficiency. Public status is listed as prototype.</t>
        </is>
      </c>
      <c r="N203" s="150" t="inlineStr">
        <is>
          <t>https://humanoid.guide/product/toraone/</t>
        </is>
      </c>
      <c r="O203" s="150" t="inlineStr">
        <is>
          <t>https://robotics.tokyo</t>
        </is>
      </c>
      <c r="P203" s="145" t="inlineStr">
        <is>
          <t>6 ft 1 in</t>
        </is>
      </c>
      <c r="Q203" s="145" t="n">
        <v>186</v>
      </c>
      <c r="R203" s="145" t="n"/>
      <c r="S203" s="145" t="n"/>
      <c r="T203" s="149" t="inlineStr">
        <is>
          <t>Not disclosed</t>
        </is>
      </c>
      <c r="U203" s="145" t="n"/>
      <c r="V203" s="145" t="inlineStr">
        <is>
          <t>47</t>
        </is>
      </c>
      <c r="W203" s="149" t="inlineStr">
        <is>
          <t>Not disclosed</t>
        </is>
      </c>
      <c r="X203" s="145" t="n">
        <v>13.2</v>
      </c>
      <c r="Y203" s="145" t="n">
        <v>6</v>
      </c>
      <c r="Z203" s="145" t="n">
        <v>2.24</v>
      </c>
      <c r="AA203" s="145" t="n">
        <v>3.6</v>
      </c>
      <c r="AB203" s="145" t="n"/>
      <c r="AC203" s="149" t="inlineStr">
        <is>
          <t>≈ 8 hours</t>
        </is>
      </c>
      <c r="AD203" s="149" t="inlineStr">
        <is>
          <t>8</t>
        </is>
      </c>
      <c r="AE203" s="145" t="n"/>
      <c r="AF203" s="145" t="inlineStr">
        <is>
          <t>Not disclosed</t>
        </is>
      </c>
      <c r="AG203" s="149" t="inlineStr">
        <is>
          <t>Not disclosed</t>
        </is>
      </c>
      <c r="AH203" s="145" t="inlineStr">
        <is>
          <t>Not disclosed</t>
        </is>
      </c>
      <c r="AI203" s="158" t="n">
        <v>2</v>
      </c>
      <c r="AJ203" s="149" t="inlineStr">
        <is>
          <t>Not disclosed</t>
        </is>
      </c>
      <c r="AK203" s="149" t="n"/>
      <c r="AL203" s="145" t="inlineStr">
        <is>
          <t>Not disclosed</t>
        </is>
      </c>
      <c r="AM203" s="145" t="n"/>
      <c r="AN203" s="145" t="inlineStr">
        <is>
          <t>Not disclosed</t>
        </is>
      </c>
      <c r="AO203" s="145" t="inlineStr">
        <is>
          <t>Not disclosed</t>
        </is>
      </c>
      <c r="AP203" s="145" t="inlineStr">
        <is>
          <t>Not disclosed</t>
        </is>
      </c>
      <c r="AQ203" s="145" t="inlineStr">
        <is>
          <t>Not disclosed</t>
        </is>
      </c>
      <c r="AR203" s="145" t="n"/>
      <c r="AS203" s="145" t="n"/>
      <c r="AT203" s="149" t="inlineStr">
        <is>
          <t>Not disclosed</t>
        </is>
      </c>
      <c r="AU203" s="149" t="inlineStr">
        <is>
          <t>Not disclosed</t>
        </is>
      </c>
      <c r="AV203" s="145" t="inlineStr">
        <is>
          <t>Not disclosed</t>
        </is>
      </c>
      <c r="AW203" s="149" t="inlineStr">
        <is>
          <t>Not disclosed</t>
        </is>
      </c>
      <c r="AX203" s="158" t="n">
        <v>2</v>
      </c>
      <c r="AY203" s="149" t="inlineStr">
        <is>
          <t>Not disclosed</t>
        </is>
      </c>
      <c r="AZ203" s="149" t="inlineStr">
        <is>
          <t>Not disclosed</t>
        </is>
      </c>
      <c r="BA203" s="149" t="n"/>
      <c r="BB203" s="149" t="inlineStr">
        <is>
          <t>Not disclosed</t>
        </is>
      </c>
      <c r="BC203" s="149" t="inlineStr">
        <is>
          <t>Not disclosed</t>
        </is>
      </c>
      <c r="BD203" s="145" t="inlineStr">
        <is>
          <t>Not disclosed</t>
        </is>
      </c>
      <c r="BE203" s="145" t="inlineStr">
        <is>
          <t>Not disclosed</t>
        </is>
      </c>
      <c r="BF203" s="145" t="n"/>
      <c r="BG203" s="145" t="n"/>
      <c r="BH203" s="145" t="n"/>
      <c r="BI203" s="145" t="n"/>
      <c r="BJ203" s="145" t="n"/>
      <c r="BK203" s="145" t="n"/>
      <c r="BL203" s="145" t="n"/>
      <c r="BM203" s="145" t="inlineStr">
        <is>
          <t>Not disclosed</t>
        </is>
      </c>
      <c r="BN203" s="145" t="inlineStr">
        <is>
          <t>Not disclosed</t>
        </is>
      </c>
      <c r="BO203" s="149" t="inlineStr">
        <is>
          <t>Manipulation 2/4 · Navigation 2/4 · Peak 3.6 km/h · Runtime 8</t>
        </is>
      </c>
      <c r="BP203" s="145" t="n"/>
      <c r="BQ203" s="149" t="inlineStr">
        <is>
          <t>Research labs, commercial pilots, and education programs evaluating a humanoid from Tokyo Robotics (China) now listed as prototype.</t>
        </is>
      </c>
      <c r="BR203" s="149" t="inlineStr">
        <is>
          <t>Prototype</t>
        </is>
      </c>
      <c r="BS203" s="149" t="inlineStr">
        <is>
          <t>Prototype</t>
        </is>
      </c>
      <c r="BT203" s="145" t="n"/>
      <c r="BU203" s="145" t="inlineStr">
        <is>
          <t>Not verified</t>
        </is>
      </c>
      <c r="BV203" s="149" t="n"/>
      <c r="BW203" s="149" t="inlineStr">
        <is>
          <t>Origin &amp; status — China · Prototype · 2026 | Manipulation — Payload 13.2 lb | Sensing &amp; software — Sensor and compute package confirmed on formal quote | Buying notes — From $100,000 · 12 months manufacturer standard (typical research/commercial humanoid)</t>
        </is>
      </c>
      <c r="BX203" s="149" t="inlineStr">
        <is>
          <t>as_shipped|ToraOne|100000|As shipped</t>
        </is>
      </c>
      <c r="BY203" s="145" t="inlineStr">
        <is>
          <t>toraone|Manufacturer finish|#e2e8f0|0</t>
        </is>
      </c>
      <c r="BZ203" s="145" t="inlineStr"/>
      <c r="CA203" s="149" t="n"/>
      <c r="CB203" s="149" t="inlineStr">
        <is>
          <t>12 months manufacturer standard (typical research/commercial humanoid)</t>
        </is>
      </c>
      <c r="CC203" s="147" t="n">
        <v>12</v>
      </c>
      <c r="CD203" s="149" t="inlineStr">
        <is>
          <t>+3 Year Extended ≈24% of configuration (default in configurator)</t>
        </is>
      </c>
      <c r="CE203" s="145" t="inlineStr">
        <is>
          <t>Humanoid category norm 2025–2026</t>
        </is>
      </c>
      <c r="CF203" s="145" t="inlineStr">
        <is>
          <t>Estimated</t>
        </is>
      </c>
      <c r="CG203" s="149" t="inlineStr">
        <is>
          <t>Confirm on formal OEM quote. EDU or enterprise packages may differ.</t>
        </is>
      </c>
      <c r="CH203" s="145" t="inlineStr">
        <is>
          <t>10%</t>
        </is>
      </c>
      <c r="CI203" s="145" t="inlineStr">
        <is>
          <t>17%</t>
        </is>
      </c>
      <c r="CJ203" s="145" t="inlineStr">
        <is>
          <t>24%</t>
        </is>
      </c>
      <c r="CK203" s="149" t="inlineStr">
        <is>
          <t>+1yr ≈10% | +2yr ≈17% | +3yr ≈24% of selected configuration price (parts &amp; labor beyond manufacturer standard).</t>
        </is>
      </c>
      <c r="CL203"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03" s="145" t="inlineStr">
        <is>
          <t>12 months manufacturer standard (typical research/commercial humanoid)</t>
        </is>
      </c>
      <c r="CQ203" s="101" t="inlineStr">
        <is>
          <t>Height: 6 ft 1 in | Weight: Not disclosed | Degrees of Freedom: 47 | Payload: 13.2 | Max Speed: 2.24 | Battery / Runtime: ≈ 8 hours</t>
        </is>
      </c>
    </row>
    <row r="204" ht="31.5" customHeight="1" s="102">
      <c r="A204" s="152" t="inlineStr">
        <is>
          <t>tokyo_robotics_torobo</t>
        </is>
      </c>
      <c r="B204" s="153" t="inlineStr">
        <is>
          <t>Humanoid.guide</t>
        </is>
      </c>
      <c r="C204" s="152" t="inlineStr">
        <is>
          <t>Tokyo Robotics</t>
        </is>
      </c>
      <c r="D204" s="152" t="inlineStr">
        <is>
          <t>Torobo</t>
        </is>
      </c>
      <c r="E204" s="152" t="inlineStr">
        <is>
          <t>[Tokyo Robotics] Torobo (2026)</t>
        </is>
      </c>
      <c r="F204" s="146" t="inlineStr">
        <is>
          <t>humanoid</t>
        </is>
      </c>
      <c r="G204" s="152" t="inlineStr">
        <is>
          <t>Japan</t>
        </is>
      </c>
      <c r="H204" s="152" t="n"/>
      <c r="I204" s="155" t="n">
        <v>100000</v>
      </c>
      <c r="J204" s="152" t="inlineStr">
        <is>
          <t>Humanoid.guide list</t>
        </is>
      </c>
      <c r="K204" s="156" t="inlineStr">
        <is>
          <t>The Torobo robot, developed by Tokyo Robotics, is a sophisticated humanoid designed for precise manipulation tasks and human interaction.</t>
        </is>
      </c>
      <c r="L204" s="101" t="inlineStr">
        <is>
          <t>The Torobo robot, developed by Tokyo Robotics, is a sophisticated humanoid designed for precise manipulation tasks and human interaction.</t>
        </is>
      </c>
      <c r="M204" s="101" t="inlineStr">
        <is>
          <t>The Torobo robot, developed by Tokyo Robotics, is a sophisticated humanoid designed for precise manipulation tasks and human interaction. Public status is listed as prototype.</t>
        </is>
      </c>
      <c r="N204" s="157" t="inlineStr">
        <is>
          <t>https://humanoid.guide/product/torobo/</t>
        </is>
      </c>
      <c r="O204" s="157" t="inlineStr">
        <is>
          <t>https://robotics.tokyo</t>
        </is>
      </c>
      <c r="P204" s="152" t="inlineStr">
        <is>
          <t>5 ft 5 in</t>
        </is>
      </c>
      <c r="Q204" s="152" t="n">
        <v>166</v>
      </c>
      <c r="R204" s="152" t="n">
        <v>352.7</v>
      </c>
      <c r="S204" s="152" t="n">
        <v>160</v>
      </c>
      <c r="T204" s="156" t="inlineStr">
        <is>
          <t>Not disclosed</t>
        </is>
      </c>
      <c r="U204" s="152" t="n"/>
      <c r="V204" s="152" t="inlineStr">
        <is>
          <t>24</t>
        </is>
      </c>
      <c r="W204" s="156" t="inlineStr">
        <is>
          <t>Not disclosed</t>
        </is>
      </c>
      <c r="X204" s="152" t="n">
        <v>44.1</v>
      </c>
      <c r="Y204" s="152" t="n">
        <v>20</v>
      </c>
      <c r="Z204" s="152" t="n">
        <v>3.11</v>
      </c>
      <c r="AA204" s="152" t="n">
        <v>5</v>
      </c>
      <c r="AB204" s="152" t="n">
        <v>5</v>
      </c>
      <c r="AC204" s="156" t="inlineStr">
        <is>
          <t>≈ 3 hours</t>
        </is>
      </c>
      <c r="AD204" s="156" t="inlineStr">
        <is>
          <t>3</t>
        </is>
      </c>
      <c r="AE204" s="152" t="n"/>
      <c r="AF204" s="152" t="inlineStr">
        <is>
          <t>Not disclosed</t>
        </is>
      </c>
      <c r="AG204" s="156" t="inlineStr">
        <is>
          <t>Not disclosed</t>
        </is>
      </c>
      <c r="AH204" s="152" t="inlineStr">
        <is>
          <t>Not disclosed</t>
        </is>
      </c>
      <c r="AI204" s="158" t="n">
        <v>2</v>
      </c>
      <c r="AJ204" s="156" t="inlineStr">
        <is>
          <t>Not disclosed</t>
        </is>
      </c>
      <c r="AK204" s="156" t="n"/>
      <c r="AL204" s="152" t="inlineStr">
        <is>
          <t>Not disclosed</t>
        </is>
      </c>
      <c r="AM204" s="152" t="n"/>
      <c r="AN204" s="152" t="inlineStr">
        <is>
          <t>Not disclosed</t>
        </is>
      </c>
      <c r="AO204" s="152" t="inlineStr">
        <is>
          <t>Not disclosed</t>
        </is>
      </c>
      <c r="AP204" s="152" t="inlineStr">
        <is>
          <t>Not disclosed</t>
        </is>
      </c>
      <c r="AQ204" s="152" t="inlineStr">
        <is>
          <t>Not disclosed</t>
        </is>
      </c>
      <c r="AR204" s="152" t="n"/>
      <c r="AS204" s="152" t="n"/>
      <c r="AT204" s="156" t="inlineStr">
        <is>
          <t>Not disclosed</t>
        </is>
      </c>
      <c r="AU204" s="156" t="inlineStr">
        <is>
          <t>Not disclosed</t>
        </is>
      </c>
      <c r="AV204" s="152" t="inlineStr">
        <is>
          <t>Not disclosed</t>
        </is>
      </c>
      <c r="AW204" s="156" t="inlineStr">
        <is>
          <t>Not disclosed</t>
        </is>
      </c>
      <c r="AX204" s="158" t="n">
        <v>2</v>
      </c>
      <c r="AY204" s="156" t="inlineStr">
        <is>
          <t>Not disclosed</t>
        </is>
      </c>
      <c r="AZ204" s="156" t="inlineStr">
        <is>
          <t>Not disclosed</t>
        </is>
      </c>
      <c r="BA204" s="156" t="n"/>
      <c r="BB204" s="156" t="inlineStr">
        <is>
          <t>Not disclosed</t>
        </is>
      </c>
      <c r="BC204" s="156" t="inlineStr">
        <is>
          <t>Not disclosed</t>
        </is>
      </c>
      <c r="BD204" s="152" t="inlineStr">
        <is>
          <t>Not disclosed</t>
        </is>
      </c>
      <c r="BE204" s="152" t="inlineStr">
        <is>
          <t>Not disclosed</t>
        </is>
      </c>
      <c r="BF204" s="152" t="n"/>
      <c r="BG204" s="152" t="n"/>
      <c r="BH204" s="152" t="n"/>
      <c r="BI204" s="152" t="n"/>
      <c r="BJ204" s="152" t="n"/>
      <c r="BK204" s="152" t="n"/>
      <c r="BL204" s="152" t="n"/>
      <c r="BM204" s="152" t="inlineStr">
        <is>
          <t>Not disclosed</t>
        </is>
      </c>
      <c r="BN204" s="152" t="inlineStr">
        <is>
          <t>Not disclosed</t>
        </is>
      </c>
      <c r="BO204" s="156" t="inlineStr">
        <is>
          <t>Manipulation 2/4 · Navigation 2/4 · Peak 5 km/h · Walk 5 km/h · Runtime 3</t>
        </is>
      </c>
      <c r="BP204" s="152" t="n"/>
      <c r="BQ204" s="156" t="inlineStr">
        <is>
          <t>Research labs, commercial pilots, and education programs evaluating a humanoid from Tokyo Robotics (Japan) now listed as prototype.</t>
        </is>
      </c>
      <c r="BR204" s="156" t="inlineStr">
        <is>
          <t>Prototype</t>
        </is>
      </c>
      <c r="BS204" s="156" t="inlineStr">
        <is>
          <t>Prototype</t>
        </is>
      </c>
      <c r="BT204" s="152" t="n"/>
      <c r="BU204" s="152" t="inlineStr">
        <is>
          <t>Not verified</t>
        </is>
      </c>
      <c r="BV204" s="156" t="n"/>
      <c r="BW204" s="156" t="inlineStr">
        <is>
          <t>Origin &amp; status — Japan · Prototype · 2026 | Manipulation — Payload 44.1 lb | Sensing &amp; software — Sensor and compute package confirmed on formal quote | Buying notes — From $100,000 · 12 months manufacturer standard (typical research/commercial humanoid)</t>
        </is>
      </c>
      <c r="BX204" s="156" t="inlineStr">
        <is>
          <t>as_shipped|Torobo|100000|As shipped</t>
        </is>
      </c>
      <c r="BY204" s="152" t="inlineStr">
        <is>
          <t>torobo|Manufacturer finish|#e2e8f0|0</t>
        </is>
      </c>
      <c r="BZ204" s="152" t="inlineStr"/>
      <c r="CA204" s="156" t="n"/>
      <c r="CB204" s="156" t="inlineStr">
        <is>
          <t>12 months manufacturer standard (typical research/commercial humanoid)</t>
        </is>
      </c>
      <c r="CC204" s="154" t="n">
        <v>12</v>
      </c>
      <c r="CD204" s="156" t="inlineStr">
        <is>
          <t>+3 Year Extended ≈24% of configuration (default in configurator)</t>
        </is>
      </c>
      <c r="CE204" s="152" t="inlineStr">
        <is>
          <t>Humanoid category norm 2025–2026</t>
        </is>
      </c>
      <c r="CF204" s="152" t="inlineStr">
        <is>
          <t>Estimated</t>
        </is>
      </c>
      <c r="CG204" s="156" t="inlineStr">
        <is>
          <t>Confirm on formal OEM quote. EDU or enterprise packages may differ.</t>
        </is>
      </c>
      <c r="CH204" s="152" t="inlineStr">
        <is>
          <t>10%</t>
        </is>
      </c>
      <c r="CI204" s="152" t="inlineStr">
        <is>
          <t>17%</t>
        </is>
      </c>
      <c r="CJ204" s="152" t="inlineStr">
        <is>
          <t>24%</t>
        </is>
      </c>
      <c r="CK204" s="156" t="inlineStr">
        <is>
          <t>+1yr ≈10% | +2yr ≈17% | +3yr ≈24% of selected configuration price (parts &amp; labor beyond manufacturer standard).</t>
        </is>
      </c>
      <c r="CL204"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04" s="152" t="inlineStr">
        <is>
          <t>12 months manufacturer standard (typical research/commercial humanoid)</t>
        </is>
      </c>
      <c r="CN204" s="203" t="inlineStr">
        <is>
          <t>https://aixzd.com/robot/torobo</t>
        </is>
      </c>
      <c r="CQ204" s="101" t="inlineStr">
        <is>
          <t>Height: 5 ft 5 in | Weight: 352.7 | Degrees of Freedom: 24 | Payload: 44.1 | Max Speed: 3.11 | Battery / Runtime: ≈ 3 hours</t>
        </is>
      </c>
    </row>
    <row r="205" ht="31.5" customHeight="1" s="102">
      <c r="A205" s="145" t="inlineStr">
        <is>
          <t>topstar_group_xiao_tuo</t>
        </is>
      </c>
      <c r="B205" s="153" t="inlineStr">
        <is>
          <t>Humanoid.guide</t>
        </is>
      </c>
      <c r="C205" s="145" t="inlineStr">
        <is>
          <t>TOPSTAR Group</t>
        </is>
      </c>
      <c r="D205" s="145" t="inlineStr">
        <is>
          <t>Xiao Tuo</t>
        </is>
      </c>
      <c r="E205" s="145" t="inlineStr">
        <is>
          <t>[TOPSTAR Group] Xiao Tuo (2026)</t>
        </is>
      </c>
      <c r="F205" s="146" t="inlineStr">
        <is>
          <t>humanoid</t>
        </is>
      </c>
      <c r="G205" s="145" t="inlineStr">
        <is>
          <t>China</t>
        </is>
      </c>
      <c r="H205" s="145" t="n"/>
      <c r="I205" s="148" t="n">
        <v>21000</v>
      </c>
      <c r="J205" s="145" t="inlineStr">
        <is>
          <t>Humanoid.guide list</t>
        </is>
      </c>
      <c r="K205" s="149" t="inlineStr">
        <is>
          <t>Xiao Tuo is a humanoid robot by TOPSTAR designed for research, light industrial tasks, and human-robot interaction.</t>
        </is>
      </c>
      <c r="L205" s="101" t="inlineStr">
        <is>
          <t>Xiao Tuo is a humanoid robot by TOPSTAR designed for research, light industrial tasks, and human-robot interaction.</t>
        </is>
      </c>
      <c r="M205" s="101" t="inlineStr">
        <is>
          <t>Xiao Tuo is a humanoid robot by TOPSTAR designed for research, light industrial tasks, and human-robot interaction. Public status is listed as prototype, and it is positioned for industrial R&amp;D; Research &amp; education.</t>
        </is>
      </c>
      <c r="N205" s="150" t="inlineStr">
        <is>
          <t>https://humanoid.guide/product/xiao-tuo/</t>
        </is>
      </c>
      <c r="O205" s="150" t="inlineStr">
        <is>
          <t>https://www.topstarmachine.com/</t>
        </is>
      </c>
      <c r="P205" s="145" t="inlineStr">
        <is>
          <t>3 ft 11 in</t>
        </is>
      </c>
      <c r="Q205" s="145" t="n">
        <v>120</v>
      </c>
      <c r="R205" s="145" t="n">
        <v>88.2</v>
      </c>
      <c r="S205" s="145" t="n">
        <v>40</v>
      </c>
      <c r="T205" s="149" t="inlineStr">
        <is>
          <t>Not disclosed</t>
        </is>
      </c>
      <c r="U205" s="145" t="n"/>
      <c r="V205" s="145" t="inlineStr">
        <is>
          <t>30</t>
        </is>
      </c>
      <c r="W205" s="149" t="inlineStr">
        <is>
          <t>3</t>
        </is>
      </c>
      <c r="X205" s="145" t="n">
        <v>11</v>
      </c>
      <c r="Y205" s="145" t="n">
        <v>5</v>
      </c>
      <c r="Z205" s="145" t="n">
        <v>1.86</v>
      </c>
      <c r="AA205" s="145" t="n">
        <v>3</v>
      </c>
      <c r="AB205" s="145" t="n">
        <v>3</v>
      </c>
      <c r="AC205" s="149" t="inlineStr">
        <is>
          <t>≈ 3 hours</t>
        </is>
      </c>
      <c r="AD205" s="149" t="inlineStr">
        <is>
          <t>3</t>
        </is>
      </c>
      <c r="AE205" s="145" t="n"/>
      <c r="AF205" s="145" t="inlineStr">
        <is>
          <t>Not disclosed</t>
        </is>
      </c>
      <c r="AG205" s="149" t="inlineStr">
        <is>
          <t>2–5 per hand</t>
        </is>
      </c>
      <c r="AH205" s="145" t="inlineStr">
        <is>
          <t>2–5 per hand</t>
        </is>
      </c>
      <c r="AI205" s="158" t="n">
        <v>2</v>
      </c>
      <c r="AJ205" s="149" t="inlineStr">
        <is>
          <t>RGB camera (resolution not stated) + 3-D LiDAR</t>
        </is>
      </c>
      <c r="AK205" s="149" t="inlineStr">
        <is>
          <t>RGB camera (resolution not stated) + 3-D LiDAR</t>
        </is>
      </c>
      <c r="AL205" s="145" t="inlineStr">
        <is>
          <t>Not disclosed</t>
        </is>
      </c>
      <c r="AM205" s="145" t="n"/>
      <c r="AN205" s="145" t="inlineStr">
        <is>
          <t>Not disclosed</t>
        </is>
      </c>
      <c r="AO205" s="145" t="inlineStr">
        <is>
          <t>Not disclosed</t>
        </is>
      </c>
      <c r="AP205" s="145" t="inlineStr">
        <is>
          <t>Not disclosed</t>
        </is>
      </c>
      <c r="AQ205" s="145" t="inlineStr">
        <is>
          <t>Not disclosed</t>
        </is>
      </c>
      <c r="AR205" s="145" t="n"/>
      <c r="AS205" s="145" t="n"/>
      <c r="AT205" s="149" t="inlineStr">
        <is>
          <t>Likely ARM/embedded compute + edge AI module (assumed)</t>
        </is>
      </c>
      <c r="AU205" s="149" t="inlineStr">
        <is>
          <t>Ethernet; Wi‑Fi</t>
        </is>
      </c>
      <c r="AV205" s="145" t="inlineStr">
        <is>
          <t>Not disclosed</t>
        </is>
      </c>
      <c r="AW205" s="149" t="inlineStr">
        <is>
          <t>Not disclosed</t>
        </is>
      </c>
      <c r="AX205" s="158" t="n">
        <v>2</v>
      </c>
      <c r="AY205" s="149" t="inlineStr">
        <is>
          <t>Linux-based ROS environment</t>
        </is>
      </c>
      <c r="AZ205" s="149" t="inlineStr">
        <is>
          <t>Yes</t>
        </is>
      </c>
      <c r="BA205" s="149" t="n"/>
      <c r="BB205" s="149" t="inlineStr">
        <is>
          <t>Electric servo motors</t>
        </is>
      </c>
      <c r="BC205" s="149" t="inlineStr">
        <is>
          <t>Harmonic or planetary gears</t>
        </is>
      </c>
      <c r="BD205" s="145" t="inlineStr">
        <is>
          <t>Aluminum + plastic composites</t>
        </is>
      </c>
      <c r="BE205" s="145" t="inlineStr">
        <is>
          <t>No</t>
        </is>
      </c>
      <c r="BF205" s="145" t="inlineStr">
        <is>
          <t>No</t>
        </is>
      </c>
      <c r="BG205" s="145" t="n"/>
      <c r="BH205" s="145" t="n"/>
      <c r="BI205" s="145" t="n"/>
      <c r="BJ205" s="145" t="n"/>
      <c r="BK205" s="145" t="n"/>
      <c r="BL205" s="145" t="n"/>
      <c r="BM205" s="145" t="inlineStr">
        <is>
          <t>Yes</t>
        </is>
      </c>
      <c r="BN205" s="145" t="inlineStr">
        <is>
          <t>Not disclosed</t>
        </is>
      </c>
      <c r="BO205" s="149" t="inlineStr">
        <is>
          <t>Market: Industrial R&amp;D; Research &amp; education · Manipulation 2/4 · Navigation 2/4 · Human-safe: Yes · AI: Yes · Actuation: Electric servo motors · Peak 3 km/h · Walk 3 km/h · Runtime 3</t>
        </is>
      </c>
      <c r="BP205" s="145" t="n"/>
      <c r="BQ205" s="149" t="inlineStr">
        <is>
          <t>Industrial R&amp;D; Research &amp; education</t>
        </is>
      </c>
      <c r="BR205" s="149" t="inlineStr">
        <is>
          <t>Prototype</t>
        </is>
      </c>
      <c r="BS205" s="149" t="inlineStr">
        <is>
          <t>Prototype</t>
        </is>
      </c>
      <c r="BT205" s="145" t="inlineStr">
        <is>
          <t>White/grey (prototype)</t>
        </is>
      </c>
      <c r="BU205" s="145" t="inlineStr">
        <is>
          <t>Not verified</t>
        </is>
      </c>
      <c r="BV205" s="149" t="n"/>
      <c r="BW205" s="149" t="inlineStr">
        <is>
          <t>Origin &amp; status — China · Prototype · 2026 | Manipulation — 2–5 per hand · 2–5 per hand fingers · Hand DOF 3 · Payload 11 lb | Sensing &amp; software — RGB camera (resolution not stated) + 3-D LiDAR · Yes · Linux-based ROS environment | Buying notes — From $21,000 · 12 months manufacturer standard (typical research/commercial humanoid) · Best fit: Industrial R&amp;D</t>
        </is>
      </c>
      <c r="BX205" s="149" t="inlineStr">
        <is>
          <t>as_shipped|Xiao Tuo|21000|As shipped</t>
        </is>
      </c>
      <c r="BY205" s="145" t="inlineStr">
        <is>
          <t>white|White|#e2e8f0|0 || grey_prototype|grey (prototype)|#1e293b|0</t>
        </is>
      </c>
      <c r="BZ205" s="145" t="inlineStr"/>
      <c r="CA205" s="149" t="n"/>
      <c r="CB205" s="149" t="inlineStr">
        <is>
          <t>12 months manufacturer standard (typical research/commercial humanoid)</t>
        </is>
      </c>
      <c r="CC205" s="147" t="n">
        <v>12</v>
      </c>
      <c r="CD205" s="149" t="inlineStr">
        <is>
          <t>+3 Year Extended ≈24% of configuration (default in configurator)</t>
        </is>
      </c>
      <c r="CE205" s="145" t="inlineStr">
        <is>
          <t>Humanoid category norm 2025–2026</t>
        </is>
      </c>
      <c r="CF205" s="145" t="inlineStr">
        <is>
          <t>Estimated</t>
        </is>
      </c>
      <c r="CG205" s="149" t="inlineStr">
        <is>
          <t>Confirm on formal OEM quote. EDU or enterprise packages may differ.</t>
        </is>
      </c>
      <c r="CH205" s="145" t="inlineStr">
        <is>
          <t>10%</t>
        </is>
      </c>
      <c r="CI205" s="145" t="inlineStr">
        <is>
          <t>17%</t>
        </is>
      </c>
      <c r="CJ205" s="145" t="inlineStr">
        <is>
          <t>24%</t>
        </is>
      </c>
      <c r="CK205" s="149" t="inlineStr">
        <is>
          <t>+1yr ≈10% | +2yr ≈17% | +3yr ≈24% of selected configuration price (parts &amp; labor beyond manufacturer standard).</t>
        </is>
      </c>
      <c r="CL20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05" s="145" t="inlineStr">
        <is>
          <t>12 months manufacturer standard (typical research/commercial humanoid)</t>
        </is>
      </c>
      <c r="CQ205" s="101" t="inlineStr">
        <is>
          <t>Height: 3 ft 11 in | Weight: 88.2 | Degrees of Freedom: 30 | Payload: 11 | Max Speed: 1.86 | Battery / Runtime: ≈ 3 hours</t>
        </is>
      </c>
    </row>
    <row r="206" ht="31.5" customHeight="1" s="102">
      <c r="A206" s="152" t="inlineStr">
        <is>
          <t>toyota_motor_corporation_cue7</t>
        </is>
      </c>
      <c r="B206" s="153" t="inlineStr">
        <is>
          <t>Humanoid.guide</t>
        </is>
      </c>
      <c r="C206" s="152" t="inlineStr">
        <is>
          <t>Toyota Motor Corporation</t>
        </is>
      </c>
      <c r="D206" s="152" t="inlineStr">
        <is>
          <t>CUE7</t>
        </is>
      </c>
      <c r="E206" s="152" t="inlineStr">
        <is>
          <t>[Toyota Motor Corporation] CUE7 (2026)</t>
        </is>
      </c>
      <c r="F206" s="146" t="inlineStr">
        <is>
          <t>humanoid</t>
        </is>
      </c>
      <c r="G206" s="152" t="inlineStr">
        <is>
          <t>Japan</t>
        </is>
      </c>
      <c r="H206" s="152" t="n"/>
      <c r="I206" s="155" t="n">
        <v>150000</v>
      </c>
      <c r="J206" s="152" t="inlineStr">
        <is>
          <t>Humanoid.guide list</t>
        </is>
      </c>
      <c r="K206" s="156" t="inlineStr">
        <is>
          <t>Toyota CUE7 is a research humanoid robot that demonstrates precise motion and perception through advanced basketball shooting tasks.</t>
        </is>
      </c>
      <c r="L206" s="101" t="inlineStr">
        <is>
          <t>Toyota CUE7 is a research humanoid robot that demonstrates precise motion and perception through advanced basketball shooting tasks.</t>
        </is>
      </c>
      <c r="M206" s="101" t="inlineStr">
        <is>
          <t>Toyota CUE7 is a research humanoid robot that demonstrates precise motion and perception through advanced basketball shooting tasks. Public status is listed as prototype, and it is positioned for research and robotics development.</t>
        </is>
      </c>
      <c r="N206" s="157" t="inlineStr">
        <is>
          <t>https://humanoid.guide/product/cue7/</t>
        </is>
      </c>
      <c r="O206" s="157" t="inlineStr">
        <is>
          <t>https://www.toyota.com</t>
        </is>
      </c>
      <c r="P206" s="152" t="inlineStr">
        <is>
          <t>7 ft 2 in</t>
        </is>
      </c>
      <c r="Q206" s="152" t="n">
        <v>218</v>
      </c>
      <c r="R206" s="152" t="n">
        <v>163.1</v>
      </c>
      <c r="S206" s="152" t="n">
        <v>74</v>
      </c>
      <c r="T206" s="156" t="inlineStr">
        <is>
          <t>Not disclosed</t>
        </is>
      </c>
      <c r="U206" s="152" t="n"/>
      <c r="V206" s="152" t="inlineStr">
        <is>
          <t>Not disclosed</t>
        </is>
      </c>
      <c r="W206" s="156" t="inlineStr">
        <is>
          <t>Not disclosed</t>
        </is>
      </c>
      <c r="X206" s="152" t="n">
        <v>13.2</v>
      </c>
      <c r="Y206" s="152" t="n">
        <v>6</v>
      </c>
      <c r="Z206" s="152" t="n">
        <v>3.11</v>
      </c>
      <c r="AA206" s="152" t="n">
        <v>5</v>
      </c>
      <c r="AB206" s="152" t="n"/>
      <c r="AC206" s="156" t="inlineStr">
        <is>
          <t>Not disclosed</t>
        </is>
      </c>
      <c r="AD206" s="156" t="n"/>
      <c r="AE206" s="152" t="n"/>
      <c r="AF206" s="152" t="inlineStr">
        <is>
          <t>Not disclosed</t>
        </is>
      </c>
      <c r="AG206" s="156" t="inlineStr">
        <is>
          <t>2–3 (simplified gripper design)</t>
        </is>
      </c>
      <c r="AH206" s="152" t="inlineStr">
        <is>
          <t>2–3 (simplified gripper design)</t>
        </is>
      </c>
      <c r="AI206" s="152" t="n"/>
      <c r="AJ206" s="156" t="inlineStr">
        <is>
          <t>Not disclosed</t>
        </is>
      </c>
      <c r="AK206" s="156" t="n"/>
      <c r="AL206" s="152" t="inlineStr">
        <is>
          <t>Not disclosed</t>
        </is>
      </c>
      <c r="AM206" s="152" t="n"/>
      <c r="AN206" s="152" t="inlineStr">
        <is>
          <t>Not disclosed</t>
        </is>
      </c>
      <c r="AO206" s="152" t="inlineStr">
        <is>
          <t>Not disclosed</t>
        </is>
      </c>
      <c r="AP206" s="152" t="inlineStr">
        <is>
          <t>Not disclosed</t>
        </is>
      </c>
      <c r="AQ206" s="152" t="inlineStr">
        <is>
          <t>Not disclosed</t>
        </is>
      </c>
      <c r="AR206" s="152" t="n"/>
      <c r="AS206" s="152" t="n"/>
      <c r="AT206" s="156" t="inlineStr">
        <is>
          <t>Not disclosed</t>
        </is>
      </c>
      <c r="AU206" s="156" t="inlineStr">
        <is>
          <t>Likely Wi-Fi / internal network (not disclosed)</t>
        </is>
      </c>
      <c r="AV206" s="152" t="inlineStr">
        <is>
          <t>Not disclosed</t>
        </is>
      </c>
      <c r="AW206" s="156" t="inlineStr">
        <is>
          <t>Not disclosed</t>
        </is>
      </c>
      <c r="AX206" s="152" t="n"/>
      <c r="AY206" s="156" t="inlineStr">
        <is>
          <t>Not disclosed</t>
        </is>
      </c>
      <c r="AZ206" s="156" t="inlineStr">
        <is>
          <t>Not disclosed</t>
        </is>
      </c>
      <c r="BA206" s="156" t="n"/>
      <c r="BB206" s="156" t="inlineStr">
        <is>
          <t>Electric actuators (not specified)</t>
        </is>
      </c>
      <c r="BC206" s="156" t="inlineStr">
        <is>
          <t>Not disclosed</t>
        </is>
      </c>
      <c r="BD206" s="152" t="inlineStr">
        <is>
          <t>Metal frame (likely aluminum alloy)</t>
        </is>
      </c>
      <c r="BE206" s="152" t="inlineStr">
        <is>
          <t>Not disclosed</t>
        </is>
      </c>
      <c r="BF206" s="152" t="n"/>
      <c r="BG206" s="152" t="n"/>
      <c r="BH206" s="152" t="n"/>
      <c r="BI206" s="152" t="n"/>
      <c r="BJ206" s="152" t="n"/>
      <c r="BK206" s="152" t="n"/>
      <c r="BL206" s="152" t="n"/>
      <c r="BM206" s="152" t="inlineStr">
        <is>
          <t>Yes</t>
        </is>
      </c>
      <c r="BN206" s="152" t="inlineStr">
        <is>
          <t>Not disclosed</t>
        </is>
      </c>
      <c r="BO206" s="156" t="inlineStr">
        <is>
          <t>Market: Research and robotics development · Human-safe: Yes · Actuation: Electric actuators (not specified) · Peak 5 km/h</t>
        </is>
      </c>
      <c r="BP206" s="152" t="n"/>
      <c r="BQ206" s="156" t="inlineStr">
        <is>
          <t>Research and robotics development</t>
        </is>
      </c>
      <c r="BR206" s="156" t="inlineStr">
        <is>
          <t>Prototype</t>
        </is>
      </c>
      <c r="BS206" s="156" t="inlineStr">
        <is>
          <t>Prototype</t>
        </is>
      </c>
      <c r="BT206" s="152" t="n"/>
      <c r="BU206" s="152" t="n"/>
      <c r="BV206" s="156" t="n"/>
      <c r="BW206" s="156" t="inlineStr">
        <is>
          <t>Origin &amp; status — Japan · Prototype · 2026 | Manipulation — 2–3 (simplified gripper design) · 2–3 (simplified gripper design) fingers · Payload 13.2 lb | Sensing &amp; software — Sensor and compute package confirmed on formal quote | Buying notes — From $150,000 · 12 months manufacturer standard (typical research/commercial humanoid) · Best fit: Research and robotics development</t>
        </is>
      </c>
      <c r="BX206" s="156" t="inlineStr">
        <is>
          <t>as_shipped|CUE7|150000|As shipped</t>
        </is>
      </c>
      <c r="BY206" s="152" t="inlineStr">
        <is>
          <t>cue7|Manufacturer finish|#e2e8f0|0</t>
        </is>
      </c>
      <c r="BZ206" s="152" t="inlineStr"/>
      <c r="CA206" s="156" t="n"/>
      <c r="CB206" s="156" t="inlineStr">
        <is>
          <t>12 months manufacturer standard (typical research/commercial humanoid)</t>
        </is>
      </c>
      <c r="CC206" s="154" t="n">
        <v>12</v>
      </c>
      <c r="CD206" s="156" t="inlineStr">
        <is>
          <t>+3 Year Extended ≈24% of configuration (default in configurator)</t>
        </is>
      </c>
      <c r="CE206" s="152" t="inlineStr">
        <is>
          <t>Humanoid category norm 2025–2026</t>
        </is>
      </c>
      <c r="CF206" s="152" t="inlineStr">
        <is>
          <t>Estimated</t>
        </is>
      </c>
      <c r="CG206" s="156" t="inlineStr">
        <is>
          <t>Confirm on formal OEM quote. EDU or enterprise packages may differ.</t>
        </is>
      </c>
      <c r="CH206" s="152" t="inlineStr">
        <is>
          <t>10%</t>
        </is>
      </c>
      <c r="CI206" s="152" t="inlineStr">
        <is>
          <t>17%</t>
        </is>
      </c>
      <c r="CJ206" s="152" t="inlineStr">
        <is>
          <t>24%</t>
        </is>
      </c>
      <c r="CK206" s="156" t="inlineStr">
        <is>
          <t>+1yr ≈10% | +2yr ≈17% | +3yr ≈24% of selected configuration price (parts &amp; labor beyond manufacturer standard).</t>
        </is>
      </c>
      <c r="CL206"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06" s="152" t="inlineStr">
        <is>
          <t>12 months manufacturer standard (typical research/commercial humanoid)</t>
        </is>
      </c>
      <c r="CN206" s="203" t="inlineStr">
        <is>
          <t>https://aixzd.com/robot/cue7</t>
        </is>
      </c>
      <c r="CQ206" s="101" t="inlineStr">
        <is>
          <t>Height: 7 ft 2 in | Weight: 163.1 | Degrees of Freedom: Not disclosed | Payload: 13.2 | Max Speed: 3.11 | Battery / Runtime: Not disclosed</t>
        </is>
      </c>
    </row>
    <row r="207" ht="31.5" customHeight="1" s="102">
      <c r="A207" s="145" t="inlineStr">
        <is>
          <t>twolabs_tobi</t>
        </is>
      </c>
      <c r="B207" s="153" t="inlineStr">
        <is>
          <t>Humanoid.guide</t>
        </is>
      </c>
      <c r="C207" s="145" t="inlineStr">
        <is>
          <t>TwoLabs</t>
        </is>
      </c>
      <c r="D207" s="145" t="inlineStr">
        <is>
          <t>Tobi</t>
        </is>
      </c>
      <c r="E207" s="145" t="inlineStr">
        <is>
          <t>[TwoLabs] Tobi (2026)</t>
        </is>
      </c>
      <c r="F207" s="146" t="inlineStr">
        <is>
          <t>humanoid</t>
        </is>
      </c>
      <c r="G207" s="145" t="inlineStr">
        <is>
          <t>USA</t>
        </is>
      </c>
      <c r="H207" s="145" t="n"/>
      <c r="I207" s="148" t="n">
        <v>50000</v>
      </c>
      <c r="J207" s="145" t="inlineStr">
        <is>
          <t>Humanoid.guide list</t>
        </is>
      </c>
      <c r="K207" s="149" t="inlineStr">
        <is>
          <t>Tobi is a socially intelligent semi-humanoid caregiving robot from San Francisco startup Two Labs, built specifically for nursing homes and senior living.</t>
        </is>
      </c>
      <c r="L207" s="101" t="inlineStr">
        <is>
          <t>Tobi is a socially intelligent semi-humanoid caregiving robot from San Francisco startup Two Labs, built specifically for nursing homes and senior living.</t>
        </is>
      </c>
      <c r="M207" s="101" t="inlineStr">
        <is>
          <t>Tobi is a socially intelligent semi-humanoid caregiving robot from San Francisco startup Two Labs, built specifically for nursing homes and senior living. Public status is listed as prototype, and it is positioned for elder care — nursing homes, senior living, assisted living, care facilities.</t>
        </is>
      </c>
      <c r="N207" s="150" t="inlineStr">
        <is>
          <t>https://humanoid.guide/product/tobi/</t>
        </is>
      </c>
      <c r="O207" s="150" t="inlineStr">
        <is>
          <t>https://www.twolabs.ai/</t>
        </is>
      </c>
      <c r="P207" s="145" t="inlineStr">
        <is>
          <t>4 ft 11 in</t>
        </is>
      </c>
      <c r="Q207" s="145" t="n">
        <v>150</v>
      </c>
      <c r="R207" s="145" t="n">
        <v>132.3</v>
      </c>
      <c r="S207" s="145" t="n">
        <v>60</v>
      </c>
      <c r="T207" s="149" t="inlineStr">
        <is>
          <t>Not disclosed</t>
        </is>
      </c>
      <c r="U207" s="145" t="n"/>
      <c r="V207" s="145" t="inlineStr">
        <is>
          <t>16</t>
        </is>
      </c>
      <c r="W207" s="149" t="inlineStr">
        <is>
          <t>6</t>
        </is>
      </c>
      <c r="X207" s="145" t="n">
        <v>11</v>
      </c>
      <c r="Y207" s="145" t="n">
        <v>5</v>
      </c>
      <c r="Z207" s="145" t="n">
        <v>2.49</v>
      </c>
      <c r="AA207" s="145" t="n">
        <v>4</v>
      </c>
      <c r="AB207" s="145" t="n"/>
      <c r="AC207" s="149" t="inlineStr">
        <is>
          <t>≈ 5 hours</t>
        </is>
      </c>
      <c r="AD207" s="149" t="inlineStr">
        <is>
          <t>5</t>
        </is>
      </c>
      <c r="AE207" s="145" t="n"/>
      <c r="AF207" s="145" t="inlineStr">
        <is>
          <t>Not disclosed</t>
        </is>
      </c>
      <c r="AG207" s="149" t="inlineStr">
        <is>
          <t>10</t>
        </is>
      </c>
      <c r="AH207" s="145" t="inlineStr">
        <is>
          <t>10</t>
        </is>
      </c>
      <c r="AI207" s="145" t="n"/>
      <c r="AJ207" s="149" t="inlineStr">
        <is>
          <t>Not disclosed</t>
        </is>
      </c>
      <c r="AK207" s="149" t="n"/>
      <c r="AL207" s="145" t="inlineStr">
        <is>
          <t>Not disclosed</t>
        </is>
      </c>
      <c r="AM207" s="145" t="n"/>
      <c r="AN207" s="145" t="inlineStr">
        <is>
          <t>Not disclosed</t>
        </is>
      </c>
      <c r="AO207" s="145" t="inlineStr">
        <is>
          <t>Not disclosed</t>
        </is>
      </c>
      <c r="AP207" s="145" t="inlineStr">
        <is>
          <t>Not disclosed</t>
        </is>
      </c>
      <c r="AQ207" s="145" t="inlineStr">
        <is>
          <t>Not disclosed</t>
        </is>
      </c>
      <c r="AR207" s="145" t="n"/>
      <c r="AS207" s="145" t="n"/>
      <c r="AT207" s="149" t="inlineStr">
        <is>
          <t>Not disclosed</t>
        </is>
      </c>
      <c r="AU207" s="149" t="inlineStr">
        <is>
          <t>Wi-Fi + Bluetooth + facility network integration</t>
        </is>
      </c>
      <c r="AV207" s="145" t="inlineStr">
        <is>
          <t>Not disclosed</t>
        </is>
      </c>
      <c r="AW207" s="149" t="inlineStr">
        <is>
          <t>Not disclosed</t>
        </is>
      </c>
      <c r="AX207" s="145" t="n"/>
      <c r="AY207" s="149" t="inlineStr">
        <is>
          <t>Not disclosed</t>
        </is>
      </c>
      <c r="AZ207" s="149" t="inlineStr">
        <is>
          <t>Yes</t>
        </is>
      </c>
      <c r="BA207" s="149" t="n"/>
      <c r="BB207" s="149" t="inlineStr">
        <is>
          <t>Not officially published — qualified estimate brushless DC servo motors</t>
        </is>
      </c>
      <c r="BC207" s="149" t="inlineStr">
        <is>
          <t>harmonic / planetary reducers per arm joint</t>
        </is>
      </c>
      <c r="BD207" s="145" t="inlineStr">
        <is>
          <t>Aluminum frame with soft-touch polymer covers</t>
        </is>
      </c>
      <c r="BE207" s="145" t="inlineStr">
        <is>
          <t>Not disclosed</t>
        </is>
      </c>
      <c r="BF207" s="145" t="n"/>
      <c r="BG207" s="145" t="n"/>
      <c r="BH207" s="145" t="n"/>
      <c r="BI207" s="145" t="n"/>
      <c r="BJ207" s="145" t="n"/>
      <c r="BK207" s="145" t="n"/>
      <c r="BL207" s="145" t="n"/>
      <c r="BM207" s="145" t="inlineStr">
        <is>
          <t>Yes</t>
        </is>
      </c>
      <c r="BN207" s="145" t="inlineStr">
        <is>
          <t>Not disclosed</t>
        </is>
      </c>
      <c r="BO207" s="149" t="inlineStr">
        <is>
          <t>Market: Elder care — nursing homes, senior living, assisted living, care facilities · Human-safe: Yes · AI: Yes · Actuation: Not officially published — qualified estimate brushless DC servo motors · Peak 4 km/h · Runtime 5</t>
        </is>
      </c>
      <c r="BP207" s="145" t="n"/>
      <c r="BQ207" s="149" t="inlineStr">
        <is>
          <t>Elder care — nursing homes, senior living, assisted living, care facilities</t>
        </is>
      </c>
      <c r="BR207" s="149" t="inlineStr">
        <is>
          <t>Prototype</t>
        </is>
      </c>
      <c r="BS207" s="149" t="inlineStr">
        <is>
          <t>Prototype</t>
        </is>
      </c>
      <c r="BT207" s="145" t="n"/>
      <c r="BU207" s="145" t="n"/>
      <c r="BV207" s="149" t="n"/>
      <c r="BW207" s="149" t="inlineStr">
        <is>
          <t>Origin &amp; status — USA · Prototype · 2026 | Manipulation — 10 · 10 fingers · Hand DOF 6 · Payload 11 lb | Sensing &amp; software — Yes | Buying notes — From $50,000 · 12 months manufacturer standard (typical research/commercial humanoid) · Best fit: Elder care — nursing homes, senior living, assisted living, care…</t>
        </is>
      </c>
      <c r="BX207" s="149" t="inlineStr">
        <is>
          <t>as_shipped|Tobi|50000|As shipped</t>
        </is>
      </c>
      <c r="BY207" s="145" t="inlineStr">
        <is>
          <t>tobi|Manufacturer finish|#e2e8f0|0</t>
        </is>
      </c>
      <c r="BZ207" s="145" t="inlineStr"/>
      <c r="CA207" s="149" t="n"/>
      <c r="CB207" s="149" t="inlineStr">
        <is>
          <t>12 months manufacturer standard (typical research/commercial humanoid)</t>
        </is>
      </c>
      <c r="CC207" s="147" t="n">
        <v>12</v>
      </c>
      <c r="CD207" s="149" t="inlineStr">
        <is>
          <t>+3 Year Extended ≈24% of configuration (default in configurator)</t>
        </is>
      </c>
      <c r="CE207" s="145" t="inlineStr">
        <is>
          <t>Humanoid category norm 2025–2026</t>
        </is>
      </c>
      <c r="CF207" s="145" t="inlineStr">
        <is>
          <t>Estimated</t>
        </is>
      </c>
      <c r="CG207" s="149" t="inlineStr">
        <is>
          <t>Confirm on formal OEM quote. EDU or enterprise packages may differ.</t>
        </is>
      </c>
      <c r="CH207" s="145" t="inlineStr">
        <is>
          <t>10%</t>
        </is>
      </c>
      <c r="CI207" s="145" t="inlineStr">
        <is>
          <t>17%</t>
        </is>
      </c>
      <c r="CJ207" s="145" t="inlineStr">
        <is>
          <t>24%</t>
        </is>
      </c>
      <c r="CK207" s="149" t="inlineStr">
        <is>
          <t>+1yr ≈10% | +2yr ≈17% | +3yr ≈24% of selected configuration price (parts &amp; labor beyond manufacturer standard).</t>
        </is>
      </c>
      <c r="CL207"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07" s="145" t="inlineStr">
        <is>
          <t>12 months manufacturer standard (typical research/commercial humanoid)</t>
        </is>
      </c>
      <c r="CQ207" s="101" t="inlineStr">
        <is>
          <t>Height: 4 ft 11 in | Weight: 132.3 | Degrees of Freedom: 16 | Payload: 11 | Max Speed: 2.49 | Battery / Runtime: ≈ 5 hours</t>
        </is>
      </c>
    </row>
    <row r="208" ht="31.5" customHeight="1" s="102">
      <c r="A208" s="159" t="inlineStr">
        <is>
          <t>walker_s2</t>
        </is>
      </c>
      <c r="B208" s="144" t="inlineStr">
        <is>
          <t>Both</t>
        </is>
      </c>
      <c r="C208" s="152" t="inlineStr">
        <is>
          <t>UBTECH</t>
        </is>
      </c>
      <c r="D208" s="152" t="inlineStr">
        <is>
          <t>Walker S2</t>
        </is>
      </c>
      <c r="E208" s="152" t="inlineStr">
        <is>
          <t>[UBTECH] Walker S2 (2025)</t>
        </is>
      </c>
      <c r="F208" s="146" t="inlineStr">
        <is>
          <t>humanoid</t>
        </is>
      </c>
      <c r="G208" s="152" t="inlineStr">
        <is>
          <t>China</t>
        </is>
      </c>
      <c r="H208" s="154" t="n">
        <v>2025</v>
      </c>
      <c r="I208" s="155" t="n">
        <v>150000</v>
      </c>
      <c r="J208" s="152" t="inlineStr">
        <is>
          <t>Robot Price Index Aug 2026 · entry</t>
        </is>
      </c>
      <c r="K208" s="156" t="inlineStr">
        <is>
          <t>Industrial humanoid with a 52‑DOF body, dexterous hands and an autonomous battery‑swap system, enabling near‑24/7 factory uptime while handling up to 15 kg within a human‑scale workspace.</t>
        </is>
      </c>
      <c r="L208" s="101" t="inlineStr">
        <is>
          <t>Industrial humanoid with a 52‑DOF body, dexterous hands and an autonomous battery‑swap system, enabling near‑24/7 factory uptime while handling up to 15 kg within a human‑scale workspace.</t>
        </is>
      </c>
      <c r="M208" s="101" t="inlineStr">
        <is>
          <t>Walker S2 is UBTECH's humanoid, introduced around 2025 in China. Industrial humanoid with a 52‑DOF body, dexterous hands and an autonomous battery‑swap system, enabling near‑24/7 factory uptime while handling up to 15 kg within a human‑scale workspace. Public status is listed as prototype, and it is positioned for industries; Lgistics.</t>
        </is>
      </c>
      <c r="N208" s="157" t="inlineStr">
        <is>
          <t>https://humanoid.guide/product/walker-s2/</t>
        </is>
      </c>
      <c r="O208" s="157" t="inlineStr">
        <is>
          <t>https://www.ubtrobot.com</t>
        </is>
      </c>
      <c r="P208" s="152" t="inlineStr">
        <is>
          <t>≈ 5 ft 9 in</t>
        </is>
      </c>
      <c r="Q208" s="152" t="n">
        <v>176</v>
      </c>
      <c r="R208" s="152" t="n">
        <v>94.8</v>
      </c>
      <c r="S208" s="152" t="n">
        <v>43</v>
      </c>
      <c r="T208" s="156" t="inlineStr">
        <is>
          <t>Not disclosed</t>
        </is>
      </c>
      <c r="U208" s="152" t="inlineStr">
        <is>
          <t>Not specified</t>
        </is>
      </c>
      <c r="V208" s="152" t="inlineStr">
        <is>
          <t>≈ 52</t>
        </is>
      </c>
      <c r="W208" s="156" t="inlineStr">
        <is>
          <t>22</t>
        </is>
      </c>
      <c r="X208" s="152" t="n">
        <v>33.1</v>
      </c>
      <c r="Y208" s="152" t="n">
        <v>15</v>
      </c>
      <c r="Z208" s="152" t="n">
        <v>4.47</v>
      </c>
      <c r="AA208" s="152" t="n">
        <v>7.2</v>
      </c>
      <c r="AB208" s="152" t="n">
        <v>7.2</v>
      </c>
      <c r="AC208" s="156" t="inlineStr">
        <is>
          <t>≈ 2 hours</t>
        </is>
      </c>
      <c r="AD208" s="156" t="inlineStr">
        <is>
          <t>2</t>
        </is>
      </c>
      <c r="AE208" s="152" t="n"/>
      <c r="AF208" s="152" t="inlineStr">
        <is>
          <t>Not disclosed</t>
        </is>
      </c>
      <c r="AG208" s="156" t="inlineStr">
        <is>
          <t>Manipulator options for service tasks</t>
        </is>
      </c>
      <c r="AH208" s="152" t="inlineStr">
        <is>
          <t>10</t>
        </is>
      </c>
      <c r="AI208" s="158" t="n">
        <v>2</v>
      </c>
      <c r="AJ208" s="156" t="inlineStr">
        <is>
          <t>Service-robot camera suite</t>
        </is>
      </c>
      <c r="AK208" s="156" t="inlineStr">
        <is>
          <t>Dual RGB stereo</t>
        </is>
      </c>
      <c r="AL208" s="152" t="inlineStr">
        <is>
          <t>Not disclosed</t>
        </is>
      </c>
      <c r="AM208" s="152" t="n"/>
      <c r="AN208" s="152" t="inlineStr">
        <is>
          <t>Not disclosed</t>
        </is>
      </c>
      <c r="AO208" s="152" t="inlineStr">
        <is>
          <t>Voice interaction hardware</t>
        </is>
      </c>
      <c r="AP208" s="152" t="inlineStr">
        <is>
          <t>Not disclosed</t>
        </is>
      </c>
      <c r="AQ208" s="152" t="inlineStr">
        <is>
          <t>Not disclosed</t>
        </is>
      </c>
      <c r="AR208" s="152" t="n"/>
      <c r="AS208" s="152" t="n"/>
      <c r="AT208" s="156" t="inlineStr">
        <is>
          <t>Not disclosed</t>
        </is>
      </c>
      <c r="AU208" s="156" t="inlineStr">
        <is>
          <t>Bluetooth; WiFi</t>
        </is>
      </c>
      <c r="AV208" s="152" t="inlineStr">
        <is>
          <t>UBTECH service and research software</t>
        </is>
      </c>
      <c r="AW208" s="156" t="inlineStr">
        <is>
          <t>Bipedal walking for indoor service environments</t>
        </is>
      </c>
      <c r="AX208" s="158" t="n">
        <v>2</v>
      </c>
      <c r="AY208" s="156" t="inlineStr">
        <is>
          <t>Not disclosed</t>
        </is>
      </c>
      <c r="AZ208" s="156" t="inlineStr">
        <is>
          <t>Not disclosed</t>
        </is>
      </c>
      <c r="BA208" s="156" t="inlineStr">
        <is>
          <t>Not specified</t>
        </is>
      </c>
      <c r="BB208" s="156" t="inlineStr">
        <is>
          <t>Not disclosed</t>
        </is>
      </c>
      <c r="BC208" s="156" t="inlineStr">
        <is>
          <t>Not disclosed</t>
        </is>
      </c>
      <c r="BD208" s="152" t="inlineStr">
        <is>
          <t>Not disclosed</t>
        </is>
      </c>
      <c r="BE208" s="152" t="inlineStr">
        <is>
          <t>Not disclosed</t>
        </is>
      </c>
      <c r="BF208" s="152" t="inlineStr">
        <is>
          <t>Not specified</t>
        </is>
      </c>
      <c r="BG208" s="152" t="n"/>
      <c r="BH208" s="152" t="n"/>
      <c r="BI208" s="152" t="n"/>
      <c r="BJ208" s="152" t="n"/>
      <c r="BK208" s="152" t="n"/>
      <c r="BL208" s="152" t="n"/>
      <c r="BM208" s="152" t="inlineStr">
        <is>
          <t>Not disclosed</t>
        </is>
      </c>
      <c r="BN208" s="152" t="inlineStr">
        <is>
          <t>Not disclosed</t>
        </is>
      </c>
      <c r="BO208" s="156" t="inlineStr">
        <is>
          <t>Market: Industries; Lgistics. · Manipulation 2/4 · Navigation 2/4 · Human-safe: Not specified · AI: Not specified · Actuation: Not specified · Peak 7.2 km/h · Walk 7.2 km/h · Runtime 2</t>
        </is>
      </c>
      <c r="BP208" s="152" t="n"/>
      <c r="BQ208" s="156" t="inlineStr">
        <is>
          <t>Industries; Lgistics.</t>
        </is>
      </c>
      <c r="BR208" s="156" t="inlineStr">
        <is>
          <t>Prototype</t>
        </is>
      </c>
      <c r="BS208" s="156" t="inlineStr">
        <is>
          <t>Prototype</t>
        </is>
      </c>
      <c r="BT208" s="152" t="inlineStr">
        <is>
          <t>Not specified</t>
        </is>
      </c>
      <c r="BU208" s="152" t="inlineStr">
        <is>
          <t>Not verified</t>
        </is>
      </c>
      <c r="BV208" s="156" t="inlineStr">
        <is>
          <t>Humanoid.guide listed price $80,000.</t>
        </is>
      </c>
      <c r="BW208" s="156" t="inlineStr">
        <is>
          <t>Origin &amp; status — China · Prototype · 2025 | Manipulation — Manipulator options for service tasks · 10 fingers · Hand DOF 22 · Payload Service-task payload class (confirm configuration) lb | Sensing &amp; software — Service-robot camera suite · UBTECH service and research software | Buying notes — From $68,000 · 12 months manufacturer standard (typical research/commercial humanoid) · Best fit: Industries</t>
        </is>
      </c>
      <c r="BX208" s="156" t="inlineStr">
        <is>
          <t>s2|Walker S2|150000|Industrial humanoid</t>
        </is>
      </c>
      <c r="BY208" s="152" t="inlineStr">
        <is>
          <t>white|Walker White|#f8fafc|0</t>
        </is>
      </c>
      <c r="BZ208" s="152" t="inlineStr">
        <is>
          <t>battery, controller</t>
        </is>
      </c>
      <c r="CA208" s="156" t="inlineStr">
        <is>
          <t>2 color options; Multi-year extended warranty available</t>
        </is>
      </c>
      <c r="CB208" s="156" t="inlineStr">
        <is>
          <t>12 months manufacturer standard (typical research/commercial humanoid)</t>
        </is>
      </c>
      <c r="CC208" s="154" t="n">
        <v>12</v>
      </c>
      <c r="CD208" s="156" t="inlineStr">
        <is>
          <t>+3 Year Extended ≈24% of configuration (default in configurator)</t>
        </is>
      </c>
      <c r="CE208" s="152" t="inlineStr">
        <is>
          <t>Humanoid category norm 2025–2026</t>
        </is>
      </c>
      <c r="CF208" s="152" t="inlineStr">
        <is>
          <t>Estimated</t>
        </is>
      </c>
      <c r="CG208" s="156" t="inlineStr">
        <is>
          <t>EDU or enterprise packages may differ; confirm on formal quote.</t>
        </is>
      </c>
      <c r="CH208" s="152" t="inlineStr">
        <is>
          <t>10%</t>
        </is>
      </c>
      <c r="CI208" s="152" t="inlineStr">
        <is>
          <t>17%</t>
        </is>
      </c>
      <c r="CJ208" s="152" t="inlineStr">
        <is>
          <t>24%</t>
        </is>
      </c>
      <c r="CK208"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08"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08" s="152" t="inlineStr">
        <is>
          <t>12 months manufacturer standard (typical research/commercial humanoid)</t>
        </is>
      </c>
      <c r="CN208" s="203" t="inlineStr">
        <is>
          <t>https://aixzd.com/robot/walker-s2</t>
        </is>
      </c>
      <c r="CO208" s="203" t="inlineStr">
        <is>
          <t>https://theresanaiforthat.com/robots/</t>
        </is>
      </c>
      <c r="CP208" s="203" t="inlineStr">
        <is>
          <t>Cross-checked against TAAFT Robots directory (669 entries) 28 Aug 2026 — individual TAAFT permalinks are JS/Cloudflare gated.</t>
        </is>
      </c>
      <c r="CQ208" s="101" t="inlineStr">
        <is>
          <t>Height: ≈ 5 ft 9 in | Weight: 94.8 | Degrees of Freedom: ≈ 52 | Payload: 33.1 | Max Speed: 4.47 | Battery / Runtime: ≈ 2 hours</t>
        </is>
      </c>
    </row>
    <row r="209" ht="31.5" customHeight="1" s="102">
      <c r="A209" s="145" t="inlineStr">
        <is>
          <t>ubtech_robotics_cruzr_s2</t>
        </is>
      </c>
      <c r="B209" s="153" t="inlineStr">
        <is>
          <t>Humanoid.guide</t>
        </is>
      </c>
      <c r="C209" s="145" t="inlineStr">
        <is>
          <t>UBTECH</t>
        </is>
      </c>
      <c r="D209" s="145" t="inlineStr">
        <is>
          <t>Cruzr S2</t>
        </is>
      </c>
      <c r="E209" s="145" t="inlineStr">
        <is>
          <t>[UBTECH] Cruzr S2 (2026)</t>
        </is>
      </c>
      <c r="F209" s="146" t="inlineStr">
        <is>
          <t>humanoid</t>
        </is>
      </c>
      <c r="G209" s="145" t="inlineStr">
        <is>
          <t>China</t>
        </is>
      </c>
      <c r="H209" s="145" t="n"/>
      <c r="I209" s="148" t="n">
        <v>200000</v>
      </c>
      <c r="J209" s="145" t="inlineStr">
        <is>
          <t>Humanoid.guide list</t>
        </is>
      </c>
      <c r="K209" s="149" t="inlineStr">
        <is>
          <t>The Cruzr S2 is a full-sized, wheeled humanoid robot developed by UBTECH Robotics for industrial and commercial automation.</t>
        </is>
      </c>
      <c r="L209" s="101" t="inlineStr">
        <is>
          <t>The Cruzr S2 is a full-sized, wheeled humanoid robot developed by UBTECH Robotics for industrial and commercial automation.</t>
        </is>
      </c>
      <c r="M209" s="101" t="inlineStr">
        <is>
          <t>The Cruzr S2 is a full-sized, wheeled humanoid robot developed by UBTECH Robotics for industrial and commercial automation. Public status is listed as in production, and it is positioned for healthcare; Industrial; logistics.</t>
        </is>
      </c>
      <c r="N209" s="150" t="inlineStr">
        <is>
          <t>https://humanoid.guide/product/cruzr-s2/</t>
        </is>
      </c>
      <c r="O209" s="150" t="inlineStr">
        <is>
          <t>https://www.ubtrobot.com</t>
        </is>
      </c>
      <c r="P209" s="145" t="inlineStr">
        <is>
          <t>5 ft 9 in</t>
        </is>
      </c>
      <c r="Q209" s="145" t="n">
        <v>175</v>
      </c>
      <c r="R209" s="145" t="n">
        <v>330.7</v>
      </c>
      <c r="S209" s="145" t="n">
        <v>150</v>
      </c>
      <c r="T209" s="149" t="inlineStr">
        <is>
          <t>Not disclosed</t>
        </is>
      </c>
      <c r="U209" s="145" t="inlineStr">
        <is>
          <t>190 x 90 x 90 cm (approx.)</t>
        </is>
      </c>
      <c r="V209" s="145" t="inlineStr">
        <is>
          <t>&amp;gt;20</t>
        </is>
      </c>
      <c r="W209" s="149" t="inlineStr">
        <is>
          <t>&amp;gt;10</t>
        </is>
      </c>
      <c r="X209" s="145" t="n">
        <v>33.1</v>
      </c>
      <c r="Y209" s="145" t="n">
        <v>15</v>
      </c>
      <c r="Z209" s="145" t="n">
        <v>4.47</v>
      </c>
      <c r="AA209" s="145" t="n">
        <v>7.2</v>
      </c>
      <c r="AB209" s="145" t="n">
        <v>7.2</v>
      </c>
      <c r="AC209" s="149" t="inlineStr">
        <is>
          <t>≈ 6 hours</t>
        </is>
      </c>
      <c r="AD209" s="149" t="inlineStr">
        <is>
          <t>6</t>
        </is>
      </c>
      <c r="AE209" s="145" t="n"/>
      <c r="AF209" s="145" t="inlineStr">
        <is>
          <t>Not disclosed</t>
        </is>
      </c>
      <c r="AG209" s="149" t="inlineStr">
        <is>
          <t>5 per hand</t>
        </is>
      </c>
      <c r="AH209" s="145" t="inlineStr">
        <is>
          <t>5 per hand</t>
        </is>
      </c>
      <c r="AI209" s="158" t="n">
        <v>2</v>
      </c>
      <c r="AJ209" s="149" t="inlineStr">
        <is>
          <t>1920x1080 (Full HD)</t>
        </is>
      </c>
      <c r="AK209" s="149" t="inlineStr">
        <is>
          <t>1920x1080 (Full HD)</t>
        </is>
      </c>
      <c r="AL209" s="145" t="inlineStr">
        <is>
          <t>Not disclosed</t>
        </is>
      </c>
      <c r="AM209" s="145" t="n"/>
      <c r="AN209" s="145" t="inlineStr">
        <is>
          <t>Not disclosed</t>
        </is>
      </c>
      <c r="AO209" s="145" t="inlineStr">
        <is>
          <t>Not disclosed</t>
        </is>
      </c>
      <c r="AP209" s="145" t="inlineStr">
        <is>
          <t>Not disclosed</t>
        </is>
      </c>
      <c r="AQ209" s="145" t="inlineStr">
        <is>
          <t>Not disclosed</t>
        </is>
      </c>
      <c r="AR209" s="145" t="n"/>
      <c r="AS209" s="145" t="n"/>
      <c r="AT209" s="149" t="inlineStr">
        <is>
          <t>Industrial CPU + optional AI accelerator (assumed)</t>
        </is>
      </c>
      <c r="AU209" s="149" t="inlineStr">
        <is>
          <t>Bluetooth; Ethernet; Wi‑Fi</t>
        </is>
      </c>
      <c r="AV209" s="145" t="inlineStr">
        <is>
          <t>Not disclosed</t>
        </is>
      </c>
      <c r="AW209" s="149" t="inlineStr">
        <is>
          <t>Not disclosed</t>
        </is>
      </c>
      <c r="AX209" s="162" t="n">
        <v>1</v>
      </c>
      <c r="AY209" s="149" t="inlineStr">
        <is>
          <t>ROS/Linux/UBTECH OS</t>
        </is>
      </c>
      <c r="AZ209" s="149" t="inlineStr">
        <is>
          <t>Yes</t>
        </is>
      </c>
      <c r="BA209" s="149" t="inlineStr">
        <is>
          <t>&amp;lt;100 ms</t>
        </is>
      </c>
      <c r="BB209" s="149" t="inlineStr">
        <is>
          <t>High-torque servo motors</t>
        </is>
      </c>
      <c r="BC209" s="149" t="inlineStr">
        <is>
          <t>Harmonic Drive / Planetary Gearboxes</t>
        </is>
      </c>
      <c r="BD209" s="145" t="inlineStr">
        <is>
          <t>Aluminum alloys and industrial composites</t>
        </is>
      </c>
      <c r="BE209" s="145" t="inlineStr">
        <is>
          <t>IP54</t>
        </is>
      </c>
      <c r="BF209" s="145" t="inlineStr">
        <is>
          <t>IP54</t>
        </is>
      </c>
      <c r="BG209" s="145" t="n"/>
      <c r="BH209" s="145" t="n"/>
      <c r="BI209" s="145" t="n"/>
      <c r="BJ209" s="145" t="n"/>
      <c r="BK209" s="145" t="n"/>
      <c r="BL209" s="145" t="n"/>
      <c r="BM209" s="145" t="inlineStr">
        <is>
          <t>Yes</t>
        </is>
      </c>
      <c r="BN209" s="145" t="inlineStr">
        <is>
          <t>Not disclosed</t>
        </is>
      </c>
      <c r="BO209" s="149" t="inlineStr">
        <is>
          <t>Market: healthcare; Industrial; logistics · Manipulation 2/4 · Navigation 1/4 · Human-safe: Yes · AI: Yes · Actuation: High-torque servo motors · Peak 7.2 km/h · Walk 7.2 km/h · Runtime 6</t>
        </is>
      </c>
      <c r="BP209" s="145" t="n"/>
      <c r="BQ209" s="149" t="inlineStr">
        <is>
          <t>healthcare; Industrial; logistics</t>
        </is>
      </c>
      <c r="BR209" s="149" t="inlineStr">
        <is>
          <t>In production</t>
        </is>
      </c>
      <c r="BS209" s="149" t="inlineStr">
        <is>
          <t>In production</t>
        </is>
      </c>
      <c r="BT209" s="145" t="inlineStr">
        <is>
          <t>White and Black/Gray</t>
        </is>
      </c>
      <c r="BU209" s="145" t="inlineStr">
        <is>
          <t>Not verified</t>
        </is>
      </c>
      <c r="BV209" s="149" t="n"/>
      <c r="BW209" s="149" t="inlineStr">
        <is>
          <t>Origin &amp; status — China · In production · 2026 | Manipulation — 5 per hand · 5 per hand fingers · Hand DOF &amp;gt;10 · Payload 33.1 lb | Sensing &amp; software — 1920x1080 (Full HD) · Yes · ROS/Linux/UBTECH OS | Buying notes — From $200,000 · 12 months manufacturer standard (typical research/commercial humanoid) · Best fit: healthcare</t>
        </is>
      </c>
      <c r="BX209" s="149" t="inlineStr">
        <is>
          <t>as_shipped|Cruzr S2|200000|As shipped</t>
        </is>
      </c>
      <c r="BY209" s="145" t="inlineStr">
        <is>
          <t>white_and_black|White and Black|#e2e8f0|0 || gray|Gray|#1e293b|0</t>
        </is>
      </c>
      <c r="BZ209" s="145" t="inlineStr"/>
      <c r="CA209" s="149" t="n"/>
      <c r="CB209" s="149" t="inlineStr">
        <is>
          <t>12 months manufacturer standard (typical research/commercial humanoid)</t>
        </is>
      </c>
      <c r="CC209" s="147" t="n">
        <v>12</v>
      </c>
      <c r="CD209" s="149" t="inlineStr">
        <is>
          <t>+3 Year Extended ≈24% of configuration (default in configurator)</t>
        </is>
      </c>
      <c r="CE209" s="145" t="inlineStr">
        <is>
          <t>Humanoid category norm 2025–2026</t>
        </is>
      </c>
      <c r="CF209" s="145" t="inlineStr">
        <is>
          <t>Estimated</t>
        </is>
      </c>
      <c r="CG209" s="149" t="inlineStr">
        <is>
          <t>Confirm on formal OEM quote. EDU or enterprise packages may differ.</t>
        </is>
      </c>
      <c r="CH209" s="145" t="inlineStr">
        <is>
          <t>10%</t>
        </is>
      </c>
      <c r="CI209" s="145" t="inlineStr">
        <is>
          <t>17%</t>
        </is>
      </c>
      <c r="CJ209" s="145" t="inlineStr">
        <is>
          <t>24%</t>
        </is>
      </c>
      <c r="CK209" s="149" t="inlineStr">
        <is>
          <t>+1yr ≈10% | +2yr ≈17% | +3yr ≈24% of selected configuration price (parts &amp; labor beyond manufacturer standard).</t>
        </is>
      </c>
      <c r="CL20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09" s="145" t="inlineStr">
        <is>
          <t>12 months manufacturer standard (typical research/commercial humanoid)</t>
        </is>
      </c>
      <c r="CN209" s="203" t="inlineStr">
        <is>
          <t>https://aixzd.com/robot/cruzr-s2</t>
        </is>
      </c>
      <c r="CO209" s="203" t="inlineStr">
        <is>
          <t>https://theresanaiforthat.com/robots/</t>
        </is>
      </c>
      <c r="CP209" s="203" t="inlineStr">
        <is>
          <t>Cross-checked against TAAFT Robots directory (669 entries) 28 Aug 2026 — individual TAAFT permalinks are JS/Cloudflare gated.</t>
        </is>
      </c>
      <c r="CQ209" s="101" t="inlineStr">
        <is>
          <t>Height: 5 ft 9 in | Weight: 330.7 | Degrees of Freedom: &amp;gt;20 | Payload: 33.1 | Max Speed: 4.47 | Battery / Runtime: ≈ 6 hours</t>
        </is>
      </c>
    </row>
    <row r="210" ht="31.5" customHeight="1" s="102">
      <c r="A210" s="152" t="inlineStr">
        <is>
          <t>ubtech_robotics_cruzr_y1</t>
        </is>
      </c>
      <c r="B210" s="153" t="inlineStr">
        <is>
          <t>Humanoid.guide</t>
        </is>
      </c>
      <c r="C210" s="152" t="inlineStr">
        <is>
          <t>UBTECH</t>
        </is>
      </c>
      <c r="D210" s="152" t="inlineStr">
        <is>
          <t>Cruzr Y1</t>
        </is>
      </c>
      <c r="E210" s="152" t="inlineStr">
        <is>
          <t>[UBTECH] Cruzr Y1 (2026)</t>
        </is>
      </c>
      <c r="F210" s="146" t="inlineStr">
        <is>
          <t>humanoid</t>
        </is>
      </c>
      <c r="G210" s="152" t="inlineStr">
        <is>
          <t>China</t>
        </is>
      </c>
      <c r="H210" s="152" t="n"/>
      <c r="I210" s="155" t="n">
        <v>55000</v>
      </c>
      <c r="J210" s="152" t="inlineStr">
        <is>
          <t>Humanoid.guide list</t>
        </is>
      </c>
      <c r="K210" s="156" t="inlineStr">
        <is>
          <t>The UBTECH Cruzr Y1 is a wheeled industrial humanoid robot built for manufacturing and logistics.</t>
        </is>
      </c>
      <c r="L210" s="101" t="inlineStr">
        <is>
          <t>The UBTECH Cruzr Y1 is a wheeled industrial humanoid robot built for manufacturing and logistics.</t>
        </is>
      </c>
      <c r="M210" s="101" t="inlineStr">
        <is>
          <t>Cruzr Y1 is UBTECH's humanoid, introduced around 2026 in China. The UBTECH Cruzr Y1 is a wheeled industrial humanoid robot built for manufacturing and logistics. Public status is listed as in production, and it is positioned for logistics; Manufacturing.</t>
        </is>
      </c>
      <c r="N210" s="157" t="inlineStr">
        <is>
          <t>https://humanoid.guide/product/cruzr-y1/</t>
        </is>
      </c>
      <c r="O210" s="157" t="inlineStr">
        <is>
          <t>https://www.ubtrobot.com</t>
        </is>
      </c>
      <c r="P210" s="152" t="inlineStr">
        <is>
          <t>5 ft 7 in</t>
        </is>
      </c>
      <c r="Q210" s="152" t="n">
        <v>170</v>
      </c>
      <c r="R210" s="152" t="n">
        <v>198.4</v>
      </c>
      <c r="S210" s="152" t="n">
        <v>90</v>
      </c>
      <c r="T210" s="156" t="inlineStr">
        <is>
          <t>Not disclosed</t>
        </is>
      </c>
      <c r="U210" s="152" t="n"/>
      <c r="V210" s="152" t="inlineStr">
        <is>
          <t>14</t>
        </is>
      </c>
      <c r="W210" s="156" t="inlineStr">
        <is>
          <t>7</t>
        </is>
      </c>
      <c r="X210" s="152" t="n">
        <v>22</v>
      </c>
      <c r="Y210" s="152" t="n">
        <v>10</v>
      </c>
      <c r="Z210" s="152" t="n">
        <v>3.36</v>
      </c>
      <c r="AA210" s="152" t="n">
        <v>5.4</v>
      </c>
      <c r="AB210" s="152" t="n"/>
      <c r="AC210" s="156" t="inlineStr">
        <is>
          <t>≈ 4 hours</t>
        </is>
      </c>
      <c r="AD210" s="156" t="inlineStr">
        <is>
          <t>4</t>
        </is>
      </c>
      <c r="AE210" s="152" t="n"/>
      <c r="AF210" s="152" t="inlineStr">
        <is>
          <t>Not disclosed</t>
        </is>
      </c>
      <c r="AG210" s="156" t="inlineStr">
        <is>
          <t>5 per hand</t>
        </is>
      </c>
      <c r="AH210" s="152" t="inlineStr">
        <is>
          <t>5 per hand</t>
        </is>
      </c>
      <c r="AI210" s="152" t="n"/>
      <c r="AJ210" s="156" t="inlineStr">
        <is>
          <t>RGBD head camera + 2 RGBD wrist cameras</t>
        </is>
      </c>
      <c r="AK210" s="156" t="inlineStr">
        <is>
          <t>RGBD head camera + 2 RGBD wrist cameras</t>
        </is>
      </c>
      <c r="AL210" s="152" t="inlineStr">
        <is>
          <t>Not disclosed</t>
        </is>
      </c>
      <c r="AM210" s="152" t="n"/>
      <c r="AN210" s="152" t="inlineStr">
        <is>
          <t>Not disclosed</t>
        </is>
      </c>
      <c r="AO210" s="152" t="inlineStr">
        <is>
          <t>Not disclosed</t>
        </is>
      </c>
      <c r="AP210" s="152" t="inlineStr">
        <is>
          <t>Not disclosed</t>
        </is>
      </c>
      <c r="AQ210" s="152" t="inlineStr">
        <is>
          <t>Not disclosed</t>
        </is>
      </c>
      <c r="AR210" s="152" t="n"/>
      <c r="AS210" s="152" t="n"/>
      <c r="AT210" s="156" t="inlineStr">
        <is>
          <t>D-Robotics S100P + S600 AI computing chips</t>
        </is>
      </c>
      <c r="AU210" s="156" t="inlineStr">
        <is>
          <t>5G; Wi‑Fi</t>
        </is>
      </c>
      <c r="AV210" s="152" t="inlineStr">
        <is>
          <t>Not disclosed</t>
        </is>
      </c>
      <c r="AW210" s="156" t="inlineStr">
        <is>
          <t>Not disclosed</t>
        </is>
      </c>
      <c r="AX210" s="152" t="n"/>
      <c r="AY210" s="156" t="inlineStr">
        <is>
          <t>Proprietary UBTECH industrial robotics platform</t>
        </is>
      </c>
      <c r="AZ210" s="156" t="inlineStr">
        <is>
          <t>Yes (AI language-vision-action models)</t>
        </is>
      </c>
      <c r="BA210" s="156" t="n"/>
      <c r="BB210" s="156" t="inlineStr">
        <is>
          <t>Electric servo motors</t>
        </is>
      </c>
      <c r="BC210" s="156" t="inlineStr">
        <is>
          <t>Harmonic drives in arms</t>
        </is>
      </c>
      <c r="BD210" s="152" t="inlineStr">
        <is>
          <t>Aluminum alloy and industrial steel</t>
        </is>
      </c>
      <c r="BE210" s="152" t="inlineStr">
        <is>
          <t>Not disclosed</t>
        </is>
      </c>
      <c r="BF210" s="152" t="n"/>
      <c r="BG210" s="152" t="n"/>
      <c r="BH210" s="152" t="n"/>
      <c r="BI210" s="152" t="n"/>
      <c r="BJ210" s="152" t="n"/>
      <c r="BK210" s="152" t="n"/>
      <c r="BL210" s="152" t="n"/>
      <c r="BM210" s="152" t="inlineStr">
        <is>
          <t>Yes</t>
        </is>
      </c>
      <c r="BN210" s="152" t="inlineStr">
        <is>
          <t>Not disclosed</t>
        </is>
      </c>
      <c r="BO210" s="156" t="inlineStr">
        <is>
          <t>Market: logistics; Manufacturing · Human-safe: Yes · AI: Yes (AI language-vision-action models) · Actuation: Electric servo motors · Peak 5.4 km/h · Runtime 4</t>
        </is>
      </c>
      <c r="BP210" s="152" t="n"/>
      <c r="BQ210" s="156" t="inlineStr">
        <is>
          <t>logistics; Manufacturing</t>
        </is>
      </c>
      <c r="BR210" s="156" t="inlineStr">
        <is>
          <t>In production</t>
        </is>
      </c>
      <c r="BS210" s="156" t="inlineStr">
        <is>
          <t>In production</t>
        </is>
      </c>
      <c r="BT210" s="152" t="inlineStr">
        <is>
          <t>Grey</t>
        </is>
      </c>
      <c r="BU210" s="152" t="inlineStr">
        <is>
          <t>Not verified</t>
        </is>
      </c>
      <c r="BV210" s="156" t="n"/>
      <c r="BW210" s="156" t="inlineStr">
        <is>
          <t>Origin &amp; status — China · In production · 2026 | Manipulation — 5 per hand · 5 per hand fingers · Hand DOF 7 · Payload 22 lb | Sensing &amp; software — RGBD head camera + 2 RGBD wrist cameras · Yes (AI language-vision-action models) · Proprietary UBTECH industrial robotics platform | Buying notes — From $55,000 · 12 months manufacturer standard (typical research/commercial humanoid) · Best fit: logistics</t>
        </is>
      </c>
      <c r="BX210" s="156" t="inlineStr">
        <is>
          <t>as_shipped|Cruzr Y1|55000|As shipped</t>
        </is>
      </c>
      <c r="BY210" s="152" t="inlineStr">
        <is>
          <t>grey|Grey|#e2e8f0|0</t>
        </is>
      </c>
      <c r="BZ210" s="152" t="inlineStr"/>
      <c r="CA210" s="156" t="n"/>
      <c r="CB210" s="156" t="inlineStr">
        <is>
          <t>12 months manufacturer standard (typical research/commercial humanoid)</t>
        </is>
      </c>
      <c r="CC210" s="154" t="n">
        <v>12</v>
      </c>
      <c r="CD210" s="156" t="inlineStr">
        <is>
          <t>+3 Year Extended ≈24% of configuration (default in configurator)</t>
        </is>
      </c>
      <c r="CE210" s="152" t="inlineStr">
        <is>
          <t>Humanoid category norm 2025–2026</t>
        </is>
      </c>
      <c r="CF210" s="152" t="inlineStr">
        <is>
          <t>Estimated</t>
        </is>
      </c>
      <c r="CG210" s="156" t="inlineStr">
        <is>
          <t>Confirm on formal OEM quote. EDU or enterprise packages may differ.</t>
        </is>
      </c>
      <c r="CH210" s="152" t="inlineStr">
        <is>
          <t>10%</t>
        </is>
      </c>
      <c r="CI210" s="152" t="inlineStr">
        <is>
          <t>17%</t>
        </is>
      </c>
      <c r="CJ210" s="152" t="inlineStr">
        <is>
          <t>24%</t>
        </is>
      </c>
      <c r="CK210" s="156" t="inlineStr">
        <is>
          <t>+1yr ≈10% | +2yr ≈17% | +3yr ≈24% of selected configuration price (parts &amp; labor beyond manufacturer standard).</t>
        </is>
      </c>
      <c r="CL210"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10" s="152" t="inlineStr">
        <is>
          <t>12 months manufacturer standard (typical research/commercial humanoid)</t>
        </is>
      </c>
      <c r="CN210" s="203" t="inlineStr">
        <is>
          <t>https://aixzd.com/robot/cruzr-y1</t>
        </is>
      </c>
      <c r="CO210" s="203" t="inlineStr">
        <is>
          <t>https://theresanaiforthat.com/robots/</t>
        </is>
      </c>
      <c r="CP210" s="203" t="inlineStr">
        <is>
          <t>Cross-checked against TAAFT Robots directory (669 entries) 28 Aug 2026 — individual TAAFT permalinks are JS/Cloudflare gated.</t>
        </is>
      </c>
      <c r="CQ210" s="101" t="inlineStr">
        <is>
          <t>Height: 5 ft 7 in | Weight: 198.4 | Degrees of Freedom: 14 | Payload: 22 | Max Speed: 3.36 | Battery / Runtime: ≈ 4 hours</t>
        </is>
      </c>
    </row>
    <row r="211" ht="31.5" customHeight="1" s="102">
      <c r="A211" s="143" t="inlineStr">
        <is>
          <t>ubtech_robotics_uworld_u1</t>
        </is>
      </c>
      <c r="B211" s="144" t="inlineStr">
        <is>
          <t>Both</t>
        </is>
      </c>
      <c r="C211" s="145" t="inlineStr">
        <is>
          <t>UBTECH</t>
        </is>
      </c>
      <c r="D211" s="145" t="inlineStr">
        <is>
          <t>U1 Pro</t>
        </is>
      </c>
      <c r="E211" s="145" t="inlineStr">
        <is>
          <t>[UBTECH] UWORLD U1 (2025)</t>
        </is>
      </c>
      <c r="F211" s="146" t="inlineStr">
        <is>
          <t>humanoid</t>
        </is>
      </c>
      <c r="G211" s="145" t="inlineStr">
        <is>
          <t>China</t>
        </is>
      </c>
      <c r="H211" s="147" t="n">
        <v>2025</v>
      </c>
      <c r="I211" s="148" t="n">
        <v>16500</v>
      </c>
      <c r="J211" s="145" t="inlineStr">
        <is>
          <t>Website store</t>
        </is>
      </c>
      <c r="K211" s="149" t="inlineStr">
        <is>
          <t>A lifelike, full-size Chinese companion humanoid from UBTECH’s UWORLD brand, built for emotional connection rather than physical labor.</t>
        </is>
      </c>
      <c r="L211" s="101" t="inlineStr">
        <is>
          <t>A lifelike, full-size Chinese companion humanoid from UBTECH’s UWORLD brand, built for emotional connection rather than physical labor.</t>
        </is>
      </c>
      <c r="M211" s="101" t="inlineStr">
        <is>
          <t>UWORLD U1 is UBTECH's humanoid, introduced around 2025 in China. A lifelike, full-size Chinese companion humanoid from UBTECH’s UWORLD brand, built for emotional connection rather than physical labor. Public status is listed as pre-order / Limited / Order claims, and it is positioned for service / Consumer claim.</t>
        </is>
      </c>
      <c r="N211" s="150" t="inlineStr">
        <is>
          <t>https://humanoid.guide/product/u1-pro/</t>
        </is>
      </c>
      <c r="O211" s="150" t="inlineStr">
        <is>
          <t>https://www.ubtrobot.com</t>
        </is>
      </c>
      <c r="P211" s="145" t="inlineStr">
        <is>
          <t>6 ft 0 in</t>
        </is>
      </c>
      <c r="Q211" s="145" t="n">
        <v>183</v>
      </c>
      <c r="R211" s="145" t="n">
        <v>92.59999999999999</v>
      </c>
      <c r="S211" s="145" t="n">
        <v>42</v>
      </c>
      <c r="T211" s="149" t="inlineStr">
        <is>
          <t>Not disclosed</t>
        </is>
      </c>
      <c r="U211" s="145" t="n"/>
      <c r="V211" s="145" t="inlineStr">
        <is>
          <t>88</t>
        </is>
      </c>
      <c r="W211" s="149" t="inlineStr">
        <is>
          <t>24</t>
        </is>
      </c>
      <c r="X211" s="145" t="n">
        <v>33.1</v>
      </c>
      <c r="Y211" s="145" t="n">
        <v>15</v>
      </c>
      <c r="Z211" s="145" t="n">
        <v>3.11</v>
      </c>
      <c r="AA211" s="145" t="n">
        <v>5</v>
      </c>
      <c r="AB211" s="145" t="n">
        <v>4</v>
      </c>
      <c r="AC211" s="149" t="inlineStr">
        <is>
          <t>≈ 3 hours</t>
        </is>
      </c>
      <c r="AD211" s="149" t="inlineStr">
        <is>
          <t>3</t>
        </is>
      </c>
      <c r="AE211" s="145" t="n"/>
      <c r="AF211" s="145" t="inlineStr">
        <is>
          <t>Not disclosed</t>
        </is>
      </c>
      <c r="AG211" s="149" t="inlineStr">
        <is>
          <t>5 per hand</t>
        </is>
      </c>
      <c r="AH211" s="145" t="inlineStr">
        <is>
          <t>5 per hand</t>
        </is>
      </c>
      <c r="AI211" s="145" t="n"/>
      <c r="AJ211" s="149" t="inlineStr">
        <is>
          <t>Service humanoid cameras</t>
        </is>
      </c>
      <c r="AK211" s="149" t="n"/>
      <c r="AL211" s="145" t="inlineStr">
        <is>
          <t>Not disclosed</t>
        </is>
      </c>
      <c r="AM211" s="145" t="n"/>
      <c r="AN211" s="145" t="inlineStr">
        <is>
          <t>Not disclosed</t>
        </is>
      </c>
      <c r="AO211" s="145" t="inlineStr">
        <is>
          <t>Voice interaction</t>
        </is>
      </c>
      <c r="AP211" s="145" t="inlineStr">
        <is>
          <t>Not disclosed</t>
        </is>
      </c>
      <c r="AQ211" s="145" t="inlineStr">
        <is>
          <t>Not disclosed</t>
        </is>
      </c>
      <c r="AR211" s="145" t="n"/>
      <c r="AS211" s="145" t="n"/>
      <c r="AT211" s="149" t="inlineStr">
        <is>
          <t>200 TOPS AI processor</t>
        </is>
      </c>
      <c r="AU211" s="149" t="inlineStr">
        <is>
          <t>Wi-Fi</t>
        </is>
      </c>
      <c r="AV211" s="145" t="inlineStr">
        <is>
          <t>UBTECH service platforms</t>
        </is>
      </c>
      <c r="AW211" s="149" t="inlineStr">
        <is>
          <t>Not disclosed</t>
        </is>
      </c>
      <c r="AX211" s="145" t="n"/>
      <c r="AY211" s="149" t="inlineStr">
        <is>
          <t>Proprietary UWORLD OS layer ("Agent Memory OS")</t>
        </is>
      </c>
      <c r="AZ211" s="149" t="inlineStr">
        <is>
          <t>Yes - "Resonance-LM" emotional model</t>
        </is>
      </c>
      <c r="BA211" s="149" t="inlineStr">
        <is>
          <t>~500 ms (intuitive layer); &amp;lt;20 ms lip-sync</t>
        </is>
      </c>
      <c r="BB211" s="149" t="inlineStr">
        <is>
          <t>Not disclosed</t>
        </is>
      </c>
      <c r="BC211" s="149" t="inlineStr">
        <is>
          <t>Not disclosed</t>
        </is>
      </c>
      <c r="BD211" s="145" t="inlineStr">
        <is>
          <t>Not disclosed</t>
        </is>
      </c>
      <c r="BE211" s="145" t="inlineStr">
        <is>
          <t>Not disclosed</t>
        </is>
      </c>
      <c r="BF211" s="145" t="n"/>
      <c r="BG211" s="145" t="n"/>
      <c r="BH211" s="145" t="n"/>
      <c r="BI211" s="145" t="n"/>
      <c r="BJ211" s="145" t="n"/>
      <c r="BK211" s="145" t="n"/>
      <c r="BL211" s="145" t="n"/>
      <c r="BM211" s="145" t="inlineStr">
        <is>
          <t>Yes</t>
        </is>
      </c>
      <c r="BN211" s="145" t="inlineStr">
        <is>
          <t>Not disclosed</t>
        </is>
      </c>
      <c r="BO211" s="149" t="inlineStr">
        <is>
          <t>Market: Service / Consumer claim · Human-safe: Yes · AI: Yes - "Resonance-LM" emotional model · Peak 5 km/h · Walk 4 km/h · Runtime 3</t>
        </is>
      </c>
      <c r="BP211" s="145" t="n"/>
      <c r="BQ211" s="149" t="inlineStr">
        <is>
          <t>Service / Consumer claim</t>
        </is>
      </c>
      <c r="BR211" s="149" t="inlineStr">
        <is>
          <t>Pre-order / Limited / Order claims</t>
        </is>
      </c>
      <c r="BS211" s="149" t="inlineStr">
        <is>
          <t>pre-order</t>
        </is>
      </c>
      <c r="BT211" s="145" t="n"/>
      <c r="BU211" s="145" t="n"/>
      <c r="BV211" s="149" t="inlineStr">
        <is>
          <t>Aggressive full-size mass-production claim Humanoid.guide listed price $25,000.</t>
        </is>
      </c>
      <c r="BW211" s="149" t="inlineStr">
        <is>
          <t>Origin &amp; status — China · Pre-order / Limited / Order claims · 2025 | Manipulation — 5 per hand · 5 per hand fingers · Hand DOF 24 · Payload 33.1 lb (15 kg) | Sensing &amp; software — Service humanoid cameras · Yes - "Resonance-LM" emotional model · Proprietary UWORLD OS layer ("Agent Memory OS") · UBTECH service platforms | Buying notes — From $16,500 · 12 months manufacturer standard (typical research/commercial humanoid) · Best fit: Service</t>
        </is>
      </c>
      <c r="BX211" s="149" t="inlineStr">
        <is>
          <t>as_shipped|UWORLD U1|16500|As shipped</t>
        </is>
      </c>
      <c r="BY211" s="145" t="inlineStr">
        <is>
          <t>uworld_u1|Manufacturer finish|#e2e8f0|0</t>
        </is>
      </c>
      <c r="BZ211" s="145" t="inlineStr"/>
      <c r="CA211" s="149" t="inlineStr">
        <is>
          <t>Add-ons: case; 2 color options; Multi-year extended warranty available</t>
        </is>
      </c>
      <c r="CB211" s="149" t="inlineStr">
        <is>
          <t>12 months manufacturer standard (typical research/commercial humanoid)</t>
        </is>
      </c>
      <c r="CC211" s="147" t="n">
        <v>12</v>
      </c>
      <c r="CD211" s="149" t="inlineStr">
        <is>
          <t>+3 Year Extended ≈24% of configuration (default in configurator)</t>
        </is>
      </c>
      <c r="CE211" s="145" t="inlineStr">
        <is>
          <t>Humanoid category norm 2025–2026</t>
        </is>
      </c>
      <c r="CF211" s="145" t="inlineStr">
        <is>
          <t>Estimated</t>
        </is>
      </c>
      <c r="CG211" s="149" t="inlineStr">
        <is>
          <t>EDU or enterprise packages may differ; confirm on formal quote.</t>
        </is>
      </c>
      <c r="CH211" s="145" t="inlineStr">
        <is>
          <t>10%</t>
        </is>
      </c>
      <c r="CI211" s="145" t="inlineStr">
        <is>
          <t>17%</t>
        </is>
      </c>
      <c r="CJ211" s="145" t="inlineStr">
        <is>
          <t>24%</t>
        </is>
      </c>
      <c r="CK21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1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11" s="145" t="inlineStr">
        <is>
          <t>12 months manufacturer standard (typical research/commercial humanoid)</t>
        </is>
      </c>
      <c r="CN211" s="203" t="inlineStr">
        <is>
          <t>https://aixzd.com/robot/u1-pro</t>
        </is>
      </c>
      <c r="CO211" s="203" t="inlineStr">
        <is>
          <t>https://theresanaiforthat.com/robots/</t>
        </is>
      </c>
      <c r="CP211" s="203" t="inlineStr">
        <is>
          <t>Cross-checked against TAAFT Robots directory (669 entries) 28 Aug 2026 — individual TAAFT permalinks are JS/Cloudflare gated.</t>
        </is>
      </c>
      <c r="CQ211" s="101" t="inlineStr">
        <is>
          <t>Height: 6 ft 0 in | Weight: 92.6 | Degrees of Freedom: 88 | Payload: 33.1 | Max Speed: 3.11 | Battery / Runtime: ≈ 3 hours</t>
        </is>
      </c>
    </row>
    <row r="212" ht="31.5" customHeight="1" s="102">
      <c r="A212" s="152" t="inlineStr">
        <is>
          <t>ubtech_robotics_walker_c</t>
        </is>
      </c>
      <c r="B212" s="153" t="inlineStr">
        <is>
          <t>Humanoid.guide</t>
        </is>
      </c>
      <c r="C212" s="152" t="inlineStr">
        <is>
          <t>UBTECH</t>
        </is>
      </c>
      <c r="D212" s="152" t="inlineStr">
        <is>
          <t>Walker C</t>
        </is>
      </c>
      <c r="E212" s="152" t="inlineStr">
        <is>
          <t>[UBTECH] Walker C (2026)</t>
        </is>
      </c>
      <c r="F212" s="146" t="inlineStr">
        <is>
          <t>humanoid</t>
        </is>
      </c>
      <c r="G212" s="152" t="inlineStr">
        <is>
          <t>China</t>
        </is>
      </c>
      <c r="H212" s="152" t="n"/>
      <c r="I212" s="155" t="n">
        <v>30000</v>
      </c>
      <c r="J212" s="152" t="inlineStr">
        <is>
          <t>Humanoid.guide list</t>
        </is>
      </c>
      <c r="K212" s="156" t="inlineStr">
        <is>
          <t>UBTECH Walker C is a 163 cm humanoid service robot for wayfinding, reception, and visitor support.</t>
        </is>
      </c>
      <c r="L212" s="101" t="inlineStr">
        <is>
          <t>UBTECH Walker C is a 163 cm humanoid service robot for wayfinding, reception, and visitor support.</t>
        </is>
      </c>
      <c r="M212" s="101" t="inlineStr">
        <is>
          <t>UBTECH Walker C is a 163 cm humanoid service robot for wayfinding, reception, and visitor support. Public status is listed as prototype, and it is positioned for industries; Lgistics.; Manufacturing.</t>
        </is>
      </c>
      <c r="N212" s="157" t="inlineStr">
        <is>
          <t>https://humanoid.guide/product/walker-c/</t>
        </is>
      </c>
      <c r="O212" s="157" t="inlineStr">
        <is>
          <t>https://www.ubtrobot.com</t>
        </is>
      </c>
      <c r="P212" s="152" t="inlineStr">
        <is>
          <t>5 ft 4 in</t>
        </is>
      </c>
      <c r="Q212" s="152" t="n">
        <v>163</v>
      </c>
      <c r="R212" s="152" t="n">
        <v>94.8</v>
      </c>
      <c r="S212" s="152" t="n">
        <v>43</v>
      </c>
      <c r="T212" s="156" t="inlineStr">
        <is>
          <t>Not disclosed</t>
        </is>
      </c>
      <c r="U212" s="152" t="inlineStr">
        <is>
          <t>Not specified</t>
        </is>
      </c>
      <c r="V212" s="152" t="inlineStr">
        <is>
          <t>20</t>
        </is>
      </c>
      <c r="W212" s="156" t="inlineStr">
        <is>
          <t>Not disclosed</t>
        </is>
      </c>
      <c r="X212" s="152" t="n">
        <v>13.2</v>
      </c>
      <c r="Y212" s="152" t="n">
        <v>6</v>
      </c>
      <c r="Z212" s="152" t="n">
        <v>3.73</v>
      </c>
      <c r="AA212" s="152" t="n">
        <v>6</v>
      </c>
      <c r="AB212" s="152" t="n">
        <v>6</v>
      </c>
      <c r="AC212" s="156" t="inlineStr">
        <is>
          <t>≈ 2 hours</t>
        </is>
      </c>
      <c r="AD212" s="156" t="inlineStr">
        <is>
          <t>2</t>
        </is>
      </c>
      <c r="AE212" s="152" t="n"/>
      <c r="AF212" s="152" t="inlineStr">
        <is>
          <t>Not disclosed</t>
        </is>
      </c>
      <c r="AG212" s="156" t="inlineStr">
        <is>
          <t>10</t>
        </is>
      </c>
      <c r="AH212" s="152" t="inlineStr">
        <is>
          <t>10</t>
        </is>
      </c>
      <c r="AI212" s="158" t="n">
        <v>2</v>
      </c>
      <c r="AJ212" s="156" t="inlineStr">
        <is>
          <t>sensors include RGB‑D ×2 + structured‑light 3D cameras ×2; high‑precision IMU</t>
        </is>
      </c>
      <c r="AK212" s="156" t="inlineStr">
        <is>
          <t>sensors include RGB‑D ×2 + structured‑light 3D cameras ×2; high‑precision IMU</t>
        </is>
      </c>
      <c r="AL212" s="152" t="inlineStr">
        <is>
          <t>Not disclosed</t>
        </is>
      </c>
      <c r="AM212" s="152" t="n"/>
      <c r="AN212" s="152" t="inlineStr">
        <is>
          <t>Not disclosed</t>
        </is>
      </c>
      <c r="AO212" s="152" t="inlineStr">
        <is>
          <t>Not disclosed</t>
        </is>
      </c>
      <c r="AP212" s="152" t="inlineStr">
        <is>
          <t>Not disclosed</t>
        </is>
      </c>
      <c r="AQ212" s="152" t="inlineStr">
        <is>
          <t>Not disclosed</t>
        </is>
      </c>
      <c r="AR212" s="152" t="n"/>
      <c r="AS212" s="152" t="n"/>
      <c r="AT212" s="156" t="inlineStr">
        <is>
          <t>Not disclosed</t>
        </is>
      </c>
      <c r="AU212" s="156" t="inlineStr">
        <is>
          <t>Bluetooth; Wi‑Fi</t>
        </is>
      </c>
      <c r="AV212" s="152" t="inlineStr">
        <is>
          <t>Not disclosed</t>
        </is>
      </c>
      <c r="AW212" s="156" t="inlineStr">
        <is>
          <t>Not disclosed</t>
        </is>
      </c>
      <c r="AX212" s="158" t="n">
        <v>2</v>
      </c>
      <c r="AY212" s="156" t="inlineStr">
        <is>
          <t>Not disclosed</t>
        </is>
      </c>
      <c r="AZ212" s="156" t="inlineStr">
        <is>
          <t>UBTECH “Embodied Interactive Large Model</t>
        </is>
      </c>
      <c r="BA212" s="156" t="inlineStr">
        <is>
          <t>Not specified</t>
        </is>
      </c>
      <c r="BB212" s="156" t="inlineStr">
        <is>
          <t>Not disclosed</t>
        </is>
      </c>
      <c r="BC212" s="156" t="inlineStr">
        <is>
          <t>Not disclosed</t>
        </is>
      </c>
      <c r="BD212" s="152" t="inlineStr">
        <is>
          <t>Not disclosed</t>
        </is>
      </c>
      <c r="BE212" s="152" t="inlineStr">
        <is>
          <t>Not disclosed</t>
        </is>
      </c>
      <c r="BF212" s="152" t="inlineStr">
        <is>
          <t>Not specified</t>
        </is>
      </c>
      <c r="BG212" s="152" t="n"/>
      <c r="BH212" s="152" t="n"/>
      <c r="BI212" s="152" t="n"/>
      <c r="BJ212" s="152" t="n"/>
      <c r="BK212" s="152" t="n"/>
      <c r="BL212" s="152" t="n"/>
      <c r="BM212" s="152" t="inlineStr">
        <is>
          <t>Not disclosed</t>
        </is>
      </c>
      <c r="BN212" s="152" t="inlineStr">
        <is>
          <t>Not disclosed</t>
        </is>
      </c>
      <c r="BO212" s="156" t="inlineStr">
        <is>
          <t>Market: Industries; Lgistics.; Manufacturing · Manipulation 2/4 · Navigation 2/4 · Human-safe: Not specified · AI: UBTECH “Embodied Interactive Large Model · Actuation: Not specified · Peak 6 km/h · Walk 6 km/h · Runtime 2</t>
        </is>
      </c>
      <c r="BP212" s="152" t="n"/>
      <c r="BQ212" s="156" t="inlineStr">
        <is>
          <t>Industries; Lgistics.; Manufacturing</t>
        </is>
      </c>
      <c r="BR212" s="156" t="inlineStr">
        <is>
          <t>Prototype</t>
        </is>
      </c>
      <c r="BS212" s="156" t="inlineStr">
        <is>
          <t>Prototype</t>
        </is>
      </c>
      <c r="BT212" s="152" t="inlineStr">
        <is>
          <t>Not specified</t>
        </is>
      </c>
      <c r="BU212" s="152" t="inlineStr">
        <is>
          <t>Not verified</t>
        </is>
      </c>
      <c r="BV212" s="156" t="n"/>
      <c r="BW212" s="156" t="inlineStr">
        <is>
          <t>Origin &amp; status — China · Prototype · 2026 | Manipulation — 10 · 10 fingers · Payload 13.2 lb | Sensing &amp; software — sensors include RGB‑D ×2 + structured‑light 3D cameras ×2; high‑precision IMU · UBTECH “Embodied Interactive Large Model | Buying notes — From $30,000 · 12 months manufacturer standard (typical research/commercial humanoid) · Best fit: Industries</t>
        </is>
      </c>
      <c r="BX212" s="156" t="inlineStr">
        <is>
          <t>as_shipped|Walker C|30000|As shipped</t>
        </is>
      </c>
      <c r="BY212" s="152" t="inlineStr">
        <is>
          <t>not_specified|Not specified|#e2e8f0|0</t>
        </is>
      </c>
      <c r="BZ212" s="152" t="inlineStr"/>
      <c r="CA212" s="156" t="n"/>
      <c r="CB212" s="156" t="inlineStr">
        <is>
          <t>12 months manufacturer standard (typical research/commercial humanoid)</t>
        </is>
      </c>
      <c r="CC212" s="154" t="n">
        <v>12</v>
      </c>
      <c r="CD212" s="156" t="inlineStr">
        <is>
          <t>+3 Year Extended ≈24% of configuration (default in configurator)</t>
        </is>
      </c>
      <c r="CE212" s="152" t="inlineStr">
        <is>
          <t>Humanoid category norm 2025–2026</t>
        </is>
      </c>
      <c r="CF212" s="152" t="inlineStr">
        <is>
          <t>Estimated</t>
        </is>
      </c>
      <c r="CG212" s="156" t="inlineStr">
        <is>
          <t>Confirm on formal OEM quote. EDU or enterprise packages may differ.</t>
        </is>
      </c>
      <c r="CH212" s="152" t="inlineStr">
        <is>
          <t>10%</t>
        </is>
      </c>
      <c r="CI212" s="152" t="inlineStr">
        <is>
          <t>17%</t>
        </is>
      </c>
      <c r="CJ212" s="152" t="inlineStr">
        <is>
          <t>24%</t>
        </is>
      </c>
      <c r="CK212" s="156" t="inlineStr">
        <is>
          <t>+1yr ≈10% | +2yr ≈17% | +3yr ≈24% of selected configuration price (parts &amp; labor beyond manufacturer standard).</t>
        </is>
      </c>
      <c r="CL212"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12" s="152" t="inlineStr">
        <is>
          <t>12 months manufacturer standard (typical research/commercial humanoid)</t>
        </is>
      </c>
      <c r="CN212" s="203" t="inlineStr">
        <is>
          <t>https://aixzd.com/robot/walker-c</t>
        </is>
      </c>
      <c r="CO212" s="203" t="inlineStr">
        <is>
          <t>https://theresanaiforthat.com/robots/</t>
        </is>
      </c>
      <c r="CP212" s="203" t="inlineStr">
        <is>
          <t>Cross-checked against TAAFT Robots directory (669 entries) 28 Aug 2026 — individual TAAFT permalinks are JS/Cloudflare gated.</t>
        </is>
      </c>
      <c r="CQ212" s="101" t="inlineStr">
        <is>
          <t>Height: 5 ft 4 in | Weight: 94.8 | Degrees of Freedom: 20 | Payload: 13.2 | Max Speed: 3.73 | Battery / Runtime: ≈ 2 hours</t>
        </is>
      </c>
    </row>
    <row r="213" ht="31.5" customHeight="1" s="102">
      <c r="A213" s="145" t="inlineStr">
        <is>
          <t>ubtech_robotics_walker_c1</t>
        </is>
      </c>
      <c r="B213" s="153" t="inlineStr">
        <is>
          <t>Humanoid.guide</t>
        </is>
      </c>
      <c r="C213" s="145" t="inlineStr">
        <is>
          <t>UBTECH</t>
        </is>
      </c>
      <c r="D213" s="145" t="inlineStr">
        <is>
          <t>Walker C1</t>
        </is>
      </c>
      <c r="E213" s="145" t="inlineStr">
        <is>
          <t>[UBTECH] Walker C1 (2026)</t>
        </is>
      </c>
      <c r="F213" s="146" t="inlineStr">
        <is>
          <t>humanoid</t>
        </is>
      </c>
      <c r="G213" s="145" t="inlineStr">
        <is>
          <t>China</t>
        </is>
      </c>
      <c r="H213" s="145" t="n"/>
      <c r="I213" s="148" t="n">
        <v>79000</v>
      </c>
      <c r="J213" s="145" t="inlineStr">
        <is>
          <t>Humanoid.guide list</t>
        </is>
      </c>
      <c r="K213" s="149" t="inlineStr">
        <is>
          <t>Walker C1 is a next-generation humanoid service robot from UBTECH Robotics designed for public interaction, entertainment, and intelligent commercial services.</t>
        </is>
      </c>
      <c r="L213" s="101" t="inlineStr">
        <is>
          <t>Walker C1 is a next-generation humanoid service robot from UBTECH Robotics designed for public interaction, entertainment, and intelligent commercial services.</t>
        </is>
      </c>
      <c r="M213" s="101" t="inlineStr">
        <is>
          <t>Walker C1 is a next-generation humanoid service robot from UBTECH Robotics designed for public interaction, entertainment, and intelligent commercial services. Public status is listed as prototype, and it is positioned for commercial Service; exhibitions; Hospitality.</t>
        </is>
      </c>
      <c r="N213" s="150" t="inlineStr">
        <is>
          <t>https://humanoid.guide/product/walker-c1/</t>
        </is>
      </c>
      <c r="O213" s="150" t="inlineStr">
        <is>
          <t>https://www.ubtrobot.com</t>
        </is>
      </c>
      <c r="P213" s="145" t="inlineStr">
        <is>
          <t>5 ft 5 in</t>
        </is>
      </c>
      <c r="Q213" s="145" t="n">
        <v>165</v>
      </c>
      <c r="R213" s="145" t="n">
        <v>110.2</v>
      </c>
      <c r="S213" s="145" t="n">
        <v>50</v>
      </c>
      <c r="T213" s="149" t="inlineStr">
        <is>
          <t>Not disclosed</t>
        </is>
      </c>
      <c r="U213" s="145" t="n"/>
      <c r="V213" s="145" t="inlineStr">
        <is>
          <t>26</t>
        </is>
      </c>
      <c r="W213" s="149" t="inlineStr">
        <is>
          <t>10</t>
        </is>
      </c>
      <c r="X213" s="145" t="n">
        <v>11</v>
      </c>
      <c r="Y213" s="145" t="n">
        <v>5</v>
      </c>
      <c r="Z213" s="145" t="n">
        <v>3.73</v>
      </c>
      <c r="AA213" s="145" t="n">
        <v>6</v>
      </c>
      <c r="AB213" s="145" t="n">
        <v>4</v>
      </c>
      <c r="AC213" s="149" t="inlineStr">
        <is>
          <t>≈ 3 hours</t>
        </is>
      </c>
      <c r="AD213" s="149" t="inlineStr">
        <is>
          <t>3</t>
        </is>
      </c>
      <c r="AE213" s="145" t="n"/>
      <c r="AF213" s="145" t="inlineStr">
        <is>
          <t>Not disclosed</t>
        </is>
      </c>
      <c r="AG213" s="149" t="inlineStr">
        <is>
          <t>10</t>
        </is>
      </c>
      <c r="AH213" s="145" t="inlineStr">
        <is>
          <t>10</t>
        </is>
      </c>
      <c r="AI213" s="145" t="n"/>
      <c r="AJ213" s="149" t="inlineStr">
        <is>
          <t>RGB-D + structured-light 3D cameras</t>
        </is>
      </c>
      <c r="AK213" s="149" t="inlineStr">
        <is>
          <t>RGB-D + structured-light 3D cameras</t>
        </is>
      </c>
      <c r="AL213" s="145" t="inlineStr">
        <is>
          <t>Not disclosed</t>
        </is>
      </c>
      <c r="AM213" s="145" t="n"/>
      <c r="AN213" s="145" t="inlineStr">
        <is>
          <t>Not disclosed</t>
        </is>
      </c>
      <c r="AO213" s="145" t="inlineStr">
        <is>
          <t>Not disclosed</t>
        </is>
      </c>
      <c r="AP213" s="145" t="inlineStr">
        <is>
          <t>Not disclosed</t>
        </is>
      </c>
      <c r="AQ213" s="145" t="inlineStr">
        <is>
          <t>Not disclosed</t>
        </is>
      </c>
      <c r="AR213" s="145" t="n"/>
      <c r="AS213" s="145" t="n"/>
      <c r="AT213" s="149" t="inlineStr">
        <is>
          <t>Custom AI compute platform, likely NVIDIA-based</t>
        </is>
      </c>
      <c r="AU213" s="149" t="inlineStr">
        <is>
          <t>Bluetooth; Wi‑Fi</t>
        </is>
      </c>
      <c r="AV213" s="145" t="inlineStr">
        <is>
          <t>Not disclosed</t>
        </is>
      </c>
      <c r="AW213" s="149" t="inlineStr">
        <is>
          <t>Not disclosed</t>
        </is>
      </c>
      <c r="AX213" s="145" t="n"/>
      <c r="AY213" s="149" t="inlineStr">
        <is>
          <t>Custom robotics operating system</t>
        </is>
      </c>
      <c r="AZ213" s="149" t="inlineStr">
        <is>
          <t>UBTECH “Embodied Interactive Large Model</t>
        </is>
      </c>
      <c r="BA213" s="149" t="inlineStr">
        <is>
          <t>Not specified</t>
        </is>
      </c>
      <c r="BB213" s="149" t="inlineStr">
        <is>
          <t>Electric servo actuators</t>
        </is>
      </c>
      <c r="BC213" s="149" t="inlineStr">
        <is>
          <t>Harmonic drive / precision reduction gearing (assumed)</t>
        </is>
      </c>
      <c r="BD213" s="145" t="inlineStr">
        <is>
          <t>Aluminum alloy and composite materials</t>
        </is>
      </c>
      <c r="BE213" s="145" t="inlineStr">
        <is>
          <t>Not disclosed</t>
        </is>
      </c>
      <c r="BF213" s="145" t="inlineStr">
        <is>
          <t>Not specified</t>
        </is>
      </c>
      <c r="BG213" s="145" t="n"/>
      <c r="BH213" s="145" t="n"/>
      <c r="BI213" s="145" t="n"/>
      <c r="BJ213" s="145" t="n"/>
      <c r="BK213" s="145" t="n"/>
      <c r="BL213" s="145" t="n"/>
      <c r="BM213" s="145" t="inlineStr">
        <is>
          <t>Yes</t>
        </is>
      </c>
      <c r="BN213" s="145" t="inlineStr">
        <is>
          <t>Not disclosed</t>
        </is>
      </c>
      <c r="BO213" s="149" t="inlineStr">
        <is>
          <t>Market: Commercial Service; exhibitions; Hospitality · Human-safe: Yes · AI: UBTECH “Embodied Interactive Large Model · Actuation: Electric servo actuators · Peak 6 km/h · Walk 4 km/h · Runtime 3</t>
        </is>
      </c>
      <c r="BP213" s="145" t="n"/>
      <c r="BQ213" s="149" t="inlineStr">
        <is>
          <t>Commercial Service; exhibitions; Hospitality</t>
        </is>
      </c>
      <c r="BR213" s="149" t="inlineStr">
        <is>
          <t>Prototype</t>
        </is>
      </c>
      <c r="BS213" s="149" t="inlineStr">
        <is>
          <t>Prototype</t>
        </is>
      </c>
      <c r="BT213" s="145" t="inlineStr">
        <is>
          <t>White</t>
        </is>
      </c>
      <c r="BU213" s="145" t="inlineStr">
        <is>
          <t>Not verified</t>
        </is>
      </c>
      <c r="BV213" s="149" t="n"/>
      <c r="BW213" s="149" t="inlineStr">
        <is>
          <t>Origin &amp; status — China · Prototype · 2026 | Manipulation — 10 · 10 fingers · Hand DOF 10 · Payload 11 lb | Sensing &amp; software — RGB-D + structured-light 3D cameras · UBTECH “Embodied Interactive Large Model · Custom robotics operating system | Buying notes — From $79,000 · 12 months manufacturer standard (typical research/commercial humanoid) · Best fit: Commercial Service</t>
        </is>
      </c>
      <c r="BX213" s="149" t="inlineStr">
        <is>
          <t>as_shipped|Walker C1|79000|As shipped</t>
        </is>
      </c>
      <c r="BY213" s="145" t="inlineStr">
        <is>
          <t>white|White|#e2e8f0|0</t>
        </is>
      </c>
      <c r="BZ213" s="145" t="inlineStr"/>
      <c r="CA213" s="149" t="n"/>
      <c r="CB213" s="149" t="inlineStr">
        <is>
          <t>12 months manufacturer standard (typical research/commercial humanoid)</t>
        </is>
      </c>
      <c r="CC213" s="147" t="n">
        <v>12</v>
      </c>
      <c r="CD213" s="149" t="inlineStr">
        <is>
          <t>+3 Year Extended ≈24% of configuration (default in configurator)</t>
        </is>
      </c>
      <c r="CE213" s="145" t="inlineStr">
        <is>
          <t>Humanoid category norm 2025–2026</t>
        </is>
      </c>
      <c r="CF213" s="145" t="inlineStr">
        <is>
          <t>Estimated</t>
        </is>
      </c>
      <c r="CG213" s="149" t="inlineStr">
        <is>
          <t>Confirm on formal OEM quote. EDU or enterprise packages may differ.</t>
        </is>
      </c>
      <c r="CH213" s="145" t="inlineStr">
        <is>
          <t>10%</t>
        </is>
      </c>
      <c r="CI213" s="145" t="inlineStr">
        <is>
          <t>17%</t>
        </is>
      </c>
      <c r="CJ213" s="145" t="inlineStr">
        <is>
          <t>24%</t>
        </is>
      </c>
      <c r="CK213" s="149" t="inlineStr">
        <is>
          <t>+1yr ≈10% | +2yr ≈17% | +3yr ≈24% of selected configuration price (parts &amp; labor beyond manufacturer standard).</t>
        </is>
      </c>
      <c r="CL213"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13" s="145" t="inlineStr">
        <is>
          <t>12 months manufacturer standard (typical research/commercial humanoid)</t>
        </is>
      </c>
      <c r="CN213" s="203" t="inlineStr">
        <is>
          <t>https://aixzd.com/robot/walker-c</t>
        </is>
      </c>
      <c r="CO213" s="203" t="inlineStr">
        <is>
          <t>https://theresanaiforthat.com/robots/</t>
        </is>
      </c>
      <c r="CP213" s="203" t="inlineStr">
        <is>
          <t>Cross-checked against TAAFT Robots directory (669 entries) 28 Aug 2026 — individual TAAFT permalinks are JS/Cloudflare gated.</t>
        </is>
      </c>
      <c r="CQ213" s="101" t="inlineStr">
        <is>
          <t>Height: 5 ft 5 in | Weight: 110.2 | Degrees of Freedom: 26 | Payload: 11 | Max Speed: 3.73 | Battery / Runtime: ≈ 3 hours</t>
        </is>
      </c>
    </row>
    <row r="214" ht="31.5" customHeight="1" s="102">
      <c r="A214" s="152" t="inlineStr">
        <is>
          <t>ubtech_robotics_walker_s1</t>
        </is>
      </c>
      <c r="B214" s="153" t="inlineStr">
        <is>
          <t>Humanoid.guide</t>
        </is>
      </c>
      <c r="C214" s="152" t="inlineStr">
        <is>
          <t>UBTECH</t>
        </is>
      </c>
      <c r="D214" s="152" t="inlineStr">
        <is>
          <t>Walker S1</t>
        </is>
      </c>
      <c r="E214" s="152" t="inlineStr">
        <is>
          <t>[UBTECH] Walker S1 (2026)</t>
        </is>
      </c>
      <c r="F214" s="146" t="inlineStr">
        <is>
          <t>humanoid</t>
        </is>
      </c>
      <c r="G214" s="152" t="inlineStr">
        <is>
          <t>China</t>
        </is>
      </c>
      <c r="H214" s="152" t="n"/>
      <c r="I214" s="155" t="n">
        <v>75000</v>
      </c>
      <c r="J214" s="152" t="inlineStr">
        <is>
          <t>Humanoid.guide list</t>
        </is>
      </c>
      <c r="K214" s="156" t="inlineStr">
        <is>
          <t>The UBTECH Walker S1 is an advanced humanoid robot designed to assist with tasks in both home and office environments.</t>
        </is>
      </c>
      <c r="L214" s="101" t="inlineStr">
        <is>
          <t>The UBTECH Walker S1 is an advanced humanoid robot designed to assist with tasks in both home and office environments.</t>
        </is>
      </c>
      <c r="M214" s="101" t="inlineStr">
        <is>
          <t>Walker S1 is UBTECH's humanoid, introduced around 2026 in China. The UBTECH Walker S1 is an advanced humanoid robot designed to assist with tasks in both home and office environments. Public status is listed as prototype.</t>
        </is>
      </c>
      <c r="N214" s="157" t="inlineStr">
        <is>
          <t>https://humanoid.guide/product/walker-s1/</t>
        </is>
      </c>
      <c r="O214" s="157" t="inlineStr">
        <is>
          <t>https://www.ubtrobot.com</t>
        </is>
      </c>
      <c r="P214" s="152" t="inlineStr">
        <is>
          <t>5 ft 8 in</t>
        </is>
      </c>
      <c r="Q214" s="152" t="n">
        <v>172</v>
      </c>
      <c r="R214" s="152" t="n">
        <v>167.6</v>
      </c>
      <c r="S214" s="152" t="n">
        <v>76</v>
      </c>
      <c r="T214" s="156" t="inlineStr">
        <is>
          <t>Not disclosed</t>
        </is>
      </c>
      <c r="U214" s="152" t="n"/>
      <c r="V214" s="152" t="inlineStr">
        <is>
          <t>41</t>
        </is>
      </c>
      <c r="W214" s="156" t="inlineStr">
        <is>
          <t>Not disclosed</t>
        </is>
      </c>
      <c r="X214" s="152" t="n">
        <v>6.6</v>
      </c>
      <c r="Y214" s="152" t="n">
        <v>3</v>
      </c>
      <c r="Z214" s="152" t="n">
        <v>3.11</v>
      </c>
      <c r="AA214" s="152" t="n">
        <v>5</v>
      </c>
      <c r="AB214" s="152" t="n">
        <v>3</v>
      </c>
      <c r="AC214" s="156" t="inlineStr">
        <is>
          <t>≈ 2 hours</t>
        </is>
      </c>
      <c r="AD214" s="156" t="inlineStr">
        <is>
          <t>2</t>
        </is>
      </c>
      <c r="AE214" s="152" t="n"/>
      <c r="AF214" s="152" t="inlineStr">
        <is>
          <t>Not disclosed</t>
        </is>
      </c>
      <c r="AG214" s="156" t="inlineStr">
        <is>
          <t>Not disclosed</t>
        </is>
      </c>
      <c r="AH214" s="152" t="inlineStr">
        <is>
          <t>Not disclosed</t>
        </is>
      </c>
      <c r="AI214" s="151" t="n">
        <v>3</v>
      </c>
      <c r="AJ214" s="156" t="inlineStr">
        <is>
          <t>Not disclosed</t>
        </is>
      </c>
      <c r="AK214" s="156" t="n"/>
      <c r="AL214" s="152" t="inlineStr">
        <is>
          <t>Not disclosed</t>
        </is>
      </c>
      <c r="AM214" s="152" t="n"/>
      <c r="AN214" s="152" t="inlineStr">
        <is>
          <t>Not disclosed</t>
        </is>
      </c>
      <c r="AO214" s="152" t="inlineStr">
        <is>
          <t>Not disclosed</t>
        </is>
      </c>
      <c r="AP214" s="152" t="inlineStr">
        <is>
          <t>Not disclosed</t>
        </is>
      </c>
      <c r="AQ214" s="152" t="inlineStr">
        <is>
          <t>Not disclosed</t>
        </is>
      </c>
      <c r="AR214" s="152" t="n"/>
      <c r="AS214" s="152" t="n"/>
      <c r="AT214" s="156" t="inlineStr">
        <is>
          <t>Not disclosed</t>
        </is>
      </c>
      <c r="AU214" s="156" t="inlineStr">
        <is>
          <t>Not disclosed</t>
        </is>
      </c>
      <c r="AV214" s="152" t="inlineStr">
        <is>
          <t>Not disclosed</t>
        </is>
      </c>
      <c r="AW214" s="156" t="inlineStr">
        <is>
          <t>Not disclosed</t>
        </is>
      </c>
      <c r="AX214" s="151" t="n">
        <v>3</v>
      </c>
      <c r="AY214" s="156" t="inlineStr">
        <is>
          <t>Not disclosed</t>
        </is>
      </c>
      <c r="AZ214" s="156" t="inlineStr">
        <is>
          <t>Not disclosed</t>
        </is>
      </c>
      <c r="BA214" s="156" t="n"/>
      <c r="BB214" s="156" t="inlineStr">
        <is>
          <t>Not disclosed</t>
        </is>
      </c>
      <c r="BC214" s="156" t="inlineStr">
        <is>
          <t>Not disclosed</t>
        </is>
      </c>
      <c r="BD214" s="152" t="inlineStr">
        <is>
          <t>Not disclosed</t>
        </is>
      </c>
      <c r="BE214" s="152" t="inlineStr">
        <is>
          <t>Not disclosed</t>
        </is>
      </c>
      <c r="BF214" s="152" t="n"/>
      <c r="BG214" s="152" t="n"/>
      <c r="BH214" s="152" t="n"/>
      <c r="BI214" s="152" t="n"/>
      <c r="BJ214" s="152" t="n"/>
      <c r="BK214" s="152" t="n"/>
      <c r="BL214" s="152" t="n"/>
      <c r="BM214" s="152" t="inlineStr">
        <is>
          <t>Not disclosed</t>
        </is>
      </c>
      <c r="BN214" s="152" t="inlineStr">
        <is>
          <t>Not disclosed</t>
        </is>
      </c>
      <c r="BO214" s="156" t="inlineStr">
        <is>
          <t>Manipulation 3/4 · Navigation 3/4 · Peak 5 km/h · Walk 3 km/h · Runtime 2</t>
        </is>
      </c>
      <c r="BP214" s="152" t="n"/>
      <c r="BQ214" s="156" t="inlineStr">
        <is>
          <t>Research labs, commercial pilots, and education programs evaluating a humanoid from UBTECH Robotics (China) now listed as prototype.</t>
        </is>
      </c>
      <c r="BR214" s="156" t="inlineStr">
        <is>
          <t>Prototype</t>
        </is>
      </c>
      <c r="BS214" s="156" t="inlineStr">
        <is>
          <t>Prototype</t>
        </is>
      </c>
      <c r="BT214" s="152" t="n"/>
      <c r="BU214" s="152" t="inlineStr">
        <is>
          <t>Not verified</t>
        </is>
      </c>
      <c r="BV214" s="156" t="n"/>
      <c r="BW214" s="156" t="inlineStr">
        <is>
          <t>Origin &amp; status — China · Prototype · 2026 | Manipulation — Payload 6.6 lb | Sensing &amp; software — Sensor and compute package confirmed on formal quote | Buying notes — From $75,000 · 12 months manufacturer standard (typical research/commercial humanoid)</t>
        </is>
      </c>
      <c r="BX214" s="156" t="inlineStr">
        <is>
          <t>as_shipped|Walker S1|75000|As shipped</t>
        </is>
      </c>
      <c r="BY214" s="152" t="inlineStr">
        <is>
          <t>walker_s1|Manufacturer finish|#e2e8f0|0</t>
        </is>
      </c>
      <c r="BZ214" s="152" t="inlineStr"/>
      <c r="CA214" s="156" t="n"/>
      <c r="CB214" s="156" t="inlineStr">
        <is>
          <t>12 months manufacturer standard (typical research/commercial humanoid)</t>
        </is>
      </c>
      <c r="CC214" s="154" t="n">
        <v>12</v>
      </c>
      <c r="CD214" s="156" t="inlineStr">
        <is>
          <t>+3 Year Extended ≈24% of configuration (default in configurator)</t>
        </is>
      </c>
      <c r="CE214" s="152" t="inlineStr">
        <is>
          <t>Humanoid category norm 2025–2026</t>
        </is>
      </c>
      <c r="CF214" s="152" t="inlineStr">
        <is>
          <t>Estimated</t>
        </is>
      </c>
      <c r="CG214" s="156" t="inlineStr">
        <is>
          <t>Confirm on formal OEM quote. EDU or enterprise packages may differ.</t>
        </is>
      </c>
      <c r="CH214" s="152" t="inlineStr">
        <is>
          <t>10%</t>
        </is>
      </c>
      <c r="CI214" s="152" t="inlineStr">
        <is>
          <t>17%</t>
        </is>
      </c>
      <c r="CJ214" s="152" t="inlineStr">
        <is>
          <t>24%</t>
        </is>
      </c>
      <c r="CK214" s="156" t="inlineStr">
        <is>
          <t>+1yr ≈10% | +2yr ≈17% | +3yr ≈24% of selected configuration price (parts &amp; labor beyond manufacturer standard).</t>
        </is>
      </c>
      <c r="CL214"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14" s="152" t="inlineStr">
        <is>
          <t>12 months manufacturer standard (typical research/commercial humanoid)</t>
        </is>
      </c>
      <c r="CN214" s="203" t="inlineStr">
        <is>
          <t>https://aixzd.com/robot/walker-s1</t>
        </is>
      </c>
      <c r="CO214" s="203" t="inlineStr">
        <is>
          <t>https://theresanaiforthat.com/robots/</t>
        </is>
      </c>
      <c r="CP214" s="203" t="inlineStr">
        <is>
          <t>Cross-checked against TAAFT Robots directory (669 entries) 28 Aug 2026 — individual TAAFT permalinks are JS/Cloudflare gated.</t>
        </is>
      </c>
      <c r="CQ214" s="101" t="inlineStr">
        <is>
          <t>Height: 5 ft 8 in | Weight: 167.6 | Degrees of Freedom: 41 | Payload: 6.6 | Max Speed: 3.11 | Battery / Runtime: ≈ 2 hours</t>
        </is>
      </c>
    </row>
    <row r="215" ht="31.5" customHeight="1" s="102">
      <c r="A215" s="143" t="inlineStr">
        <is>
          <t>ultra_robotics_corp_operator_op1</t>
        </is>
      </c>
      <c r="B215" s="153" t="inlineStr">
        <is>
          <t>Major-player brief 11 Sep 2026</t>
        </is>
      </c>
      <c r="C215" s="145" t="inlineStr">
        <is>
          <t>Ultra Robotics</t>
        </is>
      </c>
      <c r="D215" s="145" t="inlineStr">
        <is>
          <t>Operator OP1</t>
        </is>
      </c>
      <c r="E215" s="145" t="inlineStr">
        <is>
          <t>[Ultra Robotics] Operator OP1 (2026)</t>
        </is>
      </c>
      <c r="F215" s="146" t="inlineStr">
        <is>
          <t>humanoid</t>
        </is>
      </c>
      <c r="G215" s="145" t="inlineStr">
        <is>
          <t>USA</t>
        </is>
      </c>
      <c r="H215" s="198" t="n">
        <v>2026</v>
      </c>
      <c r="I215" s="148" t="n">
        <v>80000</v>
      </c>
      <c r="J215" s="145" t="inlineStr">
        <is>
          <t>Humanoid.guide list</t>
        </is>
      </c>
      <c r="K215" s="149" t="inlineStr">
        <is>
          <t>OP1 is a fixed-base industrial robot built for packing, sorting and kitting. Its connection to mains power allows continuous operation.</t>
        </is>
      </c>
      <c r="L215" s="101" t="inlineStr">
        <is>
          <t>OP1 is a fixed-base industrial robot built for packing, sorting and kitting. Its connection to mains power allows continuous operation.</t>
        </is>
      </c>
      <c r="M215" s="101" t="inlineStr">
        <is>
          <t>Ultra Robotics built Operator OP1 as a fixed-base industrial robot for packing, sorting, and kitting. Mains power is the point — it is meant to run continuously rather than manage a walking battery budget.</t>
        </is>
      </c>
      <c r="N215" s="150" t="inlineStr">
        <is>
          <t>https://humanoid.guide/product/operator-op1/</t>
        </is>
      </c>
      <c r="O215" s="150" t="inlineStr">
        <is>
          <t>https://www.ultrarobotics.com</t>
        </is>
      </c>
      <c r="P215" s="145" t="inlineStr">
        <is>
          <t>5 ft 11 in</t>
        </is>
      </c>
      <c r="Q215" s="145" t="n">
        <v>180</v>
      </c>
      <c r="R215" s="145" t="n">
        <v>308.6</v>
      </c>
      <c r="S215" s="145" t="n">
        <v>140</v>
      </c>
      <c r="T215" s="149" t="inlineStr">
        <is>
          <t>Not disclosed</t>
        </is>
      </c>
      <c r="U215" s="145" t="n"/>
      <c r="V215" s="145" t="inlineStr">
        <is>
          <t>14</t>
        </is>
      </c>
      <c r="W215" s="149" t="inlineStr">
        <is>
          <t>2</t>
        </is>
      </c>
      <c r="X215" s="145" t="n">
        <v>11</v>
      </c>
      <c r="Y215" s="145" t="n">
        <v>5</v>
      </c>
      <c r="Z215" s="145" t="n">
        <v>1.86</v>
      </c>
      <c r="AA215" s="145" t="n">
        <v>3</v>
      </c>
      <c r="AB215" s="145" t="n"/>
      <c r="AC215" s="149" t="inlineStr">
        <is>
          <t>≈ 2 hours</t>
        </is>
      </c>
      <c r="AD215" s="149" t="inlineStr">
        <is>
          <t>2</t>
        </is>
      </c>
      <c r="AE215" s="145" t="n"/>
      <c r="AF215" s="145" t="inlineStr">
        <is>
          <t>Not disclosed</t>
        </is>
      </c>
      <c r="AG215" s="149" t="inlineStr">
        <is>
          <t>2-finger gripping claws</t>
        </is>
      </c>
      <c r="AH215" s="145" t="inlineStr">
        <is>
          <t>2-finger gripping claws</t>
        </is>
      </c>
      <c r="AI215" s="145" t="n"/>
      <c r="AJ215" s="149" t="inlineStr">
        <is>
          <t>Not disclosed</t>
        </is>
      </c>
      <c r="AK215" s="149" t="n"/>
      <c r="AL215" s="145" t="inlineStr">
        <is>
          <t>Not disclosed</t>
        </is>
      </c>
      <c r="AM215" s="145" t="n"/>
      <c r="AN215" s="145" t="inlineStr">
        <is>
          <t>Not disclosed</t>
        </is>
      </c>
      <c r="AO215" s="145" t="inlineStr">
        <is>
          <t>Not disclosed</t>
        </is>
      </c>
      <c r="AP215" s="145" t="inlineStr">
        <is>
          <t>Not disclosed</t>
        </is>
      </c>
      <c r="AQ215" s="145" t="inlineStr">
        <is>
          <t>Not disclosed</t>
        </is>
      </c>
      <c r="AR215" s="145" t="n"/>
      <c r="AS215" s="145" t="n"/>
      <c r="AT215" s="149" t="inlineStr">
        <is>
          <t>Linux + NVIDIA Jetson-class on-board compute</t>
        </is>
      </c>
      <c r="AU215" s="149" t="inlineStr">
        <is>
          <t>Dedicated 10 Mbps Ethernet connection</t>
        </is>
      </c>
      <c r="AV215" s="145" t="inlineStr">
        <is>
          <t>Not disclosed</t>
        </is>
      </c>
      <c r="AW215" s="149" t="inlineStr">
        <is>
          <t>Not disclosed</t>
        </is>
      </c>
      <c r="AX215" s="145" t="n"/>
      <c r="AY215" s="149" t="inlineStr">
        <is>
          <t>Linux/Ubuntu with a custom ML/control stack</t>
        </is>
      </c>
      <c r="AZ215" s="149" t="inlineStr">
        <is>
          <t>Not a chat-style LLM; plus "Fleet AI" continuous learning across all deployed robots; uses neural networks trained on teleoperation data that output joint and gripper positions at 10 Hz — VLA-class perception-to-action policy</t>
        </is>
      </c>
      <c r="BA215" s="149" t="inlineStr">
        <is>
          <t>~100 ms (10 Hz control loop, per published architecture)</t>
        </is>
      </c>
      <c r="BB215" s="149" t="inlineStr">
        <is>
          <t>Not officially published — qualified estimate brushless DC servo motors</t>
        </is>
      </c>
      <c r="BC215" s="149" t="inlineStr">
        <is>
          <t>harmonic / planetary reducers per arm joint</t>
        </is>
      </c>
      <c r="BD215" s="145" t="inlineStr">
        <is>
          <t>aluminum frame with polymer / composite covers</t>
        </is>
      </c>
      <c r="BE215" s="145" t="inlineStr">
        <is>
          <t>Not disclosed</t>
        </is>
      </c>
      <c r="BF215" s="145" t="n"/>
      <c r="BG215" s="145" t="n"/>
      <c r="BH215" s="145" t="n"/>
      <c r="BI215" s="145" t="n"/>
      <c r="BJ215" s="145" t="n"/>
      <c r="BK215" s="145" t="n"/>
      <c r="BL215" s="145" t="n"/>
      <c r="BM215" s="145" t="inlineStr">
        <is>
          <t>Yes</t>
        </is>
      </c>
      <c r="BN215" s="145" t="inlineStr">
        <is>
          <t>Not disclosed</t>
        </is>
      </c>
      <c r="BO215" s="149" t="inlineStr">
        <is>
          <t>Market: US e-commerce fulfillment and warehouse operations — order packaging, sorting, kitting, and returns processing · Human-safe: Yes · AI: Not a chat-style LLM; plus "Fleet AI" continuous learning across all deployed robots; uses neural networks trained on teleoperation data … · Actuation: Not officially published — qualified estimate brushless DC servo motors · Peak 3 km/h · Runtime 2</t>
        </is>
      </c>
      <c r="BP215" s="145" t="n"/>
      <c r="BQ215" s="149" t="inlineStr">
        <is>
          <t>Fixed-base packing, sorting and kitting</t>
        </is>
      </c>
      <c r="BR215" s="149" t="inlineStr">
        <is>
          <t>In production</t>
        </is>
      </c>
      <c r="BS215" s="149" t="inlineStr">
        <is>
          <t>In production</t>
        </is>
      </c>
      <c r="BT215" s="145" t="n"/>
      <c r="BU215" s="145" t="n"/>
      <c r="BV215" s="149" t="n"/>
      <c r="BW215" s="149" t="inlineStr">
        <is>
          <t>Origin &amp; status — USA · In production · 2026 | Manipulation — 2-finger gripping claws · Hand DOF 2 · Payload 11 lb | Sensing &amp; software — Not a chat-style LLM; plus "Fleet AI" continuous learning across all deployed robots; uses neural networks trained on teleoperation data that output joint a… | Buying notes — From $80,000 · 12 months manufacturer standard (typical research/commercial humanoid) · Best fit: US e-commerce fulfillment and warehouse operations — order packa…</t>
        </is>
      </c>
      <c r="BX215" s="149" t="inlineStr">
        <is>
          <t>as_shipped|Operator OP1|80000|As shipped</t>
        </is>
      </c>
      <c r="BY215" s="145" t="inlineStr">
        <is>
          <t>operator_op1|Manufacturer finish|#e2e8f0|0</t>
        </is>
      </c>
      <c r="BZ215" s="145" t="inlineStr"/>
      <c r="CA215" s="149" t="n"/>
      <c r="CB215" s="149" t="inlineStr">
        <is>
          <t>12 months manufacturer standard (typical research/commercial humanoid)</t>
        </is>
      </c>
      <c r="CC215" s="147" t="n">
        <v>12</v>
      </c>
      <c r="CD215" s="149" t="inlineStr">
        <is>
          <t>+3 Year Extended ≈24% of configuration (default in configurator)</t>
        </is>
      </c>
      <c r="CE215" s="145" t="inlineStr">
        <is>
          <t>Humanoid category norm 2025–2026</t>
        </is>
      </c>
      <c r="CF215" s="145" t="inlineStr">
        <is>
          <t>Estimated</t>
        </is>
      </c>
      <c r="CG215" s="149" t="inlineStr">
        <is>
          <t>Confirm on formal OEM quote. EDU or enterprise packages may differ.</t>
        </is>
      </c>
      <c r="CH215" s="145" t="inlineStr">
        <is>
          <t>10%</t>
        </is>
      </c>
      <c r="CI215" s="145" t="inlineStr">
        <is>
          <t>17%</t>
        </is>
      </c>
      <c r="CJ215" s="145" t="inlineStr">
        <is>
          <t>24%</t>
        </is>
      </c>
      <c r="CK215" s="149" t="inlineStr">
        <is>
          <t>+1yr ≈10% | +2yr ≈17% | +3yr ≈24% of selected configuration price (parts &amp; labor beyond manufacturer standard).</t>
        </is>
      </c>
      <c r="CL21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15" s="145" t="inlineStr">
        <is>
          <t>12 months manufacturer standard (typical research/commercial humanoid)</t>
        </is>
      </c>
      <c r="CQ215" s="101" t="inlineStr">
        <is>
          <t>Height: 5 ft 11 in | Weight: 308.6 | Degrees of Freedom: 14 | Payload: 11 | Max Speed: 1.86 | Battery / Runtime: ≈ 2 hours</t>
        </is>
      </c>
    </row>
    <row r="216" ht="31.5" customHeight="1" s="102">
      <c r="A216" s="152" t="inlineStr">
        <is>
          <t>uma_northstar</t>
        </is>
      </c>
      <c r="B216" s="153" t="inlineStr">
        <is>
          <t>Humanoid.guide</t>
        </is>
      </c>
      <c r="C216" s="152" t="inlineStr">
        <is>
          <t>UMA</t>
        </is>
      </c>
      <c r="D216" s="152" t="inlineStr">
        <is>
          <t>Northstar</t>
        </is>
      </c>
      <c r="E216" s="152" t="inlineStr">
        <is>
          <t>[UMA] Northstar (2026)</t>
        </is>
      </c>
      <c r="F216" s="146" t="inlineStr">
        <is>
          <t>humanoid</t>
        </is>
      </c>
      <c r="G216" s="152" t="inlineStr">
        <is>
          <t>France</t>
        </is>
      </c>
      <c r="H216" s="152" t="n"/>
      <c r="I216" s="155" t="n">
        <v>70000</v>
      </c>
      <c r="J216" s="152" t="inlineStr">
        <is>
          <t>Humanoid.guide list</t>
        </is>
      </c>
      <c r="K216" s="156" t="inlineStr">
        <is>
          <t>Northstar is a lightweight, wheeled humanoid robot from Paris-based startup UMA, designed to learn tasks by watching humans and aimed at factories, warehouses, and eventually homes.</t>
        </is>
      </c>
      <c r="L216" s="101" t="inlineStr">
        <is>
          <t>Northstar is a lightweight, wheeled humanoid robot from Paris-based startup UMA, designed to learn tasks by watching humans and aimed at factories, warehouses, and eventually homes.</t>
        </is>
      </c>
      <c r="M216" s="101" t="inlineStr">
        <is>
          <t>Northstar is a lightweight, wheeled humanoid robot from Paris-based startup UMA, designed to learn tasks by watching humans and aimed at factories, warehouses, and eventually homes. Public status is listed as prototype, and it is positioned for consumer home use; healthcare; logistics; Manufacturing.</t>
        </is>
      </c>
      <c r="N216" s="157" t="inlineStr">
        <is>
          <t>https://humanoid.guide/product/northstar/</t>
        </is>
      </c>
      <c r="O216" s="157" t="inlineStr">
        <is>
          <t>https://uma.bot/</t>
        </is>
      </c>
      <c r="P216" s="152" t="inlineStr">
        <is>
          <t>5 ft 5 in</t>
        </is>
      </c>
      <c r="Q216" s="152" t="n">
        <v>165</v>
      </c>
      <c r="R216" s="152" t="n">
        <v>88.2</v>
      </c>
      <c r="S216" s="152" t="n">
        <v>40</v>
      </c>
      <c r="T216" s="156" t="inlineStr">
        <is>
          <t>Not disclosed</t>
        </is>
      </c>
      <c r="U216" s="152" t="n"/>
      <c r="V216" s="152" t="inlineStr">
        <is>
          <t>24</t>
        </is>
      </c>
      <c r="W216" s="156" t="inlineStr">
        <is>
          <t>12</t>
        </is>
      </c>
      <c r="X216" s="152" t="n">
        <v>33.1</v>
      </c>
      <c r="Y216" s="152" t="n">
        <v>15</v>
      </c>
      <c r="Z216" s="152" t="n">
        <v>2.49</v>
      </c>
      <c r="AA216" s="152" t="n">
        <v>4</v>
      </c>
      <c r="AB216" s="152" t="n">
        <v>3</v>
      </c>
      <c r="AC216" s="156" t="inlineStr">
        <is>
          <t>Not disclosed</t>
        </is>
      </c>
      <c r="AD216" s="156" t="n"/>
      <c r="AE216" s="152" t="n"/>
      <c r="AF216" s="152" t="inlineStr">
        <is>
          <t>Not disclosed</t>
        </is>
      </c>
      <c r="AG216" s="156" t="inlineStr">
        <is>
          <t>5 per hand</t>
        </is>
      </c>
      <c r="AH216" s="152" t="inlineStr">
        <is>
          <t>5 per hand</t>
        </is>
      </c>
      <c r="AI216" s="152" t="n"/>
      <c r="AJ216" s="156" t="inlineStr">
        <is>
          <t>Not disclosed</t>
        </is>
      </c>
      <c r="AK216" s="156" t="n"/>
      <c r="AL216" s="152" t="inlineStr">
        <is>
          <t>Not disclosed</t>
        </is>
      </c>
      <c r="AM216" s="152" t="n"/>
      <c r="AN216" s="152" t="inlineStr">
        <is>
          <t>Not disclosed</t>
        </is>
      </c>
      <c r="AO216" s="152" t="inlineStr">
        <is>
          <t>Not disclosed</t>
        </is>
      </c>
      <c r="AP216" s="152" t="inlineStr">
        <is>
          <t>Not disclosed</t>
        </is>
      </c>
      <c r="AQ216" s="152" t="inlineStr">
        <is>
          <t>Not disclosed</t>
        </is>
      </c>
      <c r="AR216" s="152" t="n"/>
      <c r="AS216" s="152" t="n"/>
      <c r="AT216" s="156" t="inlineStr">
        <is>
          <t>Not disclosed</t>
        </is>
      </c>
      <c r="AU216" s="156" t="inlineStr">
        <is>
          <t>Not disclosed</t>
        </is>
      </c>
      <c r="AV216" s="152" t="inlineStr">
        <is>
          <t>Not disclosed</t>
        </is>
      </c>
      <c r="AW216" s="156" t="inlineStr">
        <is>
          <t>Not disclosed</t>
        </is>
      </c>
      <c r="AX216" s="152" t="n"/>
      <c r="AY216" s="156" t="inlineStr">
        <is>
          <t>Not disclosed</t>
        </is>
      </c>
      <c r="AZ216" s="156" t="inlineStr">
        <is>
          <t>Not disclosed</t>
        </is>
      </c>
      <c r="BA216" s="156" t="n"/>
      <c r="BB216" s="156" t="inlineStr">
        <is>
          <t>Not disclosed</t>
        </is>
      </c>
      <c r="BC216" s="156" t="inlineStr">
        <is>
          <t>Not disclosed</t>
        </is>
      </c>
      <c r="BD216" s="152" t="inlineStr">
        <is>
          <t>Not disclosed</t>
        </is>
      </c>
      <c r="BE216" s="152" t="inlineStr">
        <is>
          <t>Not disclosed</t>
        </is>
      </c>
      <c r="BF216" s="152" t="n"/>
      <c r="BG216" s="152" t="n"/>
      <c r="BH216" s="152" t="n"/>
      <c r="BI216" s="152" t="n"/>
      <c r="BJ216" s="152" t="n"/>
      <c r="BK216" s="152" t="n"/>
      <c r="BL216" s="152" t="n"/>
      <c r="BM216" s="152" t="inlineStr">
        <is>
          <t>Yes</t>
        </is>
      </c>
      <c r="BN216" s="152" t="inlineStr">
        <is>
          <t>Not disclosed</t>
        </is>
      </c>
      <c r="BO216" s="156" t="inlineStr">
        <is>
          <t>Market: Consumer home use; healthcare; logistics; Manufacturing · Human-safe: Yes · Peak 4 km/h · Walk 3 km/h</t>
        </is>
      </c>
      <c r="BP216" s="152" t="n"/>
      <c r="BQ216" s="156" t="inlineStr">
        <is>
          <t>Consumer home use; healthcare; logistics; Manufacturing</t>
        </is>
      </c>
      <c r="BR216" s="156" t="inlineStr">
        <is>
          <t>Prototype</t>
        </is>
      </c>
      <c r="BS216" s="156" t="inlineStr">
        <is>
          <t>Prototype</t>
        </is>
      </c>
      <c r="BT216" s="152" t="n"/>
      <c r="BU216" s="152" t="n"/>
      <c r="BV216" s="156" t="n"/>
      <c r="BW216" s="156" t="inlineStr">
        <is>
          <t>Origin &amp; status — France · Prototype · 2026 | Manipulation — 5 per hand · 5 per hand fingers · Hand DOF 12 · Payload 33.1 lb | Sensing &amp; software — Sensor and compute package confirmed on formal quote | Buying notes — From $70,000 · 12 months manufacturer standard (typical research/commercial humanoid) · Best fit: Consumer home use</t>
        </is>
      </c>
      <c r="BX216" s="156" t="inlineStr">
        <is>
          <t>as_shipped|Northstar|70000|As shipped</t>
        </is>
      </c>
      <c r="BY216" s="152" t="inlineStr">
        <is>
          <t>northstar|Manufacturer finish|#e2e8f0|0</t>
        </is>
      </c>
      <c r="BZ216" s="152" t="inlineStr"/>
      <c r="CA216" s="156" t="n"/>
      <c r="CB216" s="156" t="inlineStr">
        <is>
          <t>12 months manufacturer standard (typical research/commercial humanoid)</t>
        </is>
      </c>
      <c r="CC216" s="154" t="n">
        <v>12</v>
      </c>
      <c r="CD216" s="156" t="inlineStr">
        <is>
          <t>+3 Year Extended ≈24% of configuration (default in configurator)</t>
        </is>
      </c>
      <c r="CE216" s="152" t="inlineStr">
        <is>
          <t>Humanoid category norm 2025–2026</t>
        </is>
      </c>
      <c r="CF216" s="152" t="inlineStr">
        <is>
          <t>Estimated</t>
        </is>
      </c>
      <c r="CG216" s="156" t="inlineStr">
        <is>
          <t>Confirm on formal OEM quote. EDU or enterprise packages may differ.</t>
        </is>
      </c>
      <c r="CH216" s="152" t="inlineStr">
        <is>
          <t>10%</t>
        </is>
      </c>
      <c r="CI216" s="152" t="inlineStr">
        <is>
          <t>17%</t>
        </is>
      </c>
      <c r="CJ216" s="152" t="inlineStr">
        <is>
          <t>24%</t>
        </is>
      </c>
      <c r="CK216" s="156" t="inlineStr">
        <is>
          <t>+1yr ≈10% | +2yr ≈17% | +3yr ≈24% of selected configuration price (parts &amp; labor beyond manufacturer standard).</t>
        </is>
      </c>
      <c r="CL216"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16" s="152" t="inlineStr">
        <is>
          <t>12 months manufacturer standard (typical research/commercial humanoid)</t>
        </is>
      </c>
      <c r="CQ216" s="101" t="inlineStr">
        <is>
          <t>Height: 5 ft 5 in | Weight: 88.2 | Degrees of Freedom: 24 | Payload: 33.1 | Max Speed: 2.49 | Battery / Runtime: Not disclosed</t>
        </is>
      </c>
    </row>
    <row r="217" ht="31.5" customHeight="1" s="102">
      <c r="A217" s="145" t="inlineStr">
        <is>
          <t>under_control_robotics_moby_old</t>
        </is>
      </c>
      <c r="B217" s="153" t="inlineStr">
        <is>
          <t>Humanoid.guide</t>
        </is>
      </c>
      <c r="C217" s="145" t="inlineStr">
        <is>
          <t>Under Control Robotics</t>
        </is>
      </c>
      <c r="D217" s="145" t="inlineStr">
        <is>
          <t>Moby (old)</t>
        </is>
      </c>
      <c r="E217" s="145" t="inlineStr">
        <is>
          <t>[Under Control Robotics] Moby old (2026)</t>
        </is>
      </c>
      <c r="F217" s="146" t="inlineStr">
        <is>
          <t>humanoid</t>
        </is>
      </c>
      <c r="G217" s="145" t="inlineStr">
        <is>
          <t>USA</t>
        </is>
      </c>
      <c r="H217" s="145" t="n"/>
      <c r="I217" s="148" t="n">
        <v>75000</v>
      </c>
      <c r="J217" s="145" t="inlineStr">
        <is>
          <t>Humanoid.guide list</t>
        </is>
      </c>
      <c r="K217" s="149" t="inlineStr">
        <is>
          <t>Moby is a lightweight humanoid robot designed for safe interaction, autonomous navigation, and AI-powered assistance in indoor environments.</t>
        </is>
      </c>
      <c r="L217" s="101" t="inlineStr">
        <is>
          <t>Moby is a lightweight humanoid robot designed for safe interaction, autonomous navigation, and AI-powered assistance in indoor environments.</t>
        </is>
      </c>
      <c r="M217" s="101" t="inlineStr">
        <is>
          <t>Moby old is Under Control Robotics's humanoid, introduced around 2026 in USA. Moby is a lightweight humanoid robot designed for safe interaction, autonomous navigation, and AI-powered assistance in indoor environments. Public status is listed as prototype, and it is positioned for hospitality; Research &amp; education; service &amp; research labs.</t>
        </is>
      </c>
      <c r="N217" s="150" t="inlineStr">
        <is>
          <t>https://humanoid.guide/product/moby-old/</t>
        </is>
      </c>
      <c r="O217" s="150" t="inlineStr">
        <is>
          <t>https://www.undercontrol.ai/</t>
        </is>
      </c>
      <c r="P217" s="145" t="inlineStr">
        <is>
          <t>5 ft 7 in</t>
        </is>
      </c>
      <c r="Q217" s="145" t="n">
        <v>170</v>
      </c>
      <c r="R217" s="145" t="n">
        <v>99.2</v>
      </c>
      <c r="S217" s="145" t="n">
        <v>45</v>
      </c>
      <c r="T217" s="149" t="inlineStr">
        <is>
          <t>Not disclosed</t>
        </is>
      </c>
      <c r="U217" s="145" t="n"/>
      <c r="V217" s="145" t="inlineStr">
        <is>
          <t>34</t>
        </is>
      </c>
      <c r="W217" s="149" t="inlineStr">
        <is>
          <t>10</t>
        </is>
      </c>
      <c r="X217" s="145" t="n">
        <v>19.8</v>
      </c>
      <c r="Y217" s="145" t="n">
        <v>9</v>
      </c>
      <c r="Z217" s="145" t="n">
        <v>1.86</v>
      </c>
      <c r="AA217" s="145" t="n">
        <v>3</v>
      </c>
      <c r="AB217" s="145" t="n">
        <v>3</v>
      </c>
      <c r="AC217" s="149" t="inlineStr">
        <is>
          <t>≈ 5 hours</t>
        </is>
      </c>
      <c r="AD217" s="149" t="inlineStr">
        <is>
          <t>5</t>
        </is>
      </c>
      <c r="AE217" s="145" t="n"/>
      <c r="AF217" s="145" t="inlineStr">
        <is>
          <t>Not disclosed</t>
        </is>
      </c>
      <c r="AG217" s="149" t="inlineStr">
        <is>
          <t>10</t>
        </is>
      </c>
      <c r="AH217" s="145" t="inlineStr">
        <is>
          <t>10</t>
        </is>
      </c>
      <c r="AI217" s="158" t="n">
        <v>2</v>
      </c>
      <c r="AJ217" s="149" t="inlineStr">
        <is>
          <t>Not disclosed</t>
        </is>
      </c>
      <c r="AK217" s="149" t="n"/>
      <c r="AL217" s="145" t="inlineStr">
        <is>
          <t>Not disclosed</t>
        </is>
      </c>
      <c r="AM217" s="145" t="n"/>
      <c r="AN217" s="145" t="inlineStr">
        <is>
          <t>Not disclosed</t>
        </is>
      </c>
      <c r="AO217" s="145" t="inlineStr">
        <is>
          <t>Not disclosed</t>
        </is>
      </c>
      <c r="AP217" s="145" t="inlineStr">
        <is>
          <t>Not disclosed</t>
        </is>
      </c>
      <c r="AQ217" s="145" t="inlineStr">
        <is>
          <t>Not disclosed</t>
        </is>
      </c>
      <c r="AR217" s="145" t="n"/>
      <c r="AS217" s="145" t="n"/>
      <c r="AT217" s="149" t="inlineStr">
        <is>
          <t>Not disclosed</t>
        </is>
      </c>
      <c r="AU217" s="149" t="inlineStr">
        <is>
          <t>Bluetooth; Wi‑Fi</t>
        </is>
      </c>
      <c r="AV217" s="145" t="inlineStr">
        <is>
          <t>Not disclosed</t>
        </is>
      </c>
      <c r="AW217" s="149" t="inlineStr">
        <is>
          <t>Not disclosed</t>
        </is>
      </c>
      <c r="AX217" s="151" t="n">
        <v>3</v>
      </c>
      <c r="AY217" s="149" t="inlineStr">
        <is>
          <t>Linux, Ubuntu, ROS</t>
        </is>
      </c>
      <c r="AZ217" s="149" t="inlineStr">
        <is>
          <t>Yes</t>
        </is>
      </c>
      <c r="BA217" s="149" t="n"/>
      <c r="BB217" s="149" t="inlineStr">
        <is>
          <t>Brushless Motor</t>
        </is>
      </c>
      <c r="BC217" s="149" t="inlineStr">
        <is>
          <t>Harmonic or planetary gears</t>
        </is>
      </c>
      <c r="BD217" s="145" t="inlineStr">
        <is>
          <t>Composite polymer + aluminum frame</t>
        </is>
      </c>
      <c r="BE217" s="145" t="inlineStr">
        <is>
          <t>IP20</t>
        </is>
      </c>
      <c r="BF217" s="145" t="inlineStr">
        <is>
          <t>IP20</t>
        </is>
      </c>
      <c r="BG217" s="145" t="n"/>
      <c r="BH217" s="145" t="n"/>
      <c r="BI217" s="145" t="n"/>
      <c r="BJ217" s="145" t="n"/>
      <c r="BK217" s="145" t="n"/>
      <c r="BL217" s="145" t="n"/>
      <c r="BM217" s="145" t="inlineStr">
        <is>
          <t>Yes</t>
        </is>
      </c>
      <c r="BN217" s="145" t="inlineStr">
        <is>
          <t>Not disclosed</t>
        </is>
      </c>
      <c r="BO217" s="149" t="inlineStr">
        <is>
          <t>Market: Hospitality; Research &amp; education; service &amp; research labs · Manipulation 2/4 · Navigation 3/4 · Human-safe: Yes · AI: Yes · Actuation: Brushless Motor · Peak 3 km/h · Walk 3 km/h · Runtime 5</t>
        </is>
      </c>
      <c r="BP217" s="145" t="n"/>
      <c r="BQ217" s="149" t="inlineStr">
        <is>
          <t>Hospitality; Research &amp; education; service &amp; research labs</t>
        </is>
      </c>
      <c r="BR217" s="149" t="inlineStr">
        <is>
          <t>Prototype</t>
        </is>
      </c>
      <c r="BS217" s="149" t="inlineStr">
        <is>
          <t>Prototype</t>
        </is>
      </c>
      <c r="BT217" s="145" t="inlineStr">
        <is>
          <t>Black</t>
        </is>
      </c>
      <c r="BU217" s="145" t="inlineStr">
        <is>
          <t>Not verified</t>
        </is>
      </c>
      <c r="BV217" s="149" t="n"/>
      <c r="BW217" s="149" t="inlineStr">
        <is>
          <t>Origin &amp; status — USA · Prototype · 2026 | Manipulation — 10 · 10 fingers · Hand DOF 10 · Payload 19.8 lb | Sensing &amp; software — Yes · Linux, Ubuntu, ROS | Buying notes — From $75,000 · 12 months manufacturer standard (typical research/commercial humanoid) · Best fit: Hospitality</t>
        </is>
      </c>
      <c r="BX217" s="149" t="inlineStr">
        <is>
          <t>as_shipped|Moby old|75000|As shipped</t>
        </is>
      </c>
      <c r="BY217" s="145" t="inlineStr">
        <is>
          <t>black|Black|#e2e8f0|0</t>
        </is>
      </c>
      <c r="BZ217" s="145" t="inlineStr"/>
      <c r="CA217" s="149" t="n"/>
      <c r="CB217" s="149" t="inlineStr">
        <is>
          <t>12 months manufacturer standard (typical research/commercial humanoid)</t>
        </is>
      </c>
      <c r="CC217" s="147" t="n">
        <v>12</v>
      </c>
      <c r="CD217" s="149" t="inlineStr">
        <is>
          <t>+3 Year Extended ≈24% of configuration (default in configurator)</t>
        </is>
      </c>
      <c r="CE217" s="145" t="inlineStr">
        <is>
          <t>Humanoid category norm 2025–2026</t>
        </is>
      </c>
      <c r="CF217" s="145" t="inlineStr">
        <is>
          <t>Estimated</t>
        </is>
      </c>
      <c r="CG217" s="149" t="inlineStr">
        <is>
          <t>Confirm on formal OEM quote. EDU or enterprise packages may differ.</t>
        </is>
      </c>
      <c r="CH217" s="145" t="inlineStr">
        <is>
          <t>10%</t>
        </is>
      </c>
      <c r="CI217" s="145" t="inlineStr">
        <is>
          <t>17%</t>
        </is>
      </c>
      <c r="CJ217" s="145" t="inlineStr">
        <is>
          <t>24%</t>
        </is>
      </c>
      <c r="CK217" s="149" t="inlineStr">
        <is>
          <t>+1yr ≈10% | +2yr ≈17% | +3yr ≈24% of selected configuration price (parts &amp; labor beyond manufacturer standard).</t>
        </is>
      </c>
      <c r="CL217"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17" s="145" t="inlineStr">
        <is>
          <t>12 months manufacturer standard (typical research/commercial humanoid)</t>
        </is>
      </c>
      <c r="CQ217" s="101" t="inlineStr">
        <is>
          <t>Height: 5 ft 7 in | Weight: 99.2 | Degrees of Freedom: 34 | Payload: 19.8 | Max Speed: 1.86 | Battery / Runtime: ≈ 5 hours</t>
        </is>
      </c>
    </row>
    <row r="218" ht="31.5" customHeight="1" s="102">
      <c r="A218" s="159" t="inlineStr">
        <is>
          <t>g1</t>
        </is>
      </c>
      <c r="B218" s="144" t="inlineStr">
        <is>
          <t>Both</t>
        </is>
      </c>
      <c r="C218" s="152" t="inlineStr">
        <is>
          <t>Unitree</t>
        </is>
      </c>
      <c r="D218" s="152" t="inlineStr">
        <is>
          <t>G1</t>
        </is>
      </c>
      <c r="E218" s="152" t="inlineStr">
        <is>
          <t>[Unitree] G1 (2024)</t>
        </is>
      </c>
      <c r="F218" s="146" t="inlineStr">
        <is>
          <t>humanoid</t>
        </is>
      </c>
      <c r="G218" s="152" t="inlineStr">
        <is>
          <t>China</t>
        </is>
      </c>
      <c r="H218" s="154" t="n">
        <v>2024</v>
      </c>
      <c r="I218" s="155" t="n">
        <v>21600</v>
      </c>
      <c r="J218" s="152" t="inlineStr">
        <is>
          <t>Unitree published G1 base · Aug 2026</t>
        </is>
      </c>
      <c r="K218" s="156" t="inlineStr">
        <is>
          <t>G1 is Unitree's humanoid — ≈ 4 ft 4 in class, 23 base · up to 43 with waist/wrist/hands options DOF, ≈ 4.4–6.6 lb per arm payload. Optional Dex3-1 or equivalent dexterous hands (pair); Depth camera suite; optional 3D LiDAR on research builds.</t>
        </is>
      </c>
      <c r="L218" s="101" t="inlineStr">
        <is>
          <t>G1 is Unitree's humanoid — ≈ 4 ft 4 in class, 23 base · up to 43 with waist/wrist/hands options DOF, ≈ 4.4–6.6 lb per arm payload. Optional Dex3-1 or equivalent dexterous hands (pair); Depth camera suite; optional 3D LiDAR on research builds.</t>
        </is>
      </c>
      <c r="M218" s="101" t="inlineStr">
        <is>
          <t>Unitree introduced G1 in 2024 after building a consumer market with Go1 and Go2 quadrupeds. G1 became one of the most widely purchased research humanoids because EDU packages add ROS 2, extra joints, and real hands at a price far below full-size platforms. It sits between the smaller R1 and the full-size H1/H2 line.</t>
        </is>
      </c>
      <c r="N218" s="157" t="inlineStr">
        <is>
          <t>https://humanoid.guide/product/g1/</t>
        </is>
      </c>
      <c r="O218" s="157" t="inlineStr">
        <is>
          <t>https://www.unitree.com</t>
        </is>
      </c>
      <c r="P218" s="152" t="inlineStr">
        <is>
          <t>≈ 4 ft 4 in</t>
        </is>
      </c>
      <c r="Q218" s="152" t="n">
        <v>127</v>
      </c>
      <c r="R218" s="152" t="n">
        <v>77.2</v>
      </c>
      <c r="S218" s="152" t="n">
        <v>35</v>
      </c>
      <c r="T218" s="156" t="inlineStr">
        <is>
          <t>Not disclosed</t>
        </is>
      </c>
      <c r="U218" s="152" t="inlineStr">
        <is>
          <t>Not specified</t>
        </is>
      </c>
      <c r="V218" s="152" t="inlineStr">
        <is>
          <t>23 base · up to 43 with waist/wrist/hands options</t>
        </is>
      </c>
      <c r="W218" s="156" t="inlineStr">
        <is>
          <t>14</t>
        </is>
      </c>
      <c r="X218" s="152" t="n">
        <v>6.6</v>
      </c>
      <c r="Y218" s="152" t="n">
        <v>3</v>
      </c>
      <c r="Z218" s="152" t="n">
        <v>4.47</v>
      </c>
      <c r="AA218" s="152" t="n">
        <v>7.2</v>
      </c>
      <c r="AB218" s="152" t="n">
        <v>4.5</v>
      </c>
      <c r="AC218" s="156" t="inlineStr">
        <is>
          <t>9 000 mAh quick-swap · ≈ 2 hours</t>
        </is>
      </c>
      <c r="AD218" s="156" t="inlineStr">
        <is>
          <t>2</t>
        </is>
      </c>
      <c r="AE218" s="152" t="n"/>
      <c r="AF218" s="152" t="inlineStr">
        <is>
          <t>9 000 mAh quick-swap pack; ~2 h class runtime</t>
        </is>
      </c>
      <c r="AG218" s="156" t="inlineStr">
        <is>
          <t>Optional Dex3-1 or equivalent dexterous hands (pair)</t>
        </is>
      </c>
      <c r="AH218" s="152" t="inlineStr">
        <is>
          <t>10</t>
        </is>
      </c>
      <c r="AI218" s="151" t="n">
        <v>3</v>
      </c>
      <c r="AJ218" s="156" t="inlineStr">
        <is>
          <t>Depth camera suite; optional 3D LiDAR on research builds</t>
        </is>
      </c>
      <c r="AK218" s="156" t="inlineStr">
        <is>
          <t>“Intel RealSense D435i depth camera and Livox MID360 3D LiDAR; microphone array and stereo speaker in EDU versions</t>
        </is>
      </c>
      <c r="AL218" s="152" t="inlineStr">
        <is>
          <t>Depth + RGB streams for teleoperation and dataset capture</t>
        </is>
      </c>
      <c r="AM218" s="152" t="n"/>
      <c r="AN218" s="152" t="inlineStr">
        <is>
          <t>Not disclosed</t>
        </is>
      </c>
      <c r="AO218" s="152" t="inlineStr">
        <is>
          <t>4-microphone array</t>
        </is>
      </c>
      <c r="AP218" s="152" t="inlineStr">
        <is>
          <t>Depth camera + optional 3D LiDAR · 4-mic array</t>
        </is>
      </c>
      <c r="AQ218" s="152" t="inlineStr">
        <is>
          <t>Not disclosed</t>
        </is>
      </c>
      <c r="AR218" s="152" t="n"/>
      <c r="AS218" s="152" t="inlineStr">
        <is>
          <t>8-core CPU · EDU Jetson Orin class (up to 100 TOPS)</t>
        </is>
      </c>
      <c r="AT218" s="156" t="inlineStr">
        <is>
          <t>8-core high-performance CPU; EDU with Jetson Orin module as an additional option</t>
        </is>
      </c>
      <c r="AU218" s="156" t="inlineStr">
        <is>
          <t>Wi-Fi 6, Bluetooth 5.2, expansion ports on EDU</t>
        </is>
      </c>
      <c r="AV218" s="152" t="inlineStr">
        <is>
          <t>SDK, app, EDU Jetson expansion</t>
        </is>
      </c>
      <c r="AW218" s="156" t="inlineStr">
        <is>
          <t>Whole-body balance; vision and optional LiDAR mapping</t>
        </is>
      </c>
      <c r="AX218" s="151" t="n">
        <v>3</v>
      </c>
      <c r="AY218" s="156" t="inlineStr">
        <is>
          <t>Supports OTA updates and secondary development (EDU versions)</t>
        </is>
      </c>
      <c r="AZ218" s="156" t="inlineStr">
        <is>
          <t>Not disclosed</t>
        </is>
      </c>
      <c r="BA218" s="156" t="n"/>
      <c r="BB218" s="156" t="inlineStr">
        <is>
          <t>Not disclosed</t>
        </is>
      </c>
      <c r="BC218" s="156" t="inlineStr">
        <is>
          <t>Not disclosed</t>
        </is>
      </c>
      <c r="BD218" s="152" t="inlineStr">
        <is>
          <t>Not disclosed</t>
        </is>
      </c>
      <c r="BE218" s="152" t="inlineStr">
        <is>
          <t>Not disclosed</t>
        </is>
      </c>
      <c r="BF218" s="152" t="n"/>
      <c r="BG218" s="152" t="n"/>
      <c r="BH218" s="152" t="n"/>
      <c r="BI218" s="152" t="n"/>
      <c r="BJ218" s="152" t="n"/>
      <c r="BK218" s="152" t="n"/>
      <c r="BL218" s="152" t="n"/>
      <c r="BM218" s="152" t="inlineStr">
        <is>
          <t>Yes</t>
        </is>
      </c>
      <c r="BN218" s="152" t="inlineStr">
        <is>
          <t>Not disclosed</t>
        </is>
      </c>
      <c r="BO218" s="156" t="inlineStr">
        <is>
          <t>Manipulation 3/4 · Navigation 3/4 · Human-safe: Yes · Peak 7.2 km/h · Walk 4.5 km/h · Runtime 2</t>
        </is>
      </c>
      <c r="BP218" s="152" t="n"/>
      <c r="BQ218" s="156" t="inlineStr">
        <is>
          <t>University labs, corporate R&amp;D, advanced demos, and teams that need a programmable humanoid available to order today.</t>
        </is>
      </c>
      <c r="BR218" s="156" t="inlineStr">
        <is>
          <t>In production</t>
        </is>
      </c>
      <c r="BS218" s="156" t="inlineStr">
        <is>
          <t>In production</t>
        </is>
      </c>
      <c r="BT218" s="152" t="inlineStr">
        <is>
          <t>Not specified</t>
        </is>
      </c>
      <c r="BU218" s="152" t="inlineStr">
        <is>
          <t>Not verified</t>
        </is>
      </c>
      <c r="BV218" s="156" t="inlineStr">
        <is>
          <t>Humanoid.guide listed price $16,000.</t>
        </is>
      </c>
      <c r="BW218" s="156" t="inlineStr">
        <is>
          <t>Origin &amp; status — China · In production · 2024 | Manipulation — Optional Dex3-1 or equivalent dexterous hands (pair) · 10 fingers · Hand DOF 14 · Payload ≈ 4.4–6.6 lb per arm | Sensing &amp; software — Depth camera suite; optional 3D LiDAR on research builds · 8-core CPU · EDU Jetson Orin class (up to 100 TOPS) · Supports OTA updates and secondary developm… | Buying notes — From $13,500 · 8 months (Base) / 18 months (EDU). EDU carries longer coverage. Accessories often 6 months</t>
        </is>
      </c>
      <c r="BX218" s="156" t="inlineStr">
        <is>
          <t>base|G1|21600|Demo platform || edu_u1|G1 EDU Standard (U1)|43900|SDK + Orin 100 TOPS || edu_u2|G1 EDU Plus (U2)|53900|3-DOF waist + 7-DOF arms || edu_u3|G1 EDU Ultimate A (U3)|65900|Dex3-1 hands || edu_u4|G1 EDU Ultimate B (U4)|67900|Dex3-1 + tactile || edu_u5|G1 EDU Ultimate C (U5)|67900|Inspire 5-finger hands</t>
        </is>
      </c>
      <c r="BY218" s="152" t="inlineStr">
        <is>
          <t>white|Factory White|#f8fafc|0 || black|Factory Black|#111111|0</t>
        </is>
      </c>
      <c r="BZ218" s="152" t="inlineStr">
        <is>
          <t>battery_g1, hands_g1, hands_inspire_g1, lidar_g1, controller, compute_g1</t>
        </is>
      </c>
      <c r="CA218" s="156" t="inlineStr">
        <is>
          <t>3 configuration tiers; Add-ons: battery_g1, hands_g1, lidar_g1, controller, case, compute_g1; 2 color options; Multi-year extended warranty available</t>
        </is>
      </c>
      <c r="CB218" s="156" t="inlineStr">
        <is>
          <t>8 months (Base) / 18 months (EDU)</t>
        </is>
      </c>
      <c r="CC218" s="154" t="n">
        <v>12</v>
      </c>
      <c r="CD218" s="156" t="inlineStr">
        <is>
          <t>+3 Year Extended ≈24% of configuration (default in configurator)</t>
        </is>
      </c>
      <c r="CE218" s="152" t="inlineStr">
        <is>
          <t>Unitree official G1 spec table</t>
        </is>
      </c>
      <c r="CF218" s="152" t="inlineStr">
        <is>
          <t>Documented</t>
        </is>
      </c>
      <c r="CG218" s="156" t="inlineStr">
        <is>
          <t>EDU carries longer coverage. Accessories often 6 months.</t>
        </is>
      </c>
      <c r="CH218" s="152" t="inlineStr">
        <is>
          <t>10%</t>
        </is>
      </c>
      <c r="CI218" s="152" t="inlineStr">
        <is>
          <t>17%</t>
        </is>
      </c>
      <c r="CJ218" s="152" t="inlineStr">
        <is>
          <t>24%</t>
        </is>
      </c>
      <c r="CK218"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18"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18" s="152" t="inlineStr">
        <is>
          <t>8 mo Base / 18 mo EDU</t>
        </is>
      </c>
      <c r="CN218" s="203" t="inlineStr">
        <is>
          <t>https://aixzd.com/robot/g1</t>
        </is>
      </c>
      <c r="CO218" s="203" t="inlineStr">
        <is>
          <t>https://theresanaiforthat.com/robots/</t>
        </is>
      </c>
      <c r="CP218" s="203" t="inlineStr">
        <is>
          <t>Cross-checked against TAAFT Robots directory (669 entries) 28 Aug 2026 — individual TAAFT permalinks are JS/Cloudflare gated.</t>
        </is>
      </c>
      <c r="CQ218" s="101" t="inlineStr">
        <is>
          <t>Height: ≈ 4 ft 4 in | Weight: 77.2 | Degrees of Freedom: 23 base · up to 43 with waist/wrist/hands options | Payload: 6.6 | Max Speed: 4.47 | Battery / Runtime: 9 000 mAh quick-swap · ≈ 2 hours</t>
        </is>
      </c>
    </row>
    <row r="219" ht="31.5" customHeight="1" s="102">
      <c r="A219" s="143" t="inlineStr">
        <is>
          <t>h1</t>
        </is>
      </c>
      <c r="B219" s="144" t="inlineStr">
        <is>
          <t>Both</t>
        </is>
      </c>
      <c r="C219" s="145" t="inlineStr">
        <is>
          <t>Unitree</t>
        </is>
      </c>
      <c r="D219" s="145" t="inlineStr">
        <is>
          <t>H1-2</t>
        </is>
      </c>
      <c r="E219" s="145" t="inlineStr">
        <is>
          <t>[Unitree] H1 (2024)</t>
        </is>
      </c>
      <c r="F219" s="146" t="inlineStr">
        <is>
          <t>humanoid</t>
        </is>
      </c>
      <c r="G219" s="145" t="inlineStr">
        <is>
          <t>China</t>
        </is>
      </c>
      <c r="H219" s="147" t="n">
        <v>2024</v>
      </c>
      <c r="I219" s="148" t="n">
        <v>90000</v>
      </c>
      <c r="J219" s="145" t="inlineStr">
        <is>
          <t>Robot Price Index Aug 2026 · H1/H1-2 entry</t>
        </is>
      </c>
      <c r="K219" s="149" t="inlineStr">
        <is>
          <t>The Unitree H1-2 is a full-size universal humanoid robot designed for research, development, and advanced mobility tasks.</t>
        </is>
      </c>
      <c r="L219" s="101" t="inlineStr">
        <is>
          <t>The Unitree H1-2 is a full-size universal humanoid robot designed for research, development, and advanced mobility tasks.</t>
        </is>
      </c>
      <c r="M219" s="101" t="inlineStr">
        <is>
          <t>H1 was Unitree’s first full-size humanoid, announced as the company moved from quadrupeds into bipedal work. It is the predecessor to H2 and remains the reference full-height Unitree platform for labs that bought in before the H2 commercial line.</t>
        </is>
      </c>
      <c r="N219" s="150" t="inlineStr">
        <is>
          <t>https://humanoid.guide/product/h1-2/</t>
        </is>
      </c>
      <c r="O219" s="150" t="inlineStr">
        <is>
          <t>https://www.unitree.com</t>
        </is>
      </c>
      <c r="P219" s="145" t="inlineStr">
        <is>
          <t>≈ 5 ft 11 in (H1) / ≈ 6 ft 1 in class (H1-2)</t>
        </is>
      </c>
      <c r="Q219" s="145" t="n">
        <v>178</v>
      </c>
      <c r="R219" s="145" t="n">
        <v>154.3</v>
      </c>
      <c r="S219" s="145" t="n">
        <v>70</v>
      </c>
      <c r="T219" s="149" t="inlineStr">
        <is>
          <t>Not disclosed</t>
        </is>
      </c>
      <c r="U219" s="145" t="n"/>
      <c r="V219" s="145" t="inlineStr">
        <is>
          <t>≈ 19–27 base + hands options</t>
        </is>
      </c>
      <c r="W219" s="149" t="inlineStr">
        <is>
          <t>7</t>
        </is>
      </c>
      <c r="X219" s="145" t="inlineStr">
        <is>
          <t>High carry capability for research tasks</t>
        </is>
      </c>
      <c r="Y219" s="145" t="n">
        <v>21</v>
      </c>
      <c r="Z219" s="145" t="n">
        <v>4.47</v>
      </c>
      <c r="AA219" s="145" t="n">
        <v>7.2</v>
      </c>
      <c r="AB219" s="145" t="n">
        <v>4</v>
      </c>
      <c r="AC219" s="149" t="inlineStr">
        <is>
          <t>Quick-change ≈ 0.86 kWh class · ≈ 1.5 h active</t>
        </is>
      </c>
      <c r="AD219" s="149" t="inlineStr">
        <is>
          <t>2</t>
        </is>
      </c>
      <c r="AE219" s="145" t="n"/>
      <c r="AF219" s="145" t="inlineStr">
        <is>
          <t>Not disclosed</t>
        </is>
      </c>
      <c r="AG219" s="149" t="inlineStr">
        <is>
          <t>Optional hand packages</t>
        </is>
      </c>
      <c r="AH219" s="145" t="inlineStr">
        <is>
          <t>5</t>
        </is>
      </c>
      <c r="AI219" s="145" t="n"/>
      <c r="AJ219" s="149" t="inlineStr">
        <is>
          <t>3D LiDAR + depth camera suite</t>
        </is>
      </c>
      <c r="AK219" s="149" t="inlineStr">
        <is>
          <t>3D LIDAR + Depth Camera</t>
        </is>
      </c>
      <c r="AL219" s="145" t="inlineStr">
        <is>
          <t>Multi-sensor perception stream for research logging</t>
        </is>
      </c>
      <c r="AM219" s="145" t="n"/>
      <c r="AN219" s="145" t="inlineStr">
        <is>
          <t>Not disclosed</t>
        </is>
      </c>
      <c r="AO219" s="145" t="inlineStr">
        <is>
          <t>Not disclosed</t>
        </is>
      </c>
      <c r="AP219" s="145" t="inlineStr">
        <is>
          <t>3D LiDAR + depth camera suite</t>
        </is>
      </c>
      <c r="AQ219" s="145" t="inlineStr">
        <is>
          <t>Not disclosed</t>
        </is>
      </c>
      <c r="AR219" s="145" t="n"/>
      <c r="AS219" s="145" t="n"/>
      <c r="AT219" s="149" t="inlineStr">
        <is>
          <t>Intel i7-1265U / Intel® Iris® Xe Graphics eligible</t>
        </is>
      </c>
      <c r="AU219" s="149" t="inlineStr">
        <is>
          <t>Bluetooth; Ethernet; Wi‑Fi</t>
        </is>
      </c>
      <c r="AV219" s="145" t="inlineStr">
        <is>
          <t>Research SDK and high-level APIs</t>
        </is>
      </c>
      <c r="AW219" s="149" t="inlineStr">
        <is>
          <t>High-performance bipedal locomotion stack</t>
        </is>
      </c>
      <c r="AX219" s="145" t="n"/>
      <c r="AY219" s="149" t="inlineStr">
        <is>
          <t>Not disclosed</t>
        </is>
      </c>
      <c r="AZ219" s="149" t="inlineStr">
        <is>
          <t>Yes</t>
        </is>
      </c>
      <c r="BA219" s="149" t="n"/>
      <c r="BB219" s="149" t="inlineStr">
        <is>
          <t>M107 high-performance joint motors</t>
        </is>
      </c>
      <c r="BC219" s="149" t="inlineStr">
        <is>
          <t>Industrial crossed roller bearings</t>
        </is>
      </c>
      <c r="BD219" s="145" t="inlineStr">
        <is>
          <t>Metal and composite structural parts</t>
        </is>
      </c>
      <c r="BE219" s="145" t="inlineStr">
        <is>
          <t>Not disclosed</t>
        </is>
      </c>
      <c r="BF219" s="145" t="n"/>
      <c r="BG219" s="145" t="n"/>
      <c r="BH219" s="145" t="n"/>
      <c r="BI219" s="145" t="n"/>
      <c r="BJ219" s="145" t="n"/>
      <c r="BK219" s="145" t="n"/>
      <c r="BL219" s="145" t="n"/>
      <c r="BM219" s="145" t="inlineStr">
        <is>
          <t>Yes</t>
        </is>
      </c>
      <c r="BN219" s="145" t="inlineStr">
        <is>
          <t>Not disclosed</t>
        </is>
      </c>
      <c r="BO219" s="149" t="inlineStr">
        <is>
          <t>Market: Research · Human-safe: Yes · AI: Yes · Actuation: M107 high-performance joint motors · Peak 7.2 km/h · Walk 4 km/h · Runtime 2</t>
        </is>
      </c>
      <c r="BP219" s="145" t="n"/>
      <c r="BQ219" s="149" t="inlineStr">
        <is>
          <t>Research</t>
        </is>
      </c>
      <c r="BR219" s="149" t="inlineStr">
        <is>
          <t>In production</t>
        </is>
      </c>
      <c r="BS219" s="149" t="inlineStr">
        <is>
          <t>In production</t>
        </is>
      </c>
      <c r="BT219" s="145" t="inlineStr">
        <is>
          <t>Black</t>
        </is>
      </c>
      <c r="BU219" s="145" t="inlineStr">
        <is>
          <t>Verified</t>
        </is>
      </c>
      <c r="BV219" s="149" t="inlineStr">
        <is>
          <t>Humanoid.guide listed price $112,000.</t>
        </is>
      </c>
      <c r="BW219" s="149" t="inlineStr">
        <is>
          <t>Origin &amp; status — China · In production · 2024 | Manipulation — Optional hand packages · 5 fingers · Hand DOF 7 · Payload High carry capability for research tasks lb | Sensing &amp; software — 3D LiDAR + depth camera suite · Yes · Research SDK and high-level APIs | Buying notes — From $90,000 · 8 months (Base) / 12 months (EDU class). Confirm regional terms with supplier · Best fit: Research</t>
        </is>
      </c>
      <c r="BX219" s="149" t="inlineStr">
        <is>
          <t>h1|H1|90000|Full-size base platform || h12|H1-2|128000|Higher arm DOF + options</t>
        </is>
      </c>
      <c r="BY219" s="145" t="inlineStr">
        <is>
          <t>white|Research White|#f5f5f5|0 || black|Lab Black|#1a1a1a|0</t>
        </is>
      </c>
      <c r="BZ219" s="145" t="inlineStr">
        <is>
          <t>hands_h1, compute, case, warranty_h1</t>
        </is>
      </c>
      <c r="CA219" s="149" t="inlineStr">
        <is>
          <t>2 configuration tiers; Add-ons: hands_h1, compute, case; 2 color options; Multi-year extended warranty available</t>
        </is>
      </c>
      <c r="CB219" s="149" t="inlineStr">
        <is>
          <t>8 months (Base) / 12 months (EDU class)</t>
        </is>
      </c>
      <c r="CC219" s="147" t="n">
        <v>12</v>
      </c>
      <c r="CD219" s="149" t="inlineStr">
        <is>
          <t>+3 Year Extended ≈24% of configuration (default in configurator)</t>
        </is>
      </c>
      <c r="CE219" s="145" t="inlineStr">
        <is>
          <t>Unitree / RobotShop comparison tables</t>
        </is>
      </c>
      <c r="CF219" s="145" t="inlineStr">
        <is>
          <t>Documented</t>
        </is>
      </c>
      <c r="CG219" s="149" t="inlineStr">
        <is>
          <t>Confirm regional terms with supplier.</t>
        </is>
      </c>
      <c r="CH219" s="145" t="inlineStr">
        <is>
          <t>10%</t>
        </is>
      </c>
      <c r="CI219" s="145" t="inlineStr">
        <is>
          <t>17%</t>
        </is>
      </c>
      <c r="CJ219" s="145" t="inlineStr">
        <is>
          <t>24%</t>
        </is>
      </c>
      <c r="CK21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1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19" s="145" t="inlineStr">
        <is>
          <t>8 months (Base) / 12 months (EDU class)</t>
        </is>
      </c>
      <c r="CN219" s="203" t="inlineStr">
        <is>
          <t>https://aixzd.com/robot/h1</t>
        </is>
      </c>
      <c r="CO219" s="203" t="inlineStr">
        <is>
          <t>https://theresanaiforthat.com/robots/</t>
        </is>
      </c>
      <c r="CP219" s="203" t="inlineStr">
        <is>
          <t>Cross-checked against TAAFT Robots directory (669 entries) 28 Aug 2026 — individual TAAFT permalinks are JS/Cloudflare gated.</t>
        </is>
      </c>
      <c r="CQ219" s="101" t="inlineStr">
        <is>
          <t>Height: ≈ 5 ft 11 in (H1) / ≈ 6 ft 1 in class (H1-2) | Weight: 154.3 | Degrees of Freedom: ≈ 19–27 base + hands options | Payload: High carry capability for research tasks | Max Speed: 4.47 | Battery / Runtime: Quick-change ≈ 0.86 kWh class · ≈ 1.5 h active</t>
        </is>
      </c>
    </row>
    <row r="220" ht="31.5" customHeight="1" s="102">
      <c r="A220" s="159" t="inlineStr">
        <is>
          <t>h2</t>
        </is>
      </c>
      <c r="B220" s="144" t="inlineStr">
        <is>
          <t>Both</t>
        </is>
      </c>
      <c r="C220" s="152" t="inlineStr">
        <is>
          <t>Unitree</t>
        </is>
      </c>
      <c r="D220" s="152" t="inlineStr">
        <is>
          <t>H2</t>
        </is>
      </c>
      <c r="E220" s="152" t="inlineStr">
        <is>
          <t>[Unitree] H2 (2025)</t>
        </is>
      </c>
      <c r="F220" s="146" t="inlineStr">
        <is>
          <t>humanoid</t>
        </is>
      </c>
      <c r="G220" s="152" t="inlineStr">
        <is>
          <t>China</t>
        </is>
      </c>
      <c r="H220" s="154" t="n">
        <v>2025</v>
      </c>
      <c r="I220" s="155" t="n">
        <v>29900</v>
      </c>
      <c r="J220" s="152" t="inlineStr">
        <is>
          <t>Robot Price Index Aug 2026 · entry</t>
        </is>
      </c>
      <c r="K220" s="156" t="inlineStr">
        <is>
          <t>Unitree H2 is a 180 cm, ~70 kg humanoid with ~31‑DoF articulation and a lifelike design, unveiled to showcase expressive, humanlike motion for future real‑world tasks.</t>
        </is>
      </c>
      <c r="L220" s="101" t="inlineStr">
        <is>
          <t>Unitree H2 is a 180 cm, ~70 kg humanoid with ~31‑DoF articulation and a lifelike design, unveiled to showcase expressive, humanlike motion for future real‑world tasks.</t>
        </is>
      </c>
      <c r="M220" s="101" t="inlineStr">
        <is>
          <t>H2 is Unitree’s full-size commercial humanoid, the successor to H1. Base units are listed and orderable; EDU and Plus packages are sales-configured for research and industrial evaluation.</t>
        </is>
      </c>
      <c r="N220" s="157" t="inlineStr">
        <is>
          <t>https://humanoid.guide/product/h2/</t>
        </is>
      </c>
      <c r="O220" s="157" t="inlineStr">
        <is>
          <t>https://www.unitree.com</t>
        </is>
      </c>
      <c r="P220" s="152" t="inlineStr">
        <is>
          <t>≈ 5 ft 10 in – 6 ft 0 in</t>
        </is>
      </c>
      <c r="Q220" s="152" t="n">
        <v>180</v>
      </c>
      <c r="R220" s="152" t="n">
        <v>154.3</v>
      </c>
      <c r="S220" s="152" t="n">
        <v>70</v>
      </c>
      <c r="T220" s="156" t="inlineStr">
        <is>
          <t>Not disclosed</t>
        </is>
      </c>
      <c r="U220" s="152" t="inlineStr">
        <is>
          <t>Not specified</t>
        </is>
      </c>
      <c r="V220" s="152" t="inlineStr">
        <is>
          <t>31+ class</t>
        </is>
      </c>
      <c r="W220" s="156" t="inlineStr">
        <is>
          <t>Not disclosed</t>
        </is>
      </c>
      <c r="X220" s="152" t="inlineStr">
        <is>
          <t>Higher than G1; exact arm payload configuration-dependent</t>
        </is>
      </c>
      <c r="Y220" s="152" t="n">
        <v>8</v>
      </c>
      <c r="Z220" s="152" t="n">
        <v>6.84</v>
      </c>
      <c r="AA220" s="152" t="n">
        <v>11</v>
      </c>
      <c r="AB220" s="152" t="n">
        <v>5</v>
      </c>
      <c r="AC220" s="156" t="inlineStr">
        <is>
          <t>≈ 3 hours class</t>
        </is>
      </c>
      <c r="AD220" s="156" t="inlineStr">
        <is>
          <t>2</t>
        </is>
      </c>
      <c r="AE220" s="152" t="n"/>
      <c r="AF220" s="152" t="inlineStr">
        <is>
          <t>Not disclosed</t>
        </is>
      </c>
      <c r="AG220" s="156" t="inlineStr">
        <is>
          <t>Higher payload arm/hand options vs G1</t>
        </is>
      </c>
      <c r="AH220" s="152" t="inlineStr">
        <is>
          <t>10</t>
        </is>
      </c>
      <c r="AI220" s="151" t="n">
        <v>3</v>
      </c>
      <c r="AJ220" s="156" t="inlineStr">
        <is>
          <t>Multi-camera + LiDAR class perception suite</t>
        </is>
      </c>
      <c r="AK220" s="156" t="inlineStr">
        <is>
          <t>Not specified</t>
        </is>
      </c>
      <c r="AL220" s="152" t="inlineStr">
        <is>
          <t>Research-grade multi-stream capture</t>
        </is>
      </c>
      <c r="AM220" s="152" t="n"/>
      <c r="AN220" s="152" t="inlineStr">
        <is>
          <t>Not disclosed</t>
        </is>
      </c>
      <c r="AO220" s="152" t="inlineStr">
        <is>
          <t>Not disclosed</t>
        </is>
      </c>
      <c r="AP220" s="152" t="inlineStr">
        <is>
          <t>Full perception suite for demos and research</t>
        </is>
      </c>
      <c r="AQ220" s="152" t="inlineStr">
        <is>
          <t>Not disclosed</t>
        </is>
      </c>
      <c r="AR220" s="152" t="n"/>
      <c r="AS220" s="152" t="inlineStr">
        <is>
          <t>Upgradeable Jetson / high-TOPS options on EDU+</t>
        </is>
      </c>
      <c r="AT220" s="156" t="inlineStr">
        <is>
          <t>Not disclosed</t>
        </is>
      </c>
      <c r="AU220" s="156" t="inlineStr">
        <is>
          <t>Not disclosed</t>
        </is>
      </c>
      <c r="AV220" s="152" t="inlineStr">
        <is>
          <t>SDK and institutional integration paths</t>
        </is>
      </c>
      <c r="AW220" s="156" t="inlineStr">
        <is>
          <t>Full-size humanoid locomotion and balance</t>
        </is>
      </c>
      <c r="AX220" s="151" t="n">
        <v>3</v>
      </c>
      <c r="AY220" s="156" t="inlineStr">
        <is>
          <t>Not disclosed</t>
        </is>
      </c>
      <c r="AZ220" s="156" t="inlineStr">
        <is>
          <t>Unitree markets LLM features on other robots, but none disclosed for H2 yet</t>
        </is>
      </c>
      <c r="BA220" s="156" t="inlineStr">
        <is>
          <t>Not specified</t>
        </is>
      </c>
      <c r="BB220" s="156" t="inlineStr">
        <is>
          <t>high-precision torque-sensing joints; vendor not disclosed</t>
        </is>
      </c>
      <c r="BC220" s="156" t="inlineStr">
        <is>
          <t>Not disclosed</t>
        </is>
      </c>
      <c r="BD220" s="152" t="inlineStr">
        <is>
          <t>Not disclosed</t>
        </is>
      </c>
      <c r="BE220" s="152" t="inlineStr">
        <is>
          <t>Not disclosed</t>
        </is>
      </c>
      <c r="BF220" s="152" t="inlineStr">
        <is>
          <t>Not specified</t>
        </is>
      </c>
      <c r="BG220" s="152" t="n"/>
      <c r="BH220" s="152" t="n"/>
      <c r="BI220" s="152" t="n"/>
      <c r="BJ220" s="152" t="n"/>
      <c r="BK220" s="152" t="n"/>
      <c r="BL220" s="152" t="n"/>
      <c r="BM220" s="152" t="inlineStr">
        <is>
          <t>Yes</t>
        </is>
      </c>
      <c r="BN220" s="152" t="inlineStr">
        <is>
          <t>Not disclosed</t>
        </is>
      </c>
      <c r="BO220" s="156" t="inlineStr">
        <is>
          <t>Market: Industries; logistics; Research &amp; education · Manipulation 3/4 · Navigation 3/4 · Human-safe: Yes · AI: Unitree markets LLM features on other robots, but none disclosed for H2 yet · Actuation: high-precision torque-sensing joints; vendor not disclosed · Peak 11 km/h · Walk 5 km/h · Runtime 2</t>
        </is>
      </c>
      <c r="BP220" s="152" t="n"/>
      <c r="BQ220" s="156" t="inlineStr">
        <is>
          <t>Industries; logistics; Research &amp; education</t>
        </is>
      </c>
      <c r="BR220" s="156" t="inlineStr">
        <is>
          <t>Prototype</t>
        </is>
      </c>
      <c r="BS220" s="156" t="inlineStr">
        <is>
          <t>Prototype</t>
        </is>
      </c>
      <c r="BT220" s="152" t="inlineStr">
        <is>
          <t>Not specified</t>
        </is>
      </c>
      <c r="BU220" s="152" t="inlineStr">
        <is>
          <t>Not verified</t>
        </is>
      </c>
      <c r="BV220" s="156" t="inlineStr">
        <is>
          <t>Humanoid.guide listed price $90,000.</t>
        </is>
      </c>
      <c r="BW220" s="156" t="inlineStr">
        <is>
          <t>Origin &amp; status — China · Prototype · 2025 | Manipulation — Higher payload arm/hand options vs G1 · 10 fingers · Payload Higher than G1; exact arm payload configuration-dependent | Sensing &amp; software — Multi-camera + LiDAR class perception suite · Unitree markets LLM features on other robots, but none disclosed for H2 yet · Upgradeable Jetson / high-TOPS o… | Buying notes — From $29,900 · 8 months (Base) / 12 months (EDU / Plus) · Best fit: Industries</t>
        </is>
      </c>
      <c r="BX220" s="156" t="inlineStr">
        <is>
          <t>base|H2 Base|29900|Full-size demo platform || edu|H2 EDU|68900|Research configuration || plus|H2 Plus|100000|Maximum configuration</t>
        </is>
      </c>
      <c r="BY220" s="152" t="inlineStr">
        <is>
          <t>white|Studio White|#f8fafc|0 || black|Industrial Black|#111111|0</t>
        </is>
      </c>
      <c r="BZ220" s="152" t="inlineStr">
        <is>
          <t>battery_h2, hands_h2, controller, case, warranty_h2, compute</t>
        </is>
      </c>
      <c r="CA220" s="156" t="inlineStr">
        <is>
          <t>3 configuration tiers; Add-ons: battery_h2, hands_h2, controller, case, compute; 2 color options; Multi-year extended warranty available</t>
        </is>
      </c>
      <c r="CB220" s="156" t="inlineStr">
        <is>
          <t>8 months (Base) / 12 months (EDU / Plus)</t>
        </is>
      </c>
      <c r="CC220" s="154" t="n">
        <v>12</v>
      </c>
      <c r="CD220" s="156" t="inlineStr">
        <is>
          <t>+3 Year Extended ≈24% of configuration (default in configurator)</t>
        </is>
      </c>
      <c r="CE220" s="152" t="inlineStr">
        <is>
          <t>Unitree H2 official parameters [保修期]</t>
        </is>
      </c>
      <c r="CF220" s="152" t="inlineStr">
        <is>
          <t>Documented</t>
        </is>
      </c>
      <c r="CG220" s="156" t="inlineStr">
        <is>
          <t>Base H2 8 months; EDU/Plus 12 months per Unitree table.</t>
        </is>
      </c>
      <c r="CH220" s="152" t="inlineStr">
        <is>
          <t>10%</t>
        </is>
      </c>
      <c r="CI220" s="152" t="inlineStr">
        <is>
          <t>17%</t>
        </is>
      </c>
      <c r="CJ220" s="152" t="inlineStr">
        <is>
          <t>24%</t>
        </is>
      </c>
      <c r="CK220"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20"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20" s="152" t="inlineStr">
        <is>
          <t>8 months (Base) / 12 months (EDU / Plus)</t>
        </is>
      </c>
      <c r="CN220" s="203" t="inlineStr">
        <is>
          <t>https://aixzd.com/robot/h2</t>
        </is>
      </c>
      <c r="CO220" s="203" t="inlineStr">
        <is>
          <t>https://theresanaiforthat.com/robots/</t>
        </is>
      </c>
      <c r="CP220" s="203" t="inlineStr">
        <is>
          <t>Cross-checked against TAAFT Robots directory (669 entries) 28 Aug 2026 — individual TAAFT permalinks are JS/Cloudflare gated.</t>
        </is>
      </c>
      <c r="CQ220" s="101" t="inlineStr">
        <is>
          <t>Height: ≈ 5 ft 10 in – 6 ft 0 in | Weight: 154.3 | Degrees of Freedom: 31+ class | Payload: Higher than G1; exact arm payload configuration-dependent | Max Speed: 6.84 | Battery / Runtime: ≈ 3 hours class</t>
        </is>
      </c>
    </row>
    <row r="221" ht="31.5" customHeight="1" s="102">
      <c r="A221" s="143" t="inlineStr">
        <is>
          <t>r1</t>
        </is>
      </c>
      <c r="B221" s="144" t="inlineStr">
        <is>
          <t>Both</t>
        </is>
      </c>
      <c r="C221" s="145" t="inlineStr">
        <is>
          <t>Unitree</t>
        </is>
      </c>
      <c r="D221" s="145" t="inlineStr">
        <is>
          <t>Unitree R1</t>
        </is>
      </c>
      <c r="E221" s="145" t="inlineStr">
        <is>
          <t>[Unitree] R1 (2025)</t>
        </is>
      </c>
      <c r="F221" s="146" t="inlineStr">
        <is>
          <t>humanoid</t>
        </is>
      </c>
      <c r="G221" s="145" t="inlineStr">
        <is>
          <t>China</t>
        </is>
      </c>
      <c r="H221" s="147" t="n">
        <v>2025</v>
      </c>
      <c r="I221" s="148" t="n">
        <v>6870</v>
      </c>
      <c r="J221" s="145" t="inlineStr">
        <is>
          <t>Unitree R1 published base · in RPI $4,150–$5,900 band</t>
        </is>
      </c>
      <c r="K221" s="149" t="inlineStr">
        <is>
          <t>Unitree’s new R1 is a 1.22 m‑tall, 25 kg humanoid priced from US $5 900 that can run, cartwheel and recover falls, bringing full‑body robotics into an affordable developer‑friendly form factor.</t>
        </is>
      </c>
      <c r="L221" s="101" t="inlineStr">
        <is>
          <t>Unitree’s new R1 is a 1.22 m‑tall, 25 kg humanoid priced from US $5 900 that can run, cartwheel and recover falls, bringing full‑body robotics into an affordable developer‑friendly form factor.</t>
        </is>
      </c>
      <c r="M221" s="101" t="inlineStr">
        <is>
          <t>R1 is Unitree’s entry biped, created to put a walking humanoid under the G1 price band. Air and Standard are demonstration and interaction platforms; EDU opens secondary development, optional hands, and Jetson compute. It is the volume on-ramp into Unitree’s humanoid family.</t>
        </is>
      </c>
      <c r="N221" s="150" t="inlineStr">
        <is>
          <t>https://humanoid.guide/product/unitree-r1/</t>
        </is>
      </c>
      <c r="O221" s="150" t="inlineStr">
        <is>
          <t>https://www.unitree.com</t>
        </is>
      </c>
      <c r="P221" s="145" t="inlineStr">
        <is>
          <t>≈ 4 ft 0 in</t>
        </is>
      </c>
      <c r="Q221" s="145" t="n">
        <v>122</v>
      </c>
      <c r="R221" s="145" t="n">
        <v>55.1</v>
      </c>
      <c r="S221" s="145" t="n">
        <v>25</v>
      </c>
      <c r="T221" s="149" t="inlineStr">
        <is>
          <t>Not disclosed</t>
        </is>
      </c>
      <c r="U221" s="145" t="n"/>
      <c r="V221" s="145" t="inlineStr">
        <is>
          <t>20 (Air) · 26 (Standard) · 26–40 (EDU with hands)</t>
        </is>
      </c>
      <c r="W221" s="149" t="inlineStr">
        <is>
          <t>Not disclosed</t>
        </is>
      </c>
      <c r="X221" s="145" t="n">
        <v>22</v>
      </c>
      <c r="Y221" s="145" t="n">
        <v>10</v>
      </c>
      <c r="Z221" s="145" t="n">
        <v>5.59</v>
      </c>
      <c r="AA221" s="145" t="n">
        <v>9</v>
      </c>
      <c r="AB221" s="145" t="n">
        <v>9</v>
      </c>
      <c r="AC221" s="149" t="inlineStr">
        <is>
          <t>Hot-swap · ≈ 1 hour typical</t>
        </is>
      </c>
      <c r="AD221" s="149" t="n"/>
      <c r="AE221" s="145" t="n"/>
      <c r="AF221" s="145" t="inlineStr">
        <is>
          <t>Hot-swap battery architecture; ~1 h typical runtime class</t>
        </is>
      </c>
      <c r="AG221" s="149" t="inlineStr">
        <is>
          <t>Optional dexterous hands on EDU configurations</t>
        </is>
      </c>
      <c r="AH221" s="145" t="inlineStr">
        <is>
          <t>10</t>
        </is>
      </c>
      <c r="AI221" s="151" t="n">
        <v>3</v>
      </c>
      <c r="AJ221" s="149" t="inlineStr">
        <is>
          <t>Monocular (Air) or binocular stereo on higher tiers</t>
        </is>
      </c>
      <c r="AK221" s="149" t="inlineStr">
        <is>
          <t>Stereo binocular camera (220 ° FOV on SV1‑25 module)</t>
        </is>
      </c>
      <c r="AL221" s="145" t="inlineStr">
        <is>
          <t>Onboard camera feed for teleoperation and capture; resolution tier-dependent</t>
        </is>
      </c>
      <c r="AM221" s="145" t="n"/>
      <c r="AN221" s="145" t="inlineStr">
        <is>
          <t>Not disclosed</t>
        </is>
      </c>
      <c r="AO221" s="145" t="inlineStr">
        <is>
          <t>4-microphone array for voice interaction on supported builds</t>
        </is>
      </c>
      <c r="AP221" s="145" t="inlineStr">
        <is>
          <t>Monocular (Air) or binocular · 4-mic array</t>
        </is>
      </c>
      <c r="AQ221" s="145" t="inlineStr">
        <is>
          <t>Not disclosed</t>
        </is>
      </c>
      <c r="AR221" s="145" t="n"/>
      <c r="AS221" s="145" t="inlineStr">
        <is>
          <t>8-core CPU · EDU optional Jetson Orin 40–100 TOPS</t>
        </is>
      </c>
      <c r="AT221" s="149" t="inlineStr">
        <is>
          <t>On‑board 8‑core CPU + GPU</t>
        </is>
      </c>
      <c r="AU221" s="149" t="inlineStr">
        <is>
          <t>Wi-Fi 6, Bluetooth 5.2</t>
        </is>
      </c>
      <c r="AV221" s="145" t="inlineStr">
        <is>
          <t>App control, SDK, optional Jetson path on EDU</t>
        </is>
      </c>
      <c r="AW221" s="149" t="inlineStr">
        <is>
          <t>Bipedal balance control; vision-assisted locomotion</t>
        </is>
      </c>
      <c r="AX221" s="151" t="n">
        <v>3</v>
      </c>
      <c r="AY221" s="149" t="inlineStr">
        <is>
          <t>Unitree typically ships a Linux‑based SDK</t>
        </is>
      </c>
      <c r="AZ221" s="149" t="inlineStr">
        <is>
          <t>multimodal large language model for speech &amp; image recognition</t>
        </is>
      </c>
      <c r="BA221" s="149" t="n"/>
      <c r="BB221" s="149" t="inlineStr">
        <is>
          <t>Unitree in‑house smart actuators (same lineage as H1/G1); details pending</t>
        </is>
      </c>
      <c r="BC221" s="149" t="inlineStr">
        <is>
          <t>Unitree has previously used quasi‑direct drives without harmonic reducers</t>
        </is>
      </c>
      <c r="BD221" s="145" t="inlineStr">
        <is>
          <t>composite shell over alloy frame</t>
        </is>
      </c>
      <c r="BE221" s="145" t="inlineStr">
        <is>
          <t>Not disclosed</t>
        </is>
      </c>
      <c r="BF221" s="145" t="inlineStr">
        <is>
          <t>Not specified</t>
        </is>
      </c>
      <c r="BG221" s="145" t="n"/>
      <c r="BH221" s="145" t="n"/>
      <c r="BI221" s="145" t="n"/>
      <c r="BJ221" s="145" t="n"/>
      <c r="BK221" s="145" t="n"/>
      <c r="BL221" s="145" t="n"/>
      <c r="BM221" s="145" t="inlineStr">
        <is>
          <t>Not disclosed</t>
        </is>
      </c>
      <c r="BN221" s="145" t="inlineStr">
        <is>
          <t>Not disclosed</t>
        </is>
      </c>
      <c r="BO221" s="149" t="inlineStr">
        <is>
          <t>Market: hobbyists; individual developer; research labs · Manipulation 3/4 · Navigation 3/4 · Human-safe: Not specified · AI: multimodal large language model for speech &amp; image recognition · Actuation: Unitree in‑house smart actuators (same lineage as H1/G1); details pending · Peak 9 km/h · Walk 9 km/h</t>
        </is>
      </c>
      <c r="BP221" s="145" t="n"/>
      <c r="BQ221" s="149" t="inlineStr">
        <is>
          <t>hobbyists; individual developer; research labs</t>
        </is>
      </c>
      <c r="BR221" s="149" t="inlineStr">
        <is>
          <t>In production</t>
        </is>
      </c>
      <c r="BS221" s="149" t="inlineStr">
        <is>
          <t>In production</t>
        </is>
      </c>
      <c r="BT221" s="145" t="n"/>
      <c r="BU221" s="145" t="inlineStr">
        <is>
          <t>Not verified</t>
        </is>
      </c>
      <c r="BV221" s="149" t="inlineStr">
        <is>
          <t>Humanoid.guide listed price $5,900.</t>
        </is>
      </c>
      <c r="BW221" s="149" t="inlineStr">
        <is>
          <t>Origin &amp; status — China · In production · 2025 | Manipulation — Optional dexterous hands on EDU configurations · 10 fingers · Payload ≈ 4.4 lb per arm | Sensing &amp; software — Monocular (Air) or binocular stereo on higher tiers · multimodal large language model for speech &amp; image recognition · 8-core CPU · EDU optional Jetson Orin… | Buying notes — From $4,900 · 6 months (Air) / 8 months (Standard) / 12 months (EDU) · Best fit: hobbyists</t>
        </is>
      </c>
      <c r="BX221" s="149" t="inlineStr">
        <is>
          <t>air|R1 Air|6870|Entry demo || basic|R1 Basic|8990|App-driven || edu|R1 EDU Standard|15950|Full SDK || edu_smart|R1 EDU Smart|18900|Teaching lab</t>
        </is>
      </c>
      <c r="BY221" s="145" t="inlineStr">
        <is>
          <t>white|Clean White|#f5f5f5|0 || blue|Signal Blue|#3b82f6|0 || black|Stealth Black|#111111|0</t>
        </is>
      </c>
      <c r="BZ221" s="145" t="inlineStr">
        <is>
          <t>battery_r1, hands_r1, charger_r1, controller, compute</t>
        </is>
      </c>
      <c r="CA221" s="149" t="inlineStr">
        <is>
          <t>3 configuration tiers; Add-ons: battery_r1, hands_r1, charger_r1, controller, case, compute; 3 color options; Multi-year extended warranty available</t>
        </is>
      </c>
      <c r="CB221" s="149" t="inlineStr">
        <is>
          <t>6 months (Air) / 8 months (Standard) / 12 months (EDU)</t>
        </is>
      </c>
      <c r="CC221" s="147" t="n">
        <v>12</v>
      </c>
      <c r="CD221" s="149" t="inlineStr">
        <is>
          <t>+3 Year Extended ≈24% of configuration (default in configurator)</t>
        </is>
      </c>
      <c r="CE221" s="145" t="inlineStr">
        <is>
          <t>Unitree / authorized dealer listings</t>
        </is>
      </c>
      <c r="CF221" s="145" t="inlineStr">
        <is>
          <t>Documented</t>
        </is>
      </c>
      <c r="CG221" s="149" t="inlineStr">
        <is>
          <t>Tier-dependent; confirm configuration on order.</t>
        </is>
      </c>
      <c r="CH221" s="145" t="inlineStr">
        <is>
          <t>10%</t>
        </is>
      </c>
      <c r="CI221" s="145" t="inlineStr">
        <is>
          <t>17%</t>
        </is>
      </c>
      <c r="CJ221" s="145" t="inlineStr">
        <is>
          <t>24%</t>
        </is>
      </c>
      <c r="CK22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2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21" s="145" t="inlineStr">
        <is>
          <t>6 months (Air) / 8 months (Standard) / 12 months (EDU)</t>
        </is>
      </c>
      <c r="CN221" s="203" t="inlineStr">
        <is>
          <t>https://aixzd.com/robot/r1</t>
        </is>
      </c>
      <c r="CO221" s="203" t="inlineStr">
        <is>
          <t>https://theresanaiforthat.com/robots/</t>
        </is>
      </c>
      <c r="CP221" s="203" t="inlineStr">
        <is>
          <t>Cross-checked against TAAFT Robots directory (669 entries) 28 Aug 2026 — individual TAAFT permalinks are JS/Cloudflare gated.</t>
        </is>
      </c>
      <c r="CQ221" s="101" t="inlineStr">
        <is>
          <t>Height: ≈ 4 ft 0 in | Weight: 55.1 | Degrees of Freedom: 20 (Air) · 26 (Standard) · 26–40 (EDU with hands) | Payload: 22 | Max Speed: 5.59 | Battery / Runtime: Hot-swap · ≈ 1 hour typical</t>
        </is>
      </c>
    </row>
    <row r="222" ht="31.5" customHeight="1" s="102">
      <c r="A222" s="152" t="inlineStr">
        <is>
          <t>unitree_robotics_h2_plus</t>
        </is>
      </c>
      <c r="B222" s="153" t="inlineStr">
        <is>
          <t>Humanoid.guide</t>
        </is>
      </c>
      <c r="C222" s="152" t="inlineStr">
        <is>
          <t>Unitree</t>
        </is>
      </c>
      <c r="D222" s="152" t="inlineStr">
        <is>
          <t>H2 Plus</t>
        </is>
      </c>
      <c r="E222" s="152" t="inlineStr">
        <is>
          <t>[Unitree] H2 Plus (2025)</t>
        </is>
      </c>
      <c r="F222" s="146" t="inlineStr">
        <is>
          <t>humanoid</t>
        </is>
      </c>
      <c r="G222" s="152" t="inlineStr">
        <is>
          <t>China</t>
        </is>
      </c>
      <c r="H222" s="152" t="n"/>
      <c r="I222" s="155" t="n">
        <v>80000</v>
      </c>
      <c r="J222" s="152" t="inlineStr">
        <is>
          <t>Estimate · H2 Plus above H2 $29,900 entry</t>
        </is>
      </c>
      <c r="K222" s="156" t="inlineStr">
        <is>
          <t>The Unitree H2 Plus is a 1.82-meter, 70-kilogram research humanoid robot built for frontier AI and robotics R&amp;D.</t>
        </is>
      </c>
      <c r="L222" s="101" t="inlineStr">
        <is>
          <t>The Unitree H2 Plus is a 1.82-meter, 70-kilogram research humanoid robot built for frontier AI and robotics R&amp;D.</t>
        </is>
      </c>
      <c r="M222" s="101" t="inlineStr">
        <is>
          <t>H2 Plus is Unitree's humanoid, introduced around 2026 in China. The Unitree H2 Plus is a 1.82-meter, 70-kilogram research humanoid robot built for frontier AI and robotics R&amp;D. Public status is listed as limited production / pilot deployments, and it is positioned for academic research; frontier humanoid robotics R&amp;D; university robotics labs.</t>
        </is>
      </c>
      <c r="N222" s="157" t="inlineStr">
        <is>
          <t>https://humanoid.guide/product/h2-plus/</t>
        </is>
      </c>
      <c r="O222" s="157" t="inlineStr">
        <is>
          <t>https://www.unitree.com</t>
        </is>
      </c>
      <c r="P222" s="152" t="inlineStr">
        <is>
          <t>5 ft 11 in</t>
        </is>
      </c>
      <c r="Q222" s="152" t="n">
        <v>180</v>
      </c>
      <c r="R222" s="152" t="n">
        <v>149.9</v>
      </c>
      <c r="S222" s="152" t="n">
        <v>68</v>
      </c>
      <c r="T222" s="156" t="inlineStr">
        <is>
          <t>Not disclosed</t>
        </is>
      </c>
      <c r="U222" s="152" t="n"/>
      <c r="V222" s="152" t="inlineStr">
        <is>
          <t>75</t>
        </is>
      </c>
      <c r="W222" s="156" t="inlineStr">
        <is>
          <t>44</t>
        </is>
      </c>
      <c r="X222" s="152" t="n">
        <v>33.1</v>
      </c>
      <c r="Y222" s="152" t="n">
        <v>15</v>
      </c>
      <c r="Z222" s="152" t="n">
        <v>4.35</v>
      </c>
      <c r="AA222" s="152" t="n">
        <v>7</v>
      </c>
      <c r="AB222" s="152" t="n">
        <v>3</v>
      </c>
      <c r="AC222" s="156" t="inlineStr">
        <is>
          <t>≈ 3 hours</t>
        </is>
      </c>
      <c r="AD222" s="156" t="inlineStr">
        <is>
          <t>3</t>
        </is>
      </c>
      <c r="AE222" s="152" t="n"/>
      <c r="AF222" s="152" t="inlineStr">
        <is>
          <t>Not disclosed</t>
        </is>
      </c>
      <c r="AG222" s="156" t="inlineStr">
        <is>
          <t>10</t>
        </is>
      </c>
      <c r="AH222" s="152" t="inlineStr">
        <is>
          <t>10</t>
        </is>
      </c>
      <c r="AI222" s="152" t="n"/>
      <c r="AJ222" s="156" t="inlineStr">
        <is>
          <t>Head binocular: 5 MP, FOV 140° H × 102° V, f/2.0, 2.67 mm focal length, 0.4 m–∞ depth, global shutter. Wrist (optional): 3 MP ultra-wide, FOV 196° H × 154° V, global shutter</t>
        </is>
      </c>
      <c r="AK222" s="156" t="inlineStr">
        <is>
          <t>Head binocular: 5 MP, FOV 140° H × 102° V, f/2.0, 2.67 mm focal length, 0.4 m–∞ depth, global shutter. Wrist (optional): 3 MP ultra-wide, FOV 196° H × 154° V, global shutter</t>
        </is>
      </c>
      <c r="AL222" s="152" t="inlineStr">
        <is>
          <t>Not disclosed</t>
        </is>
      </c>
      <c r="AM222" s="152" t="n"/>
      <c r="AN222" s="152" t="inlineStr">
        <is>
          <t>Not disclosed</t>
        </is>
      </c>
      <c r="AO222" s="152" t="inlineStr">
        <is>
          <t>Not disclosed</t>
        </is>
      </c>
      <c r="AP222" s="152" t="inlineStr">
        <is>
          <t>Not disclosed</t>
        </is>
      </c>
      <c r="AQ222" s="152" t="inlineStr">
        <is>
          <t>Not disclosed</t>
        </is>
      </c>
      <c r="AR222" s="152" t="n"/>
      <c r="AS222" s="152" t="n"/>
      <c r="AT222" s="156" t="inlineStr">
        <is>
          <t>Base: Intel Core i5 (platform) + Intel Core i7 (user dev).; Optional accessory: NVIDIA Jetson AGX Thor T5000 — 2,070 FP4 TFLOPS, 2560-core Blackwell GPU @1.57 GHz, 14-core Arm Neoverse V3AE @2.6 GHz, 128 GB LPDDR5X @273 GB/s, 40–130 W</t>
        </is>
      </c>
      <c r="AU222" s="156" t="inlineStr">
        <is>
          <t>3× USB 3.0, 3× USB+DP, 4× GMSL, 2× USB 2.0, 4× RS485, 2× CAN; 4× Gigabit Ethernet; Bluetooth 5.2; USB; voice via array mics + high-power speakers; Wi-Fi 6</t>
        </is>
      </c>
      <c r="AV222" s="152" t="inlineStr">
        <is>
          <t>Not disclosed</t>
        </is>
      </c>
      <c r="AW222" s="156" t="inlineStr">
        <is>
          <t>Not disclosed</t>
        </is>
      </c>
      <c r="AX222" s="152" t="n"/>
      <c r="AY222" s="156" t="inlineStr">
        <is>
          <t>Not specified by Unitree — typically Linux/Ubuntu-based with NVIDIA Isaac ROS middleware when running the Jetson Thor module</t>
        </is>
      </c>
      <c r="AZ222" s="156" t="inlineStr">
        <is>
          <t>Yes — full NVIDIA Isaac GR00T integration: open Vision-Language-Action (VLA) foundation models, Isaac TeleOp, Isaac Sim, Isaac Lab, Isaac ROS</t>
        </is>
      </c>
      <c r="BA222" s="156" t="inlineStr">
        <is>
          <t>Not officially disclosed (Jetson Thor designed for real-time on-robot inference)</t>
        </is>
      </c>
      <c r="BB222" s="156" t="inlineStr">
        <is>
          <t>Low-inertia high-speed inner-rotor permanent magnet synchronous motors</t>
        </is>
      </c>
      <c r="BC222" s="156" t="inlineStr">
        <is>
          <t>Industrial-grade crossed roller bearings at joint outputs (high precision, high load capacity); reducer type not disclosed</t>
        </is>
      </c>
      <c r="BD222" s="152" t="inlineStr">
        <is>
          <t>Aerospace-grade aluminum + titanium alloy + high-strength engineering plastics</t>
        </is>
      </c>
      <c r="BE222" s="152" t="inlineStr">
        <is>
          <t>IP30</t>
        </is>
      </c>
      <c r="BF222" s="152" t="inlineStr">
        <is>
          <t>Estimate IP30–IP40 (dust-/touch-protected, not water-rated)</t>
        </is>
      </c>
      <c r="BG222" s="152" t="n"/>
      <c r="BH222" s="152" t="n"/>
      <c r="BI222" s="152" t="n"/>
      <c r="BJ222" s="152" t="n"/>
      <c r="BK222" s="152" t="n"/>
      <c r="BL222" s="152" t="n"/>
      <c r="BM222" s="152" t="inlineStr">
        <is>
          <t>Yes</t>
        </is>
      </c>
      <c r="BN222" s="152" t="inlineStr">
        <is>
          <t>Not disclosed</t>
        </is>
      </c>
      <c r="BO222" s="156" t="inlineStr">
        <is>
          <t>Market: Academic research; frontier humanoid robotics R&amp;D; university robotics labs · Human-safe: Yes · AI: Yes — full NVIDIA Isaac GR00T integration: open Vision-Language-Action (VLA) foundation models, Isaac TeleOp, Isaac Sim, Isaac Lab, Isaac… · Actuation: Low-inertia high-speed inner-rotor permanent magnet synchronous motors · Peak 7 km/h · Walk 3 km/h · Runtime 3</t>
        </is>
      </c>
      <c r="BP222" s="152" t="n"/>
      <c r="BQ222" s="156" t="inlineStr">
        <is>
          <t>Academic research; frontier humanoid robotics R&amp;D; university robotics labs</t>
        </is>
      </c>
      <c r="BR222" s="156" t="inlineStr">
        <is>
          <t>Limited production / pilot deployments</t>
        </is>
      </c>
      <c r="BS222" s="156" t="inlineStr">
        <is>
          <t>Limited production / pilot deployments</t>
        </is>
      </c>
      <c r="BT222" s="152" t="n"/>
      <c r="BU222" s="152" t="n"/>
      <c r="BV222" s="156" t="n"/>
      <c r="BW222" s="156" t="inlineStr">
        <is>
          <t>Origin &amp; status — China · Limited production / pilot deployments · 2026 | Manipulation — 10 · 10 fingers · Hand DOF 44 · Payload 33.1 lb | Sensing &amp; software — Head binocular: 5 MP, FOV 140° H × 102° V, f/2.0, 2.67 mm focal length, 0.4 m–∞ depth, global shutter. Wrist (optional): 3 MP ultra-wide, FOV 196° H × 154°… | Buying notes — From $80,000 · 12 months manufacturer standard (typical research/commercial humanoid) · Best fit: Academic research</t>
        </is>
      </c>
      <c r="BX222" s="156" t="inlineStr">
        <is>
          <t>as_shipped|H2 Plus|80000|As shipped</t>
        </is>
      </c>
      <c r="BY222" s="152" t="inlineStr">
        <is>
          <t>h2_plus|Manufacturer finish|#e2e8f0|0</t>
        </is>
      </c>
      <c r="BZ222" s="152" t="inlineStr"/>
      <c r="CA222" s="156" t="n"/>
      <c r="CB222" s="156" t="inlineStr">
        <is>
          <t>12 months manufacturer standard (typical research/commercial humanoid)</t>
        </is>
      </c>
      <c r="CC222" s="154" t="n">
        <v>12</v>
      </c>
      <c r="CD222" s="156" t="inlineStr">
        <is>
          <t>+3 Year Extended ≈24% of configuration (default in configurator)</t>
        </is>
      </c>
      <c r="CE222" s="152" t="inlineStr">
        <is>
          <t>Humanoid category norm 2025–2026</t>
        </is>
      </c>
      <c r="CF222" s="152" t="inlineStr">
        <is>
          <t>Estimated</t>
        </is>
      </c>
      <c r="CG222" s="156" t="inlineStr">
        <is>
          <t>Confirm on formal OEM quote. EDU or enterprise packages may differ.</t>
        </is>
      </c>
      <c r="CH222" s="152" t="inlineStr">
        <is>
          <t>10%</t>
        </is>
      </c>
      <c r="CI222" s="152" t="inlineStr">
        <is>
          <t>17%</t>
        </is>
      </c>
      <c r="CJ222" s="152" t="inlineStr">
        <is>
          <t>24%</t>
        </is>
      </c>
      <c r="CK222" s="156" t="inlineStr">
        <is>
          <t>+1yr ≈10% | +2yr ≈17% | +3yr ≈24% of selected configuration price (parts &amp; labor beyond manufacturer standard).</t>
        </is>
      </c>
      <c r="CL222"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22" s="152" t="inlineStr">
        <is>
          <t>12 months manufacturer standard (typical research/commercial humanoid)</t>
        </is>
      </c>
      <c r="CN222" s="203" t="inlineStr">
        <is>
          <t>https://aixzd.com/robot/h2</t>
        </is>
      </c>
      <c r="CO222" s="203" t="inlineStr">
        <is>
          <t>https://theresanaiforthat.com/robots/</t>
        </is>
      </c>
      <c r="CP222" s="203" t="inlineStr">
        <is>
          <t>Cross-checked against TAAFT Robots directory (669 entries) 28 Aug 2026 — individual TAAFT permalinks are JS/Cloudflare gated.</t>
        </is>
      </c>
      <c r="CQ222" s="101" t="inlineStr">
        <is>
          <t>Height: 5 ft 11 in | Weight: 149.9 | Degrees of Freedom: 75 | Payload: 33.1 | Max Speed: 4.35 | Battery / Runtime: ≈ 3 hours</t>
        </is>
      </c>
    </row>
    <row r="223" ht="31.5" customHeight="1" s="102">
      <c r="A223" s="145" t="inlineStr">
        <is>
          <t>unitree_robotics_superman</t>
        </is>
      </c>
      <c r="B223" s="153" t="inlineStr">
        <is>
          <t>Humanoid.guide</t>
        </is>
      </c>
      <c r="C223" s="145" t="inlineStr">
        <is>
          <t>Unitree</t>
        </is>
      </c>
      <c r="D223" s="145" t="inlineStr">
        <is>
          <t>Superman</t>
        </is>
      </c>
      <c r="E223" s="145" t="inlineStr">
        <is>
          <t>[Unitree] Superman (2026)</t>
        </is>
      </c>
      <c r="F223" s="146" t="inlineStr">
        <is>
          <t>humanoid</t>
        </is>
      </c>
      <c r="G223" s="145" t="inlineStr">
        <is>
          <t>China</t>
        </is>
      </c>
      <c r="H223" s="147" t="n">
        <v>2026</v>
      </c>
      <c r="I223" s="148" t="n">
        <v>55000</v>
      </c>
      <c r="J223" s="145" t="inlineStr">
        <is>
          <t>Humanoid.guide list</t>
        </is>
      </c>
      <c r="K223" s="149" t="inlineStr">
        <is>
          <t>Superman is Unitree’s high-dynamic humanoid demonstrator, revealed August 2026. It jumps around 2 m from standing and sprints at 12.66 m/s — beating both human world records.</t>
        </is>
      </c>
      <c r="L223" s="101" t="inlineStr">
        <is>
          <t>Superman is Unitree’s high-dynamic humanoid demonstrator, revealed August 2026. It jumps around 2 m from standing and sprints at 12.66 m/s — beating both human world records.</t>
        </is>
      </c>
      <c r="M223" s="101" t="inlineStr">
        <is>
          <t>Superman is Unitree’s high-dynamic humanoid demonstrator, revealed August 2026. It jumps around 2 m from standing and sprints at 12.66 m/s — beating both human world records. Public status is listed as prototype, and it is positioned for research; technology demonstration.</t>
        </is>
      </c>
      <c r="N223" s="150" t="inlineStr">
        <is>
          <t>https://humanoid.guide/product/superman/</t>
        </is>
      </c>
      <c r="O223" s="150" t="inlineStr">
        <is>
          <t>https://www.unitree.com</t>
        </is>
      </c>
      <c r="P223" s="145" t="inlineStr">
        <is>
          <t>5 ft 7 in</t>
        </is>
      </c>
      <c r="Q223" s="145" t="n">
        <v>170</v>
      </c>
      <c r="R223" s="145" t="n">
        <v>99.2</v>
      </c>
      <c r="S223" s="145" t="n">
        <v>45</v>
      </c>
      <c r="T223" s="149" t="inlineStr">
        <is>
          <t>Not disclosed</t>
        </is>
      </c>
      <c r="U223" s="145" t="n"/>
      <c r="V223" s="145" t="inlineStr">
        <is>
          <t>20</t>
        </is>
      </c>
      <c r="W223" s="149" t="inlineStr">
        <is>
          <t>0</t>
        </is>
      </c>
      <c r="X223" s="145" t="n">
        <v>13.2</v>
      </c>
      <c r="Y223" s="145" t="n">
        <v>6</v>
      </c>
      <c r="Z223" s="145" t="n">
        <v>28.33</v>
      </c>
      <c r="AA223" s="145" t="n">
        <v>45.6</v>
      </c>
      <c r="AB223" s="145" t="n">
        <v>5</v>
      </c>
      <c r="AC223" s="149" t="inlineStr">
        <is>
          <t>≈ 1.5 hours</t>
        </is>
      </c>
      <c r="AD223" s="149" t="inlineStr">
        <is>
          <t>1.5</t>
        </is>
      </c>
      <c r="AE223" s="145" t="n"/>
      <c r="AF223" s="145" t="inlineStr">
        <is>
          <t>Not disclosed</t>
        </is>
      </c>
      <c r="AG223" s="149" t="inlineStr">
        <is>
          <t>0</t>
        </is>
      </c>
      <c r="AH223" s="145" t="inlineStr">
        <is>
          <t>0</t>
        </is>
      </c>
      <c r="AI223" s="145" t="n"/>
      <c r="AJ223" s="149" t="inlineStr">
        <is>
          <t>Not disclosed</t>
        </is>
      </c>
      <c r="AK223" s="149" t="n"/>
      <c r="AL223" s="145" t="inlineStr">
        <is>
          <t>Not disclosed</t>
        </is>
      </c>
      <c r="AM223" s="145" t="n"/>
      <c r="AN223" s="145" t="inlineStr">
        <is>
          <t>Not disclosed</t>
        </is>
      </c>
      <c r="AO223" s="145" t="inlineStr">
        <is>
          <t>Not disclosed</t>
        </is>
      </c>
      <c r="AP223" s="145" t="inlineStr">
        <is>
          <t>Not disclosed</t>
        </is>
      </c>
      <c r="AQ223" s="145" t="inlineStr">
        <is>
          <t>Not disclosed</t>
        </is>
      </c>
      <c r="AR223" s="145" t="n"/>
      <c r="AS223" s="145" t="n"/>
      <c r="AT223" s="149" t="inlineStr">
        <is>
          <t>NVIDIA</t>
        </is>
      </c>
      <c r="AU223" s="149" t="inlineStr">
        <is>
          <t>Bluetooth 5.2; Ethernet; Wi-Fi 6</t>
        </is>
      </c>
      <c r="AV223" s="145" t="inlineStr">
        <is>
          <t>Not disclosed</t>
        </is>
      </c>
      <c r="AW223" s="149" t="inlineStr">
        <is>
          <t>Not disclosed</t>
        </is>
      </c>
      <c r="AX223" s="145" t="n"/>
      <c r="AY223" s="149" t="inlineStr">
        <is>
          <t>Unitree SDK with ROS 2 support</t>
        </is>
      </c>
      <c r="AZ223" s="149" t="inlineStr">
        <is>
          <t>Not disclosed</t>
        </is>
      </c>
      <c r="BA223" s="149" t="n"/>
      <c r="BB223" s="149" t="inlineStr">
        <is>
          <t>Unitree in-house high-torque-density PMSM joint motors</t>
        </is>
      </c>
      <c r="BC223" s="149" t="inlineStr">
        <is>
          <t>Planetary reduction / quasi-direct drive</t>
        </is>
      </c>
      <c r="BD223" s="145" t="inlineStr">
        <is>
          <t>Aluminium alloy with carbon fibre</t>
        </is>
      </c>
      <c r="BE223" s="145" t="inlineStr">
        <is>
          <t>Not disclosed</t>
        </is>
      </c>
      <c r="BF223" s="145" t="n"/>
      <c r="BG223" s="145" t="n"/>
      <c r="BH223" s="145" t="n"/>
      <c r="BI223" s="145" t="n"/>
      <c r="BJ223" s="145" t="n"/>
      <c r="BK223" s="145" t="n"/>
      <c r="BL223" s="145" t="n"/>
      <c r="BM223" s="145" t="inlineStr">
        <is>
          <t>Yes</t>
        </is>
      </c>
      <c r="BN223" s="145" t="inlineStr">
        <is>
          <t>Not disclosed</t>
        </is>
      </c>
      <c r="BO223" s="149" t="inlineStr">
        <is>
          <t>Market: Research; technology demonstration · Human-safe: Yes · Actuation: Unitree in-house high-torque-density PMSM joint motors · Peak 45.6 km/h · Walk 5 km/h · Runtime 1.5</t>
        </is>
      </c>
      <c r="BP223" s="145" t="n"/>
      <c r="BQ223" s="149" t="inlineStr">
        <is>
          <t>Research; technology demonstration</t>
        </is>
      </c>
      <c r="BR223" s="149" t="inlineStr">
        <is>
          <t>Prototype</t>
        </is>
      </c>
      <c r="BS223" s="149" t="inlineStr">
        <is>
          <t>Prototype</t>
        </is>
      </c>
      <c r="BT223" s="145" t="n"/>
      <c r="BU223" s="145" t="n"/>
      <c r="BV223" s="149" t="n"/>
      <c r="BW223" s="149" t="inlineStr">
        <is>
          <t>Origin &amp; status — China · Prototype · 2026 | Manipulation — 0 · 0 fingers · Hand DOF 0 · Payload 13.2 lb | Sensing &amp; software — Unitree SDK with ROS 2 support | Buying notes — From $55,000 · 12 months manufacturer standard (typical research/commercial humanoid) · Best fit: Research</t>
        </is>
      </c>
      <c r="BX223" s="149" t="inlineStr">
        <is>
          <t>as_shipped|Superman|55000|As shipped</t>
        </is>
      </c>
      <c r="BY223" s="145" t="inlineStr">
        <is>
          <t>superman|Manufacturer finish|#e2e8f0|0</t>
        </is>
      </c>
      <c r="BZ223" s="145" t="inlineStr"/>
      <c r="CA223" s="149" t="n"/>
      <c r="CB223" s="149" t="inlineStr">
        <is>
          <t>12 months manufacturer standard (typical research/commercial humanoid)</t>
        </is>
      </c>
      <c r="CC223" s="147" t="n">
        <v>12</v>
      </c>
      <c r="CD223" s="149" t="inlineStr">
        <is>
          <t>+3 Year Extended ≈24% of configuration (default in configurator)</t>
        </is>
      </c>
      <c r="CE223" s="145" t="inlineStr">
        <is>
          <t>Humanoid category norm 2025–2026</t>
        </is>
      </c>
      <c r="CF223" s="145" t="inlineStr">
        <is>
          <t>Estimated</t>
        </is>
      </c>
      <c r="CG223" s="149" t="inlineStr">
        <is>
          <t>Confirm on formal OEM quote. EDU or enterprise packages may differ.</t>
        </is>
      </c>
      <c r="CH223" s="145" t="inlineStr">
        <is>
          <t>10%</t>
        </is>
      </c>
      <c r="CI223" s="145" t="inlineStr">
        <is>
          <t>17%</t>
        </is>
      </c>
      <c r="CJ223" s="145" t="inlineStr">
        <is>
          <t>24%</t>
        </is>
      </c>
      <c r="CK223" s="149" t="inlineStr">
        <is>
          <t>+1yr ≈10% | +2yr ≈17% | +3yr ≈24% of selected configuration price (parts &amp; labor beyond manufacturer standard).</t>
        </is>
      </c>
      <c r="CL223"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23" s="145" t="inlineStr">
        <is>
          <t>12 months manufacturer standard (typical research/commercial humanoid)</t>
        </is>
      </c>
      <c r="CO223" s="203" t="inlineStr">
        <is>
          <t>https://theresanaiforthat.com/robots/</t>
        </is>
      </c>
      <c r="CP223" s="203" t="inlineStr">
        <is>
          <t>Cross-checked against TAAFT Robots directory (669 entries) 28 Aug 2026 — individual TAAFT permalinks are JS/Cloudflare gated.</t>
        </is>
      </c>
      <c r="CQ223" s="101" t="inlineStr">
        <is>
          <t>Height: 5 ft 7 in | Weight: 99.2 | Degrees of Freedom: 20 | Payload: 13.2 | Max Speed: 28.33 | Battery / Runtime: ≈ 1.5 hours</t>
        </is>
      </c>
    </row>
    <row r="224" ht="31.5" customHeight="1" s="102">
      <c r="A224" s="152" t="inlineStr">
        <is>
          <t>unix_group_martian</t>
        </is>
      </c>
      <c r="B224" s="153" t="inlineStr">
        <is>
          <t>Humanoid.guide</t>
        </is>
      </c>
      <c r="C224" s="152" t="inlineStr">
        <is>
          <t>Unix Group</t>
        </is>
      </c>
      <c r="D224" s="152" t="inlineStr">
        <is>
          <t>Martian</t>
        </is>
      </c>
      <c r="E224" s="152" t="inlineStr">
        <is>
          <t>[Unix Group] Martian (2026)</t>
        </is>
      </c>
      <c r="F224" s="146" t="inlineStr">
        <is>
          <t>humanoid</t>
        </is>
      </c>
      <c r="G224" s="152" t="inlineStr">
        <is>
          <t>China</t>
        </is>
      </c>
      <c r="H224" s="152" t="n"/>
      <c r="I224" s="155" t="n">
        <v>125000</v>
      </c>
      <c r="J224" s="152" t="inlineStr">
        <is>
          <t>Humanoid.guide list</t>
        </is>
      </c>
      <c r="K224" s="156" t="inlineStr">
        <is>
          <t>Martian is Unix Group's humanoid — 5 ft 3 in class, 16 DOF, 110.2 lb payload. 5 per hand; onboard AI: Yes.</t>
        </is>
      </c>
      <c r="L224" s="101" t="inlineStr">
        <is>
          <t>Martian is Unix Group's humanoid — 5 ft 3 in class, 16 DOF, 110.2 lb payload. 5 per hand; onboard AI: Yes.</t>
        </is>
      </c>
      <c r="M224" s="101" t="inlineStr">
        <is>
          <t>Martian is Unix Group's humanoid — 5 ft 3 in class, 16 DOF, 110.2 lb payload. 5 per hand; onboard AI: Yes. Public status is listed as prototype, and it is positioned for home Service, Office / Mall, Reception &amp; Guiding, Autonomous Intelligence.</t>
        </is>
      </c>
      <c r="N224" s="157" t="inlineStr">
        <is>
          <t>https://humanoid.guide/product/martian/</t>
        </is>
      </c>
      <c r="O224" s="157" t="inlineStr">
        <is>
          <t>https://www.unix-group.ai</t>
        </is>
      </c>
      <c r="P224" s="152" t="inlineStr">
        <is>
          <t>5 ft 3 in</t>
        </is>
      </c>
      <c r="Q224" s="152" t="n">
        <v>160</v>
      </c>
      <c r="R224" s="152" t="n">
        <v>110.2</v>
      </c>
      <c r="S224" s="152" t="n">
        <v>50</v>
      </c>
      <c r="T224" s="156" t="inlineStr">
        <is>
          <t>Not disclosed</t>
        </is>
      </c>
      <c r="U224" s="152" t="n"/>
      <c r="V224" s="152" t="inlineStr">
        <is>
          <t>16</t>
        </is>
      </c>
      <c r="W224" s="156" t="inlineStr">
        <is>
          <t>7 per arm</t>
        </is>
      </c>
      <c r="X224" s="152" t="n">
        <v>110.2</v>
      </c>
      <c r="Y224" s="152" t="n">
        <v>50</v>
      </c>
      <c r="Z224" s="152" t="n">
        <v>6.21</v>
      </c>
      <c r="AA224" s="152" t="n">
        <v>10</v>
      </c>
      <c r="AB224" s="152" t="n">
        <v>5</v>
      </c>
      <c r="AC224" s="156" t="inlineStr">
        <is>
          <t>≈ 9 hours</t>
        </is>
      </c>
      <c r="AD224" s="156" t="inlineStr">
        <is>
          <t>9</t>
        </is>
      </c>
      <c r="AE224" s="152" t="n"/>
      <c r="AF224" s="152" t="inlineStr">
        <is>
          <t>Not disclosed</t>
        </is>
      </c>
      <c r="AG224" s="156" t="inlineStr">
        <is>
          <t>5 per hand</t>
        </is>
      </c>
      <c r="AH224" s="152" t="inlineStr">
        <is>
          <t>5 per hand</t>
        </is>
      </c>
      <c r="AI224" s="152" t="n"/>
      <c r="AJ224" s="156" t="inlineStr">
        <is>
          <t>Depth Camera + RGB*3 + IMU</t>
        </is>
      </c>
      <c r="AK224" s="156" t="inlineStr">
        <is>
          <t>Depth Camera + RGB*3 + IMU</t>
        </is>
      </c>
      <c r="AL224" s="152" t="inlineStr">
        <is>
          <t>Not disclosed</t>
        </is>
      </c>
      <c r="AM224" s="152" t="n"/>
      <c r="AN224" s="152" t="inlineStr">
        <is>
          <t>Not disclosed</t>
        </is>
      </c>
      <c r="AO224" s="152" t="inlineStr">
        <is>
          <t>Not disclosed</t>
        </is>
      </c>
      <c r="AP224" s="152" t="inlineStr">
        <is>
          <t>Not disclosed</t>
        </is>
      </c>
      <c r="AQ224" s="152" t="inlineStr">
        <is>
          <t>Not disclosed</t>
        </is>
      </c>
      <c r="AR224" s="152" t="n"/>
      <c r="AS224" s="152" t="n"/>
      <c r="AT224" s="156" t="inlineStr">
        <is>
          <t>100T Computing Power Platform 64GB Ram</t>
        </is>
      </c>
      <c r="AU224" s="156" t="inlineStr">
        <is>
          <t>5G; EtherCAT; Ethernet; Wi‑Fi</t>
        </is>
      </c>
      <c r="AV224" s="152" t="inlineStr">
        <is>
          <t>Not disclosed</t>
        </is>
      </c>
      <c r="AW224" s="156" t="inlineStr">
        <is>
          <t>Not disclosed</t>
        </is>
      </c>
      <c r="AX224" s="152" t="n"/>
      <c r="AY224" s="156" t="inlineStr">
        <is>
          <t>Not disclosed</t>
        </is>
      </c>
      <c r="AZ224" s="156" t="inlineStr">
        <is>
          <t>Yes</t>
        </is>
      </c>
      <c r="BA224" s="156" t="n"/>
      <c r="BB224" s="156" t="inlineStr">
        <is>
          <t>450 N.m Torque Motors</t>
        </is>
      </c>
      <c r="BC224" s="156" t="inlineStr">
        <is>
          <t>Not disclosed</t>
        </is>
      </c>
      <c r="BD224" s="152" t="inlineStr">
        <is>
          <t>Not disclosed</t>
        </is>
      </c>
      <c r="BE224" s="152" t="inlineStr">
        <is>
          <t>Not disclosed</t>
        </is>
      </c>
      <c r="BF224" s="152" t="n"/>
      <c r="BG224" s="152" t="n"/>
      <c r="BH224" s="152" t="n"/>
      <c r="BI224" s="152" t="n"/>
      <c r="BJ224" s="152" t="n"/>
      <c r="BK224" s="152" t="n"/>
      <c r="BL224" s="152" t="n"/>
      <c r="BM224" s="152" t="inlineStr">
        <is>
          <t>Yes</t>
        </is>
      </c>
      <c r="BN224" s="152" t="inlineStr">
        <is>
          <t>Not disclosed</t>
        </is>
      </c>
      <c r="BO224" s="156" t="inlineStr">
        <is>
          <t>Market: Home Service, Office / Mall, Reception &amp; Guiding, Autonomous Intelligence · Human-safe: Yes · AI: Yes · Actuation: 450 N.m Torque Motors · Peak 10 km/h · Walk 5 km/h · Runtime 9</t>
        </is>
      </c>
      <c r="BP224" s="152" t="n"/>
      <c r="BQ224" s="156" t="inlineStr">
        <is>
          <t>Home Service, Office / Mall, Reception &amp; Guiding, Autonomous Intelligence</t>
        </is>
      </c>
      <c r="BR224" s="156" t="inlineStr">
        <is>
          <t>Prototype</t>
        </is>
      </c>
      <c r="BS224" s="156" t="inlineStr">
        <is>
          <t>Prototype</t>
        </is>
      </c>
      <c r="BT224" s="152" t="inlineStr">
        <is>
          <t>Silver</t>
        </is>
      </c>
      <c r="BU224" s="152" t="inlineStr">
        <is>
          <t>Not verified</t>
        </is>
      </c>
      <c r="BV224" s="156" t="n"/>
      <c r="BW224" s="156" t="inlineStr">
        <is>
          <t>Origin &amp; status — China · Prototype · 2026 | Manipulation — 5 per hand · 5 per hand fingers · Hand DOF 7 per arm · Payload 110.2 lb | Sensing &amp; software — Depth Camera + RGB*3 + IMU · Yes | Buying notes — From $125,000 · 12 months manufacturer standard (typical research/commercial humanoid) · Best fit: Home Service, Office</t>
        </is>
      </c>
      <c r="BX224" s="156" t="inlineStr">
        <is>
          <t>as_shipped|Martian|125000|As shipped</t>
        </is>
      </c>
      <c r="BY224" s="152" t="inlineStr">
        <is>
          <t>silver|Silver|#e2e8f0|0</t>
        </is>
      </c>
      <c r="BZ224" s="152" t="inlineStr"/>
      <c r="CA224" s="156" t="n"/>
      <c r="CB224" s="156" t="inlineStr">
        <is>
          <t>12 months manufacturer standard (typical research/commercial humanoid)</t>
        </is>
      </c>
      <c r="CC224" s="154" t="n">
        <v>12</v>
      </c>
      <c r="CD224" s="156" t="inlineStr">
        <is>
          <t>+3 Year Extended ≈24% of configuration (default in configurator)</t>
        </is>
      </c>
      <c r="CE224" s="152" t="inlineStr">
        <is>
          <t>Humanoid category norm 2025–2026</t>
        </is>
      </c>
      <c r="CF224" s="152" t="inlineStr">
        <is>
          <t>Estimated</t>
        </is>
      </c>
      <c r="CG224" s="156" t="inlineStr">
        <is>
          <t>Confirm on formal OEM quote. EDU or enterprise packages may differ.</t>
        </is>
      </c>
      <c r="CH224" s="152" t="inlineStr">
        <is>
          <t>10%</t>
        </is>
      </c>
      <c r="CI224" s="152" t="inlineStr">
        <is>
          <t>17%</t>
        </is>
      </c>
      <c r="CJ224" s="152" t="inlineStr">
        <is>
          <t>24%</t>
        </is>
      </c>
      <c r="CK224" s="156" t="inlineStr">
        <is>
          <t>+1yr ≈10% | +2yr ≈17% | +3yr ≈24% of selected configuration price (parts &amp; labor beyond manufacturer standard).</t>
        </is>
      </c>
      <c r="CL224"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24" s="152" t="inlineStr">
        <is>
          <t>12 months manufacturer standard (typical research/commercial humanoid)</t>
        </is>
      </c>
      <c r="CN224" s="203" t="inlineStr">
        <is>
          <t>https://aixzd.com/robot/martian</t>
        </is>
      </c>
      <c r="CQ224" s="101" t="inlineStr">
        <is>
          <t>Height: 5 ft 3 in | Weight: 110.2 | Degrees of Freedom: 16 | Payload: 110.2 | Max Speed: 6.21 | Battery / Runtime: ≈ 9 hours</t>
        </is>
      </c>
    </row>
    <row r="225" ht="31.5" customHeight="1" s="102">
      <c r="A225" s="145" t="inlineStr">
        <is>
          <t>unix_group_panther</t>
        </is>
      </c>
      <c r="B225" s="153" t="inlineStr">
        <is>
          <t>Humanoid.guide</t>
        </is>
      </c>
      <c r="C225" s="145" t="inlineStr">
        <is>
          <t>Unix Group</t>
        </is>
      </c>
      <c r="D225" s="145" t="inlineStr">
        <is>
          <t>Panther</t>
        </is>
      </c>
      <c r="E225" s="145" t="inlineStr">
        <is>
          <t>[Unix Group] Panther (2026)</t>
        </is>
      </c>
      <c r="F225" s="146" t="inlineStr">
        <is>
          <t>humanoid</t>
        </is>
      </c>
      <c r="G225" s="145" t="inlineStr">
        <is>
          <t>China</t>
        </is>
      </c>
      <c r="H225" s="145" t="n"/>
      <c r="I225" s="148" t="n">
        <v>115000</v>
      </c>
      <c r="J225" s="145" t="inlineStr">
        <is>
          <t>Humanoid.guide list</t>
        </is>
      </c>
      <c r="K225" s="149" t="inlineStr">
        <is>
          <t>Panther is Unix Group's humanoid — 5 ft 3 in class, 34 DOF, 26.5 lb payload. Biomimetic Two-Finger Gripper; onboard AI: Yes.</t>
        </is>
      </c>
      <c r="L225" s="101" t="inlineStr">
        <is>
          <t>Panther is Unix Group's humanoid — 5 ft 3 in class, 34 DOF, 26.5 lb payload. Biomimetic Two-Finger Gripper; onboard AI: Yes.</t>
        </is>
      </c>
      <c r="M225" s="101" t="inlineStr">
        <is>
          <t>Panther is Unix Group's humanoid — 5 ft 3 in class, 34 DOF, 26.5 lb payload. Biomimetic Two-Finger Gripper; onboard AI: Yes. Public status is listed as advanced prototype / pilot industrial deployment, and it is positioned for industrial logistics; Manufacturing; Warehouses.</t>
        </is>
      </c>
      <c r="N225" s="150" t="inlineStr">
        <is>
          <t>https://humanoid.guide/product/panther/</t>
        </is>
      </c>
      <c r="O225" s="150" t="inlineStr">
        <is>
          <t>https://www.unix-group.ai</t>
        </is>
      </c>
      <c r="P225" s="145" t="inlineStr">
        <is>
          <t>5 ft 3 in</t>
        </is>
      </c>
      <c r="Q225" s="145" t="n">
        <v>160</v>
      </c>
      <c r="R225" s="145" t="n"/>
      <c r="S225" s="145" t="n"/>
      <c r="T225" s="149" t="inlineStr">
        <is>
          <t>Not disclosed</t>
        </is>
      </c>
      <c r="U225" s="145" t="n"/>
      <c r="V225" s="145" t="inlineStr">
        <is>
          <t>34</t>
        </is>
      </c>
      <c r="W225" s="149" t="inlineStr">
        <is>
          <t>8 per arm</t>
        </is>
      </c>
      <c r="X225" s="145" t="n">
        <v>26.5</v>
      </c>
      <c r="Y225" s="145" t="n">
        <v>12</v>
      </c>
      <c r="Z225" s="145" t="n">
        <v>3.36</v>
      </c>
      <c r="AA225" s="145" t="n">
        <v>5.4</v>
      </c>
      <c r="AB225" s="145" t="n"/>
      <c r="AC225" s="149" t="inlineStr">
        <is>
          <t>8 - 16</t>
        </is>
      </c>
      <c r="AD225" s="149" t="inlineStr">
        <is>
          <t>8 - 16</t>
        </is>
      </c>
      <c r="AE225" s="145" t="n"/>
      <c r="AF225" s="145" t="inlineStr">
        <is>
          <t>Not disclosed</t>
        </is>
      </c>
      <c r="AG225" s="149" t="inlineStr">
        <is>
          <t>Biomimetic Two-Finger Gripper</t>
        </is>
      </c>
      <c r="AH225" s="145" t="inlineStr">
        <is>
          <t>Biomimetic Two-Finger Gripper</t>
        </is>
      </c>
      <c r="AI225" s="145" t="n"/>
      <c r="AJ225" s="149" t="inlineStr">
        <is>
          <t>Head mounted dual RGB &amp;RGBD Camera 6-Mic Circular Array</t>
        </is>
      </c>
      <c r="AK225" s="149" t="inlineStr">
        <is>
          <t>Head mounted dual RGB &amp;RGBD Camera 6-Mic Circular Array</t>
        </is>
      </c>
      <c r="AL225" s="145" t="inlineStr">
        <is>
          <t>Not disclosed</t>
        </is>
      </c>
      <c r="AM225" s="145" t="n"/>
      <c r="AN225" s="145" t="inlineStr">
        <is>
          <t>Not disclosed</t>
        </is>
      </c>
      <c r="AO225" s="145" t="inlineStr">
        <is>
          <t>Not disclosed</t>
        </is>
      </c>
      <c r="AP225" s="145" t="inlineStr">
        <is>
          <t>Not disclosed</t>
        </is>
      </c>
      <c r="AQ225" s="145" t="inlineStr">
        <is>
          <t>Not disclosed</t>
        </is>
      </c>
      <c r="AR225" s="145" t="n"/>
      <c r="AS225" s="145" t="n"/>
      <c r="AT225" s="149" t="inlineStr">
        <is>
          <t>Powerful Edge Computing (Up To 2070 TOPS)</t>
        </is>
      </c>
      <c r="AU225" s="149" t="inlineStr">
        <is>
          <t>5G; EtherCAT; Wi‑Fi</t>
        </is>
      </c>
      <c r="AV225" s="145" t="inlineStr">
        <is>
          <t>Not disclosed</t>
        </is>
      </c>
      <c r="AW225" s="149" t="inlineStr">
        <is>
          <t>Not disclosed</t>
        </is>
      </c>
      <c r="AX225" s="145" t="n"/>
      <c r="AY225" s="149" t="inlineStr">
        <is>
          <t>Not disclosed</t>
        </is>
      </c>
      <c r="AZ225" s="149" t="inlineStr">
        <is>
          <t>Yes</t>
        </is>
      </c>
      <c r="BA225" s="149" t="inlineStr">
        <is>
          <t>Estimated under 100 ms (edge processed)</t>
        </is>
      </c>
      <c r="BB225" s="149" t="inlineStr">
        <is>
          <t>Not disclosed</t>
        </is>
      </c>
      <c r="BC225" s="149" t="inlineStr">
        <is>
          <t>Not disclosed</t>
        </is>
      </c>
      <c r="BD225" s="145" t="inlineStr">
        <is>
          <t>Aluminum alloy frame with composite outer shell</t>
        </is>
      </c>
      <c r="BE225" s="145" t="inlineStr">
        <is>
          <t>Not disclosed</t>
        </is>
      </c>
      <c r="BF225" s="145" t="n"/>
      <c r="BG225" s="145" t="n"/>
      <c r="BH225" s="145" t="n"/>
      <c r="BI225" s="145" t="n"/>
      <c r="BJ225" s="145" t="n"/>
      <c r="BK225" s="145" t="n"/>
      <c r="BL225" s="145" t="n"/>
      <c r="BM225" s="145" t="inlineStr">
        <is>
          <t>Yes</t>
        </is>
      </c>
      <c r="BN225" s="145" t="inlineStr">
        <is>
          <t>Not disclosed</t>
        </is>
      </c>
      <c r="BO225" s="149" t="inlineStr">
        <is>
          <t>Market: Industrial logistics; Manufacturing; Warehouses · Human-safe: Yes · AI: Yes · Peak 5.4 km/h · Runtime 8 - 16</t>
        </is>
      </c>
      <c r="BP225" s="145" t="n"/>
      <c r="BQ225" s="149" t="inlineStr">
        <is>
          <t>Industrial logistics; Manufacturing; Warehouses</t>
        </is>
      </c>
      <c r="BR225" s="149" t="inlineStr">
        <is>
          <t>Advanced prototype / pilot industrial deployment</t>
        </is>
      </c>
      <c r="BS225" s="149" t="inlineStr">
        <is>
          <t>Advanced prototype / pilot industrial deployment</t>
        </is>
      </c>
      <c r="BT225" s="145" t="inlineStr">
        <is>
          <t>Grey</t>
        </is>
      </c>
      <c r="BU225" s="145" t="inlineStr">
        <is>
          <t>Not verified</t>
        </is>
      </c>
      <c r="BV225" s="149" t="n"/>
      <c r="BW225" s="149" t="inlineStr">
        <is>
          <t>Origin &amp; status — China · Advanced prototype / pilot industrial deployment · 2026 | Manipulation — Biomimetic Two-Finger Gripper · Hand DOF 8 per arm · Payload 26.5 lb | Sensing &amp; software — Head mounted dual RGB &amp;RGBD Camera 6-Mic Circular Array · Yes | Buying notes — From $115,000 · 12 months manufacturer standard (typical research/commercial humanoid) · Best fit: Industrial logistics</t>
        </is>
      </c>
      <c r="BX225" s="149" t="inlineStr">
        <is>
          <t>as_shipped|Panther|115000|As shipped</t>
        </is>
      </c>
      <c r="BY225" s="145" t="inlineStr">
        <is>
          <t>grey|Grey|#e2e8f0|0</t>
        </is>
      </c>
      <c r="BZ225" s="145" t="inlineStr"/>
      <c r="CA225" s="149" t="n"/>
      <c r="CB225" s="149" t="inlineStr">
        <is>
          <t>12 months manufacturer standard (typical research/commercial humanoid)</t>
        </is>
      </c>
      <c r="CC225" s="147" t="n">
        <v>12</v>
      </c>
      <c r="CD225" s="149" t="inlineStr">
        <is>
          <t>+3 Year Extended ≈24% of configuration (default in configurator)</t>
        </is>
      </c>
      <c r="CE225" s="145" t="inlineStr">
        <is>
          <t>Humanoid category norm 2025–2026</t>
        </is>
      </c>
      <c r="CF225" s="145" t="inlineStr">
        <is>
          <t>Estimated</t>
        </is>
      </c>
      <c r="CG225" s="149" t="inlineStr">
        <is>
          <t>Confirm on formal OEM quote. EDU or enterprise packages may differ.</t>
        </is>
      </c>
      <c r="CH225" s="145" t="inlineStr">
        <is>
          <t>10%</t>
        </is>
      </c>
      <c r="CI225" s="145" t="inlineStr">
        <is>
          <t>17%</t>
        </is>
      </c>
      <c r="CJ225" s="145" t="inlineStr">
        <is>
          <t>24%</t>
        </is>
      </c>
      <c r="CK225" s="149" t="inlineStr">
        <is>
          <t>+1yr ≈10% | +2yr ≈17% | +3yr ≈24% of selected configuration price (parts &amp; labor beyond manufacturer standard).</t>
        </is>
      </c>
      <c r="CL22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25" s="145" t="inlineStr">
        <is>
          <t>12 months manufacturer standard (typical research/commercial humanoid)</t>
        </is>
      </c>
      <c r="CN225" s="203" t="inlineStr">
        <is>
          <t>https://aixzd.com/robot/panther</t>
        </is>
      </c>
      <c r="CQ225" s="101" t="inlineStr">
        <is>
          <t>Height: 5 ft 3 in | Weight: Not disclosed | Degrees of Freedom: 34 | Payload: 26.5 | Max Speed: 3.36 | Battery / Runtime: 8 - 16</t>
        </is>
      </c>
    </row>
    <row r="226" ht="31.5" customHeight="1" s="102">
      <c r="A226" s="152" t="inlineStr">
        <is>
          <t>unix_group_wanda_2_0</t>
        </is>
      </c>
      <c r="B226" s="153" t="inlineStr">
        <is>
          <t>Humanoid.guide</t>
        </is>
      </c>
      <c r="C226" s="152" t="inlineStr">
        <is>
          <t>Unix Group</t>
        </is>
      </c>
      <c r="D226" s="152" t="inlineStr">
        <is>
          <t>Wanda 2.0</t>
        </is>
      </c>
      <c r="E226" s="152" t="inlineStr">
        <is>
          <t>[Unix Group] Wanda 2.0 (2026)</t>
        </is>
      </c>
      <c r="F226" s="146" t="inlineStr">
        <is>
          <t>humanoid</t>
        </is>
      </c>
      <c r="G226" s="152" t="inlineStr">
        <is>
          <t>China</t>
        </is>
      </c>
      <c r="H226" s="152" t="n"/>
      <c r="I226" s="155" t="n">
        <v>120000</v>
      </c>
      <c r="J226" s="152" t="inlineStr">
        <is>
          <t>Humanoid.guide list</t>
        </is>
      </c>
      <c r="K226" s="156" t="inlineStr">
        <is>
          <t>Wanda 2.0 is an advanced humanoid robot designed for industrial research and collaborative automation.</t>
        </is>
      </c>
      <c r="L226" s="101" t="inlineStr">
        <is>
          <t>Wanda 2.0 is an advanced humanoid robot designed for industrial research and collaborative automation.</t>
        </is>
      </c>
      <c r="M226" s="101" t="inlineStr">
        <is>
          <t>Wanda 2.0 is an advanced humanoid robot designed for industrial research and collaborative automation. Public status is listed as in production, and it is positioned for industrial automation; logistics; Manufacturing.</t>
        </is>
      </c>
      <c r="N226" s="157" t="inlineStr">
        <is>
          <t>https://humanoid.guide/product/wanda-2-0/</t>
        </is>
      </c>
      <c r="O226" s="157" t="inlineStr">
        <is>
          <t>https://www.unix-group.ai</t>
        </is>
      </c>
      <c r="P226" s="152" t="inlineStr">
        <is>
          <t>4 ft 8 in</t>
        </is>
      </c>
      <c r="Q226" s="152" t="n">
        <v>142</v>
      </c>
      <c r="R226" s="152" t="n"/>
      <c r="S226" s="152" t="n"/>
      <c r="T226" s="156" t="inlineStr">
        <is>
          <t>Not disclosed</t>
        </is>
      </c>
      <c r="U226" s="152" t="n"/>
      <c r="V226" s="152" t="inlineStr">
        <is>
          <t>22</t>
        </is>
      </c>
      <c r="W226" s="156" t="inlineStr">
        <is>
          <t>8 per arm</t>
        </is>
      </c>
      <c r="X226" s="152" t="n">
        <v>26.5</v>
      </c>
      <c r="Y226" s="152" t="n">
        <v>12</v>
      </c>
      <c r="Z226" s="152" t="n">
        <v>3.36</v>
      </c>
      <c r="AA226" s="152" t="n">
        <v>5.4</v>
      </c>
      <c r="AB226" s="152" t="n"/>
      <c r="AC226" s="156" t="inlineStr">
        <is>
          <t>8 - 16</t>
        </is>
      </c>
      <c r="AD226" s="156" t="inlineStr">
        <is>
          <t>8 - 16</t>
        </is>
      </c>
      <c r="AE226" s="152" t="n"/>
      <c r="AF226" s="152" t="inlineStr">
        <is>
          <t>Not disclosed</t>
        </is>
      </c>
      <c r="AG226" s="156" t="inlineStr">
        <is>
          <t>2-finger gripping claws</t>
        </is>
      </c>
      <c r="AH226" s="152" t="inlineStr">
        <is>
          <t>2-finger gripping claws</t>
        </is>
      </c>
      <c r="AI226" s="152" t="n"/>
      <c r="AJ226" s="156" t="inlineStr">
        <is>
          <t>RGBD Cameras</t>
        </is>
      </c>
      <c r="AK226" s="156" t="inlineStr">
        <is>
          <t>RGBD Cameras</t>
        </is>
      </c>
      <c r="AL226" s="152" t="inlineStr">
        <is>
          <t>Not disclosed</t>
        </is>
      </c>
      <c r="AM226" s="152" t="n"/>
      <c r="AN226" s="152" t="inlineStr">
        <is>
          <t>Not disclosed</t>
        </is>
      </c>
      <c r="AO226" s="152" t="inlineStr">
        <is>
          <t>Not disclosed</t>
        </is>
      </c>
      <c r="AP226" s="152" t="inlineStr">
        <is>
          <t>Not disclosed</t>
        </is>
      </c>
      <c r="AQ226" s="152" t="inlineStr">
        <is>
          <t>Not disclosed</t>
        </is>
      </c>
      <c r="AR226" s="152" t="n"/>
      <c r="AS226" s="152" t="n"/>
      <c r="AT226" s="156" t="inlineStr">
        <is>
          <t>Not disclosed</t>
        </is>
      </c>
      <c r="AU226" s="156" t="inlineStr">
        <is>
          <t>5G; Ethernet; Wi‑Fi</t>
        </is>
      </c>
      <c r="AV226" s="152" t="inlineStr">
        <is>
          <t>Not disclosed</t>
        </is>
      </c>
      <c r="AW226" s="156" t="inlineStr">
        <is>
          <t>Not disclosed</t>
        </is>
      </c>
      <c r="AX226" s="152" t="n"/>
      <c r="AY226" s="156" t="inlineStr">
        <is>
          <t>Linux-based robotics framework (likely ROS/ROS2)</t>
        </is>
      </c>
      <c r="AZ226" s="156" t="inlineStr">
        <is>
          <t>Yes</t>
        </is>
      </c>
      <c r="BA226" s="156" t="n"/>
      <c r="BB226" s="156" t="inlineStr">
        <is>
          <t>Electric servo motors</t>
        </is>
      </c>
      <c r="BC226" s="156" t="inlineStr">
        <is>
          <t>Harmonic drives or planetary gear systems</t>
        </is>
      </c>
      <c r="BD226" s="152" t="inlineStr">
        <is>
          <t>Aluminum alloy with composite covers</t>
        </is>
      </c>
      <c r="BE226" s="152" t="inlineStr">
        <is>
          <t>Not disclosed</t>
        </is>
      </c>
      <c r="BF226" s="152" t="n"/>
      <c r="BG226" s="152" t="n"/>
      <c r="BH226" s="152" t="n"/>
      <c r="BI226" s="152" t="n"/>
      <c r="BJ226" s="152" t="n"/>
      <c r="BK226" s="152" t="n"/>
      <c r="BL226" s="152" t="n"/>
      <c r="BM226" s="152" t="inlineStr">
        <is>
          <t>Yes</t>
        </is>
      </c>
      <c r="BN226" s="152" t="inlineStr">
        <is>
          <t>Not disclosed</t>
        </is>
      </c>
      <c r="BO226" s="156" t="inlineStr">
        <is>
          <t>Market: Industrial automation; logistics; Manufacturing · Human-safe: Yes · AI: Yes · Actuation: Electric servo motors · Peak 5.4 km/h · Runtime 8 - 16</t>
        </is>
      </c>
      <c r="BP226" s="152" t="n"/>
      <c r="BQ226" s="156" t="inlineStr">
        <is>
          <t>Industrial automation; logistics; Manufacturing</t>
        </is>
      </c>
      <c r="BR226" s="156" t="inlineStr">
        <is>
          <t>In production</t>
        </is>
      </c>
      <c r="BS226" s="156" t="inlineStr">
        <is>
          <t>In production</t>
        </is>
      </c>
      <c r="BT226" s="152" t="inlineStr">
        <is>
          <t>White</t>
        </is>
      </c>
      <c r="BU226" s="152" t="inlineStr">
        <is>
          <t>Not verified</t>
        </is>
      </c>
      <c r="BV226" s="156" t="n"/>
      <c r="BW226" s="156" t="inlineStr">
        <is>
          <t>Origin &amp; status — China · In production · 2026 | Manipulation — 2-finger gripping claws · Hand DOF 8 per arm · Payload 26.5 lb | Sensing &amp; software — RGBD Cameras · Yes · Linux-based robotics framework (likely ROS/ROS2) | Buying notes — From $120,000 · 12 months manufacturer standard (typical research/commercial humanoid) · Best fit: Industrial automation</t>
        </is>
      </c>
      <c r="BX226" s="156" t="inlineStr">
        <is>
          <t>as_shipped|Wanda 2.0|120000|As shipped</t>
        </is>
      </c>
      <c r="BY226" s="152" t="inlineStr">
        <is>
          <t>white|White|#e2e8f0|0</t>
        </is>
      </c>
      <c r="BZ226" s="152" t="inlineStr"/>
      <c r="CA226" s="156" t="n"/>
      <c r="CB226" s="156" t="inlineStr">
        <is>
          <t>12 months manufacturer standard (typical research/commercial humanoid)</t>
        </is>
      </c>
      <c r="CC226" s="154" t="n">
        <v>12</v>
      </c>
      <c r="CD226" s="156" t="inlineStr">
        <is>
          <t>+3 Year Extended ≈24% of configuration (default in configurator)</t>
        </is>
      </c>
      <c r="CE226" s="152" t="inlineStr">
        <is>
          <t>Humanoid category norm 2025–2026</t>
        </is>
      </c>
      <c r="CF226" s="152" t="inlineStr">
        <is>
          <t>Estimated</t>
        </is>
      </c>
      <c r="CG226" s="156" t="inlineStr">
        <is>
          <t>Confirm on formal OEM quote. EDU or enterprise packages may differ.</t>
        </is>
      </c>
      <c r="CH226" s="152" t="inlineStr">
        <is>
          <t>10%</t>
        </is>
      </c>
      <c r="CI226" s="152" t="inlineStr">
        <is>
          <t>17%</t>
        </is>
      </c>
      <c r="CJ226" s="152" t="inlineStr">
        <is>
          <t>24%</t>
        </is>
      </c>
      <c r="CK226" s="156" t="inlineStr">
        <is>
          <t>+1yr ≈10% | +2yr ≈17% | +3yr ≈24% of selected configuration price (parts &amp; labor beyond manufacturer standard).</t>
        </is>
      </c>
      <c r="CL226"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26" s="152" t="inlineStr">
        <is>
          <t>12 months manufacturer standard (typical research/commercial humanoid)</t>
        </is>
      </c>
      <c r="CN226" s="203" t="inlineStr">
        <is>
          <t>https://aixzd.com/robot/wanda-2-0</t>
        </is>
      </c>
      <c r="CQ226" s="101" t="inlineStr">
        <is>
          <t>Height: 4 ft 8 in | Weight: Not disclosed | Degrees of Freedom: 22 | Payload: 26.5 | Max Speed: 3.36 | Battery / Runtime: 8 - 16</t>
        </is>
      </c>
    </row>
    <row r="227" ht="31.5" customHeight="1" s="102">
      <c r="A227" s="143" t="inlineStr">
        <is>
          <t>vindynamics_vingroup_dyno</t>
        </is>
      </c>
      <c r="B227" s="160" t="inlineStr">
        <is>
          <t>Website</t>
        </is>
      </c>
      <c r="C227" s="145" t="inlineStr">
        <is>
          <t>VinDynamics</t>
        </is>
      </c>
      <c r="D227" s="145" t="inlineStr">
        <is>
          <t>Dyno</t>
        </is>
      </c>
      <c r="E227" s="145" t="inlineStr">
        <is>
          <t>[VinDynamics] Dyno (2025)</t>
        </is>
      </c>
      <c r="F227" s="146" t="inlineStr">
        <is>
          <t>humanoid</t>
        </is>
      </c>
      <c r="G227" s="145" t="inlineStr">
        <is>
          <t>Vietnam</t>
        </is>
      </c>
      <c r="H227" s="147" t="n">
        <v>2025</v>
      </c>
      <c r="I227" s="148" t="n">
        <v>50000</v>
      </c>
      <c r="J227" s="145" t="inlineStr">
        <is>
          <t>Website store</t>
        </is>
      </c>
      <c r="K227" s="149" t="inlineStr">
        <is>
          <t>Dyno is VinDynamics's humanoid — Not disclosed DOF. Grippers or dexterous hands depending on configuration; RGB and/or depth cameras for navigation and manipulation (configuration specific).</t>
        </is>
      </c>
      <c r="L227" s="101" t="inlineStr">
        <is>
          <t>Dyno is VinDynamics's humanoid — Not disclosed DOF. Grippers or dexterous hands depending on configuration; RGB and/or depth cameras for navigation and manipulation (configuration specific).</t>
        </is>
      </c>
      <c r="M227" s="101" t="inlineStr">
        <is>
          <t>Dyno is VinDynamics's humanoid — Not disclosed DOF. Grippers or dexterous hands depending on configuration; RGB and/or depth cameras for navigation and manipulation (configuration specific). Public status is listed as prototype / Global debut, and it is positioned for service / Security / Guide / Household assistant.</t>
        </is>
      </c>
      <c r="N227" s="145" t="n"/>
      <c r="O227" s="145" t="inlineStr">
        <is>
          <t>https://vindynamics.net</t>
        </is>
      </c>
      <c r="P227" s="145" t="n"/>
      <c r="Q227" s="145" t="n"/>
      <c r="R227" s="145" t="n"/>
      <c r="S227" s="145" t="n"/>
      <c r="T227" s="149" t="inlineStr">
        <is>
          <t>Not disclosed</t>
        </is>
      </c>
      <c r="U227" s="145" t="n"/>
      <c r="V227" s="145" t="inlineStr">
        <is>
          <t>Not disclosed</t>
        </is>
      </c>
      <c r="W227" s="149" t="inlineStr">
        <is>
          <t>Not disclosed</t>
        </is>
      </c>
      <c r="X227" s="145" t="n"/>
      <c r="Y227" s="145" t="n"/>
      <c r="Z227" s="145" t="n"/>
      <c r="AA227" s="145" t="n"/>
      <c r="AB227" s="145" t="n"/>
      <c r="AC227" s="149" t="inlineStr">
        <is>
          <t>Not disclosed</t>
        </is>
      </c>
      <c r="AD227" s="149" t="n"/>
      <c r="AE227" s="145" t="n"/>
      <c r="AF227" s="145" t="inlineStr">
        <is>
          <t>Not disclosed</t>
        </is>
      </c>
      <c r="AG227" s="149" t="inlineStr">
        <is>
          <t>Grippers or dexterous hands depending on configuration</t>
        </is>
      </c>
      <c r="AH227" s="145" t="inlineStr">
        <is>
          <t>Not disclosed</t>
        </is>
      </c>
      <c r="AI227" s="145" t="n"/>
      <c r="AJ227" s="149" t="inlineStr">
        <is>
          <t>RGB and/or depth cameras for navigation and manipulation (configuration specific)</t>
        </is>
      </c>
      <c r="AK227" s="149" t="n"/>
      <c r="AL227" s="145" t="inlineStr">
        <is>
          <t>Onboard streams for teleoperation and logging when equipped</t>
        </is>
      </c>
      <c r="AM227" s="145" t="n"/>
      <c r="AN227" s="145" t="inlineStr">
        <is>
          <t>Not disclosed</t>
        </is>
      </c>
      <c r="AO227" s="145" t="inlineStr">
        <is>
          <t>Microphone array on interaction-oriented builds</t>
        </is>
      </c>
      <c r="AP227" s="145" t="inlineStr">
        <is>
          <t>Not disclosed</t>
        </is>
      </c>
      <c r="AQ227" s="145" t="inlineStr">
        <is>
          <t>Not disclosed</t>
        </is>
      </c>
      <c r="AR227" s="145" t="n"/>
      <c r="AS227" s="145" t="n"/>
      <c r="AT227" s="149" t="inlineStr">
        <is>
          <t>Not disclosed</t>
        </is>
      </c>
      <c r="AU227" s="149" t="inlineStr">
        <is>
          <t>Not disclosed</t>
        </is>
      </c>
      <c r="AV227" s="145" t="inlineStr">
        <is>
          <t>Manufacturer app and/or SDK</t>
        </is>
      </c>
      <c r="AW227" s="149" t="inlineStr">
        <is>
          <t>Bipedal balance and walking controllers</t>
        </is>
      </c>
      <c r="AX227" s="145" t="n"/>
      <c r="AY227" s="149" t="inlineStr">
        <is>
          <t>Not disclosed</t>
        </is>
      </c>
      <c r="AZ227" s="149" t="inlineStr">
        <is>
          <t>Not disclosed</t>
        </is>
      </c>
      <c r="BA227" s="149" t="n"/>
      <c r="BB227" s="149" t="inlineStr">
        <is>
          <t>Not disclosed</t>
        </is>
      </c>
      <c r="BC227" s="149" t="inlineStr">
        <is>
          <t>Not disclosed</t>
        </is>
      </c>
      <c r="BD227" s="145" t="inlineStr">
        <is>
          <t>Not disclosed</t>
        </is>
      </c>
      <c r="BE227" s="145" t="inlineStr">
        <is>
          <t>Not disclosed</t>
        </is>
      </c>
      <c r="BF227" s="145" t="n"/>
      <c r="BG227" s="145" t="n"/>
      <c r="BH227" s="145" t="n"/>
      <c r="BI227" s="145" t="n"/>
      <c r="BJ227" s="145" t="n"/>
      <c r="BK227" s="145" t="n"/>
      <c r="BL227" s="145" t="n"/>
      <c r="BM227" s="145" t="inlineStr">
        <is>
          <t>Not disclosed</t>
        </is>
      </c>
      <c r="BN227" s="145" t="inlineStr">
        <is>
          <t>Not disclosed</t>
        </is>
      </c>
      <c r="BO227" s="149" t="inlineStr">
        <is>
          <t>Market: Service / Security / Guide / Household assistant · The Dyno is a bipedal humanoid robot from VinDynamics, associated with development and availability timelines around 2025.</t>
        </is>
      </c>
      <c r="BP227" s="145" t="n"/>
      <c r="BQ227" s="149" t="inlineStr">
        <is>
          <t>Service / Security / Guide / Household assistant</t>
        </is>
      </c>
      <c r="BR227" s="149" t="inlineStr">
        <is>
          <t>Prototype / Global debut</t>
        </is>
      </c>
      <c r="BS227" s="149" t="n"/>
      <c r="BT227" s="145" t="n"/>
      <c r="BU227" s="145" t="n"/>
      <c r="BV227" s="149" t="inlineStr">
        <is>
          <t>Completes Vingroup three-pillar; Schaeffler &amp; Skild AI partnerships</t>
        </is>
      </c>
      <c r="BW227" s="149" t="inlineStr">
        <is>
          <t>Origin &amp; status — Vietnam · Prototype / Global debut · 2025 | Manipulation — Grippers or dexterous hands depending on configuration | Sensing &amp; software — RGB and/or depth cameras for navigation and manipulation (configuration specific) · Manufacturer app and/or SDK | Buying notes — From $50,000 · 12 months manufacturer standard (typical research/commercial humanoid) · Best fit: Service</t>
        </is>
      </c>
      <c r="BX227" s="149" t="inlineStr">
        <is>
          <t>as_shipped|Dyno|50000|As shipped</t>
        </is>
      </c>
      <c r="BY227" s="145" t="inlineStr">
        <is>
          <t>dyno|Manufacturer finish|#e2e8f0|0</t>
        </is>
      </c>
      <c r="BZ227" s="145" t="inlineStr"/>
      <c r="CA227" s="149" t="inlineStr">
        <is>
          <t>Add-ons: case; 2 color options; Multi-year extended warranty available</t>
        </is>
      </c>
      <c r="CB227" s="149" t="inlineStr">
        <is>
          <t>12 months manufacturer standard (typical research/commercial humanoid)</t>
        </is>
      </c>
      <c r="CC227" s="147" t="n">
        <v>12</v>
      </c>
      <c r="CD227" s="149" t="inlineStr">
        <is>
          <t>+3 Year Extended ≈24% of configuration (default in configurator)</t>
        </is>
      </c>
      <c r="CE227" s="145" t="inlineStr">
        <is>
          <t>Humanoid category norm 2025–2026</t>
        </is>
      </c>
      <c r="CF227" s="145" t="inlineStr">
        <is>
          <t>Estimated</t>
        </is>
      </c>
      <c r="CG227" s="149" t="inlineStr">
        <is>
          <t>EDU or enterprise packages may differ; confirm on formal quote.</t>
        </is>
      </c>
      <c r="CH227" s="145" t="inlineStr">
        <is>
          <t>10%</t>
        </is>
      </c>
      <c r="CI227" s="145" t="inlineStr">
        <is>
          <t>17%</t>
        </is>
      </c>
      <c r="CJ227" s="145" t="inlineStr">
        <is>
          <t>24%</t>
        </is>
      </c>
      <c r="CK227"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27"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27" s="145" t="inlineStr">
        <is>
          <t>12 months manufacturer standard (typical research/commercial humanoid)</t>
        </is>
      </c>
      <c r="CN227" s="203" t="inlineStr">
        <is>
          <t>https://aixzd.com/robot/dyno</t>
        </is>
      </c>
      <c r="CQ227" s="101" t="inlineStr">
        <is>
          <t>Height: Not disclosed | Weight: Not disclosed | Degrees of Freedom: Not disclosed | Payload: Not disclosed | Max Speed: Not disclosed | Battery / Runtime: Not disclosed</t>
        </is>
      </c>
    </row>
    <row r="228" ht="31.5" customHeight="1" s="102">
      <c r="A228" s="159" t="inlineStr">
        <is>
          <t>vinmotion_vingroup_motion_series</t>
        </is>
      </c>
      <c r="B228" s="144" t="inlineStr">
        <is>
          <t>Both</t>
        </is>
      </c>
      <c r="C228" s="152" t="inlineStr">
        <is>
          <t>VinMotion</t>
        </is>
      </c>
      <c r="D228" s="152" t="inlineStr">
        <is>
          <t>Motion 2</t>
        </is>
      </c>
      <c r="E228" s="152" t="inlineStr">
        <is>
          <t>[VinMotion] Motion Series (2025)</t>
        </is>
      </c>
      <c r="F228" s="146" t="inlineStr">
        <is>
          <t>humanoid</t>
        </is>
      </c>
      <c r="G228" s="152" t="inlineStr">
        <is>
          <t>Vietnam</t>
        </is>
      </c>
      <c r="H228" s="154" t="n">
        <v>2025</v>
      </c>
      <c r="I228" s="155" t="n">
        <v>50000</v>
      </c>
      <c r="J228" s="152" t="inlineStr">
        <is>
          <t>Website store</t>
        </is>
      </c>
      <c r="K228" s="156" t="inlineStr">
        <is>
          <t>Motion 2 is a humanoid robot by VinMotion designed for stable movement, safe interaction, and embodied AI research in structured indoor environments.</t>
        </is>
      </c>
      <c r="L228" s="101" t="inlineStr">
        <is>
          <t>Motion 2 is a humanoid robot by VinMotion designed for stable movement, safe interaction, and embodied AI research in structured indoor environments.</t>
        </is>
      </c>
      <c r="M228" s="101" t="inlineStr">
        <is>
          <t>Motion Series is VinMotion's humanoid, introduced around 2025 in Vietnam. Motion 2 is a humanoid robot by VinMotion designed for stable movement, safe interaction, and embodied AI research in structured indoor environments. Public status is listed as development / USA entity $12.75M, and it is positioned for household / Service / Daily-life.</t>
        </is>
      </c>
      <c r="N228" s="157" t="inlineStr">
        <is>
          <t>https://humanoid.guide/product/motion-2/</t>
        </is>
      </c>
      <c r="O228" s="157" t="inlineStr">
        <is>
          <t>https://vinmotion.ai</t>
        </is>
      </c>
      <c r="P228" s="152" t="inlineStr">
        <is>
          <t>5 ft 3 in</t>
        </is>
      </c>
      <c r="Q228" s="152" t="n">
        <v>160</v>
      </c>
      <c r="R228" s="152" t="n">
        <v>132.3</v>
      </c>
      <c r="S228" s="152" t="n">
        <v>60</v>
      </c>
      <c r="T228" s="156" t="inlineStr">
        <is>
          <t>Not disclosed</t>
        </is>
      </c>
      <c r="U228" s="152" t="n"/>
      <c r="V228" s="152" t="inlineStr">
        <is>
          <t>~32–40</t>
        </is>
      </c>
      <c r="W228" s="156" t="inlineStr">
        <is>
          <t>~10–14</t>
        </is>
      </c>
      <c r="X228" s="152" t="n">
        <v>22</v>
      </c>
      <c r="Y228" s="152" t="n">
        <v>10</v>
      </c>
      <c r="Z228" s="152" t="n">
        <v>2.49</v>
      </c>
      <c r="AA228" s="152" t="n">
        <v>4</v>
      </c>
      <c r="AB228" s="152" t="n">
        <v>3.2</v>
      </c>
      <c r="AC228" s="156" t="inlineStr">
        <is>
          <t>≈ 4 hours</t>
        </is>
      </c>
      <c r="AD228" s="156" t="inlineStr">
        <is>
          <t>4</t>
        </is>
      </c>
      <c r="AE228" s="152" t="n"/>
      <c r="AF228" s="152" t="inlineStr">
        <is>
          <t>Not disclosed</t>
        </is>
      </c>
      <c r="AG228" s="156" t="inlineStr">
        <is>
          <t>Grippers or dexterous hands depending on configuration</t>
        </is>
      </c>
      <c r="AH228" s="152" t="inlineStr">
        <is>
          <t>5 per hand</t>
        </is>
      </c>
      <c r="AI228" s="152" t="n"/>
      <c r="AJ228" s="156" t="inlineStr">
        <is>
          <t>RGB and/or depth cameras for navigation and manipulation (configuration specific)</t>
        </is>
      </c>
      <c r="AK228" s="156" t="inlineStr">
        <is>
          <t>Dual 1080p depth + RGB</t>
        </is>
      </c>
      <c r="AL228" s="152" t="inlineStr">
        <is>
          <t>Onboard streams for teleoperation and logging when equipped</t>
        </is>
      </c>
      <c r="AM228" s="152" t="n"/>
      <c r="AN228" s="152" t="inlineStr">
        <is>
          <t>Not disclosed</t>
        </is>
      </c>
      <c r="AO228" s="152" t="inlineStr">
        <is>
          <t>Microphone array on interaction-oriented builds</t>
        </is>
      </c>
      <c r="AP228" s="152" t="inlineStr">
        <is>
          <t>Not disclosed</t>
        </is>
      </c>
      <c r="AQ228" s="152" t="inlineStr">
        <is>
          <t>Not disclosed</t>
        </is>
      </c>
      <c r="AR228" s="152" t="n"/>
      <c r="AS228" s="152" t="n"/>
      <c r="AT228" s="156" t="inlineStr">
        <is>
          <t>Embedded CPU + edge AI accelerator (assumed)</t>
        </is>
      </c>
      <c r="AU228" s="156" t="inlineStr">
        <is>
          <t>Ethernet; USB; Wi‑Fi</t>
        </is>
      </c>
      <c r="AV228" s="152" t="inlineStr">
        <is>
          <t>Manufacturer app and/or SDK</t>
        </is>
      </c>
      <c r="AW228" s="156" t="inlineStr">
        <is>
          <t>Bipedal balance and walking controllers</t>
        </is>
      </c>
      <c r="AX228" s="152" t="n"/>
      <c r="AY228" s="156" t="inlineStr">
        <is>
          <t>Linux-based robotics OS</t>
        </is>
      </c>
      <c r="AZ228" s="156" t="inlineStr">
        <is>
          <t>Possible via external system integration</t>
        </is>
      </c>
      <c r="BA228" s="156" t="n"/>
      <c r="BB228" s="156" t="inlineStr">
        <is>
          <t>Electric servo actuators</t>
        </is>
      </c>
      <c r="BC228" s="156" t="inlineStr">
        <is>
          <t>Harmonic / planetary gear drives</t>
        </is>
      </c>
      <c r="BD228" s="152" t="inlineStr">
        <is>
          <t>Aluminum + plastic composites</t>
        </is>
      </c>
      <c r="BE228" s="152" t="inlineStr">
        <is>
          <t>IP20</t>
        </is>
      </c>
      <c r="BF228" s="152" t="inlineStr">
        <is>
          <t>IP20</t>
        </is>
      </c>
      <c r="BG228" s="152" t="n"/>
      <c r="BH228" s="152" t="n"/>
      <c r="BI228" s="152" t="n"/>
      <c r="BJ228" s="152" t="n"/>
      <c r="BK228" s="152" t="n"/>
      <c r="BL228" s="152" t="n"/>
      <c r="BM228" s="152" t="inlineStr">
        <is>
          <t>Yes</t>
        </is>
      </c>
      <c r="BN228" s="152" t="inlineStr">
        <is>
          <t>Not disclosed</t>
        </is>
      </c>
      <c r="BO228" s="156" t="inlineStr">
        <is>
          <t>Market: Household / Service / Daily-life · Human-safe: Yes · AI: Possible via external system integration · Actuation: Electric servo actuators · Peak 4 km/h · Walk 3.2 km/h · Runtime 4</t>
        </is>
      </c>
      <c r="BP228" s="152" t="n"/>
      <c r="BQ228" s="156" t="inlineStr">
        <is>
          <t>Household / Service / Daily-life</t>
        </is>
      </c>
      <c r="BR228" s="156" t="inlineStr">
        <is>
          <t>Development / USA entity $12.75M</t>
        </is>
      </c>
      <c r="BS228" s="156" t="inlineStr">
        <is>
          <t>Prototype</t>
        </is>
      </c>
      <c r="BT228" s="152" t="inlineStr">
        <is>
          <t>Black; Blue; Green; Grey; Purple; Silver</t>
        </is>
      </c>
      <c r="BU228" s="152" t="inlineStr">
        <is>
          <t>Not verified</t>
        </is>
      </c>
      <c r="BV228" s="156" t="inlineStr">
        <is>
          <t>General-purpose multi-functional; Qualcomm collab Humanoid.guide listed price $75,000.</t>
        </is>
      </c>
      <c r="BW228" s="156" t="inlineStr">
        <is>
          <t>Origin &amp; status — Vietnam · Development / USA entity $12.75M · 2025 | Manipulation — Grippers or dexterous hands depending on configuration · 5 per hand fingers · Hand DOF ~10–14 · Payload 22 lb (10 kg) | Sensing &amp; software — RGB and/or depth cameras for navigation and manipulation (configuration specific) · Possible via external system integration · Linux-based robotics OS · Man… | Buying notes — From $50,000 · 12 months manufacturer standard (typical research/commercial humanoid) · Best fit: Household</t>
        </is>
      </c>
      <c r="BX228" s="156" t="inlineStr">
        <is>
          <t>as_shipped|Motion Series|50000|As shipped</t>
        </is>
      </c>
      <c r="BY228" s="152" t="inlineStr">
        <is>
          <t>black|Black|#111111|0 || blue|Blue|#2563eb|0 || green|Green|#e2e8f0|0 || grey|Grey|#9ca3af|0 || purple|Purple|#e2e8f0|0 || silver|Silver|#c0c4ce|0</t>
        </is>
      </c>
      <c r="BZ228" s="152" t="inlineStr"/>
      <c r="CA228" s="156" t="inlineStr">
        <is>
          <t>Add-ons: case; 2 color options; Multi-year extended warranty available</t>
        </is>
      </c>
      <c r="CB228" s="156" t="inlineStr">
        <is>
          <t>12 months manufacturer standard (typical research/commercial humanoid)</t>
        </is>
      </c>
      <c r="CC228" s="154" t="n">
        <v>12</v>
      </c>
      <c r="CD228" s="156" t="inlineStr">
        <is>
          <t>+3 Year Extended ≈24% of configuration (default in configurator)</t>
        </is>
      </c>
      <c r="CE228" s="152" t="inlineStr">
        <is>
          <t>Humanoid category norm 2025–2026</t>
        </is>
      </c>
      <c r="CF228" s="152" t="inlineStr">
        <is>
          <t>Estimated</t>
        </is>
      </c>
      <c r="CG228" s="156" t="inlineStr">
        <is>
          <t>EDU or enterprise packages may differ; confirm on formal quote.</t>
        </is>
      </c>
      <c r="CH228" s="152" t="inlineStr">
        <is>
          <t>10%</t>
        </is>
      </c>
      <c r="CI228" s="152" t="inlineStr">
        <is>
          <t>17%</t>
        </is>
      </c>
      <c r="CJ228" s="152" t="inlineStr">
        <is>
          <t>24%</t>
        </is>
      </c>
      <c r="CK228"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28"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28" s="152" t="inlineStr">
        <is>
          <t>12 months manufacturer standard (typical research/commercial humanoid)</t>
        </is>
      </c>
      <c r="CN228" s="203" t="inlineStr">
        <is>
          <t>https://aixzd.com/robot/motion-2</t>
        </is>
      </c>
      <c r="CQ228" s="101" t="inlineStr">
        <is>
          <t>Height: 5 ft 3 in | Weight: 132.3 | Degrees of Freedom: ~32–40 | Payload: 22 | Max Speed: 2.49 | Battery / Runtime: ≈ 4 hours</t>
        </is>
      </c>
    </row>
    <row r="229" ht="31.5" customHeight="1" s="102">
      <c r="A229" s="143" t="inlineStr">
        <is>
          <t>vinrobotics_vingroup_vr_h3</t>
        </is>
      </c>
      <c r="B229" s="160" t="inlineStr">
        <is>
          <t>Website</t>
        </is>
      </c>
      <c r="C229" s="145" t="inlineStr">
        <is>
          <t>VinRobotics</t>
        </is>
      </c>
      <c r="D229" s="145" t="inlineStr">
        <is>
          <t>VR-H3</t>
        </is>
      </c>
      <c r="E229" s="145" t="inlineStr">
        <is>
          <t>[VinRobotics] VR-H3 (2024)</t>
        </is>
      </c>
      <c r="F229" s="146" t="inlineStr">
        <is>
          <t>humanoid</t>
        </is>
      </c>
      <c r="G229" s="145" t="inlineStr">
        <is>
          <t>Vietnam</t>
        </is>
      </c>
      <c r="H229" s="147" t="n">
        <v>2024</v>
      </c>
      <c r="I229" s="148" t="n">
        <v>50000</v>
      </c>
      <c r="J229" s="145" t="inlineStr">
        <is>
          <t>Website store</t>
        </is>
      </c>
      <c r="K229" s="149" t="inlineStr">
        <is>
          <t>VR-H3 is VinRobotics's humanoid — — (industrial form) class, 31+ actuators DOF, 6–8 lb payload. Grippers or dexterous hands depending on configuration; RGB and/or depth cameras for navigation and manipulation (configuration specific).</t>
        </is>
      </c>
      <c r="L229" s="101" t="inlineStr">
        <is>
          <t>VR-H3 is VinRobotics's humanoid — — (industrial form) class, 31+ actuators DOF, 6–8 lb payload. Grippers or dexterous hands depending on configuration; RGB and/or depth cameras for navigation and manipulation (configuration specific).</t>
        </is>
      </c>
      <c r="M229" s="101" t="inlineStr">
        <is>
          <t>VR-H3 is VinRobotics's humanoid — — (industrial form) class, 31+ actuators DOF, 6–8 lb payload. Grippers or dexterous hands depending on configuration; RGB and/or depth cameras for navigation and manipulation (configuration specific). Public status is listed as prototype / Global demos (ICRA, COMPUTEX 2026), and it is positioned for industrial / Operational / Assembly.</t>
        </is>
      </c>
      <c r="N229" s="145" t="n"/>
      <c r="O229" s="145" t="inlineStr">
        <is>
          <t>https://vinrobotics.net</t>
        </is>
      </c>
      <c r="P229" s="145" t="inlineStr">
        <is>
          <t>— (industrial form)</t>
        </is>
      </c>
      <c r="Q229" s="145" t="n"/>
      <c r="R229" s="145" t="n"/>
      <c r="S229" s="145" t="n"/>
      <c r="T229" s="149" t="inlineStr">
        <is>
          <t>Not disclosed</t>
        </is>
      </c>
      <c r="U229" s="145" t="n"/>
      <c r="V229" s="145" t="inlineStr">
        <is>
          <t>31+ actuators</t>
        </is>
      </c>
      <c r="W229" s="149" t="inlineStr">
        <is>
          <t>Not disclosed</t>
        </is>
      </c>
      <c r="X229" s="145" t="inlineStr">
        <is>
          <t>6–8 lb</t>
        </is>
      </c>
      <c r="Y229" s="145" t="n"/>
      <c r="Z229" s="145" t="n"/>
      <c r="AA229" s="145" t="n"/>
      <c r="AB229" s="145" t="n"/>
      <c r="AC229" s="149" t="inlineStr">
        <is>
          <t>Not disclosed</t>
        </is>
      </c>
      <c r="AD229" s="149" t="n"/>
      <c r="AE229" s="145" t="n"/>
      <c r="AF229" s="145" t="inlineStr">
        <is>
          <t>Not disclosed</t>
        </is>
      </c>
      <c r="AG229" s="149" t="inlineStr">
        <is>
          <t>Grippers or dexterous hands depending on configuration</t>
        </is>
      </c>
      <c r="AH229" s="145" t="inlineStr">
        <is>
          <t>Not disclosed</t>
        </is>
      </c>
      <c r="AI229" s="145" t="n"/>
      <c r="AJ229" s="149" t="inlineStr">
        <is>
          <t>RGB and/or depth cameras for navigation and manipulation (configuration specific)</t>
        </is>
      </c>
      <c r="AK229" s="149" t="n"/>
      <c r="AL229" s="145" t="inlineStr">
        <is>
          <t>Onboard streams for teleoperation and logging when equipped</t>
        </is>
      </c>
      <c r="AM229" s="145" t="n"/>
      <c r="AN229" s="145" t="inlineStr">
        <is>
          <t>Not disclosed</t>
        </is>
      </c>
      <c r="AO229" s="145" t="inlineStr">
        <is>
          <t>Microphone array on interaction-oriented builds</t>
        </is>
      </c>
      <c r="AP229" s="145" t="inlineStr">
        <is>
          <t>Not disclosed</t>
        </is>
      </c>
      <c r="AQ229" s="145" t="inlineStr">
        <is>
          <t>Not disclosed</t>
        </is>
      </c>
      <c r="AR229" s="145" t="n"/>
      <c r="AS229" s="145" t="n"/>
      <c r="AT229" s="149" t="inlineStr">
        <is>
          <t>Not disclosed</t>
        </is>
      </c>
      <c r="AU229" s="149" t="inlineStr">
        <is>
          <t>Not disclosed</t>
        </is>
      </c>
      <c r="AV229" s="145" t="inlineStr">
        <is>
          <t>Manufacturer app and/or SDK</t>
        </is>
      </c>
      <c r="AW229" s="149" t="inlineStr">
        <is>
          <t>Bipedal balance and walking controllers</t>
        </is>
      </c>
      <c r="AX229" s="145" t="n"/>
      <c r="AY229" s="149" t="inlineStr">
        <is>
          <t>Not disclosed</t>
        </is>
      </c>
      <c r="AZ229" s="149" t="inlineStr">
        <is>
          <t>Not disclosed</t>
        </is>
      </c>
      <c r="BA229" s="149" t="n"/>
      <c r="BB229" s="149" t="inlineStr">
        <is>
          <t>Not disclosed</t>
        </is>
      </c>
      <c r="BC229" s="149" t="inlineStr">
        <is>
          <t>Not disclosed</t>
        </is>
      </c>
      <c r="BD229" s="145" t="inlineStr">
        <is>
          <t>Not disclosed</t>
        </is>
      </c>
      <c r="BE229" s="145" t="inlineStr">
        <is>
          <t>Not disclosed</t>
        </is>
      </c>
      <c r="BF229" s="145" t="n"/>
      <c r="BG229" s="145" t="n"/>
      <c r="BH229" s="145" t="n"/>
      <c r="BI229" s="145" t="n"/>
      <c r="BJ229" s="145" t="n"/>
      <c r="BK229" s="145" t="n"/>
      <c r="BL229" s="145" t="n"/>
      <c r="BM229" s="145" t="inlineStr">
        <is>
          <t>Not disclosed</t>
        </is>
      </c>
      <c r="BN229" s="145" t="inlineStr">
        <is>
          <t>Not disclosed</t>
        </is>
      </c>
      <c r="BO229" s="149" t="inlineStr">
        <is>
          <t>Market: Industrial / Operational / Assembly · The VR-H3 is a bipedal humanoid robot from VinRobotics, associated with development and availability timelines around 2024.</t>
        </is>
      </c>
      <c r="BP229" s="145" t="n"/>
      <c r="BQ229" s="149" t="inlineStr">
        <is>
          <t>Industrial / Operational / Assembly</t>
        </is>
      </c>
      <c r="BR229" s="149" t="inlineStr">
        <is>
          <t>Prototype / Global demos (ICRA, COMPUTEX 2026)</t>
        </is>
      </c>
      <c r="BS229" s="149" t="n"/>
      <c r="BT229" s="145" t="n"/>
      <c r="BU229" s="145" t="n"/>
      <c r="BV229" s="149" t="inlineStr">
        <is>
          <t>In-house core tech claim &gt;90%; VinFast factory contracts; Infineon partnership</t>
        </is>
      </c>
      <c r="BW229" s="149" t="inlineStr">
        <is>
          <t>Origin &amp; status — Vietnam · Prototype / Global demos (ICRA, COMPUTEX 2026) · 2024 | Manipulation — Grippers or dexterous hands depending on configuration · Payload 6–8 lb | Sensing &amp; software — RGB and/or depth cameras for navigation and manipulation (configuration specific) · Manufacturer app and/or SDK | Buying notes — From $50,000 · 12 months manufacturer standard (typical research/commercial humanoid) · Best fit: Industrial</t>
        </is>
      </c>
      <c r="BX229" s="149" t="inlineStr">
        <is>
          <t>as_shipped|VR-H3|50000|As shipped</t>
        </is>
      </c>
      <c r="BY229" s="145" t="inlineStr">
        <is>
          <t>vr_h3|Manufacturer finish|#e2e8f0|0</t>
        </is>
      </c>
      <c r="BZ229" s="145" t="inlineStr"/>
      <c r="CA229" s="149" t="inlineStr">
        <is>
          <t>Add-ons: case; 2 color options; Multi-year extended warranty available</t>
        </is>
      </c>
      <c r="CB229" s="149" t="inlineStr">
        <is>
          <t>12 months manufacturer standard (typical research/commercial humanoid)</t>
        </is>
      </c>
      <c r="CC229" s="147" t="n">
        <v>12</v>
      </c>
      <c r="CD229" s="149" t="inlineStr">
        <is>
          <t>+3 Year Extended ≈24% of configuration (default in configurator)</t>
        </is>
      </c>
      <c r="CE229" s="145" t="inlineStr">
        <is>
          <t>Humanoid category norm 2025–2026</t>
        </is>
      </c>
      <c r="CF229" s="145" t="inlineStr">
        <is>
          <t>Estimated</t>
        </is>
      </c>
      <c r="CG229" s="149" t="inlineStr">
        <is>
          <t>EDU or enterprise packages may differ; confirm on formal quote.</t>
        </is>
      </c>
      <c r="CH229" s="145" t="inlineStr">
        <is>
          <t>10%</t>
        </is>
      </c>
      <c r="CI229" s="145" t="inlineStr">
        <is>
          <t>17%</t>
        </is>
      </c>
      <c r="CJ229" s="145" t="inlineStr">
        <is>
          <t>24%</t>
        </is>
      </c>
      <c r="CK22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2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29" s="145" t="inlineStr">
        <is>
          <t>12 months manufacturer standard (typical research/commercial humanoid)</t>
        </is>
      </c>
      <c r="CN229" s="203" t="inlineStr">
        <is>
          <t>https://aixzd.com/robot/vr-h3</t>
        </is>
      </c>
      <c r="CQ229" s="101" t="inlineStr">
        <is>
          <t>Height: — (industrial form) | Weight: Not disclosed | Degrees of Freedom: 31+ actuators | Payload: 6–8 lb | Max Speed: Not disclosed | Battery / Runtime: Not disclosed</t>
        </is>
      </c>
    </row>
    <row r="230" ht="31.5" customHeight="1" s="102">
      <c r="A230" s="152" t="inlineStr">
        <is>
          <t>wandercraft_calvin_40</t>
        </is>
      </c>
      <c r="B230" s="153" t="inlineStr">
        <is>
          <t>Humanoid.guide</t>
        </is>
      </c>
      <c r="C230" s="152" t="inlineStr">
        <is>
          <t>Wandercraft</t>
        </is>
      </c>
      <c r="D230" s="152" t="inlineStr">
        <is>
          <t>CALVIN-40</t>
        </is>
      </c>
      <c r="E230" s="152" t="inlineStr">
        <is>
          <t>[Wandercraft] CALVIN-40 (2026)</t>
        </is>
      </c>
      <c r="F230" s="146" t="inlineStr">
        <is>
          <t>humanoid</t>
        </is>
      </c>
      <c r="G230" s="152" t="inlineStr">
        <is>
          <t>France</t>
        </is>
      </c>
      <c r="H230" s="152" t="n"/>
      <c r="I230" s="155" t="n">
        <v>65000</v>
      </c>
      <c r="J230" s="152" t="inlineStr">
        <is>
          <t>Humanoid.guide list</t>
        </is>
      </c>
      <c r="K230" s="156" t="inlineStr">
        <is>
          <t>Calvin-40 is Wandercraft’s first industrial humanoid robot — a headless, voice-operated bipedal machine designed for heavy, physically demanding factory tasks.</t>
        </is>
      </c>
      <c r="L230" s="101" t="inlineStr">
        <is>
          <t>Calvin-40 is Wandercraft’s first industrial humanoid robot — a headless, voice-operated bipedal machine designed for heavy, physically demanding factory tasks.</t>
        </is>
      </c>
      <c r="M230" s="101" t="inlineStr">
        <is>
          <t>Calvin-40 is Wandercraft’s first industrial humanoid robot — a headless, voice-operated bipedal machine designed for heavy, physically demanding factory tasks. Public status is listed as limited production / pilot deployments, and it is positioned for heavy logistics within factories; Industrial Manufacturing.</t>
        </is>
      </c>
      <c r="N230" s="157" t="inlineStr">
        <is>
          <t>https://humanoid.guide/product/calvin-40/</t>
        </is>
      </c>
      <c r="O230" s="157" t="inlineStr">
        <is>
          <t>https://www.wandercraft.eu</t>
        </is>
      </c>
      <c r="P230" s="152" t="inlineStr">
        <is>
          <t>5 ft 7 in</t>
        </is>
      </c>
      <c r="Q230" s="152" t="n">
        <v>170</v>
      </c>
      <c r="R230" s="152" t="n">
        <v>176.4</v>
      </c>
      <c r="S230" s="152" t="n">
        <v>80</v>
      </c>
      <c r="T230" s="156" t="inlineStr">
        <is>
          <t>Not disclosed</t>
        </is>
      </c>
      <c r="U230" s="152" t="n"/>
      <c r="V230" s="152" t="inlineStr">
        <is>
          <t>28</t>
        </is>
      </c>
      <c r="W230" s="156" t="inlineStr">
        <is>
          <t>10</t>
        </is>
      </c>
      <c r="X230" s="152" t="n">
        <v>88.2</v>
      </c>
      <c r="Y230" s="152" t="n">
        <v>40</v>
      </c>
      <c r="Z230" s="152" t="n">
        <v>1.86</v>
      </c>
      <c r="AA230" s="152" t="n">
        <v>3</v>
      </c>
      <c r="AB230" s="152" t="n">
        <v>3</v>
      </c>
      <c r="AC230" s="156" t="inlineStr">
        <is>
          <t>≈ 4 hours</t>
        </is>
      </c>
      <c r="AD230" s="156" t="inlineStr">
        <is>
          <t>4</t>
        </is>
      </c>
      <c r="AE230" s="152" t="n"/>
      <c r="AF230" s="152" t="inlineStr">
        <is>
          <t>Not disclosed</t>
        </is>
      </c>
      <c r="AG230" s="156" t="inlineStr">
        <is>
          <t>0</t>
        </is>
      </c>
      <c r="AH230" s="152" t="inlineStr">
        <is>
          <t>0</t>
        </is>
      </c>
      <c r="AI230" s="152" t="n"/>
      <c r="AJ230" s="156" t="inlineStr">
        <is>
          <t>HD / 4K-class day/night cameras (waist-mounted)</t>
        </is>
      </c>
      <c r="AK230" s="156" t="inlineStr">
        <is>
          <t>HD / 4K-class day/night cameras (waist-mounted)</t>
        </is>
      </c>
      <c r="AL230" s="152" t="inlineStr">
        <is>
          <t>Not disclosed</t>
        </is>
      </c>
      <c r="AM230" s="152" t="n"/>
      <c r="AN230" s="152" t="inlineStr">
        <is>
          <t>Not disclosed</t>
        </is>
      </c>
      <c r="AO230" s="152" t="inlineStr">
        <is>
          <t>Not disclosed</t>
        </is>
      </c>
      <c r="AP230" s="152" t="inlineStr">
        <is>
          <t>Not disclosed</t>
        </is>
      </c>
      <c r="AQ230" s="152" t="inlineStr">
        <is>
          <t>Not disclosed</t>
        </is>
      </c>
      <c r="AR230" s="152" t="n"/>
      <c r="AS230" s="152" t="n"/>
      <c r="AT230" s="156" t="inlineStr">
        <is>
          <t>NVIDIA Jetson edge AI compute, paired with the NVIDIA Isaac robotics platform</t>
        </is>
      </c>
      <c r="AU230" s="156" t="inlineStr">
        <is>
          <t>Voice command interface; Wi-Fi / Ethernet for fleet management</t>
        </is>
      </c>
      <c r="AV230" s="152" t="inlineStr">
        <is>
          <t>Not disclosed</t>
        </is>
      </c>
      <c r="AW230" s="156" t="inlineStr">
        <is>
          <t>Not disclosed</t>
        </is>
      </c>
      <c r="AX230" s="152" t="n"/>
      <c r="AY230" s="156" t="inlineStr">
        <is>
          <t>Linux-based real-time stack with ROS 2</t>
        </is>
      </c>
      <c r="AZ230" s="156" t="inlineStr">
        <is>
          <t>Yes / Visual Language Model (VLM) reasoning for task interpretation and autonomous operation</t>
        </is>
      </c>
      <c r="BA230" s="156" t="n"/>
      <c r="BB230" s="156" t="inlineStr">
        <is>
          <t>Brushless servo actuators inherited from Wandercraft's Atalante medical-exoskeleton platform</t>
        </is>
      </c>
      <c r="BC230" s="156" t="inlineStr">
        <is>
          <t>Harmonic / Cycloidal reducers; Rolling contact joint + cable transmission</t>
        </is>
      </c>
      <c r="BD230" s="152" t="inlineStr">
        <is>
          <t>Aluminum alloy with composite covers</t>
        </is>
      </c>
      <c r="BE230" s="152" t="inlineStr">
        <is>
          <t>IP54</t>
        </is>
      </c>
      <c r="BF230" s="152" t="inlineStr">
        <is>
          <t>IP54</t>
        </is>
      </c>
      <c r="BG230" s="152" t="n"/>
      <c r="BH230" s="152" t="n"/>
      <c r="BI230" s="152" t="n"/>
      <c r="BJ230" s="152" t="n"/>
      <c r="BK230" s="152" t="n"/>
      <c r="BL230" s="152" t="n"/>
      <c r="BM230" s="152" t="inlineStr">
        <is>
          <t>Yes</t>
        </is>
      </c>
      <c r="BN230" s="152" t="inlineStr">
        <is>
          <t>Not disclosed</t>
        </is>
      </c>
      <c r="BO230" s="156" t="inlineStr">
        <is>
          <t>Market: heavy logistics within factories; Industrial Manufacturing · Human-safe: Yes · AI: Yes / Visual Language Model (VLM) reasoning for task interpretation and autonomous operation · Actuation: Brushless servo actuators inherited from Wandercraft's Atalante medical-exoskeleton platform · Peak 3 km/h · Walk 3 km/h · Runtime 4</t>
        </is>
      </c>
      <c r="BP230" s="152" t="n"/>
      <c r="BQ230" s="156" t="inlineStr">
        <is>
          <t>heavy logistics within factories; Industrial Manufacturing</t>
        </is>
      </c>
      <c r="BR230" s="156" t="inlineStr">
        <is>
          <t>Limited production / pilot deployments</t>
        </is>
      </c>
      <c r="BS230" s="156" t="inlineStr">
        <is>
          <t>Limited production / pilot deployments</t>
        </is>
      </c>
      <c r="BT230" s="152" t="n"/>
      <c r="BU230" s="152" t="n"/>
      <c r="BV230" s="156" t="n"/>
      <c r="BW230" s="156" t="inlineStr">
        <is>
          <t>Origin &amp; status — France · Limited production / pilot deployments · 2026 | Manipulation — 0 · 0 fingers · Hand DOF 10 · Payload 88.2 lb | Sensing &amp; software — HD / 4K-class day/night cameras (waist-mounted) · Yes / Visual Language Model (VLM) reasoning for task interpretation and autonomous operation · Linux-based… | Buying notes — From $65,000 · 12 months manufacturer standard (typical research/commercial humanoid) · Best fit: heavy logistics within factories</t>
        </is>
      </c>
      <c r="BX230" s="156" t="inlineStr">
        <is>
          <t>as_shipped|CALVIN-40|65000|As shipped</t>
        </is>
      </c>
      <c r="BY230" s="152" t="inlineStr">
        <is>
          <t>calvin_40|Manufacturer finish|#e2e8f0|0</t>
        </is>
      </c>
      <c r="BZ230" s="152" t="inlineStr"/>
      <c r="CA230" s="156" t="n"/>
      <c r="CB230" s="156" t="inlineStr">
        <is>
          <t>12 months manufacturer standard (typical research/commercial humanoid)</t>
        </is>
      </c>
      <c r="CC230" s="154" t="n">
        <v>12</v>
      </c>
      <c r="CD230" s="156" t="inlineStr">
        <is>
          <t>+3 Year Extended ≈24% of configuration (default in configurator)</t>
        </is>
      </c>
      <c r="CE230" s="152" t="inlineStr">
        <is>
          <t>Humanoid category norm 2025–2026</t>
        </is>
      </c>
      <c r="CF230" s="152" t="inlineStr">
        <is>
          <t>Estimated</t>
        </is>
      </c>
      <c r="CG230" s="156" t="inlineStr">
        <is>
          <t>Confirm on formal OEM quote. EDU or enterprise packages may differ.</t>
        </is>
      </c>
      <c r="CH230" s="152" t="inlineStr">
        <is>
          <t>10%</t>
        </is>
      </c>
      <c r="CI230" s="152" t="inlineStr">
        <is>
          <t>17%</t>
        </is>
      </c>
      <c r="CJ230" s="152" t="inlineStr">
        <is>
          <t>24%</t>
        </is>
      </c>
      <c r="CK230" s="156" t="inlineStr">
        <is>
          <t>+1yr ≈10% | +2yr ≈17% | +3yr ≈24% of selected configuration price (parts &amp; labor beyond manufacturer standard).</t>
        </is>
      </c>
      <c r="CL230"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30" s="152" t="inlineStr">
        <is>
          <t>12 months manufacturer standard (typical research/commercial humanoid)</t>
        </is>
      </c>
      <c r="CQ230" s="101" t="inlineStr">
        <is>
          <t>Height: 5 ft 7 in | Weight: 176.4 | Degrees of Freedom: 28 | Payload: 88.2 | Max Speed: 1.86 | Battery / Runtime: ≈ 4 hours</t>
        </is>
      </c>
    </row>
    <row r="231" ht="31.5" customHeight="1" s="102">
      <c r="A231" s="143" t="inlineStr">
        <is>
          <t>weave_robotics_inc_isaac_0</t>
        </is>
      </c>
      <c r="B231" s="153" t="inlineStr">
        <is>
          <t>Major-player brief 11 Sep 2026</t>
        </is>
      </c>
      <c r="C231" s="145" t="inlineStr">
        <is>
          <t>Weave Robotics</t>
        </is>
      </c>
      <c r="D231" s="145" t="inlineStr">
        <is>
          <t>Isaac 0</t>
        </is>
      </c>
      <c r="E231" s="145" t="inlineStr">
        <is>
          <t>[Weave Robotics] Isaac 0 (2026)</t>
        </is>
      </c>
      <c r="F231" s="146" t="inlineStr">
        <is>
          <t>humanoid</t>
        </is>
      </c>
      <c r="G231" s="145" t="inlineStr">
        <is>
          <t>USA</t>
        </is>
      </c>
      <c r="H231" s="198" t="n">
        <v>2026</v>
      </c>
      <c r="I231" s="148" t="n">
        <v>7999</v>
      </c>
      <c r="J231" s="145" t="inlineStr">
        <is>
          <t>Humanoid.guide list</t>
        </is>
      </c>
      <c r="K231" s="149" t="inlineStr">
        <is>
          <t>Isaac 0 has a narrower mission: folding laundry from a stationary base. It is already being shipped in limited quantities in California.</t>
        </is>
      </c>
      <c r="L231" s="101" t="inlineStr">
        <is>
          <t>Isaac 0 has a narrower mission: folding laundry from a stationary base. It is already being shipped in limited quantities in California.</t>
        </is>
      </c>
      <c r="M231" s="101" t="inlineStr">
        <is>
          <t>Isaac 0 is Weave Robotics’ narrower product: a stationary laundry-folding robot. Limited quantities have already shipped in California.</t>
        </is>
      </c>
      <c r="N231" s="150" t="inlineStr">
        <is>
          <t>https://humanoid.guide/product/isaac-0/</t>
        </is>
      </c>
      <c r="O231" s="150" t="inlineStr">
        <is>
          <t>https://www.weaverobotics.com</t>
        </is>
      </c>
      <c r="P231" s="145" t="inlineStr">
        <is>
          <t>5 ft 7 in</t>
        </is>
      </c>
      <c r="Q231" s="145" t="n">
        <v>170</v>
      </c>
      <c r="R231" s="145" t="n"/>
      <c r="S231" s="145" t="n"/>
      <c r="T231" s="149" t="inlineStr">
        <is>
          <t>Not disclosed</t>
        </is>
      </c>
      <c r="U231" s="145" t="n"/>
      <c r="V231" s="145" t="inlineStr">
        <is>
          <t>17</t>
        </is>
      </c>
      <c r="W231" s="149" t="inlineStr">
        <is>
          <t>2</t>
        </is>
      </c>
      <c r="X231" s="145" t="n">
        <v>30.9</v>
      </c>
      <c r="Y231" s="145" t="n">
        <v>14</v>
      </c>
      <c r="Z231" s="145" t="n">
        <v>0</v>
      </c>
      <c r="AA231" s="145" t="n">
        <v>0</v>
      </c>
      <c r="AB231" s="145" t="n"/>
      <c r="AC231" s="149" t="inlineStr">
        <is>
          <t>Plug-in device (no battery)</t>
        </is>
      </c>
      <c r="AD231" s="149" t="inlineStr">
        <is>
          <t>Plug-in device (no battery)</t>
        </is>
      </c>
      <c r="AE231" s="145" t="n"/>
      <c r="AF231" s="145" t="inlineStr">
        <is>
          <t>Not disclosed</t>
        </is>
      </c>
      <c r="AG231" s="149" t="inlineStr">
        <is>
          <t>2 total (1 per hand)</t>
        </is>
      </c>
      <c r="AH231" s="145" t="inlineStr">
        <is>
          <t>2 total (1 per hand)</t>
        </is>
      </c>
      <c r="AI231" s="145" t="n"/>
      <c r="AJ231" s="149" t="inlineStr">
        <is>
          <t>Not disclosed</t>
        </is>
      </c>
      <c r="AK231" s="149" t="n"/>
      <c r="AL231" s="145" t="inlineStr">
        <is>
          <t>Not disclosed</t>
        </is>
      </c>
      <c r="AM231" s="145" t="n"/>
      <c r="AN231" s="145" t="inlineStr">
        <is>
          <t>Not disclosed</t>
        </is>
      </c>
      <c r="AO231" s="145" t="inlineStr">
        <is>
          <t>Not disclosed</t>
        </is>
      </c>
      <c r="AP231" s="145" t="inlineStr">
        <is>
          <t>Not disclosed</t>
        </is>
      </c>
      <c r="AQ231" s="145" t="inlineStr">
        <is>
          <t>Not disclosed</t>
        </is>
      </c>
      <c r="AR231" s="145" t="n"/>
      <c r="AS231" s="145" t="n"/>
      <c r="AT231" s="149" t="inlineStr">
        <is>
          <t>Not specified (AI processing onboard + remote compute model updates)</t>
        </is>
      </c>
      <c r="AU231" s="149" t="inlineStr">
        <is>
          <t>Ethernet; Wi‑Fi</t>
        </is>
      </c>
      <c r="AV231" s="145" t="inlineStr">
        <is>
          <t>Not disclosed</t>
        </is>
      </c>
      <c r="AW231" s="149" t="inlineStr">
        <is>
          <t>Not disclosed</t>
        </is>
      </c>
      <c r="AX231" s="145" t="n"/>
      <c r="AY231" s="149" t="inlineStr">
        <is>
          <t>Custom robotics OS + AI models</t>
        </is>
      </c>
      <c r="AZ231" s="149" t="inlineStr">
        <is>
          <t>Not confirmed</t>
        </is>
      </c>
      <c r="BA231" s="149" t="n"/>
      <c r="BB231" s="149" t="inlineStr">
        <is>
          <t>Electric motors (custom robotic arms)</t>
        </is>
      </c>
      <c r="BC231" s="149" t="inlineStr">
        <is>
          <t>Not disclosed</t>
        </is>
      </c>
      <c r="BD231" s="145" t="inlineStr">
        <is>
          <t>Likely metal frame with plastics (not specified)</t>
        </is>
      </c>
      <c r="BE231" s="145" t="inlineStr">
        <is>
          <t>Not disclosed</t>
        </is>
      </c>
      <c r="BF231" s="145" t="n"/>
      <c r="BG231" s="145" t="n"/>
      <c r="BH231" s="145" t="n"/>
      <c r="BI231" s="145" t="n"/>
      <c r="BJ231" s="145" t="n"/>
      <c r="BK231" s="145" t="n"/>
      <c r="BL231" s="145" t="n"/>
      <c r="BM231" s="145" t="inlineStr">
        <is>
          <t>Yes</t>
        </is>
      </c>
      <c r="BN231" s="145" t="inlineStr">
        <is>
          <t>Not disclosed</t>
        </is>
      </c>
      <c r="BO231" s="149" t="inlineStr">
        <is>
          <t>Market: Home laundry automation · Human-safe: Yes · AI: Not confirmed · Actuation: Electric motors (custom robotic arms) · Runtime Plug-in device (no battery)</t>
        </is>
      </c>
      <c r="BP231" s="145" t="n"/>
      <c r="BQ231" s="149" t="inlineStr">
        <is>
          <t>Stationary home laundry folding</t>
        </is>
      </c>
      <c r="BR231" s="149" t="inlineStr">
        <is>
          <t>In production</t>
        </is>
      </c>
      <c r="BS231" s="149" t="inlineStr">
        <is>
          <t>In production</t>
        </is>
      </c>
      <c r="BT231" s="145" t="inlineStr">
        <is>
          <t>White</t>
        </is>
      </c>
      <c r="BU231" s="145" t="inlineStr">
        <is>
          <t>Not verified</t>
        </is>
      </c>
      <c r="BV231" s="149" t="n"/>
      <c r="BW231" s="149" t="inlineStr">
        <is>
          <t>Origin &amp; status — USA · In production · 2026 | Manipulation — 2 total (1 per hand) · 2 total (1 per hand) fingers · Hand DOF 2 · Payload 30.9 lb | Sensing &amp; software — Custom robotics OS + AI models | Buying notes — From $7,999 · 12 months manufacturer standard (typical research/commercial humanoid) · Best fit: Home laundry automation</t>
        </is>
      </c>
      <c r="BX231" s="149" t="inlineStr">
        <is>
          <t>as_shipped|Isaac 0|7999|As shipped</t>
        </is>
      </c>
      <c r="BY231" s="145" t="inlineStr">
        <is>
          <t>white|White|#e2e8f0|0</t>
        </is>
      </c>
      <c r="BZ231" s="145" t="inlineStr"/>
      <c r="CA231" s="149" t="n"/>
      <c r="CB231" s="149" t="inlineStr">
        <is>
          <t>12 months manufacturer standard (typical research/commercial humanoid)</t>
        </is>
      </c>
      <c r="CC231" s="147" t="n">
        <v>12</v>
      </c>
      <c r="CD231" s="149" t="inlineStr">
        <is>
          <t>+3 Year Extended ≈24% of configuration (default in configurator)</t>
        </is>
      </c>
      <c r="CE231" s="145" t="inlineStr">
        <is>
          <t>Humanoid category norm 2025–2026</t>
        </is>
      </c>
      <c r="CF231" s="145" t="inlineStr">
        <is>
          <t>Estimated</t>
        </is>
      </c>
      <c r="CG231" s="149" t="inlineStr">
        <is>
          <t>Confirm on formal OEM quote. EDU or enterprise packages may differ.</t>
        </is>
      </c>
      <c r="CH231" s="145" t="inlineStr">
        <is>
          <t>10%</t>
        </is>
      </c>
      <c r="CI231" s="145" t="inlineStr">
        <is>
          <t>17%</t>
        </is>
      </c>
      <c r="CJ231" s="145" t="inlineStr">
        <is>
          <t>24%</t>
        </is>
      </c>
      <c r="CK231" s="149" t="inlineStr">
        <is>
          <t>+1yr ≈10% | +2yr ≈17% | +3yr ≈24% of selected configuration price (parts &amp; labor beyond manufacturer standard).</t>
        </is>
      </c>
      <c r="CL23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31" s="145" t="inlineStr">
        <is>
          <t>12 months manufacturer standard (typical research/commercial humanoid)</t>
        </is>
      </c>
      <c r="CN231" s="203" t="inlineStr">
        <is>
          <t>https://aixzd.com/robot/isaac-0</t>
        </is>
      </c>
      <c r="CQ231" s="101" t="inlineStr">
        <is>
          <t>Height: 5 ft 7 in | Weight: Not disclosed | Degrees of Freedom: 17 | Payload: 30.9 | Max Speed: 0 | Battery / Runtime: Plug-in device (no battery)</t>
        </is>
      </c>
    </row>
    <row r="232" ht="31.5" customHeight="1" s="102">
      <c r="A232" s="159" t="inlineStr">
        <is>
          <t>weave_robotics_inc_isaac_1</t>
        </is>
      </c>
      <c r="B232" s="153" t="inlineStr">
        <is>
          <t>Major-player brief 11 Sep 2026</t>
        </is>
      </c>
      <c r="C232" s="152" t="inlineStr">
        <is>
          <t>Weave Robotics</t>
        </is>
      </c>
      <c r="D232" s="152" t="inlineStr">
        <is>
          <t>Isaac 1</t>
        </is>
      </c>
      <c r="E232" s="152" t="inlineStr">
        <is>
          <t>[Weave Robotics] Isaac 1 (2026)</t>
        </is>
      </c>
      <c r="F232" s="146" t="inlineStr">
        <is>
          <t>humanoid</t>
        </is>
      </c>
      <c r="G232" s="152" t="inlineStr">
        <is>
          <t>USA</t>
        </is>
      </c>
      <c r="H232" s="199" t="n">
        <v>2026</v>
      </c>
      <c r="I232" s="155" t="n">
        <v>7999</v>
      </c>
      <c r="J232" s="152" t="inlineStr">
        <is>
          <t>Robot Price Index Aug 2026</t>
        </is>
      </c>
      <c r="K232" s="156" t="inlineStr">
        <is>
          <t>Isaac 1 is a mobile home robot focused on laundry, tidying and other everyday household tasks.</t>
        </is>
      </c>
      <c r="L232" s="101" t="inlineStr">
        <is>
          <t>Isaac 1 is a mobile home robot focused on laundry, tidying and other everyday household tasks.</t>
        </is>
      </c>
      <c r="M232" s="101" t="inlineStr">
        <is>
          <t>Weave Robotics, in San Francisco, designed Isaac 1 as a mobile home robot for laundry, tidying, and other everyday household work. It is the moving sibling of the stationary Isaac 0 laundry folder.</t>
        </is>
      </c>
      <c r="N232" s="157" t="inlineStr">
        <is>
          <t>https://humanoid.guide/product/isaac-1/</t>
        </is>
      </c>
      <c r="O232" s="157" t="inlineStr">
        <is>
          <t>https://www.weaverobotics.com</t>
        </is>
      </c>
      <c r="P232" s="152" t="inlineStr">
        <is>
          <t>5 ft 3 in</t>
        </is>
      </c>
      <c r="Q232" s="152" t="n">
        <v>160</v>
      </c>
      <c r="R232" s="152" t="n">
        <v>88.2</v>
      </c>
      <c r="S232" s="152" t="n">
        <v>40</v>
      </c>
      <c r="T232" s="156" t="inlineStr">
        <is>
          <t>Not disclosed</t>
        </is>
      </c>
      <c r="U232" s="152" t="n"/>
      <c r="V232" s="152" t="inlineStr">
        <is>
          <t>21</t>
        </is>
      </c>
      <c r="W232" s="156" t="inlineStr">
        <is>
          <t>2</t>
        </is>
      </c>
      <c r="X232" s="152" t="n">
        <v>22</v>
      </c>
      <c r="Y232" s="152" t="n">
        <v>10</v>
      </c>
      <c r="Z232" s="152" t="n">
        <v>3.11</v>
      </c>
      <c r="AA232" s="152" t="n">
        <v>5</v>
      </c>
      <c r="AB232" s="152" t="n"/>
      <c r="AC232" s="156" t="inlineStr">
        <is>
          <t>≈ 8 hours</t>
        </is>
      </c>
      <c r="AD232" s="156" t="inlineStr">
        <is>
          <t>8</t>
        </is>
      </c>
      <c r="AE232" s="152" t="n"/>
      <c r="AF232" s="152" t="inlineStr">
        <is>
          <t>Not disclosed</t>
        </is>
      </c>
      <c r="AG232" s="156" t="inlineStr">
        <is>
          <t>2-finger gripping claws</t>
        </is>
      </c>
      <c r="AH232" s="152" t="inlineStr">
        <is>
          <t>2-finger gripping claws</t>
        </is>
      </c>
      <c r="AI232" s="152" t="n"/>
      <c r="AJ232" s="156" t="inlineStr">
        <is>
          <t>Not disclosed</t>
        </is>
      </c>
      <c r="AK232" s="156" t="n"/>
      <c r="AL232" s="152" t="inlineStr">
        <is>
          <t>Not disclosed</t>
        </is>
      </c>
      <c r="AM232" s="152" t="n"/>
      <c r="AN232" s="152" t="inlineStr">
        <is>
          <t>Not disclosed</t>
        </is>
      </c>
      <c r="AO232" s="152" t="inlineStr">
        <is>
          <t>Not disclosed</t>
        </is>
      </c>
      <c r="AP232" s="152" t="inlineStr">
        <is>
          <t>Not disclosed</t>
        </is>
      </c>
      <c r="AQ232" s="152" t="inlineStr">
        <is>
          <t>Not disclosed</t>
        </is>
      </c>
      <c r="AR232" s="152" t="n"/>
      <c r="AS232" s="152" t="n"/>
      <c r="AT232" s="156" t="inlineStr">
        <is>
          <t>Not disclosed</t>
        </is>
      </c>
      <c r="AU232" s="156" t="inlineStr">
        <is>
          <t>Wi-Fi</t>
        </is>
      </c>
      <c r="AV232" s="152" t="inlineStr">
        <is>
          <t>Not disclosed</t>
        </is>
      </c>
      <c r="AW232" s="156" t="inlineStr">
        <is>
          <t>Not disclosed</t>
        </is>
      </c>
      <c r="AX232" s="152" t="n"/>
      <c r="AY232" s="156" t="inlineStr">
        <is>
          <t>Not disclosed</t>
        </is>
      </c>
      <c r="AZ232" s="156" t="inlineStr">
        <is>
          <t>Not disclosed</t>
        </is>
      </c>
      <c r="BA232" s="156" t="n"/>
      <c r="BB232" s="156" t="inlineStr">
        <is>
          <t>Proprietary, self-designed actuators</t>
        </is>
      </c>
      <c r="BC232" s="156" t="inlineStr">
        <is>
          <t>Not disclosed</t>
        </is>
      </c>
      <c r="BD232" s="152" t="inlineStr">
        <is>
          <t>Solid inner structure with soft, swappable fabric outer shells</t>
        </is>
      </c>
      <c r="BE232" s="152" t="inlineStr">
        <is>
          <t>Not disclosed</t>
        </is>
      </c>
      <c r="BF232" s="152" t="n"/>
      <c r="BG232" s="152" t="n"/>
      <c r="BH232" s="152" t="n"/>
      <c r="BI232" s="152" t="n"/>
      <c r="BJ232" s="152" t="n"/>
      <c r="BK232" s="152" t="n"/>
      <c r="BL232" s="152" t="n"/>
      <c r="BM232" s="152" t="inlineStr">
        <is>
          <t>Yes</t>
        </is>
      </c>
      <c r="BN232" s="152" t="inlineStr">
        <is>
          <t>Not disclosed</t>
        </is>
      </c>
      <c r="BO232" s="156" t="inlineStr">
        <is>
          <t>Market: Domestic home chores; Everyday home life; Home assistance · Human-safe: Yes · Actuation: Proprietary, self-designed actuators · Peak 5 km/h · Runtime 8</t>
        </is>
      </c>
      <c r="BP232" s="152" t="n"/>
      <c r="BQ232" s="156" t="inlineStr">
        <is>
          <t>Mobile home robot — laundry, tidying, household tasks</t>
        </is>
      </c>
      <c r="BR232" s="156" t="inlineStr">
        <is>
          <t>pre-order</t>
        </is>
      </c>
      <c r="BS232" s="156" t="inlineStr">
        <is>
          <t>pre-order</t>
        </is>
      </c>
      <c r="BT232" s="152" t="n"/>
      <c r="BU232" s="152" t="n"/>
      <c r="BV232" s="156" t="n"/>
      <c r="BW232" s="156" t="inlineStr">
        <is>
          <t>Origin &amp; status — USA · pre-order · 2026 | Manipulation — 2-finger gripping claws · Hand DOF 2 · Payload 22 lb | Sensing &amp; software — Sensor and compute package confirmed on formal quote | Buying notes — From $7,999 · 12 months manufacturer standard (typical research/commercial humanoid) · Best fit: Domestic home chores</t>
        </is>
      </c>
      <c r="BX232" s="156" t="inlineStr">
        <is>
          <t>as_shipped|Isaac 1|7999|As shipped</t>
        </is>
      </c>
      <c r="BY232" s="152" t="inlineStr">
        <is>
          <t>isaac_1|Manufacturer finish|#e2e8f0|0</t>
        </is>
      </c>
      <c r="BZ232" s="152" t="inlineStr"/>
      <c r="CA232" s="156" t="n"/>
      <c r="CB232" s="156" t="inlineStr">
        <is>
          <t>12 months manufacturer standard (typical research/commercial humanoid)</t>
        </is>
      </c>
      <c r="CC232" s="154" t="n">
        <v>12</v>
      </c>
      <c r="CD232" s="156" t="inlineStr">
        <is>
          <t>+3 Year Extended ≈24% of configuration (default in configurator)</t>
        </is>
      </c>
      <c r="CE232" s="152" t="inlineStr">
        <is>
          <t>Humanoid category norm 2025–2026</t>
        </is>
      </c>
      <c r="CF232" s="152" t="inlineStr">
        <is>
          <t>Estimated</t>
        </is>
      </c>
      <c r="CG232" s="156" t="inlineStr">
        <is>
          <t>Confirm on formal OEM quote. EDU or enterprise packages may differ.</t>
        </is>
      </c>
      <c r="CH232" s="152" t="inlineStr">
        <is>
          <t>10%</t>
        </is>
      </c>
      <c r="CI232" s="152" t="inlineStr">
        <is>
          <t>17%</t>
        </is>
      </c>
      <c r="CJ232" s="152" t="inlineStr">
        <is>
          <t>24%</t>
        </is>
      </c>
      <c r="CK232" s="156" t="inlineStr">
        <is>
          <t>+1yr ≈10% | +2yr ≈17% | +3yr ≈24% of selected configuration price (parts &amp; labor beyond manufacturer standard).</t>
        </is>
      </c>
      <c r="CL232"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32" s="152" t="inlineStr">
        <is>
          <t>12 months manufacturer standard (typical research/commercial humanoid)</t>
        </is>
      </c>
      <c r="CN232" s="203" t="inlineStr">
        <is>
          <t>https://aixzd.com/robot/isaac-1</t>
        </is>
      </c>
      <c r="CQ232" s="101" t="inlineStr">
        <is>
          <t>Height: 5 ft 3 in | Weight: 88.2 | Degrees of Freedom: 21 | Payload: 22 | Max Speed: 3.11 | Battery / Runtime: ≈ 8 hours</t>
        </is>
      </c>
    </row>
    <row r="233" ht="31.5" customHeight="1" s="102">
      <c r="A233" s="145" t="inlineStr">
        <is>
          <t>westwood_robotics_themis_v2</t>
        </is>
      </c>
      <c r="B233" s="153" t="inlineStr">
        <is>
          <t>Humanoid.guide</t>
        </is>
      </c>
      <c r="C233" s="145" t="inlineStr">
        <is>
          <t>Westwood Robotics</t>
        </is>
      </c>
      <c r="D233" s="145" t="inlineStr">
        <is>
          <t>THEMIS V2</t>
        </is>
      </c>
      <c r="E233" s="145" t="inlineStr">
        <is>
          <t>[Westwood Robotics] THEMIS V2 (2026)</t>
        </is>
      </c>
      <c r="F233" s="146" t="inlineStr">
        <is>
          <t>humanoid</t>
        </is>
      </c>
      <c r="G233" s="145" t="inlineStr">
        <is>
          <t>USA</t>
        </is>
      </c>
      <c r="H233" s="145" t="n"/>
      <c r="I233" s="148" t="n">
        <v>69890</v>
      </c>
      <c r="J233" s="145" t="inlineStr">
        <is>
          <t>Humanoid.guide list</t>
        </is>
      </c>
      <c r="K233" s="149" t="inlineStr">
        <is>
          <t>THEMIS V2 is a full-size humanoid robot developed by Westwood Robotics. With 40 degrees of freedom, advanced actuators, AI computing, and human-like form and function, it’s built for real-world tasks in logistics, services, and research.</t>
        </is>
      </c>
      <c r="L233" s="101" t="inlineStr">
        <is>
          <t>THEMIS V2 is a full-size humanoid robot developed by Westwood Robotics. With 40 degrees of freedom, advanced actuators, AI computing, and human-like form and function, it’s built for real-world tasks in logistics, services, and research.</t>
        </is>
      </c>
      <c r="M233" s="101" t="inlineStr">
        <is>
          <t>THEMIS V2 is a full-size humanoid robot developed by Westwood Robotics. With 40 degrees of freedom, advanced actuators, AI computing, and human-like form and function, it’s built for real-world tasks in logistics, services, and research. Public status is listed as in production.</t>
        </is>
      </c>
      <c r="N233" s="150" t="inlineStr">
        <is>
          <t>https://humanoid.guide/product/themis-v2/</t>
        </is>
      </c>
      <c r="O233" s="150" t="inlineStr">
        <is>
          <t>https://www.westwoodrobotics.ai</t>
        </is>
      </c>
      <c r="P233" s="145" t="inlineStr">
        <is>
          <t>5 ft 3 in</t>
        </is>
      </c>
      <c r="Q233" s="145" t="n">
        <v>160</v>
      </c>
      <c r="R233" s="145" t="n">
        <v>70.5</v>
      </c>
      <c r="S233" s="145" t="n">
        <v>32</v>
      </c>
      <c r="T233" s="149" t="inlineStr">
        <is>
          <t>Not disclosed</t>
        </is>
      </c>
      <c r="U233" s="145" t="n"/>
      <c r="V233" s="145" t="inlineStr">
        <is>
          <t>40</t>
        </is>
      </c>
      <c r="W233" s="149" t="inlineStr">
        <is>
          <t>Not disclosed</t>
        </is>
      </c>
      <c r="X233" s="145" t="n">
        <v>33.1</v>
      </c>
      <c r="Y233" s="145" t="n">
        <v>15</v>
      </c>
      <c r="Z233" s="145" t="n">
        <v>6.21</v>
      </c>
      <c r="AA233" s="145" t="n">
        <v>10</v>
      </c>
      <c r="AB233" s="145" t="n"/>
      <c r="AC233" s="149" t="inlineStr">
        <is>
          <t>Not disclosed</t>
        </is>
      </c>
      <c r="AD233" s="149" t="n"/>
      <c r="AE233" s="145" t="n"/>
      <c r="AF233" s="145" t="inlineStr">
        <is>
          <t>Not disclosed</t>
        </is>
      </c>
      <c r="AG233" s="149" t="inlineStr">
        <is>
          <t>Not disclosed</t>
        </is>
      </c>
      <c r="AH233" s="145" t="inlineStr">
        <is>
          <t>Not disclosed</t>
        </is>
      </c>
      <c r="AI233" s="158" t="n">
        <v>2</v>
      </c>
      <c r="AJ233" s="149" t="inlineStr">
        <is>
          <t>Not disclosed</t>
        </is>
      </c>
      <c r="AK233" s="149" t="n"/>
      <c r="AL233" s="145" t="inlineStr">
        <is>
          <t>Not disclosed</t>
        </is>
      </c>
      <c r="AM233" s="145" t="n"/>
      <c r="AN233" s="145" t="inlineStr">
        <is>
          <t>Not disclosed</t>
        </is>
      </c>
      <c r="AO233" s="145" t="inlineStr">
        <is>
          <t>Not disclosed</t>
        </is>
      </c>
      <c r="AP233" s="145" t="inlineStr">
        <is>
          <t>Not disclosed</t>
        </is>
      </c>
      <c r="AQ233" s="145" t="inlineStr">
        <is>
          <t>Not disclosed</t>
        </is>
      </c>
      <c r="AR233" s="145" t="n"/>
      <c r="AS233" s="145" t="n"/>
      <c r="AT233" s="149" t="inlineStr">
        <is>
          <t>Not disclosed</t>
        </is>
      </c>
      <c r="AU233" s="149" t="inlineStr">
        <is>
          <t>Not disclosed</t>
        </is>
      </c>
      <c r="AV233" s="145" t="inlineStr">
        <is>
          <t>Not disclosed</t>
        </is>
      </c>
      <c r="AW233" s="149" t="inlineStr">
        <is>
          <t>Not disclosed</t>
        </is>
      </c>
      <c r="AX233" s="158" t="n">
        <v>2</v>
      </c>
      <c r="AY233" s="149" t="inlineStr">
        <is>
          <t>Not disclosed</t>
        </is>
      </c>
      <c r="AZ233" s="149" t="inlineStr">
        <is>
          <t>Not disclosed</t>
        </is>
      </c>
      <c r="BA233" s="149" t="n"/>
      <c r="BB233" s="149" t="inlineStr">
        <is>
          <t>Not disclosed</t>
        </is>
      </c>
      <c r="BC233" s="149" t="inlineStr">
        <is>
          <t>Not disclosed</t>
        </is>
      </c>
      <c r="BD233" s="145" t="inlineStr">
        <is>
          <t>Not disclosed</t>
        </is>
      </c>
      <c r="BE233" s="145" t="inlineStr">
        <is>
          <t>Not disclosed</t>
        </is>
      </c>
      <c r="BF233" s="145" t="n"/>
      <c r="BG233" s="145" t="n"/>
      <c r="BH233" s="145" t="n"/>
      <c r="BI233" s="145" t="n"/>
      <c r="BJ233" s="145" t="n"/>
      <c r="BK233" s="145" t="n"/>
      <c r="BL233" s="145" t="n"/>
      <c r="BM233" s="145" t="inlineStr">
        <is>
          <t>Not disclosed</t>
        </is>
      </c>
      <c r="BN233" s="145" t="inlineStr">
        <is>
          <t>Not disclosed</t>
        </is>
      </c>
      <c r="BO233" s="149" t="inlineStr">
        <is>
          <t>Manipulation 2/4 · Navigation 2/4 · Peak 10 km/h</t>
        </is>
      </c>
      <c r="BP233" s="145" t="n"/>
      <c r="BQ233" s="149" t="inlineStr">
        <is>
          <t>Research labs, commercial pilots, and education programs evaluating a humanoid from Westwood Robotics (USA).</t>
        </is>
      </c>
      <c r="BR233" s="149" t="inlineStr">
        <is>
          <t>In production</t>
        </is>
      </c>
      <c r="BS233" s="149" t="inlineStr">
        <is>
          <t>In production</t>
        </is>
      </c>
      <c r="BT233" s="145" t="n"/>
      <c r="BU233" s="145" t="inlineStr">
        <is>
          <t>Verified</t>
        </is>
      </c>
      <c r="BV233" s="149" t="n"/>
      <c r="BW233" s="149" t="inlineStr">
        <is>
          <t>Origin &amp; status — USA · In production · 2026 | Manipulation — Payload 33.1 lb | Sensing &amp; software — Sensor and compute package confirmed on formal quote | Buying notes — From $69,890 · 12 months manufacturer standard (typical research/commercial humanoid)</t>
        </is>
      </c>
      <c r="BX233" s="149" t="inlineStr">
        <is>
          <t>as_shipped|THEMIS V2|69890|As shipped</t>
        </is>
      </c>
      <c r="BY233" s="145" t="inlineStr">
        <is>
          <t>themis_v2|Manufacturer finish|#e2e8f0|0</t>
        </is>
      </c>
      <c r="BZ233" s="145" t="inlineStr"/>
      <c r="CA233" s="149" t="n"/>
      <c r="CB233" s="149" t="inlineStr">
        <is>
          <t>12 months manufacturer standard (typical research/commercial humanoid)</t>
        </is>
      </c>
      <c r="CC233" s="147" t="n">
        <v>12</v>
      </c>
      <c r="CD233" s="149" t="inlineStr">
        <is>
          <t>+3 Year Extended ≈24% of configuration (default in configurator)</t>
        </is>
      </c>
      <c r="CE233" s="145" t="inlineStr">
        <is>
          <t>Humanoid category norm 2025–2026</t>
        </is>
      </c>
      <c r="CF233" s="145" t="inlineStr">
        <is>
          <t>Estimated</t>
        </is>
      </c>
      <c r="CG233" s="149" t="inlineStr">
        <is>
          <t>Confirm on formal OEM quote. EDU or enterprise packages may differ.</t>
        </is>
      </c>
      <c r="CH233" s="145" t="inlineStr">
        <is>
          <t>10%</t>
        </is>
      </c>
      <c r="CI233" s="145" t="inlineStr">
        <is>
          <t>17%</t>
        </is>
      </c>
      <c r="CJ233" s="145" t="inlineStr">
        <is>
          <t>24%</t>
        </is>
      </c>
      <c r="CK233" s="149" t="inlineStr">
        <is>
          <t>+1yr ≈10% | +2yr ≈17% | +3yr ≈24% of selected configuration price (parts &amp; labor beyond manufacturer standard).</t>
        </is>
      </c>
      <c r="CL233"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33" s="145" t="inlineStr">
        <is>
          <t>12 months manufacturer standard (typical research/commercial humanoid)</t>
        </is>
      </c>
      <c r="CN233" s="203" t="inlineStr">
        <is>
          <t>https://aixzd.com/robot/themis-v2</t>
        </is>
      </c>
      <c r="CQ233" s="101" t="inlineStr">
        <is>
          <t>Height: 5 ft 3 in | Weight: 70.5 | Degrees of Freedom: 40 | Payload: 33.1 | Max Speed: 6.21 | Battery / Runtime: Not disclosed</t>
        </is>
      </c>
    </row>
    <row r="234" ht="31.5" customHeight="1" s="102">
      <c r="A234" s="152" t="inlineStr">
        <is>
          <t>wirobotics_allex</t>
        </is>
      </c>
      <c r="B234" s="153" t="inlineStr">
        <is>
          <t>Humanoid.guide</t>
        </is>
      </c>
      <c r="C234" s="152" t="inlineStr">
        <is>
          <t>WIRobotics</t>
        </is>
      </c>
      <c r="D234" s="152" t="inlineStr">
        <is>
          <t>ALLEX</t>
        </is>
      </c>
      <c r="E234" s="152" t="inlineStr">
        <is>
          <t>[WIRobotics] ALLEX (2026)</t>
        </is>
      </c>
      <c r="F234" s="146" t="inlineStr">
        <is>
          <t>humanoid</t>
        </is>
      </c>
      <c r="G234" s="152" t="inlineStr">
        <is>
          <t>South Korea</t>
        </is>
      </c>
      <c r="H234" s="152" t="n"/>
      <c r="I234" s="155" t="n">
        <v>180000</v>
      </c>
      <c r="J234" s="152" t="inlineStr">
        <is>
          <t>Humanoid.guide list</t>
        </is>
      </c>
      <c r="K234" s="156" t="inlineStr">
        <is>
          <t>WIRobotics ALLEX is a general‑purpose humanoid with a 15‑DOF compliant hand, ultra‑low‑friction actuation, and whole‑body compliance for safe human interaction.</t>
        </is>
      </c>
      <c r="L234" s="101" t="inlineStr">
        <is>
          <t>WIRobotics ALLEX is a general‑purpose humanoid with a 15‑DOF compliant hand, ultra‑low‑friction actuation, and whole‑body compliance for safe human interaction.</t>
        </is>
      </c>
      <c r="M234" s="101" t="inlineStr">
        <is>
          <t>ALLEX is WIRobotics's humanoid, introduced around 2026 in South Korea. WIRobotics ALLEX is a general‑purpose humanoid with a 15‑DOF compliant hand, ultra‑low‑friction actuation, and whole‑body compliance for safe human interaction. Public status is listed as prototype, and it is positioned for commercial cleaning; Home service; Lgistics.</t>
        </is>
      </c>
      <c r="N234" s="157" t="inlineStr">
        <is>
          <t>https://humanoid.guide/product/allex/</t>
        </is>
      </c>
      <c r="O234" s="152" t="inlineStr">
        <is>
          <t>https://www.wirobotics.com</t>
        </is>
      </c>
      <c r="P234" s="152" t="n"/>
      <c r="Q234" s="152" t="n"/>
      <c r="R234" s="152" t="n"/>
      <c r="S234" s="152" t="n"/>
      <c r="T234" s="156" t="inlineStr">
        <is>
          <t>Not disclosed</t>
        </is>
      </c>
      <c r="U234" s="152" t="inlineStr">
        <is>
          <t>Not specified</t>
        </is>
      </c>
      <c r="V234" s="152" t="inlineStr">
        <is>
          <t>Not disclosed</t>
        </is>
      </c>
      <c r="W234" s="156" t="inlineStr">
        <is>
          <t>15</t>
        </is>
      </c>
      <c r="X234" s="152" t="n">
        <v>66.09999999999999</v>
      </c>
      <c r="Y234" s="152" t="n">
        <v>30</v>
      </c>
      <c r="Z234" s="152" t="n">
        <v>0</v>
      </c>
      <c r="AA234" s="152" t="n">
        <v>0</v>
      </c>
      <c r="AB234" s="152" t="n"/>
      <c r="AC234" s="156" t="inlineStr">
        <is>
          <t>Not disclosed</t>
        </is>
      </c>
      <c r="AD234" s="156" t="inlineStr">
        <is>
          <t>Not specified</t>
        </is>
      </c>
      <c r="AE234" s="152" t="n"/>
      <c r="AF234" s="152" t="inlineStr">
        <is>
          <t>Not disclosed</t>
        </is>
      </c>
      <c r="AG234" s="156" t="inlineStr">
        <is>
          <t>10</t>
        </is>
      </c>
      <c r="AH234" s="152" t="inlineStr">
        <is>
          <t>10</t>
        </is>
      </c>
      <c r="AI234" s="158" t="n">
        <v>2</v>
      </c>
      <c r="AJ234" s="156" t="inlineStr">
        <is>
          <t>Not disclosed</t>
        </is>
      </c>
      <c r="AK234" s="156" t="inlineStr">
        <is>
          <t>Not specified</t>
        </is>
      </c>
      <c r="AL234" s="152" t="inlineStr">
        <is>
          <t>Not disclosed</t>
        </is>
      </c>
      <c r="AM234" s="152" t="n"/>
      <c r="AN234" s="152" t="inlineStr">
        <is>
          <t>Not disclosed</t>
        </is>
      </c>
      <c r="AO234" s="152" t="inlineStr">
        <is>
          <t>Not disclosed</t>
        </is>
      </c>
      <c r="AP234" s="152" t="inlineStr">
        <is>
          <t>Not disclosed</t>
        </is>
      </c>
      <c r="AQ234" s="152" t="inlineStr">
        <is>
          <t>Not disclosed</t>
        </is>
      </c>
      <c r="AR234" s="152" t="n"/>
      <c r="AS234" s="152" t="n"/>
      <c r="AT234" s="156" t="inlineStr">
        <is>
          <t>Not disclosed</t>
        </is>
      </c>
      <c r="AU234" s="156" t="inlineStr">
        <is>
          <t>Not disclosed</t>
        </is>
      </c>
      <c r="AV234" s="152" t="inlineStr">
        <is>
          <t>Not disclosed</t>
        </is>
      </c>
      <c r="AW234" s="156" t="inlineStr">
        <is>
          <t>Not disclosed</t>
        </is>
      </c>
      <c r="AX234" s="158" t="n">
        <v>2</v>
      </c>
      <c r="AY234" s="156" t="inlineStr">
        <is>
          <t>Not disclosed</t>
        </is>
      </c>
      <c r="AZ234" s="156" t="inlineStr">
        <is>
          <t>Strategic partnership with RLWRLD</t>
        </is>
      </c>
      <c r="BA234" s="156" t="inlineStr">
        <is>
          <t>Not specified</t>
        </is>
      </c>
      <c r="BB234" s="156" t="inlineStr">
        <is>
          <t>Proprietary ultra‑low‑friction, high‑load electric actuator; highly backdrivable; integrated position/force/stiffness control.</t>
        </is>
      </c>
      <c r="BC234" s="156" t="inlineStr">
        <is>
          <t>Not disclosed</t>
        </is>
      </c>
      <c r="BD234" s="152" t="inlineStr">
        <is>
          <t>Not disclosed</t>
        </is>
      </c>
      <c r="BE234" s="152" t="inlineStr">
        <is>
          <t>Not disclosed</t>
        </is>
      </c>
      <c r="BF234" s="152" t="inlineStr">
        <is>
          <t>Not specified</t>
        </is>
      </c>
      <c r="BG234" s="152" t="n"/>
      <c r="BH234" s="152" t="n"/>
      <c r="BI234" s="152" t="n"/>
      <c r="BJ234" s="152" t="n"/>
      <c r="BK234" s="152" t="n"/>
      <c r="BL234" s="152" t="n"/>
      <c r="BM234" s="152" t="inlineStr">
        <is>
          <t>Not disclosed</t>
        </is>
      </c>
      <c r="BN234" s="152" t="inlineStr">
        <is>
          <t>Not disclosed</t>
        </is>
      </c>
      <c r="BO234" s="156" t="inlineStr">
        <is>
          <t>Market: Commercial cleaning; Home service; Lgistics. · Manipulation 2/4 · Navigation 2/4 · Human-safe: Not specified · AI: Strategic partnership with RLWRLD · Actuation: Proprietary ultra‑low‑friction, high‑load electric actuator; highly backdrivable; integrated position/force… · Runtime Not specified</t>
        </is>
      </c>
      <c r="BP234" s="152" t="n"/>
      <c r="BQ234" s="156" t="inlineStr">
        <is>
          <t>Commercial cleaning; Home service; Lgistics.</t>
        </is>
      </c>
      <c r="BR234" s="156" t="inlineStr">
        <is>
          <t>Prototype</t>
        </is>
      </c>
      <c r="BS234" s="156" t="inlineStr">
        <is>
          <t>Prototype</t>
        </is>
      </c>
      <c r="BT234" s="152" t="inlineStr">
        <is>
          <t>Not specified</t>
        </is>
      </c>
      <c r="BU234" s="152" t="inlineStr">
        <is>
          <t>Not verified</t>
        </is>
      </c>
      <c r="BV234" s="156" t="n"/>
      <c r="BW234" s="156" t="inlineStr">
        <is>
          <t>Origin &amp; status — South Korea · Prototype · 2026 | Manipulation — 10 · 10 fingers · Hand DOF 15 · Payload 66.1 lb | Sensing &amp; software — Strategic partnership with RLWRLD | Buying notes — From $180,000 · 12 months manufacturer standard (typical research/commercial humanoid) · Best fit: Commercial cleaning</t>
        </is>
      </c>
      <c r="BX234" s="156" t="inlineStr">
        <is>
          <t>as_shipped|ALLEX|180000|As shipped</t>
        </is>
      </c>
      <c r="BY234" s="152" t="inlineStr">
        <is>
          <t>not_specified|Not specified|#e2e8f0|0</t>
        </is>
      </c>
      <c r="BZ234" s="152" t="inlineStr"/>
      <c r="CA234" s="156" t="n"/>
      <c r="CB234" s="156" t="inlineStr">
        <is>
          <t>12 months manufacturer standard (typical research/commercial humanoid)</t>
        </is>
      </c>
      <c r="CC234" s="154" t="n">
        <v>12</v>
      </c>
      <c r="CD234" s="156" t="inlineStr">
        <is>
          <t>+3 Year Extended ≈24% of configuration (default in configurator)</t>
        </is>
      </c>
      <c r="CE234" s="152" t="inlineStr">
        <is>
          <t>Humanoid category norm 2025–2026</t>
        </is>
      </c>
      <c r="CF234" s="152" t="inlineStr">
        <is>
          <t>Estimated</t>
        </is>
      </c>
      <c r="CG234" s="156" t="inlineStr">
        <is>
          <t>Confirm on formal OEM quote. EDU or enterprise packages may differ.</t>
        </is>
      </c>
      <c r="CH234" s="152" t="inlineStr">
        <is>
          <t>10%</t>
        </is>
      </c>
      <c r="CI234" s="152" t="inlineStr">
        <is>
          <t>17%</t>
        </is>
      </c>
      <c r="CJ234" s="152" t="inlineStr">
        <is>
          <t>24%</t>
        </is>
      </c>
      <c r="CK234" s="156" t="inlineStr">
        <is>
          <t>+1yr ≈10% | +2yr ≈17% | +3yr ≈24% of selected configuration price (parts &amp; labor beyond manufacturer standard).</t>
        </is>
      </c>
      <c r="CL234"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34" s="152" t="inlineStr">
        <is>
          <t>12 months manufacturer standard (typical research/commercial humanoid)</t>
        </is>
      </c>
      <c r="CQ234" s="101" t="inlineStr">
        <is>
          <t>Height: Not disclosed | Weight: Not disclosed | Degrees of Freedom: Not disclosed | Payload: 66.1 | Max Speed: 0 | Battery / Runtime: Not disclosed</t>
        </is>
      </c>
    </row>
    <row r="235" ht="31.5" customHeight="1" s="102">
      <c r="A235" s="145" t="inlineStr">
        <is>
          <t>wl_robotics_wl_robo_totan_o1</t>
        </is>
      </c>
      <c r="B235" s="153" t="inlineStr">
        <is>
          <t>Humanoid.guide</t>
        </is>
      </c>
      <c r="C235" s="145" t="inlineStr">
        <is>
          <t>WL Robotics (WL Robo)</t>
        </is>
      </c>
      <c r="D235" s="145" t="inlineStr">
        <is>
          <t>Totan O1</t>
        </is>
      </c>
      <c r="E235" s="145" t="inlineStr">
        <is>
          <t>[WL Robotics] Totan O1 (2026)</t>
        </is>
      </c>
      <c r="F235" s="146" t="inlineStr">
        <is>
          <t>humanoid</t>
        </is>
      </c>
      <c r="G235" s="145" t="inlineStr">
        <is>
          <t>China</t>
        </is>
      </c>
      <c r="H235" s="145" t="n"/>
      <c r="I235" s="148" t="n">
        <v>60000</v>
      </c>
      <c r="J235" s="145" t="inlineStr">
        <is>
          <t>Humanoid.guide list</t>
        </is>
      </c>
      <c r="K235" s="149" t="inlineStr">
        <is>
          <t>Titan O1 is a compact research-grade humanoid robot designed for mobility, manipulation, and embodied AI development.</t>
        </is>
      </c>
      <c r="L235" s="101" t="inlineStr">
        <is>
          <t>Titan O1 is a compact research-grade humanoid robot designed for mobility, manipulation, and embodied AI development.</t>
        </is>
      </c>
      <c r="M235" s="101" t="inlineStr">
        <is>
          <t>Totan O1 is WL Robotics (WL Robo)'s humanoid, introduced around 2026 in China. Titan O1 is a compact research-grade humanoid robot designed for mobility, manipulation, and embodied AI development. Public status is listed as limited production / pilot deployments, and it is positioned for aI research teams; education; robotics labs; universities.</t>
        </is>
      </c>
      <c r="N235" s="150" t="inlineStr">
        <is>
          <t>https://humanoid.guide/product/totan-o1/</t>
        </is>
      </c>
      <c r="O235" s="150" t="inlineStr">
        <is>
          <t>https://wlrobo.com/</t>
        </is>
      </c>
      <c r="P235" s="145" t="inlineStr">
        <is>
          <t>4 ft 5 in</t>
        </is>
      </c>
      <c r="Q235" s="145" t="n">
        <v>134</v>
      </c>
      <c r="R235" s="145" t="n">
        <v>75</v>
      </c>
      <c r="S235" s="145" t="n">
        <v>34</v>
      </c>
      <c r="T235" s="149" t="inlineStr">
        <is>
          <t>Not disclosed</t>
        </is>
      </c>
      <c r="U235" s="145" t="inlineStr">
        <is>
          <t>Approx. 150 × 60 × 50 cm</t>
        </is>
      </c>
      <c r="V235" s="145" t="inlineStr">
        <is>
          <t>30</t>
        </is>
      </c>
      <c r="W235" s="149" t="inlineStr">
        <is>
          <t>~6–7 per hand</t>
        </is>
      </c>
      <c r="X235" s="145" t="n">
        <v>22</v>
      </c>
      <c r="Y235" s="145" t="n">
        <v>10</v>
      </c>
      <c r="Z235" s="145" t="n">
        <v>2.49</v>
      </c>
      <c r="AA235" s="145" t="n">
        <v>4</v>
      </c>
      <c r="AB235" s="145" t="n">
        <v>3</v>
      </c>
      <c r="AC235" s="149" t="inlineStr">
        <is>
          <t>1.5 – 2.5</t>
        </is>
      </c>
      <c r="AD235" s="149" t="inlineStr">
        <is>
          <t>1.5 – 2.5</t>
        </is>
      </c>
      <c r="AE235" s="145" t="n"/>
      <c r="AF235" s="145" t="inlineStr">
        <is>
          <t>Not disclosed</t>
        </is>
      </c>
      <c r="AG235" s="149" t="inlineStr">
        <is>
          <t>5 per hand</t>
        </is>
      </c>
      <c r="AH235" s="145" t="inlineStr">
        <is>
          <t>5 per hand</t>
        </is>
      </c>
      <c r="AI235" s="145" t="n"/>
      <c r="AJ235" s="149" t="inlineStr">
        <is>
          <t>Likely 1080p stereo or depth camera system</t>
        </is>
      </c>
      <c r="AK235" s="149" t="inlineStr">
        <is>
          <t>Likely 1080p stereo or depth camera system</t>
        </is>
      </c>
      <c r="AL235" s="145" t="inlineStr">
        <is>
          <t>Not disclosed</t>
        </is>
      </c>
      <c r="AM235" s="145" t="n"/>
      <c r="AN235" s="145" t="inlineStr">
        <is>
          <t>Not disclosed</t>
        </is>
      </c>
      <c r="AO235" s="145" t="inlineStr">
        <is>
          <t>Not disclosed</t>
        </is>
      </c>
      <c r="AP235" s="145" t="inlineStr">
        <is>
          <t>Not disclosed</t>
        </is>
      </c>
      <c r="AQ235" s="145" t="inlineStr">
        <is>
          <t>Not disclosed</t>
        </is>
      </c>
      <c r="AR235" s="145" t="n"/>
      <c r="AS235" s="145" t="n"/>
      <c r="AT235" s="149" t="inlineStr">
        <is>
          <t>Likely Intel i7 / NVIDIA Jetson or similar AI module</t>
        </is>
      </c>
      <c r="AU235" s="149" t="inlineStr">
        <is>
          <t>Ethernet; possibly ROS integration; Wi‑Fi</t>
        </is>
      </c>
      <c r="AV235" s="145" t="inlineStr">
        <is>
          <t>Not disclosed</t>
        </is>
      </c>
      <c r="AW235" s="149" t="inlineStr">
        <is>
          <t>Not disclosed</t>
        </is>
      </c>
      <c r="AX235" s="145" t="n"/>
      <c r="AY235" s="149" t="inlineStr">
        <is>
          <t>Likely Ubuntu / ROS-based architecture</t>
        </is>
      </c>
      <c r="AZ235" s="149" t="inlineStr">
        <is>
          <t>Possible via ROS + external AI stack; not native onboard LLM</t>
        </is>
      </c>
      <c r="BA235" s="149" t="inlineStr">
        <is>
          <t>Estimated 50–150 ms depending on compute pipeline</t>
        </is>
      </c>
      <c r="BB235" s="149" t="inlineStr">
        <is>
          <t>High-torque servo or BLDC actuators</t>
        </is>
      </c>
      <c r="BC235" s="149" t="inlineStr">
        <is>
          <t>Harmonic drive / planetary gear mix</t>
        </is>
      </c>
      <c r="BD235" s="145" t="inlineStr">
        <is>
          <t>Aluminum alloy frame with composite panels</t>
        </is>
      </c>
      <c r="BE235" s="145" t="inlineStr">
        <is>
          <t>IP20</t>
        </is>
      </c>
      <c r="BF235" s="145" t="inlineStr">
        <is>
          <t>Indoor use; estimated IP20</t>
        </is>
      </c>
      <c r="BG235" s="145" t="n"/>
      <c r="BH235" s="145" t="n"/>
      <c r="BI235" s="145" t="n"/>
      <c r="BJ235" s="145" t="n"/>
      <c r="BK235" s="145" t="n"/>
      <c r="BL235" s="145" t="n"/>
      <c r="BM235" s="145" t="inlineStr">
        <is>
          <t>Yes</t>
        </is>
      </c>
      <c r="BN235" s="145" t="inlineStr">
        <is>
          <t>Not disclosed</t>
        </is>
      </c>
      <c r="BO235" s="149" t="inlineStr">
        <is>
          <t>Market: AI research teams; education; robotics labs; universities · Human-safe: Yes · AI: Possible via ROS + external AI stack; not native onboard LLM · Actuation: High-torque servo or BLDC actuators · Peak 4 km/h · Walk 3 km/h · Runtime 1.5 – 2.5</t>
        </is>
      </c>
      <c r="BP235" s="145" t="n"/>
      <c r="BQ235" s="149" t="inlineStr">
        <is>
          <t>AI research teams; education; robotics labs; universities</t>
        </is>
      </c>
      <c r="BR235" s="149" t="inlineStr">
        <is>
          <t>Limited production / pilot deployments</t>
        </is>
      </c>
      <c r="BS235" s="149" t="inlineStr">
        <is>
          <t>Limited production / pilot deployments</t>
        </is>
      </c>
      <c r="BT235" s="145" t="inlineStr">
        <is>
          <t>Orange + Grey</t>
        </is>
      </c>
      <c r="BU235" s="145" t="inlineStr">
        <is>
          <t>Not verified</t>
        </is>
      </c>
      <c r="BV235" s="149" t="n"/>
      <c r="BW235" s="149" t="inlineStr">
        <is>
          <t>Origin &amp; status — China · Limited production / pilot deployments · 2026 | Manipulation — 5 per hand · 5 per hand fingers · Hand DOF ~6–7 per hand · Payload 22 lb | Sensing &amp; software — Likely 1080p stereo or depth camera system · Possible via ROS + external AI stack; not native onboard LLM · Likely Ubuntu / ROS-based architecture | Buying notes — From $60,000 · 12 months manufacturer standard (typical research/commercial humanoid) · Best fit: AI research teams</t>
        </is>
      </c>
      <c r="BX235" s="149" t="inlineStr">
        <is>
          <t>as_shipped|Totan O1|60000|As shipped</t>
        </is>
      </c>
      <c r="BY235" s="145" t="inlineStr">
        <is>
          <t>orange_grey|Orange + Grey|#e2e8f0|0</t>
        </is>
      </c>
      <c r="BZ235" s="145" t="inlineStr"/>
      <c r="CA235" s="149" t="n"/>
      <c r="CB235" s="149" t="inlineStr">
        <is>
          <t>12 months manufacturer standard (typical research/commercial humanoid)</t>
        </is>
      </c>
      <c r="CC235" s="147" t="n">
        <v>12</v>
      </c>
      <c r="CD235" s="149" t="inlineStr">
        <is>
          <t>+3 Year Extended ≈24% of configuration (default in configurator)</t>
        </is>
      </c>
      <c r="CE235" s="145" t="inlineStr">
        <is>
          <t>Humanoid category norm 2025–2026</t>
        </is>
      </c>
      <c r="CF235" s="145" t="inlineStr">
        <is>
          <t>Estimated</t>
        </is>
      </c>
      <c r="CG235" s="149" t="inlineStr">
        <is>
          <t>Confirm on formal OEM quote. EDU or enterprise packages may differ.</t>
        </is>
      </c>
      <c r="CH235" s="145" t="inlineStr">
        <is>
          <t>10%</t>
        </is>
      </c>
      <c r="CI235" s="145" t="inlineStr">
        <is>
          <t>17%</t>
        </is>
      </c>
      <c r="CJ235" s="145" t="inlineStr">
        <is>
          <t>24%</t>
        </is>
      </c>
      <c r="CK235" s="149" t="inlineStr">
        <is>
          <t>+1yr ≈10% | +2yr ≈17% | +3yr ≈24% of selected configuration price (parts &amp; labor beyond manufacturer standard).</t>
        </is>
      </c>
      <c r="CL23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35" s="145" t="inlineStr">
        <is>
          <t>12 months manufacturer standard (typical research/commercial humanoid)</t>
        </is>
      </c>
      <c r="CQ235" s="101" t="inlineStr">
        <is>
          <t>Height: 4 ft 5 in | Weight: 75 | Degrees of Freedom: 30 | Payload: 22 | Max Speed: 2.49 | Battery / Runtime: 1.5 – 2.5</t>
        </is>
      </c>
    </row>
    <row r="236" ht="31.5" customHeight="1" s="102">
      <c r="A236" s="152" t="inlineStr">
        <is>
          <t>workfar_technologies_usa_syntro</t>
        </is>
      </c>
      <c r="B236" s="153" t="inlineStr">
        <is>
          <t>Humanoid.guide</t>
        </is>
      </c>
      <c r="C236" s="152" t="inlineStr">
        <is>
          <t>WorkFar Technologies (USA)</t>
        </is>
      </c>
      <c r="D236" s="152" t="inlineStr">
        <is>
          <t>Syntro</t>
        </is>
      </c>
      <c r="E236" s="152" t="inlineStr">
        <is>
          <t>[WorkFar Technologies] Syntro (2026)</t>
        </is>
      </c>
      <c r="F236" s="146" t="inlineStr">
        <is>
          <t>humanoid</t>
        </is>
      </c>
      <c r="G236" s="152" t="inlineStr">
        <is>
          <t>USA</t>
        </is>
      </c>
      <c r="H236" s="152" t="n"/>
      <c r="I236" s="155" t="n">
        <v>29999</v>
      </c>
      <c r="J236" s="152" t="inlineStr">
        <is>
          <t>Humanoid.guide list</t>
        </is>
      </c>
      <c r="K236" s="156" t="inlineStr">
        <is>
          <t>The Syntro humanoid robot by WorkFar is an industrial-grade humanoid designed for real work.</t>
        </is>
      </c>
      <c r="L236" s="101" t="inlineStr">
        <is>
          <t>The Syntro humanoid robot by WorkFar is an industrial-grade humanoid designed for real work.</t>
        </is>
      </c>
      <c r="M236" s="101" t="inlineStr">
        <is>
          <t>The Syntro humanoid robot by WorkFar is an industrial-grade humanoid designed for real work. Public status is listed as in production, and it is positioned for industrial automation; logistics; Manufacturing.</t>
        </is>
      </c>
      <c r="N236" s="157" t="inlineStr">
        <is>
          <t>https://humanoid.guide/product/syntro/</t>
        </is>
      </c>
      <c r="O236" s="157" t="inlineStr">
        <is>
          <t>https://www.workfar.com/</t>
        </is>
      </c>
      <c r="P236" s="152" t="inlineStr">
        <is>
          <t>5 ft 7 in</t>
        </is>
      </c>
      <c r="Q236" s="152" t="n">
        <v>170</v>
      </c>
      <c r="R236" s="152" t="n">
        <v>238.1</v>
      </c>
      <c r="S236" s="152" t="n">
        <v>108</v>
      </c>
      <c r="T236" s="156" t="inlineStr">
        <is>
          <t>Not disclosed</t>
        </is>
      </c>
      <c r="U236" s="152" t="n"/>
      <c r="V236" s="152" t="inlineStr">
        <is>
          <t>45</t>
        </is>
      </c>
      <c r="W236" s="156" t="inlineStr">
        <is>
          <t>12 per hand (two hands)</t>
        </is>
      </c>
      <c r="X236" s="152" t="n">
        <v>44.1</v>
      </c>
      <c r="Y236" s="152" t="n">
        <v>20</v>
      </c>
      <c r="Z236" s="152" t="n">
        <v>1.86</v>
      </c>
      <c r="AA236" s="152" t="n">
        <v>3</v>
      </c>
      <c r="AB236" s="152" t="n"/>
      <c r="AC236" s="156" t="inlineStr">
        <is>
          <t>Swappable Batteries 1.2 kWh / Run Time: 6-10 Hours / Charge Time: 6-10 Hours</t>
        </is>
      </c>
      <c r="AD236" s="156" t="inlineStr">
        <is>
          <t>Swappable Batteries 1.2 kWh / Run Time: 6-10 Hours / Charge Time: 6-10 Hours</t>
        </is>
      </c>
      <c r="AE236" s="152" t="n"/>
      <c r="AF236" s="152" t="inlineStr">
        <is>
          <t>Not disclosed</t>
        </is>
      </c>
      <c r="AG236" s="156" t="inlineStr">
        <is>
          <t>4 per hand</t>
        </is>
      </c>
      <c r="AH236" s="152" t="inlineStr">
        <is>
          <t>4 per hand</t>
        </is>
      </c>
      <c r="AI236" s="152" t="n"/>
      <c r="AJ236" s="156" t="inlineStr">
        <is>
          <t>2D LiDAR / Camera(s) / Computer Vision / Microphone(s)</t>
        </is>
      </c>
      <c r="AK236" s="156" t="inlineStr">
        <is>
          <t>2D LiDAR / Camera(s) / Computer Vision / Microphone(s)</t>
        </is>
      </c>
      <c r="AL236" s="152" t="inlineStr">
        <is>
          <t>Not disclosed</t>
        </is>
      </c>
      <c r="AM236" s="152" t="n"/>
      <c r="AN236" s="152" t="inlineStr">
        <is>
          <t>Not disclosed</t>
        </is>
      </c>
      <c r="AO236" s="152" t="inlineStr">
        <is>
          <t>Not disclosed</t>
        </is>
      </c>
      <c r="AP236" s="152" t="inlineStr">
        <is>
          <t>Not disclosed</t>
        </is>
      </c>
      <c r="AQ236" s="152" t="inlineStr">
        <is>
          <t>Not disclosed</t>
        </is>
      </c>
      <c r="AR236" s="152" t="n"/>
      <c r="AS236" s="152" t="n"/>
      <c r="AT236" s="156" t="inlineStr">
        <is>
          <t>Intel multicore (exact GPUs not published)</t>
        </is>
      </c>
      <c r="AU236" s="156" t="inlineStr">
        <is>
          <t>5G LTE; Wi-Fi 6</t>
        </is>
      </c>
      <c r="AV236" s="152" t="inlineStr">
        <is>
          <t>Not disclosed</t>
        </is>
      </c>
      <c r="AW236" s="156" t="inlineStr">
        <is>
          <t>Not disclosed</t>
        </is>
      </c>
      <c r="AX236" s="152" t="n"/>
      <c r="AY236" s="156" t="inlineStr">
        <is>
          <t>Linux + ROS2</t>
        </is>
      </c>
      <c r="AZ236" s="156" t="inlineStr">
        <is>
          <t>Not disclosed</t>
        </is>
      </c>
      <c r="BA236" s="156" t="n"/>
      <c r="BB236" s="156" t="inlineStr">
        <is>
          <t>Maxon motors &amp; harmonic drives</t>
        </is>
      </c>
      <c r="BC236" s="156" t="inlineStr">
        <is>
          <t>Harmonic drives</t>
        </is>
      </c>
      <c r="BD236" s="152" t="inlineStr">
        <is>
          <t>Metals and engineered polymers</t>
        </is>
      </c>
      <c r="BE236" s="152" t="inlineStr">
        <is>
          <t>Not disclosed</t>
        </is>
      </c>
      <c r="BF236" s="152" t="n"/>
      <c r="BG236" s="152" t="n"/>
      <c r="BH236" s="152" t="n"/>
      <c r="BI236" s="152" t="n"/>
      <c r="BJ236" s="152" t="n"/>
      <c r="BK236" s="152" t="n"/>
      <c r="BL236" s="152" t="n"/>
      <c r="BM236" s="152" t="inlineStr">
        <is>
          <t>Yes</t>
        </is>
      </c>
      <c r="BN236" s="152" t="inlineStr">
        <is>
          <t>Not disclosed</t>
        </is>
      </c>
      <c r="BO236" s="156" t="inlineStr">
        <is>
          <t>Market: Industrial automation; logistics; Manufacturing · Human-safe: Yes · Actuation: Maxon motors &amp; harmonic drives · Peak 3 km/h · Runtime Swappable Batteries 1.2 kWh / Run Time: 6-10 Hours / Charge Time: 6-10 Hours</t>
        </is>
      </c>
      <c r="BP236" s="152" t="n"/>
      <c r="BQ236" s="156" t="inlineStr">
        <is>
          <t>Industrial automation; logistics; Manufacturing</t>
        </is>
      </c>
      <c r="BR236" s="156" t="inlineStr">
        <is>
          <t>In production</t>
        </is>
      </c>
      <c r="BS236" s="156" t="inlineStr">
        <is>
          <t>In production</t>
        </is>
      </c>
      <c r="BT236" s="152" t="inlineStr">
        <is>
          <t>Blue</t>
        </is>
      </c>
      <c r="BU236" s="152" t="inlineStr">
        <is>
          <t>Not verified</t>
        </is>
      </c>
      <c r="BV236" s="156" t="n"/>
      <c r="BW236" s="156" t="inlineStr">
        <is>
          <t>Origin &amp; status — USA · In production · 2026 | Manipulation — 4 per hand · 4 per hand fingers · Hand DOF 12 per hand (two hands) · Payload 44.1 lb | Sensing &amp; software — 2D LiDAR / Camera(s) / Computer Vision / Microphone(s) · Linux + ROS2 | Buying notes — From $29,999 · 12 months manufacturer standard (typical research/commercial humanoid) · Best fit: Industrial automation</t>
        </is>
      </c>
      <c r="BX236" s="156" t="inlineStr">
        <is>
          <t>as_shipped|Syntro|29999|As shipped</t>
        </is>
      </c>
      <c r="BY236" s="152" t="inlineStr">
        <is>
          <t>blue|Blue|#e2e8f0|0</t>
        </is>
      </c>
      <c r="BZ236" s="152" t="inlineStr"/>
      <c r="CA236" s="156" t="n"/>
      <c r="CB236" s="156" t="inlineStr">
        <is>
          <t>12 months manufacturer standard (typical research/commercial humanoid)</t>
        </is>
      </c>
      <c r="CC236" s="154" t="n">
        <v>12</v>
      </c>
      <c r="CD236" s="156" t="inlineStr">
        <is>
          <t>+3 Year Extended ≈24% of configuration (default in configurator)</t>
        </is>
      </c>
      <c r="CE236" s="152" t="inlineStr">
        <is>
          <t>Humanoid category norm 2025–2026</t>
        </is>
      </c>
      <c r="CF236" s="152" t="inlineStr">
        <is>
          <t>Estimated</t>
        </is>
      </c>
      <c r="CG236" s="156" t="inlineStr">
        <is>
          <t>Confirm on formal OEM quote. EDU or enterprise packages may differ.</t>
        </is>
      </c>
      <c r="CH236" s="152" t="inlineStr">
        <is>
          <t>10%</t>
        </is>
      </c>
      <c r="CI236" s="152" t="inlineStr">
        <is>
          <t>17%</t>
        </is>
      </c>
      <c r="CJ236" s="152" t="inlineStr">
        <is>
          <t>24%</t>
        </is>
      </c>
      <c r="CK236" s="156" t="inlineStr">
        <is>
          <t>+1yr ≈10% | +2yr ≈17% | +3yr ≈24% of selected configuration price (parts &amp; labor beyond manufacturer standard).</t>
        </is>
      </c>
      <c r="CL236"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36" s="152" t="inlineStr">
        <is>
          <t>12 months manufacturer standard (typical research/commercial humanoid)</t>
        </is>
      </c>
      <c r="CQ236" s="101" t="inlineStr">
        <is>
          <t>Height: 5 ft 7 in | Weight: 238.1 | Degrees of Freedom: 45 | Payload: 44.1 | Max Speed: 1.86 | Battery / Runtime: Swappable Batteries 1.2 kWh / Run Time: 6-10 Hours / Charge Time: 6-10 Hours</t>
        </is>
      </c>
    </row>
    <row r="237" ht="31.5" customHeight="1" s="102">
      <c r="A237" s="145" t="inlineStr">
        <is>
          <t>x_humanoid_omni</t>
        </is>
      </c>
      <c r="B237" s="153" t="inlineStr">
        <is>
          <t>Humanoid.guide</t>
        </is>
      </c>
      <c r="C237" s="145" t="inlineStr">
        <is>
          <t>X-Humanoid</t>
        </is>
      </c>
      <c r="D237" s="145" t="inlineStr">
        <is>
          <t>Omni</t>
        </is>
      </c>
      <c r="E237" s="145" t="inlineStr">
        <is>
          <t>[X-Humanoid] Omni (2026)</t>
        </is>
      </c>
      <c r="F237" s="146" t="inlineStr">
        <is>
          <t>humanoid</t>
        </is>
      </c>
      <c r="G237" s="145" t="inlineStr">
        <is>
          <t>China</t>
        </is>
      </c>
      <c r="H237" s="145" t="n"/>
      <c r="I237" s="148" t="n">
        <v>75000</v>
      </c>
      <c r="J237" s="145" t="inlineStr">
        <is>
          <t>Humanoid.guide list</t>
        </is>
      </c>
      <c r="K237" s="149" t="inlineStr">
        <is>
          <t>Omni is a versatile humanoid robot by X-Humanoid designed for real-world environments, combining mobility, manipulation, and AI-driven interaction.</t>
        </is>
      </c>
      <c r="L237" s="101" t="inlineStr">
        <is>
          <t>Omni is a versatile humanoid robot by X-Humanoid designed for real-world environments, combining mobility, manipulation, and AI-driven interaction.</t>
        </is>
      </c>
      <c r="M237" s="101" t="inlineStr">
        <is>
          <t>Omni is a versatile humanoid robot by X-Humanoid designed for real-world environments, combining mobility, manipulation, and AI-driven interaction. Public status is listed as prototype, and it is positioned for interactive service; logistics; Research.</t>
        </is>
      </c>
      <c r="N237" s="150" t="inlineStr">
        <is>
          <t>https://humanoid.guide/product/omni/</t>
        </is>
      </c>
      <c r="O237" s="150" t="inlineStr">
        <is>
          <t>https://www.x-humanoid.com</t>
        </is>
      </c>
      <c r="P237" s="145" t="inlineStr">
        <is>
          <t>5 ft 5 in</t>
        </is>
      </c>
      <c r="Q237" s="145" t="n">
        <v>165</v>
      </c>
      <c r="R237" s="145" t="n">
        <v>121.3</v>
      </c>
      <c r="S237" s="145" t="n">
        <v>55</v>
      </c>
      <c r="T237" s="149" t="inlineStr">
        <is>
          <t>Not disclosed</t>
        </is>
      </c>
      <c r="U237" s="145" t="n"/>
      <c r="V237" s="145" t="inlineStr">
        <is>
          <t>32</t>
        </is>
      </c>
      <c r="W237" s="149" t="inlineStr">
        <is>
          <t>12</t>
        </is>
      </c>
      <c r="X237" s="145" t="n">
        <v>22</v>
      </c>
      <c r="Y237" s="145" t="n">
        <v>10</v>
      </c>
      <c r="Z237" s="145" t="n">
        <v>3.11</v>
      </c>
      <c r="AA237" s="145" t="n">
        <v>5</v>
      </c>
      <c r="AB237" s="145" t="n">
        <v>3</v>
      </c>
      <c r="AC237" s="149" t="inlineStr">
        <is>
          <t>≈ 2 hours</t>
        </is>
      </c>
      <c r="AD237" s="149" t="inlineStr">
        <is>
          <t>2</t>
        </is>
      </c>
      <c r="AE237" s="145" t="n"/>
      <c r="AF237" s="145" t="inlineStr">
        <is>
          <t>Not disclosed</t>
        </is>
      </c>
      <c r="AG237" s="149" t="inlineStr">
        <is>
          <t>5</t>
        </is>
      </c>
      <c r="AH237" s="145" t="inlineStr">
        <is>
          <t>5</t>
        </is>
      </c>
      <c r="AI237" s="145" t="n"/>
      <c r="AJ237" s="149" t="inlineStr">
        <is>
          <t>HD / RGB-D (estimated 1080p + depth sensors)</t>
        </is>
      </c>
      <c r="AK237" s="149" t="inlineStr">
        <is>
          <t>HD / RGB-D (estimated 1080p + depth sensors)</t>
        </is>
      </c>
      <c r="AL237" s="145" t="inlineStr">
        <is>
          <t>Not disclosed</t>
        </is>
      </c>
      <c r="AM237" s="145" t="n"/>
      <c r="AN237" s="145" t="inlineStr">
        <is>
          <t>Not disclosed</t>
        </is>
      </c>
      <c r="AO237" s="145" t="inlineStr">
        <is>
          <t>Not disclosed</t>
        </is>
      </c>
      <c r="AP237" s="145" t="inlineStr">
        <is>
          <t>Not disclosed</t>
        </is>
      </c>
      <c r="AQ237" s="145" t="inlineStr">
        <is>
          <t>Not disclosed</t>
        </is>
      </c>
      <c r="AR237" s="145" t="n"/>
      <c r="AS237" s="145" t="n"/>
      <c r="AT237" s="149" t="inlineStr">
        <is>
          <t>High-performance onboard compute (likely NVIDIA-based AI module)</t>
        </is>
      </c>
      <c r="AU237" s="149" t="inlineStr">
        <is>
          <t>Bluetooth; Wi‑Fi</t>
        </is>
      </c>
      <c r="AV237" s="145" t="inlineStr">
        <is>
          <t>Not disclosed</t>
        </is>
      </c>
      <c r="AW237" s="149" t="inlineStr">
        <is>
          <t>Not disclosed</t>
        </is>
      </c>
      <c r="AX237" s="145" t="n"/>
      <c r="AY237" s="149" t="inlineStr">
        <is>
          <t>Linux / ROS-based system</t>
        </is>
      </c>
      <c r="AZ237" s="149" t="inlineStr">
        <is>
          <t>Possible (via external AI stack)</t>
        </is>
      </c>
      <c r="BA237" s="149" t="inlineStr">
        <is>
          <t>~100–300 ms (estimated)</t>
        </is>
      </c>
      <c r="BB237" s="149" t="inlineStr">
        <is>
          <t>Electric servo actuators</t>
        </is>
      </c>
      <c r="BC237" s="149" t="inlineStr">
        <is>
          <t>Harmonic drive / planetary gears (assumed)</t>
        </is>
      </c>
      <c r="BD237" s="145" t="inlineStr">
        <is>
          <t>Aluminum + composites</t>
        </is>
      </c>
      <c r="BE237" s="145" t="inlineStr">
        <is>
          <t>Not disclosed</t>
        </is>
      </c>
      <c r="BF237" s="145" t="n"/>
      <c r="BG237" s="145" t="n"/>
      <c r="BH237" s="145" t="n"/>
      <c r="BI237" s="145" t="n"/>
      <c r="BJ237" s="145" t="n"/>
      <c r="BK237" s="145" t="n"/>
      <c r="BL237" s="145" t="n"/>
      <c r="BM237" s="145" t="inlineStr">
        <is>
          <t>Yes</t>
        </is>
      </c>
      <c r="BN237" s="145" t="inlineStr">
        <is>
          <t>Not disclosed</t>
        </is>
      </c>
      <c r="BO237" s="149" t="inlineStr">
        <is>
          <t>Market: Interactive service; logistics; Research · Human-safe: Yes · AI: Possible (via external AI stack) · Actuation: Electric servo actuators · Peak 5 km/h · Walk 3 km/h · Runtime 2</t>
        </is>
      </c>
      <c r="BP237" s="145" t="n"/>
      <c r="BQ237" s="149" t="inlineStr">
        <is>
          <t>Interactive service; logistics; Research</t>
        </is>
      </c>
      <c r="BR237" s="149" t="inlineStr">
        <is>
          <t>Prototype</t>
        </is>
      </c>
      <c r="BS237" s="149" t="inlineStr">
        <is>
          <t>Prototype</t>
        </is>
      </c>
      <c r="BT237" s="145" t="n"/>
      <c r="BU237" s="145" t="n"/>
      <c r="BV237" s="149" t="n"/>
      <c r="BW237" s="149" t="inlineStr">
        <is>
          <t>Origin &amp; status — China · Prototype · 2026 | Manipulation — 5 · 5 fingers · Hand DOF 12 · Payload 22 lb | Sensing &amp; software — HD / RGB-D (estimated 1080p + depth sensors) · Possible (via external AI stack) · Linux / ROS-based system | Buying notes — From $75,000 · 12 months manufacturer standard (typical research/commercial humanoid) · Best fit: Interactive service</t>
        </is>
      </c>
      <c r="BX237" s="149" t="inlineStr">
        <is>
          <t>as_shipped|Omni|75000|As shipped</t>
        </is>
      </c>
      <c r="BY237" s="145" t="inlineStr">
        <is>
          <t>omni|Manufacturer finish|#e2e8f0|0</t>
        </is>
      </c>
      <c r="BZ237" s="145" t="inlineStr"/>
      <c r="CA237" s="149" t="n"/>
      <c r="CB237" s="149" t="inlineStr">
        <is>
          <t>12 months manufacturer standard (typical research/commercial humanoid)</t>
        </is>
      </c>
      <c r="CC237" s="147" t="n">
        <v>12</v>
      </c>
      <c r="CD237" s="149" t="inlineStr">
        <is>
          <t>+3 Year Extended ≈24% of configuration (default in configurator)</t>
        </is>
      </c>
      <c r="CE237" s="145" t="inlineStr">
        <is>
          <t>Humanoid category norm 2025–2026</t>
        </is>
      </c>
      <c r="CF237" s="145" t="inlineStr">
        <is>
          <t>Estimated</t>
        </is>
      </c>
      <c r="CG237" s="149" t="inlineStr">
        <is>
          <t>Confirm on formal OEM quote. EDU or enterprise packages may differ.</t>
        </is>
      </c>
      <c r="CH237" s="145" t="inlineStr">
        <is>
          <t>10%</t>
        </is>
      </c>
      <c r="CI237" s="145" t="inlineStr">
        <is>
          <t>17%</t>
        </is>
      </c>
      <c r="CJ237" s="145" t="inlineStr">
        <is>
          <t>24%</t>
        </is>
      </c>
      <c r="CK237" s="149" t="inlineStr">
        <is>
          <t>+1yr ≈10% | +2yr ≈17% | +3yr ≈24% of selected configuration price (parts &amp; labor beyond manufacturer standard).</t>
        </is>
      </c>
      <c r="CL237"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37" s="145" t="inlineStr">
        <is>
          <t>12 months manufacturer standard (typical research/commercial humanoid)</t>
        </is>
      </c>
      <c r="CQ237" s="101" t="inlineStr">
        <is>
          <t>Height: 5 ft 5 in | Weight: 121.3 | Degrees of Freedom: 32 | Payload: 22 | Max Speed: 3.11 | Battery / Runtime: ≈ 2 hours</t>
        </is>
      </c>
    </row>
    <row r="238" ht="31.5" customHeight="1" s="102">
      <c r="A238" s="152" t="inlineStr">
        <is>
          <t>x_humanoid_tian_yi_2_0</t>
        </is>
      </c>
      <c r="B238" s="153" t="inlineStr">
        <is>
          <t>Humanoid.guide</t>
        </is>
      </c>
      <c r="C238" s="152" t="inlineStr">
        <is>
          <t>X-Humanoid</t>
        </is>
      </c>
      <c r="D238" s="152" t="inlineStr">
        <is>
          <t>Tian Yi 2.0</t>
        </is>
      </c>
      <c r="E238" s="152" t="inlineStr">
        <is>
          <t>[X-Humanoid] Tian Yi 2.0 (2026)</t>
        </is>
      </c>
      <c r="F238" s="146" t="inlineStr">
        <is>
          <t>humanoid</t>
        </is>
      </c>
      <c r="G238" s="152" t="inlineStr">
        <is>
          <t>China</t>
        </is>
      </c>
      <c r="H238" s="152" t="n"/>
      <c r="I238" s="155" t="n">
        <v>60000</v>
      </c>
      <c r="J238" s="152" t="inlineStr">
        <is>
          <t>Humanoid.guide list</t>
        </is>
      </c>
      <c r="K238" s="156" t="inlineStr">
        <is>
          <t>Tian Yi 2.0 is a versatile embodied AI humanoid robot from the Beijing Humanoid Robot Innovation Center.</t>
        </is>
      </c>
      <c r="L238" s="101" t="inlineStr">
        <is>
          <t>Tian Yi 2.0 is a versatile embodied AI humanoid robot from the Beijing Humanoid Robot Innovation Center.</t>
        </is>
      </c>
      <c r="M238" s="101" t="inlineStr">
        <is>
          <t>Tian Yi 2.0 is a versatile embodied AI humanoid robot from the Beijing Humanoid Robot Innovation Center. Public status is listed as in production, and it is positioned for industrial; inspection; patrol; service robotics.</t>
        </is>
      </c>
      <c r="N238" s="157" t="inlineStr">
        <is>
          <t>https://humanoid.guide/product/tian-yi-2-0/</t>
        </is>
      </c>
      <c r="O238" s="157" t="inlineStr">
        <is>
          <t>https://www.x-humanoid.com</t>
        </is>
      </c>
      <c r="P238" s="152" t="inlineStr">
        <is>
          <t>5 ft 3 in</t>
        </is>
      </c>
      <c r="Q238" s="152" t="n">
        <v>160</v>
      </c>
      <c r="R238" s="152" t="n"/>
      <c r="S238" s="152" t="n"/>
      <c r="T238" s="156" t="inlineStr">
        <is>
          <t>Not disclosed</t>
        </is>
      </c>
      <c r="U238" s="152" t="n"/>
      <c r="V238" s="152" t="inlineStr">
        <is>
          <t>20; Not disclosed (likely 30+ with arms and base)</t>
        </is>
      </c>
      <c r="W238" s="156" t="inlineStr">
        <is>
          <t>Not disclosed</t>
        </is>
      </c>
      <c r="X238" s="152" t="n">
        <v>39.7</v>
      </c>
      <c r="Y238" s="152" t="n">
        <v>18</v>
      </c>
      <c r="Z238" s="152" t="n">
        <v>4.35</v>
      </c>
      <c r="AA238" s="152" t="n">
        <v>7</v>
      </c>
      <c r="AB238" s="152" t="n"/>
      <c r="AC238" s="156" t="inlineStr">
        <is>
          <t>Not disclosed</t>
        </is>
      </c>
      <c r="AD238" s="156" t="n"/>
      <c r="AE238" s="152" t="n"/>
      <c r="AF238" s="152" t="inlineStr">
        <is>
          <t>Not disclosed</t>
        </is>
      </c>
      <c r="AG238" s="156" t="inlineStr">
        <is>
          <t>5 per hand</t>
        </is>
      </c>
      <c r="AH238" s="152" t="inlineStr">
        <is>
          <t>5 per hand</t>
        </is>
      </c>
      <c r="AI238" s="152" t="n"/>
      <c r="AJ238" s="156" t="inlineStr">
        <is>
          <t>Not disclosed</t>
        </is>
      </c>
      <c r="AK238" s="156" t="n"/>
      <c r="AL238" s="152" t="inlineStr">
        <is>
          <t>Not disclosed</t>
        </is>
      </c>
      <c r="AM238" s="152" t="n"/>
      <c r="AN238" s="152" t="inlineStr">
        <is>
          <t>Not disclosed</t>
        </is>
      </c>
      <c r="AO238" s="152" t="inlineStr">
        <is>
          <t>Not disclosed</t>
        </is>
      </c>
      <c r="AP238" s="152" t="inlineStr">
        <is>
          <t>Not disclosed</t>
        </is>
      </c>
      <c r="AQ238" s="152" t="inlineStr">
        <is>
          <t>Not disclosed</t>
        </is>
      </c>
      <c r="AR238" s="152" t="n"/>
      <c r="AS238" s="152" t="n"/>
      <c r="AT238" s="156" t="inlineStr">
        <is>
          <t>Large embodied AI platform (HuiSi KaiWu)</t>
        </is>
      </c>
      <c r="AU238" s="156" t="inlineStr">
        <is>
          <t>Wi‑Fi</t>
        </is>
      </c>
      <c r="AV238" s="152" t="inlineStr">
        <is>
          <t>Not disclosed</t>
        </is>
      </c>
      <c r="AW238" s="156" t="inlineStr">
        <is>
          <t>Not disclosed</t>
        </is>
      </c>
      <c r="AX238" s="152" t="n"/>
      <c r="AY238" s="156" t="inlineStr">
        <is>
          <t>Linux-based custom robotics OS</t>
        </is>
      </c>
      <c r="AZ238" s="156" t="inlineStr">
        <is>
          <t>Integrated large embodied AI models</t>
        </is>
      </c>
      <c r="BA238" s="156" t="n"/>
      <c r="BB238" s="156" t="inlineStr">
        <is>
          <t>Electric actuators (servo)</t>
        </is>
      </c>
      <c r="BC238" s="156" t="inlineStr">
        <is>
          <t>Precision gearing</t>
        </is>
      </c>
      <c r="BD238" s="152" t="inlineStr">
        <is>
          <t>Not disclosed</t>
        </is>
      </c>
      <c r="BE238" s="152" t="inlineStr">
        <is>
          <t>Not disclosed</t>
        </is>
      </c>
      <c r="BF238" s="152" t="n"/>
      <c r="BG238" s="152" t="n"/>
      <c r="BH238" s="152" t="n"/>
      <c r="BI238" s="152" t="n"/>
      <c r="BJ238" s="152" t="n"/>
      <c r="BK238" s="152" t="n"/>
      <c r="BL238" s="152" t="n"/>
      <c r="BM238" s="152" t="inlineStr">
        <is>
          <t>Yes</t>
        </is>
      </c>
      <c r="BN238" s="152" t="inlineStr">
        <is>
          <t>Not disclosed</t>
        </is>
      </c>
      <c r="BO238" s="156" t="inlineStr">
        <is>
          <t>Market: Industrial; inspection; patrol; service robotics · Human-safe: Yes · AI: Integrated large embodied AI models · Actuation: Electric actuators (servo) · Peak 7 km/h</t>
        </is>
      </c>
      <c r="BP238" s="152" t="n"/>
      <c r="BQ238" s="156" t="inlineStr">
        <is>
          <t>Industrial; inspection; patrol; service robotics</t>
        </is>
      </c>
      <c r="BR238" s="156" t="inlineStr">
        <is>
          <t>In production</t>
        </is>
      </c>
      <c r="BS238" s="156" t="inlineStr">
        <is>
          <t>In production</t>
        </is>
      </c>
      <c r="BT238" s="152" t="inlineStr">
        <is>
          <t>White</t>
        </is>
      </c>
      <c r="BU238" s="152" t="inlineStr">
        <is>
          <t>Not verified</t>
        </is>
      </c>
      <c r="BV238" s="156" t="n"/>
      <c r="BW238" s="156" t="inlineStr">
        <is>
          <t>Origin &amp; status — China · In production · 2026 | Manipulation — 5 per hand · 5 per hand fingers · Payload 39.7 lb | Sensing &amp; software — Integrated large embodied AI models · Linux-based custom robotics OS | Buying notes — From $60,000 · 12 months manufacturer standard (typical research/commercial humanoid) · Best fit: Industrial</t>
        </is>
      </c>
      <c r="BX238" s="156" t="inlineStr">
        <is>
          <t>as_shipped|Tian Yi 2.0|60000|As shipped</t>
        </is>
      </c>
      <c r="BY238" s="152" t="inlineStr">
        <is>
          <t>white|White|#e2e8f0|0</t>
        </is>
      </c>
      <c r="BZ238" s="152" t="inlineStr"/>
      <c r="CA238" s="156" t="n"/>
      <c r="CB238" s="156" t="inlineStr">
        <is>
          <t>12 months manufacturer standard (typical research/commercial humanoid)</t>
        </is>
      </c>
      <c r="CC238" s="154" t="n">
        <v>12</v>
      </c>
      <c r="CD238" s="156" t="inlineStr">
        <is>
          <t>+3 Year Extended ≈24% of configuration (default in configurator)</t>
        </is>
      </c>
      <c r="CE238" s="152" t="inlineStr">
        <is>
          <t>Humanoid category norm 2025–2026</t>
        </is>
      </c>
      <c r="CF238" s="152" t="inlineStr">
        <is>
          <t>Estimated</t>
        </is>
      </c>
      <c r="CG238" s="156" t="inlineStr">
        <is>
          <t>Confirm on formal OEM quote. EDU or enterprise packages may differ.</t>
        </is>
      </c>
      <c r="CH238" s="152" t="inlineStr">
        <is>
          <t>10%</t>
        </is>
      </c>
      <c r="CI238" s="152" t="inlineStr">
        <is>
          <t>17%</t>
        </is>
      </c>
      <c r="CJ238" s="152" t="inlineStr">
        <is>
          <t>24%</t>
        </is>
      </c>
      <c r="CK238" s="156" t="inlineStr">
        <is>
          <t>+1yr ≈10% | +2yr ≈17% | +3yr ≈24% of selected configuration price (parts &amp; labor beyond manufacturer standard).</t>
        </is>
      </c>
      <c r="CL238"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38" s="152" t="inlineStr">
        <is>
          <t>12 months manufacturer standard (typical research/commercial humanoid)</t>
        </is>
      </c>
      <c r="CQ238" s="101" t="inlineStr">
        <is>
          <t>Height: 5 ft 3 in | Weight: Not disclosed | Degrees of Freedom: 20; Not disclosed (likely 30+ with arms and base) | Payload: 39.7 | Max Speed: 4.35 | Battery / Runtime: Not disclosed</t>
        </is>
      </c>
    </row>
    <row r="239" ht="31.5" customHeight="1" s="102">
      <c r="A239" s="145" t="inlineStr">
        <is>
          <t>x_humanoid_tien_kung_2_0</t>
        </is>
      </c>
      <c r="B239" s="153" t="inlineStr">
        <is>
          <t>Humanoid.guide</t>
        </is>
      </c>
      <c r="C239" s="145" t="inlineStr">
        <is>
          <t>X-Humanoid</t>
        </is>
      </c>
      <c r="D239" s="145" t="inlineStr">
        <is>
          <t>Tien Kung 2.0</t>
        </is>
      </c>
      <c r="E239" s="145" t="inlineStr">
        <is>
          <t>[X-Humanoid] Tien Kung 2.0 (2026)</t>
        </is>
      </c>
      <c r="F239" s="146" t="inlineStr">
        <is>
          <t>humanoid</t>
        </is>
      </c>
      <c r="G239" s="145" t="inlineStr">
        <is>
          <t>China</t>
        </is>
      </c>
      <c r="H239" s="145" t="n"/>
      <c r="I239" s="148" t="n">
        <v>41000</v>
      </c>
      <c r="J239" s="145" t="inlineStr">
        <is>
          <t>Humanoid.guide list</t>
        </is>
      </c>
      <c r="K239" s="149" t="inlineStr">
        <is>
          <t>Tien Kung 2.0 is an advanced full-size humanoid robot developed with a general embodied AI platform for robust mobility and manipulation.</t>
        </is>
      </c>
      <c r="L239" s="101" t="inlineStr">
        <is>
          <t>Tien Kung 2.0 is an advanced full-size humanoid robot developed with a general embodied AI platform for robust mobility and manipulation.</t>
        </is>
      </c>
      <c r="M239" s="101" t="inlineStr">
        <is>
          <t>Tien Kung 2.0 is an advanced full-size humanoid robot developed with a general embodied AI platform for robust mobility and manipulation. Public status is listed as in production, and it is positioned for aI development; industrial PR labs; Robotics research.</t>
        </is>
      </c>
      <c r="N239" s="150" t="inlineStr">
        <is>
          <t>https://humanoid.guide/product/tien-kung-2-0/</t>
        </is>
      </c>
      <c r="O239" s="150" t="inlineStr">
        <is>
          <t>https://www.x-humanoid.com</t>
        </is>
      </c>
      <c r="P239" s="145" t="inlineStr">
        <is>
          <t>5 ft 7 in</t>
        </is>
      </c>
      <c r="Q239" s="145" t="n">
        <v>170</v>
      </c>
      <c r="R239" s="145" t="n">
        <v>154.3</v>
      </c>
      <c r="S239" s="145" t="n">
        <v>70</v>
      </c>
      <c r="T239" s="149" t="inlineStr">
        <is>
          <t>Not disclosed</t>
        </is>
      </c>
      <c r="U239" s="145" t="n"/>
      <c r="V239" s="145" t="inlineStr">
        <is>
          <t>20</t>
        </is>
      </c>
      <c r="W239" s="149" t="inlineStr">
        <is>
          <t>Not disclosed</t>
        </is>
      </c>
      <c r="X239" s="145" t="n">
        <v>26.5</v>
      </c>
      <c r="Y239" s="145" t="n">
        <v>12</v>
      </c>
      <c r="Z239" s="145" t="n">
        <v>6.21</v>
      </c>
      <c r="AA239" s="145" t="n">
        <v>10</v>
      </c>
      <c r="AB239" s="145" t="n">
        <v>10</v>
      </c>
      <c r="AC239" s="149" t="inlineStr">
        <is>
          <t>Not disclosed</t>
        </is>
      </c>
      <c r="AD239" s="149" t="n"/>
      <c r="AE239" s="145" t="n"/>
      <c r="AF239" s="145" t="inlineStr">
        <is>
          <t>Not disclosed</t>
        </is>
      </c>
      <c r="AG239" s="149" t="inlineStr">
        <is>
          <t>5 per hand</t>
        </is>
      </c>
      <c r="AH239" s="145" t="inlineStr">
        <is>
          <t>5 per hand</t>
        </is>
      </c>
      <c r="AI239" s="145" t="n"/>
      <c r="AJ239" s="149" t="inlineStr">
        <is>
          <t>Not disclosed</t>
        </is>
      </c>
      <c r="AK239" s="149" t="n"/>
      <c r="AL239" s="145" t="inlineStr">
        <is>
          <t>Not disclosed</t>
        </is>
      </c>
      <c r="AM239" s="145" t="n"/>
      <c r="AN239" s="145" t="inlineStr">
        <is>
          <t>Not disclosed</t>
        </is>
      </c>
      <c r="AO239" s="145" t="inlineStr">
        <is>
          <t>Not disclosed</t>
        </is>
      </c>
      <c r="AP239" s="145" t="inlineStr">
        <is>
          <t>Not disclosed</t>
        </is>
      </c>
      <c r="AQ239" s="145" t="inlineStr">
        <is>
          <t>Not disclosed</t>
        </is>
      </c>
      <c r="AR239" s="145" t="n"/>
      <c r="AS239" s="145" t="n"/>
      <c r="AT239" s="149" t="inlineStr">
        <is>
          <t>NVIDIA Jetson Orin / advanced AI platform (Hui Si Kai Wu)</t>
        </is>
      </c>
      <c r="AU239" s="149" t="inlineStr">
        <is>
          <t>app/voice interfaces; Wi‑Fi</t>
        </is>
      </c>
      <c r="AV239" s="145" t="inlineStr">
        <is>
          <t>Not disclosed</t>
        </is>
      </c>
      <c r="AW239" s="149" t="inlineStr">
        <is>
          <t>Not disclosed</t>
        </is>
      </c>
      <c r="AX239" s="145" t="n"/>
      <c r="AY239" s="149" t="inlineStr">
        <is>
          <t>Custom robotics OS / open-source control stack available</t>
        </is>
      </c>
      <c r="AZ239" s="149" t="inlineStr">
        <is>
          <t>Supported by embodied AI platform (Hui Si Kai Wu)</t>
        </is>
      </c>
      <c r="BA239" s="149" t="n"/>
      <c r="BB239" s="149" t="inlineStr">
        <is>
          <t>Electric actuators (servo)</t>
        </is>
      </c>
      <c r="BC239" s="149" t="inlineStr">
        <is>
          <t>Precision gearing</t>
        </is>
      </c>
      <c r="BD239" s="145" t="inlineStr">
        <is>
          <t>Alloy framework with engineering plastic</t>
        </is>
      </c>
      <c r="BE239" s="145" t="inlineStr">
        <is>
          <t>Not disclosed</t>
        </is>
      </c>
      <c r="BF239" s="145" t="n"/>
      <c r="BG239" s="145" t="n"/>
      <c r="BH239" s="145" t="n"/>
      <c r="BI239" s="145" t="n"/>
      <c r="BJ239" s="145" t="n"/>
      <c r="BK239" s="145" t="n"/>
      <c r="BL239" s="145" t="n"/>
      <c r="BM239" s="145" t="inlineStr">
        <is>
          <t>Yes</t>
        </is>
      </c>
      <c r="BN239" s="145" t="inlineStr">
        <is>
          <t>Not disclosed</t>
        </is>
      </c>
      <c r="BO239" s="149" t="inlineStr">
        <is>
          <t>Market: AI development; industrial PR labs; Robotics research · Human-safe: Yes · AI: Supported by embodied AI platform (Hui Si Kai Wu) · Actuation: Electric actuators (servo) · Peak 10 km/h · Walk 10 km/h</t>
        </is>
      </c>
      <c r="BP239" s="145" t="n"/>
      <c r="BQ239" s="149" t="inlineStr">
        <is>
          <t>AI development; industrial PR labs; Robotics research</t>
        </is>
      </c>
      <c r="BR239" s="149" t="inlineStr">
        <is>
          <t>In production</t>
        </is>
      </c>
      <c r="BS239" s="149" t="inlineStr">
        <is>
          <t>In production</t>
        </is>
      </c>
      <c r="BT239" s="145" t="inlineStr">
        <is>
          <t>White</t>
        </is>
      </c>
      <c r="BU239" s="145" t="inlineStr">
        <is>
          <t>Not verified</t>
        </is>
      </c>
      <c r="BV239" s="149" t="n"/>
      <c r="BW239" s="149" t="inlineStr">
        <is>
          <t>Origin &amp; status — China · In production · 2026 | Manipulation — 5 per hand · 5 per hand fingers · Payload 26.5 lb | Sensing &amp; software — Supported by embodied AI platform (Hui Si Kai Wu) · Custom robotics OS / open-source control stack available | Buying notes — From $41,000 · 12 months manufacturer standard (typical research/commercial humanoid) · Best fit: AI development</t>
        </is>
      </c>
      <c r="BX239" s="149" t="inlineStr">
        <is>
          <t>as_shipped|Tien Kung 2.0|41000|As shipped</t>
        </is>
      </c>
      <c r="BY239" s="145" t="inlineStr">
        <is>
          <t>white|White|#e2e8f0|0</t>
        </is>
      </c>
      <c r="BZ239" s="145" t="inlineStr"/>
      <c r="CA239" s="149" t="n"/>
      <c r="CB239" s="149" t="inlineStr">
        <is>
          <t>12 months manufacturer standard (typical research/commercial humanoid)</t>
        </is>
      </c>
      <c r="CC239" s="147" t="n">
        <v>12</v>
      </c>
      <c r="CD239" s="149" t="inlineStr">
        <is>
          <t>+3 Year Extended ≈24% of configuration (default in configurator)</t>
        </is>
      </c>
      <c r="CE239" s="145" t="inlineStr">
        <is>
          <t>Humanoid category norm 2025–2026</t>
        </is>
      </c>
      <c r="CF239" s="145" t="inlineStr">
        <is>
          <t>Estimated</t>
        </is>
      </c>
      <c r="CG239" s="149" t="inlineStr">
        <is>
          <t>Confirm on formal OEM quote. EDU or enterprise packages may differ.</t>
        </is>
      </c>
      <c r="CH239" s="145" t="inlineStr">
        <is>
          <t>10%</t>
        </is>
      </c>
      <c r="CI239" s="145" t="inlineStr">
        <is>
          <t>17%</t>
        </is>
      </c>
      <c r="CJ239" s="145" t="inlineStr">
        <is>
          <t>24%</t>
        </is>
      </c>
      <c r="CK239" s="149" t="inlineStr">
        <is>
          <t>+1yr ≈10% | +2yr ≈17% | +3yr ≈24% of selected configuration price (parts &amp; labor beyond manufacturer standard).</t>
        </is>
      </c>
      <c r="CL23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39" s="145" t="inlineStr">
        <is>
          <t>12 months manufacturer standard (typical research/commercial humanoid)</t>
        </is>
      </c>
      <c r="CQ239" s="101" t="inlineStr">
        <is>
          <t>Height: 5 ft 7 in | Weight: 154.3 | Degrees of Freedom: 20 | Payload: 26.5 | Max Speed: 6.21 | Battery / Runtime: Not disclosed</t>
        </is>
      </c>
    </row>
    <row r="240" ht="31.5" customHeight="1" s="102">
      <c r="A240" s="159" t="inlineStr">
        <is>
          <t>x_humanoid_beijing_humanoid_robot_innova</t>
        </is>
      </c>
      <c r="B240" s="144" t="inlineStr">
        <is>
          <t>Both</t>
        </is>
      </c>
      <c r="C240" s="152" t="inlineStr">
        <is>
          <t>X-Humanoid</t>
        </is>
      </c>
      <c r="D240" s="152" t="inlineStr">
        <is>
          <t>Tien Kung 3.0</t>
        </is>
      </c>
      <c r="E240" s="152" t="inlineStr">
        <is>
          <t>[X-Humanoid] Tien Kung 3.0 (2025)</t>
        </is>
      </c>
      <c r="F240" s="146" t="inlineStr">
        <is>
          <t>humanoid</t>
        </is>
      </c>
      <c r="G240" s="152" t="inlineStr">
        <is>
          <t>China</t>
        </is>
      </c>
      <c r="H240" s="154" t="n">
        <v>2025</v>
      </c>
      <c r="I240" s="155" t="n">
        <v>41000</v>
      </c>
      <c r="J240" s="152" t="inlineStr">
        <is>
          <t>Robot Price Index Aug 2026 · TianGong band</t>
        </is>
      </c>
      <c r="K240" s="156" t="inlineStr">
        <is>
          <t>Tien Kung 3.0 is a full-size humanoid robot designed for dynamic mobility and open development.</t>
        </is>
      </c>
      <c r="L240" s="101" t="inlineStr">
        <is>
          <t>Tien Kung 3.0 is a full-size humanoid robot designed for dynamic mobility and open development.</t>
        </is>
      </c>
      <c r="M240" s="101" t="inlineStr">
        <is>
          <t>Tien Kung 3.0 is a full-size humanoid robot designed for dynamic mobility and open development. Public status is listed as featured WHRG 2026 record-setter, and it is positioned for athletic / Research / Ceremony.</t>
        </is>
      </c>
      <c r="N240" s="157" t="inlineStr">
        <is>
          <t>https://humanoid.guide/product/tien-kung-3-0/</t>
        </is>
      </c>
      <c r="O240" s="157" t="inlineStr">
        <is>
          <t>https://www.x-humanoid.com</t>
        </is>
      </c>
      <c r="P240" s="152" t="inlineStr">
        <is>
          <t>5 ft 5 in – 5 ft 10 in</t>
        </is>
      </c>
      <c r="Q240" s="152" t="n">
        <v>169</v>
      </c>
      <c r="R240" s="152" t="n">
        <v>136.7</v>
      </c>
      <c r="S240" s="152" t="n">
        <v>62</v>
      </c>
      <c r="T240" s="156" t="inlineStr">
        <is>
          <t>Not disclosed</t>
        </is>
      </c>
      <c r="U240" s="152" t="n"/>
      <c r="V240" s="152" t="inlineStr">
        <is>
          <t>High</t>
        </is>
      </c>
      <c r="W240" s="156" t="inlineStr">
        <is>
          <t>12</t>
        </is>
      </c>
      <c r="X240" s="152" t="n">
        <v>33.1</v>
      </c>
      <c r="Y240" s="152" t="n">
        <v>15</v>
      </c>
      <c r="Z240" s="152" t="n">
        <v>3.73</v>
      </c>
      <c r="AA240" s="152" t="n">
        <v>6</v>
      </c>
      <c r="AB240" s="152" t="n">
        <v>4</v>
      </c>
      <c r="AC240" s="156" t="inlineStr">
        <is>
          <t>~1.5–2</t>
        </is>
      </c>
      <c r="AD240" s="156" t="inlineStr">
        <is>
          <t>~1.5–2</t>
        </is>
      </c>
      <c r="AE240" s="152" t="n"/>
      <c r="AF240" s="152" t="inlineStr">
        <is>
          <t>Not disclosed</t>
        </is>
      </c>
      <c r="AG240" s="156" t="inlineStr">
        <is>
          <t>Grippers or dexterous hands depending on configuration</t>
        </is>
      </c>
      <c r="AH240" s="152" t="inlineStr">
        <is>
          <t>5 per hand</t>
        </is>
      </c>
      <c r="AI240" s="152" t="n"/>
      <c r="AJ240" s="156" t="inlineStr">
        <is>
          <t>RGB and/or depth cameras for navigation and manipulation (configuration specific)</t>
        </is>
      </c>
      <c r="AK240" s="156" t="n"/>
      <c r="AL240" s="152" t="inlineStr">
        <is>
          <t>Onboard streams for teleoperation and logging when equipped</t>
        </is>
      </c>
      <c r="AM240" s="152" t="n"/>
      <c r="AN240" s="152" t="inlineStr">
        <is>
          <t>Not disclosed</t>
        </is>
      </c>
      <c r="AO240" s="152" t="inlineStr">
        <is>
          <t>Microphone array on interaction-oriented builds</t>
        </is>
      </c>
      <c r="AP240" s="152" t="inlineStr">
        <is>
          <t>Not disclosed</t>
        </is>
      </c>
      <c r="AQ240" s="152" t="inlineStr">
        <is>
          <t>Not disclosed</t>
        </is>
      </c>
      <c r="AR240" s="152" t="n"/>
      <c r="AS240" s="152" t="n"/>
      <c r="AT240" s="156" t="inlineStr">
        <is>
          <t>Not disclosed</t>
        </is>
      </c>
      <c r="AU240" s="156" t="inlineStr">
        <is>
          <t>5G; Ethernet; Wi‑Fi</t>
        </is>
      </c>
      <c r="AV240" s="152" t="inlineStr">
        <is>
          <t>Manufacturer app and/or SDK</t>
        </is>
      </c>
      <c r="AW240" s="156" t="inlineStr">
        <is>
          <t>Bipedal balance and walking controllers</t>
        </is>
      </c>
      <c r="AX240" s="152" t="n"/>
      <c r="AY240" s="156" t="inlineStr">
        <is>
          <t>Custom robotics OS / open-source control stack available</t>
        </is>
      </c>
      <c r="AZ240" s="156" t="inlineStr">
        <is>
          <t>Supported by embodied AI platform (Hui Si Kai Wu)</t>
        </is>
      </c>
      <c r="BA240" s="156" t="n"/>
      <c r="BB240" s="156" t="inlineStr">
        <is>
          <t>High-torque electric actuators</t>
        </is>
      </c>
      <c r="BC240" s="156" t="inlineStr">
        <is>
          <t>Harmonic drive or planetary reduction</t>
        </is>
      </c>
      <c r="BD240" s="152" t="inlineStr">
        <is>
          <t>Lightweight aluminum alloy and composite materials</t>
        </is>
      </c>
      <c r="BE240" s="152" t="inlineStr">
        <is>
          <t>Not disclosed</t>
        </is>
      </c>
      <c r="BF240" s="152" t="n"/>
      <c r="BG240" s="152" t="n"/>
      <c r="BH240" s="152" t="n"/>
      <c r="BI240" s="152" t="n"/>
      <c r="BJ240" s="152" t="n"/>
      <c r="BK240" s="152" t="n"/>
      <c r="BL240" s="152" t="n"/>
      <c r="BM240" s="152" t="inlineStr">
        <is>
          <t>Yes</t>
        </is>
      </c>
      <c r="BN240" s="152" t="inlineStr">
        <is>
          <t>Not disclosed</t>
        </is>
      </c>
      <c r="BO240" s="156" t="inlineStr">
        <is>
          <t>Market: Athletic / Research / Ceremony · Human-safe: Yes · AI: Supported by embodied AI platform (Hui Si Kai Wu) · Actuation: High-torque electric actuators · Peak 6 km/h · Walk 4 km/h · Runtime ~1.5–2</t>
        </is>
      </c>
      <c r="BP240" s="152" t="n"/>
      <c r="BQ240" s="156" t="inlineStr">
        <is>
          <t>Athletic / Research / Ceremony</t>
        </is>
      </c>
      <c r="BR240" s="156" t="inlineStr">
        <is>
          <t>Featured WHRG 2026 record-setter</t>
        </is>
      </c>
      <c r="BS240" s="156" t="inlineStr">
        <is>
          <t>Prototype</t>
        </is>
      </c>
      <c r="BT240" s="152" t="inlineStr">
        <is>
          <t>White</t>
        </is>
      </c>
      <c r="BU240" s="152" t="inlineStr">
        <is>
          <t>Not verified</t>
        </is>
      </c>
      <c r="BV240" s="156" t="inlineStr">
        <is>
          <t>Dominant athletic performer at WHRG 2026 (328 ft 9.39s, high jump 2.289 ft); government-backed Humanoid.guide listed price $125,000.</t>
        </is>
      </c>
      <c r="BW240" s="156" t="inlineStr">
        <is>
          <t>Origin &amp; status — China · Featured WHRG 2026 record-setter · 2025 | Manipulation — Grippers or dexterous hands depending on configuration · 5 per hand fingers · Hand DOF 12 · Payload 33.1 lb (15 kg) | Sensing &amp; software — RGB and/or depth cameras for navigation and manipulation (configuration specific) · Supported by embodied AI platform (Hui Si Kai Wu) · Custom robotics OS /… | Buying notes — From $41,000 · 12 months manufacturer standard (typical research/commercial humanoid) · Best fit: Athletic</t>
        </is>
      </c>
      <c r="BX240" s="156" t="inlineStr">
        <is>
          <t>as_shipped|Tien Kung 3.0|41000|As shipped</t>
        </is>
      </c>
      <c r="BY240" s="152" t="inlineStr">
        <is>
          <t>white|White|#f8fafc|0</t>
        </is>
      </c>
      <c r="BZ240" s="152" t="inlineStr"/>
      <c r="CA240" s="156" t="inlineStr">
        <is>
          <t>Add-ons: case; 2 color options; Multi-year extended warranty available</t>
        </is>
      </c>
      <c r="CB240" s="156" t="inlineStr">
        <is>
          <t>12 months manufacturer standard (typical research/commercial humanoid)</t>
        </is>
      </c>
      <c r="CC240" s="154" t="n">
        <v>12</v>
      </c>
      <c r="CD240" s="156" t="inlineStr">
        <is>
          <t>+3 Year Extended ≈24% of configuration (default in configurator)</t>
        </is>
      </c>
      <c r="CE240" s="152" t="inlineStr">
        <is>
          <t>Humanoid category norm 2025–2026</t>
        </is>
      </c>
      <c r="CF240" s="152" t="inlineStr">
        <is>
          <t>Estimated</t>
        </is>
      </c>
      <c r="CG240" s="156" t="inlineStr">
        <is>
          <t>EDU or enterprise packages may differ; confirm on formal quote.</t>
        </is>
      </c>
      <c r="CH240" s="152" t="inlineStr">
        <is>
          <t>10%</t>
        </is>
      </c>
      <c r="CI240" s="152" t="inlineStr">
        <is>
          <t>17%</t>
        </is>
      </c>
      <c r="CJ240" s="152" t="inlineStr">
        <is>
          <t>24%</t>
        </is>
      </c>
      <c r="CK240"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40"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40" s="152" t="inlineStr">
        <is>
          <t>12 months manufacturer standard (typical research/commercial humanoid)</t>
        </is>
      </c>
      <c r="CQ240" s="101" t="inlineStr">
        <is>
          <t>Height: 5 ft 5 in – 5 ft 10 in | Weight: 136.7 | Degrees of Freedom: High | Payload: 33.1 | Max Speed: 3.73 | Battery / Runtime: ~1.5–2</t>
        </is>
      </c>
    </row>
    <row r="241" ht="31.5" customHeight="1" s="102">
      <c r="A241" s="159" t="inlineStr">
        <is>
          <t>x_humanoid_beijing_humanoid_robot_innova_tiangon</t>
        </is>
      </c>
      <c r="B241" s="144" t="inlineStr">
        <is>
          <t>Both</t>
        </is>
      </c>
      <c r="C241" s="152" t="inlineStr">
        <is>
          <t>X-Humanoid</t>
        </is>
      </c>
      <c r="D241" s="152" t="inlineStr">
        <is>
          <t>Tiangong Ultra</t>
        </is>
      </c>
      <c r="E241" s="152" t="inlineStr">
        <is>
          <t>[X-Humanoid] Tiangong Ultra (2025)</t>
        </is>
      </c>
      <c r="F241" s="146" t="inlineStr">
        <is>
          <t>humanoid</t>
        </is>
      </c>
      <c r="G241" s="152" t="inlineStr">
        <is>
          <t>China</t>
        </is>
      </c>
      <c r="H241" s="154" t="n">
        <v>2025</v>
      </c>
      <c r="I241" s="155" t="n">
        <v>41000</v>
      </c>
      <c r="J241" s="152" t="inlineStr">
        <is>
          <t>Robot Price Index Aug 2026 · TianGong band</t>
        </is>
      </c>
      <c r="K241" s="156" t="inlineStr">
        <is>
          <t>Tien Kung 3.0 is a full-size humanoid robot designed for dynamic mobility and open development.</t>
        </is>
      </c>
      <c r="L241" s="101" t="inlineStr">
        <is>
          <t>Tien Kung 3.0 is a full-size humanoid robot designed for dynamic mobility and open development.</t>
        </is>
      </c>
      <c r="M241" s="101" t="inlineStr">
        <is>
          <t>Tiangong Ultra is X-Humanoid's humanoid, introduced around 2025 in China. Tien Kung 3.0 is a full-size humanoid robot designed for dynamic mobility and open development. Public status is listed as featured WHRG 2026 record-setter, and it is positioned for athletic / Research / Ceremony.</t>
        </is>
      </c>
      <c r="N241" s="157" t="inlineStr">
        <is>
          <t>https://humanoid.guide/product/tien-kung-3-0/</t>
        </is>
      </c>
      <c r="O241" s="157" t="inlineStr">
        <is>
          <t>https://www.x-humanoid.com</t>
        </is>
      </c>
      <c r="P241" s="152" t="inlineStr">
        <is>
          <t>5 ft 5 in – 5 ft 10 in</t>
        </is>
      </c>
      <c r="Q241" s="152" t="n">
        <v>169</v>
      </c>
      <c r="R241" s="152" t="n">
        <v>136.7</v>
      </c>
      <c r="S241" s="152" t="n">
        <v>62</v>
      </c>
      <c r="T241" s="156" t="inlineStr">
        <is>
          <t>Not disclosed</t>
        </is>
      </c>
      <c r="U241" s="152" t="n"/>
      <c r="V241" s="152" t="inlineStr">
        <is>
          <t>High</t>
        </is>
      </c>
      <c r="W241" s="156" t="inlineStr">
        <is>
          <t>12</t>
        </is>
      </c>
      <c r="X241" s="152" t="n">
        <v>33.1</v>
      </c>
      <c r="Y241" s="152" t="n">
        <v>15</v>
      </c>
      <c r="Z241" s="152" t="n">
        <v>3.73</v>
      </c>
      <c r="AA241" s="152" t="n">
        <v>6</v>
      </c>
      <c r="AB241" s="152" t="n">
        <v>4</v>
      </c>
      <c r="AC241" s="156" t="inlineStr">
        <is>
          <t>~1.5–2</t>
        </is>
      </c>
      <c r="AD241" s="156" t="inlineStr">
        <is>
          <t>~1.5–2</t>
        </is>
      </c>
      <c r="AE241" s="152" t="n"/>
      <c r="AF241" s="152" t="inlineStr">
        <is>
          <t>Not disclosed</t>
        </is>
      </c>
      <c r="AG241" s="156" t="inlineStr">
        <is>
          <t>Grippers or dexterous hands depending on configuration</t>
        </is>
      </c>
      <c r="AH241" s="152" t="inlineStr">
        <is>
          <t>5 per hand</t>
        </is>
      </c>
      <c r="AI241" s="152" t="n"/>
      <c r="AJ241" s="156" t="inlineStr">
        <is>
          <t>RGB and/or depth cameras for navigation and manipulation (configuration specific)</t>
        </is>
      </c>
      <c r="AK241" s="156" t="n"/>
      <c r="AL241" s="152" t="inlineStr">
        <is>
          <t>Onboard streams for teleoperation and logging when equipped</t>
        </is>
      </c>
      <c r="AM241" s="152" t="n"/>
      <c r="AN241" s="152" t="inlineStr">
        <is>
          <t>Not disclosed</t>
        </is>
      </c>
      <c r="AO241" s="152" t="inlineStr">
        <is>
          <t>Microphone array on interaction-oriented builds</t>
        </is>
      </c>
      <c r="AP241" s="152" t="inlineStr">
        <is>
          <t>Not disclosed</t>
        </is>
      </c>
      <c r="AQ241" s="152" t="inlineStr">
        <is>
          <t>Not disclosed</t>
        </is>
      </c>
      <c r="AR241" s="152" t="n"/>
      <c r="AS241" s="152" t="n"/>
      <c r="AT241" s="156" t="inlineStr">
        <is>
          <t>Not disclosed</t>
        </is>
      </c>
      <c r="AU241" s="156" t="inlineStr">
        <is>
          <t>5G; Ethernet; Wi‑Fi</t>
        </is>
      </c>
      <c r="AV241" s="152" t="inlineStr">
        <is>
          <t>Manufacturer app and/or SDK</t>
        </is>
      </c>
      <c r="AW241" s="156" t="inlineStr">
        <is>
          <t>Bipedal balance and walking controllers</t>
        </is>
      </c>
      <c r="AX241" s="152" t="n"/>
      <c r="AY241" s="156" t="inlineStr">
        <is>
          <t>Custom robotics OS / open-source control stack available</t>
        </is>
      </c>
      <c r="AZ241" s="156" t="inlineStr">
        <is>
          <t>Supported by embodied AI platform (Hui Si Kai Wu)</t>
        </is>
      </c>
      <c r="BA241" s="156" t="n"/>
      <c r="BB241" s="156" t="inlineStr">
        <is>
          <t>High-torque electric actuators</t>
        </is>
      </c>
      <c r="BC241" s="156" t="inlineStr">
        <is>
          <t>Harmonic drive or planetary reduction</t>
        </is>
      </c>
      <c r="BD241" s="152" t="inlineStr">
        <is>
          <t>Lightweight aluminum alloy and composite materials</t>
        </is>
      </c>
      <c r="BE241" s="152" t="inlineStr">
        <is>
          <t>Not disclosed</t>
        </is>
      </c>
      <c r="BF241" s="152" t="n"/>
      <c r="BG241" s="152" t="n"/>
      <c r="BH241" s="152" t="n"/>
      <c r="BI241" s="152" t="n"/>
      <c r="BJ241" s="152" t="n"/>
      <c r="BK241" s="152" t="n"/>
      <c r="BL241" s="152" t="n"/>
      <c r="BM241" s="152" t="inlineStr">
        <is>
          <t>Yes</t>
        </is>
      </c>
      <c r="BN241" s="152" t="inlineStr">
        <is>
          <t>Not disclosed</t>
        </is>
      </c>
      <c r="BO241" s="156" t="inlineStr">
        <is>
          <t>Market: Athletic / Research / Ceremony · Human-safe: Yes · AI: Supported by embodied AI platform (Hui Si Kai Wu) · Actuation: High-torque electric actuators · Peak 6 km/h · Walk 4 km/h · Runtime ~1.5–2</t>
        </is>
      </c>
      <c r="BP241" s="152" t="n"/>
      <c r="BQ241" s="156" t="inlineStr">
        <is>
          <t>Athletic / Research / Ceremony</t>
        </is>
      </c>
      <c r="BR241" s="156" t="inlineStr">
        <is>
          <t>Featured WHRG 2026 record-setter</t>
        </is>
      </c>
      <c r="BS241" s="156" t="inlineStr">
        <is>
          <t>Prototype</t>
        </is>
      </c>
      <c r="BT241" s="152" t="inlineStr">
        <is>
          <t>White</t>
        </is>
      </c>
      <c r="BU241" s="152" t="inlineStr">
        <is>
          <t>Not verified</t>
        </is>
      </c>
      <c r="BV241" s="156" t="inlineStr">
        <is>
          <t>Dominant athletic performer at WHRG 2026 (328 ft 9.39s, high jump 2.289 ft); government-backed Humanoid.guide listed price $125,000.</t>
        </is>
      </c>
      <c r="BW241" s="156" t="inlineStr">
        <is>
          <t>Origin &amp; status — China · Featured WHRG 2026 record-setter · 2025 | Manipulation — Grippers or dexterous hands depending on configuration · 5 per hand fingers · Hand DOF 12 · Payload 33.1 lb (15 kg) | Sensing &amp; software — RGB and/or depth cameras for navigation and manipulation (configuration specific) · Supported by embodied AI platform (Hui Si Kai Wu) · Custom robotics OS /… | Buying notes — From $41,000 · 12 months manufacturer standard (typical research/commercial humanoid) · Best fit: Athletic</t>
        </is>
      </c>
      <c r="BX241" s="156" t="inlineStr">
        <is>
          <t>as_shipped|Tiangong Ultra|41000|As shipped</t>
        </is>
      </c>
      <c r="BY241" s="152" t="inlineStr">
        <is>
          <t>white|White|#f8fafc|0</t>
        </is>
      </c>
      <c r="BZ241" s="152" t="inlineStr"/>
      <c r="CA241" s="156" t="inlineStr">
        <is>
          <t>Add-ons: case; 2 color options; Multi-year extended warranty available</t>
        </is>
      </c>
      <c r="CB241" s="156" t="inlineStr">
        <is>
          <t>12 months manufacturer standard (typical research/commercial humanoid)</t>
        </is>
      </c>
      <c r="CC241" s="154" t="n">
        <v>12</v>
      </c>
      <c r="CD241" s="156" t="inlineStr">
        <is>
          <t>+3 Year Extended ≈24% of configuration (default in configurator)</t>
        </is>
      </c>
      <c r="CE241" s="152" t="inlineStr">
        <is>
          <t>Humanoid category norm 2025–2026</t>
        </is>
      </c>
      <c r="CF241" s="152" t="inlineStr">
        <is>
          <t>Estimated</t>
        </is>
      </c>
      <c r="CG241" s="156" t="inlineStr">
        <is>
          <t>EDU or enterprise packages may differ; confirm on formal quote.</t>
        </is>
      </c>
      <c r="CH241" s="152" t="inlineStr">
        <is>
          <t>10%</t>
        </is>
      </c>
      <c r="CI241" s="152" t="inlineStr">
        <is>
          <t>17%</t>
        </is>
      </c>
      <c r="CJ241" s="152" t="inlineStr">
        <is>
          <t>24%</t>
        </is>
      </c>
      <c r="CK241"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41"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41" s="152" t="inlineStr">
        <is>
          <t>12 months manufacturer standard (typical research/commercial humanoid)</t>
        </is>
      </c>
      <c r="CQ241" s="101" t="inlineStr">
        <is>
          <t>Height: 5 ft 5 in – 5 ft 10 in | Weight: 136.7 | Degrees of Freedom: High | Payload: 33.1 | Max Speed: 3.73 | Battery / Runtime: ~1.5–2</t>
        </is>
      </c>
    </row>
    <row r="242" ht="31.5" customHeight="1" s="102">
      <c r="A242" s="152" t="inlineStr">
        <is>
          <t>xiaomi_cyberone</t>
        </is>
      </c>
      <c r="B242" s="153" t="inlineStr">
        <is>
          <t>Humanoid.guide</t>
        </is>
      </c>
      <c r="C242" s="152" t="inlineStr">
        <is>
          <t>Xiaomi</t>
        </is>
      </c>
      <c r="D242" s="152" t="inlineStr">
        <is>
          <t>CyberOne</t>
        </is>
      </c>
      <c r="E242" s="152" t="inlineStr">
        <is>
          <t>[Xiaomi] CyberOne (2026)</t>
        </is>
      </c>
      <c r="F242" s="146" t="inlineStr">
        <is>
          <t>humanoid</t>
        </is>
      </c>
      <c r="G242" s="152" t="inlineStr">
        <is>
          <t>China</t>
        </is>
      </c>
      <c r="H242" s="152" t="n"/>
      <c r="I242" s="155" t="n">
        <v>100000</v>
      </c>
      <c r="J242" s="152" t="inlineStr">
        <is>
          <t>Humanoid.guide list</t>
        </is>
      </c>
      <c r="K242" s="156" t="inlineStr">
        <is>
          <t>CyberOne is Xiaomi's humanoid — 5 ft 10 in class, 21 DOF, 3.3 lb payload. Aimed at research, commercial pilots, education, and professional deployment.</t>
        </is>
      </c>
      <c r="L242" s="101" t="inlineStr">
        <is>
          <t>CyberOne is Xiaomi's humanoid — 5 ft 10 in class, 21 DOF, 3.3 lb payload. Aimed at research, commercial pilots, education, and professional deployment.</t>
        </is>
      </c>
      <c r="M242" s="101" t="inlineStr">
        <is>
          <t>CyberOne is Xiaomi's humanoid — 5 ft 10 in class, 21 DOF, 3.3 lb payload. Aimed at research, commercial pilots, education, and professional deployment. Public status is listed as prototype.</t>
        </is>
      </c>
      <c r="N242" s="157" t="inlineStr">
        <is>
          <t>https://humanoid.guide/product/cyberone/</t>
        </is>
      </c>
      <c r="O242" s="152" t="inlineStr">
        <is>
          <t>https://www.xiaomi.com</t>
        </is>
      </c>
      <c r="P242" s="152" t="inlineStr">
        <is>
          <t>5 ft 10 in</t>
        </is>
      </c>
      <c r="Q242" s="152" t="n">
        <v>177</v>
      </c>
      <c r="R242" s="152" t="n">
        <v>114.6</v>
      </c>
      <c r="S242" s="152" t="n">
        <v>52</v>
      </c>
      <c r="T242" s="156" t="inlineStr">
        <is>
          <t>Not disclosed</t>
        </is>
      </c>
      <c r="U242" s="152" t="n"/>
      <c r="V242" s="152" t="inlineStr">
        <is>
          <t>21</t>
        </is>
      </c>
      <c r="W242" s="156" t="inlineStr">
        <is>
          <t>Not disclosed</t>
        </is>
      </c>
      <c r="X242" s="152" t="n">
        <v>3.3</v>
      </c>
      <c r="Y242" s="152" t="n">
        <v>1.5</v>
      </c>
      <c r="Z242" s="152" t="n">
        <v>2.49</v>
      </c>
      <c r="AA242" s="152" t="n">
        <v>4</v>
      </c>
      <c r="AB242" s="152" t="n">
        <v>3.6</v>
      </c>
      <c r="AC242" s="156" t="inlineStr">
        <is>
          <t>≈ 3 hours</t>
        </is>
      </c>
      <c r="AD242" s="156" t="inlineStr">
        <is>
          <t>3</t>
        </is>
      </c>
      <c r="AE242" s="152" t="n"/>
      <c r="AF242" s="152" t="inlineStr">
        <is>
          <t>Not disclosed</t>
        </is>
      </c>
      <c r="AG242" s="156" t="inlineStr">
        <is>
          <t>Not disclosed</t>
        </is>
      </c>
      <c r="AH242" s="152" t="inlineStr">
        <is>
          <t>Not disclosed</t>
        </is>
      </c>
      <c r="AI242" s="158" t="n">
        <v>2</v>
      </c>
      <c r="AJ242" s="156" t="inlineStr">
        <is>
          <t>Not disclosed</t>
        </is>
      </c>
      <c r="AK242" s="156" t="n"/>
      <c r="AL242" s="152" t="inlineStr">
        <is>
          <t>Not disclosed</t>
        </is>
      </c>
      <c r="AM242" s="152" t="n"/>
      <c r="AN242" s="152" t="inlineStr">
        <is>
          <t>Not disclosed</t>
        </is>
      </c>
      <c r="AO242" s="152" t="inlineStr">
        <is>
          <t>Not disclosed</t>
        </is>
      </c>
      <c r="AP242" s="152" t="inlineStr">
        <is>
          <t>Not disclosed</t>
        </is>
      </c>
      <c r="AQ242" s="152" t="inlineStr">
        <is>
          <t>Not disclosed</t>
        </is>
      </c>
      <c r="AR242" s="152" t="n"/>
      <c r="AS242" s="152" t="n"/>
      <c r="AT242" s="156" t="inlineStr">
        <is>
          <t>Not disclosed</t>
        </is>
      </c>
      <c r="AU242" s="156" t="inlineStr">
        <is>
          <t>Not disclosed</t>
        </is>
      </c>
      <c r="AV242" s="152" t="inlineStr">
        <is>
          <t>Not disclosed</t>
        </is>
      </c>
      <c r="AW242" s="156" t="inlineStr">
        <is>
          <t>Not disclosed</t>
        </is>
      </c>
      <c r="AX242" s="158" t="n">
        <v>2</v>
      </c>
      <c r="AY242" s="156" t="inlineStr">
        <is>
          <t>Not disclosed</t>
        </is>
      </c>
      <c r="AZ242" s="156" t="inlineStr">
        <is>
          <t>Not disclosed</t>
        </is>
      </c>
      <c r="BA242" s="156" t="n"/>
      <c r="BB242" s="156" t="inlineStr">
        <is>
          <t>Not disclosed</t>
        </is>
      </c>
      <c r="BC242" s="156" t="inlineStr">
        <is>
          <t>Not disclosed</t>
        </is>
      </c>
      <c r="BD242" s="152" t="inlineStr">
        <is>
          <t>Not disclosed</t>
        </is>
      </c>
      <c r="BE242" s="152" t="inlineStr">
        <is>
          <t>Not disclosed</t>
        </is>
      </c>
      <c r="BF242" s="152" t="n"/>
      <c r="BG242" s="152" t="n"/>
      <c r="BH242" s="152" t="n"/>
      <c r="BI242" s="152" t="n"/>
      <c r="BJ242" s="152" t="n"/>
      <c r="BK242" s="152" t="n"/>
      <c r="BL242" s="152" t="n"/>
      <c r="BM242" s="152" t="inlineStr">
        <is>
          <t>Not disclosed</t>
        </is>
      </c>
      <c r="BN242" s="152" t="inlineStr">
        <is>
          <t>Not disclosed</t>
        </is>
      </c>
      <c r="BO242" s="156" t="inlineStr">
        <is>
          <t>Manipulation 2/4 · Navigation 2/4 · Peak 4 km/h · Walk 3.6 km/h · Runtime 3</t>
        </is>
      </c>
      <c r="BP242" s="152" t="n"/>
      <c r="BQ242" s="156" t="inlineStr">
        <is>
          <t>Research labs, commercial pilots, and education programs evaluating a humanoid from Xiaomi (China) now listed as prototype.</t>
        </is>
      </c>
      <c r="BR242" s="156" t="inlineStr">
        <is>
          <t>Prototype</t>
        </is>
      </c>
      <c r="BS242" s="156" t="inlineStr">
        <is>
          <t>Prototype</t>
        </is>
      </c>
      <c r="BT242" s="152" t="n"/>
      <c r="BU242" s="152" t="inlineStr">
        <is>
          <t>Not verified</t>
        </is>
      </c>
      <c r="BV242" s="156" t="n"/>
      <c r="BW242" s="156" t="inlineStr">
        <is>
          <t>Origin &amp; status — China · Prototype · 2026 | Manipulation — Payload 3.3 lb | Sensing &amp; software — Sensor and compute package confirmed on formal quote | Buying notes — From $100,000 · 12 months manufacturer standard (typical research/commercial humanoid)</t>
        </is>
      </c>
      <c r="BX242" s="156" t="inlineStr">
        <is>
          <t>as_shipped|CyberOne|100000|As shipped</t>
        </is>
      </c>
      <c r="BY242" s="152" t="inlineStr">
        <is>
          <t>cyberone|Manufacturer finish|#e2e8f0|0</t>
        </is>
      </c>
      <c r="BZ242" s="152" t="inlineStr"/>
      <c r="CA242" s="156" t="n"/>
      <c r="CB242" s="156" t="inlineStr">
        <is>
          <t>12 months manufacturer standard (typical research/commercial humanoid)</t>
        </is>
      </c>
      <c r="CC242" s="154" t="n">
        <v>12</v>
      </c>
      <c r="CD242" s="156" t="inlineStr">
        <is>
          <t>+3 Year Extended ≈24% of configuration (default in configurator)</t>
        </is>
      </c>
      <c r="CE242" s="152" t="inlineStr">
        <is>
          <t>Humanoid category norm 2025–2026</t>
        </is>
      </c>
      <c r="CF242" s="152" t="inlineStr">
        <is>
          <t>Estimated</t>
        </is>
      </c>
      <c r="CG242" s="156" t="inlineStr">
        <is>
          <t>Confirm on formal OEM quote. EDU or enterprise packages may differ.</t>
        </is>
      </c>
      <c r="CH242" s="152" t="inlineStr">
        <is>
          <t>10%</t>
        </is>
      </c>
      <c r="CI242" s="152" t="inlineStr">
        <is>
          <t>17%</t>
        </is>
      </c>
      <c r="CJ242" s="152" t="inlineStr">
        <is>
          <t>24%</t>
        </is>
      </c>
      <c r="CK242" s="156" t="inlineStr">
        <is>
          <t>+1yr ≈10% | +2yr ≈17% | +3yr ≈24% of selected configuration price (parts &amp; labor beyond manufacturer standard).</t>
        </is>
      </c>
      <c r="CL242"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42" s="152" t="inlineStr">
        <is>
          <t>12 months manufacturer standard (typical research/commercial humanoid)</t>
        </is>
      </c>
      <c r="CN242" s="203" t="inlineStr">
        <is>
          <t>https://aixzd.com/robot/cyberone</t>
        </is>
      </c>
      <c r="CQ242" s="101" t="inlineStr">
        <is>
          <t>Height: 5 ft 10 in | Weight: 114.6 | Degrees of Freedom: 21 | Payload: 3.3 | Max Speed: 2.49 | Battery / Runtime: ≈ 3 hours</t>
        </is>
      </c>
    </row>
    <row r="243" ht="31.5" customHeight="1" s="102">
      <c r="A243" s="143" t="inlineStr">
        <is>
          <t>xiaomi_cyberone_tieda_gen_2_factory</t>
        </is>
      </c>
      <c r="B243" s="144" t="inlineStr">
        <is>
          <t>Both</t>
        </is>
      </c>
      <c r="C243" s="145" t="inlineStr">
        <is>
          <t>Xiaomi</t>
        </is>
      </c>
      <c r="D243" s="145" t="inlineStr">
        <is>
          <t>CyberOne v2</t>
        </is>
      </c>
      <c r="E243" s="145" t="inlineStr">
        <is>
          <t>[Xiaomi] CyberOne v2 (2022)</t>
        </is>
      </c>
      <c r="F243" s="146" t="inlineStr">
        <is>
          <t>humanoid</t>
        </is>
      </c>
      <c r="G243" s="145" t="inlineStr">
        <is>
          <t>China</t>
        </is>
      </c>
      <c r="H243" s="147" t="n">
        <v>2022</v>
      </c>
      <c r="I243" s="148" t="n">
        <v>50000</v>
      </c>
      <c r="J243" s="145" t="inlineStr">
        <is>
          <t>Website store</t>
        </is>
      </c>
      <c r="K243" s="149" t="inlineStr">
        <is>
          <t>CyberOne V2 is a humanoid robot by Xiaomi designed to understand human emotions and environments while demonstrating balanced movement and natural interaction.</t>
        </is>
      </c>
      <c r="L243" s="101" t="inlineStr">
        <is>
          <t>CyberOne V2 is a humanoid robot by Xiaomi designed to understand human emotions and environments while demonstrating balanced movement and natural interaction.</t>
        </is>
      </c>
      <c r="M243" s="101" t="inlineStr">
        <is>
          <t>CyberOne V2 is a humanoid robot by Xiaomi designed to understand human emotions and environments while demonstrating balanced movement and natural interaction. Public status is listed as internal factory use only, and it is positioned for manufacturing (Xiaomi EV plants).</t>
        </is>
      </c>
      <c r="N243" s="150" t="inlineStr">
        <is>
          <t>https://humanoid.guide/product/cyberone-v2/</t>
        </is>
      </c>
      <c r="O243" s="145" t="inlineStr">
        <is>
          <t>https://www.xiaomi.com</t>
        </is>
      </c>
      <c r="P243" s="145" t="inlineStr">
        <is>
          <t>5 ft 7 in – 5 ft 10 in</t>
        </is>
      </c>
      <c r="Q243" s="145" t="n">
        <v>177</v>
      </c>
      <c r="R243" s="145" t="n">
        <v>114.6</v>
      </c>
      <c r="S243" s="145" t="n">
        <v>52</v>
      </c>
      <c r="T243" s="149" t="inlineStr">
        <is>
          <t>Not disclosed</t>
        </is>
      </c>
      <c r="U243" s="145" t="n"/>
      <c r="V243" s="145" t="inlineStr">
        <is>
          <t>21–66 (33 in hands latest)</t>
        </is>
      </c>
      <c r="W243" s="149" t="inlineStr">
        <is>
          <t>Not disclosed</t>
        </is>
      </c>
      <c r="X243" s="145" t="inlineStr">
        <is>
          <t>Low–moderate</t>
        </is>
      </c>
      <c r="Y243" s="145" t="n">
        <v>3</v>
      </c>
      <c r="Z243" s="145" t="n">
        <v>2.24</v>
      </c>
      <c r="AA243" s="145" t="n">
        <v>3.6</v>
      </c>
      <c r="AB243" s="145" t="n">
        <v>3.6</v>
      </c>
      <c r="AC243" s="149" t="inlineStr">
        <is>
          <t>≈ 3 hours</t>
        </is>
      </c>
      <c r="AD243" s="149" t="inlineStr">
        <is>
          <t>3</t>
        </is>
      </c>
      <c r="AE243" s="145" t="n"/>
      <c r="AF243" s="145" t="inlineStr">
        <is>
          <t>Not disclosed</t>
        </is>
      </c>
      <c r="AG243" s="149" t="inlineStr">
        <is>
          <t>Grippers or dexterous hands depending on configuration</t>
        </is>
      </c>
      <c r="AH243" s="145" t="inlineStr">
        <is>
          <t>5</t>
        </is>
      </c>
      <c r="AI243" s="145" t="n"/>
      <c r="AJ243" s="149" t="inlineStr">
        <is>
          <t>RGB and/or depth cameras for navigation and manipulation (configuration specific)</t>
        </is>
      </c>
      <c r="AK243" s="149" t="inlineStr">
        <is>
          <t>Not specified (uses 3D spatial vision system)</t>
        </is>
      </c>
      <c r="AL243" s="145" t="inlineStr">
        <is>
          <t>Onboard streams for teleoperation and logging when equipped</t>
        </is>
      </c>
      <c r="AM243" s="145" t="n"/>
      <c r="AN243" s="145" t="inlineStr">
        <is>
          <t>Not disclosed</t>
        </is>
      </c>
      <c r="AO243" s="145" t="inlineStr">
        <is>
          <t>Microphone array on interaction-oriented builds</t>
        </is>
      </c>
      <c r="AP243" s="145" t="inlineStr">
        <is>
          <t>Not disclosed</t>
        </is>
      </c>
      <c r="AQ243" s="145" t="inlineStr">
        <is>
          <t>Not disclosed</t>
        </is>
      </c>
      <c r="AR243" s="145" t="n"/>
      <c r="AS243" s="145" t="n"/>
      <c r="AT243" s="149" t="inlineStr">
        <is>
          <t>Custom AI compute platform (not publicly specified)</t>
        </is>
      </c>
      <c r="AU243" s="149" t="inlineStr">
        <is>
          <t>Ethernet; Wi-Fi</t>
        </is>
      </c>
      <c r="AV243" s="145" t="inlineStr">
        <is>
          <t>Manufacturer app and/or SDK</t>
        </is>
      </c>
      <c r="AW243" s="149" t="inlineStr">
        <is>
          <t>Bipedal balance and walking controllers</t>
        </is>
      </c>
      <c r="AX243" s="145" t="n"/>
      <c r="AY243" s="149" t="inlineStr">
        <is>
          <t>Not disclosed</t>
        </is>
      </c>
      <c r="AZ243" s="149" t="inlineStr">
        <is>
          <t>Not disclosed</t>
        </is>
      </c>
      <c r="BA243" s="149" t="n"/>
      <c r="BB243" s="149" t="inlineStr">
        <is>
          <t>Electric servo motors with torque control</t>
        </is>
      </c>
      <c r="BC243" s="149" t="inlineStr">
        <is>
          <t>Harmonic/reduction gearing</t>
        </is>
      </c>
      <c r="BD243" s="145" t="inlineStr">
        <is>
          <t>Material: Metal + composite (rigid-flexible hybrid)</t>
        </is>
      </c>
      <c r="BE243" s="145" t="inlineStr">
        <is>
          <t>Not disclosed</t>
        </is>
      </c>
      <c r="BF243" s="145" t="n"/>
      <c r="BG243" s="145" t="n"/>
      <c r="BH243" s="145" t="n"/>
      <c r="BI243" s="145" t="n"/>
      <c r="BJ243" s="145" t="n"/>
      <c r="BK243" s="145" t="n"/>
      <c r="BL243" s="145" t="n"/>
      <c r="BM243" s="145" t="inlineStr">
        <is>
          <t>Yes</t>
        </is>
      </c>
      <c r="BN243" s="145" t="inlineStr">
        <is>
          <t>Not disclosed</t>
        </is>
      </c>
      <c r="BO243" s="149" t="inlineStr">
        <is>
          <t>Market: Manufacturing (Xiaomi EV plants) · Human-safe: Yes · Actuation: Electric servo motors with torque control · Peak 3.6 km/h · Walk 3.6 km/h · Runtime 3</t>
        </is>
      </c>
      <c r="BP243" s="145" t="n"/>
      <c r="BQ243" s="149" t="inlineStr">
        <is>
          <t>Manufacturing (Xiaomi EV plants)</t>
        </is>
      </c>
      <c r="BR243" s="149" t="inlineStr">
        <is>
          <t>Internal factory use only</t>
        </is>
      </c>
      <c r="BS243" s="149" t="inlineStr">
        <is>
          <t>Prototype</t>
        </is>
      </c>
      <c r="BT243" s="145" t="inlineStr">
        <is>
          <t>Black</t>
        </is>
      </c>
      <c r="BU243" s="145" t="inlineStr">
        <is>
          <t>Not verified</t>
        </is>
      </c>
      <c r="BV243" s="149" t="inlineStr">
        <is>
          <t>98% success on self-tapping nut installation after 4-month line training; matches 76s takt; not commercial product Humanoid.guide listed price $99,000.</t>
        </is>
      </c>
      <c r="BW243" s="149" t="inlineStr">
        <is>
          <t>Origin &amp; status — China · Internal factory use only · 2022 | Manipulation — Grippers or dexterous hands depending on configuration · 5 fingers · Payload Low–moderate lb | Sensing &amp; software — RGB and/or depth cameras for navigation and manipulation (configuration specific) · Manufacturer app and/or SDK | Buying notes — From $50,000 · 12 months manufacturer standard (typical research/commercial humanoid) · Best fit: Manufacturing (Xiaomi EV plants)</t>
        </is>
      </c>
      <c r="BX243" s="149" t="inlineStr">
        <is>
          <t>as_shipped|CyberOne v2|50000|As shipped</t>
        </is>
      </c>
      <c r="BY243" s="145" t="inlineStr">
        <is>
          <t>black|Black|#111111|0</t>
        </is>
      </c>
      <c r="BZ243" s="145" t="inlineStr"/>
      <c r="CA243" s="149" t="inlineStr">
        <is>
          <t>Add-ons: case; 2 color options; Multi-year extended warranty available</t>
        </is>
      </c>
      <c r="CB243" s="149" t="inlineStr">
        <is>
          <t>12 months manufacturer standard (typical research/commercial humanoid)</t>
        </is>
      </c>
      <c r="CC243" s="147" t="n">
        <v>12</v>
      </c>
      <c r="CD243" s="149" t="inlineStr">
        <is>
          <t>+3 Year Extended ≈24% of configuration (default in configurator)</t>
        </is>
      </c>
      <c r="CE243" s="145" t="inlineStr">
        <is>
          <t>Humanoid category norm 2025–2026</t>
        </is>
      </c>
      <c r="CF243" s="145" t="inlineStr">
        <is>
          <t>Estimated</t>
        </is>
      </c>
      <c r="CG243" s="149" t="inlineStr">
        <is>
          <t>EDU or enterprise packages may differ; confirm on formal quote.</t>
        </is>
      </c>
      <c r="CH243" s="145" t="inlineStr">
        <is>
          <t>10%</t>
        </is>
      </c>
      <c r="CI243" s="145" t="inlineStr">
        <is>
          <t>17%</t>
        </is>
      </c>
      <c r="CJ243" s="145" t="inlineStr">
        <is>
          <t>24%</t>
        </is>
      </c>
      <c r="CK243"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43"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43" s="145" t="inlineStr">
        <is>
          <t>12 months manufacturer standard (typical research/commercial humanoid)</t>
        </is>
      </c>
      <c r="CN243" s="203" t="inlineStr">
        <is>
          <t>https://aixzd.com/robot/cyberone</t>
        </is>
      </c>
      <c r="CQ243" s="101" t="inlineStr">
        <is>
          <t>Height: 5 ft 7 in – 5 ft 10 in | Weight: 114.6 | Degrees of Freedom: 21–66 (33 in hands latest) | Payload: Low–moderate | Max Speed: 2.24 | Battery / Runtime: ≈ 3 hours</t>
        </is>
      </c>
    </row>
    <row r="244" ht="31.5" customHeight="1" s="102">
      <c r="A244" s="152" t="inlineStr">
        <is>
          <t>xpeng_iron</t>
        </is>
      </c>
      <c r="B244" s="153" t="inlineStr">
        <is>
          <t>Humanoid.guide</t>
        </is>
      </c>
      <c r="C244" s="152" t="inlineStr">
        <is>
          <t>Xpeng</t>
        </is>
      </c>
      <c r="D244" s="152" t="inlineStr">
        <is>
          <t>IRON</t>
        </is>
      </c>
      <c r="E244" s="152" t="inlineStr">
        <is>
          <t>[Xpeng] IRON (2026)</t>
        </is>
      </c>
      <c r="F244" s="146" t="inlineStr">
        <is>
          <t>humanoid</t>
        </is>
      </c>
      <c r="G244" s="152" t="inlineStr">
        <is>
          <t>China</t>
        </is>
      </c>
      <c r="H244" s="152" t="n"/>
      <c r="I244" s="155" t="n">
        <v>150000</v>
      </c>
      <c r="J244" s="152" t="inlineStr">
        <is>
          <t>Humanoid.guide list</t>
        </is>
      </c>
      <c r="K244" s="156" t="inlineStr">
        <is>
          <t>The Xpeng Iron is a versatile humanoid robot designed by Xpeng Robotics for applications in retail, healthcare, and logistics.</t>
        </is>
      </c>
      <c r="L244" s="101" t="inlineStr">
        <is>
          <t>The Xpeng Iron is a versatile humanoid robot designed by Xpeng Robotics for applications in retail, healthcare, and logistics.</t>
        </is>
      </c>
      <c r="M244" s="101" t="inlineStr">
        <is>
          <t>IRON is Xpeng's humanoid, introduced around 2026 in China. The Xpeng Iron is a versatile humanoid robot designed by Xpeng Robotics for applications in retail, healthcare, and logistics. Public status is listed as prototype.</t>
        </is>
      </c>
      <c r="N244" s="157" t="inlineStr">
        <is>
          <t>https://humanoid.guide/product/iron_prototype/</t>
        </is>
      </c>
      <c r="O244" s="157" t="inlineStr">
        <is>
          <t>https://www.xpeng.com</t>
        </is>
      </c>
      <c r="P244" s="152" t="inlineStr">
        <is>
          <t>5 ft 11 in</t>
        </is>
      </c>
      <c r="Q244" s="152" t="n">
        <v>180</v>
      </c>
      <c r="R244" s="152" t="n">
        <v>198.4</v>
      </c>
      <c r="S244" s="152" t="n">
        <v>90</v>
      </c>
      <c r="T244" s="156" t="inlineStr">
        <is>
          <t>Not disclosed</t>
        </is>
      </c>
      <c r="U244" s="152" t="n"/>
      <c r="V244" s="152" t="inlineStr">
        <is>
          <t>26</t>
        </is>
      </c>
      <c r="W244" s="156" t="inlineStr">
        <is>
          <t>Not disclosed</t>
        </is>
      </c>
      <c r="X244" s="152" t="n">
        <v>44.1</v>
      </c>
      <c r="Y244" s="152" t="n">
        <v>20</v>
      </c>
      <c r="Z244" s="152" t="n">
        <v>3.11</v>
      </c>
      <c r="AA244" s="152" t="n">
        <v>5</v>
      </c>
      <c r="AB244" s="152" t="n">
        <v>4</v>
      </c>
      <c r="AC244" s="156" t="inlineStr">
        <is>
          <t>≈ 4 hours</t>
        </is>
      </c>
      <c r="AD244" s="156" t="inlineStr">
        <is>
          <t>4</t>
        </is>
      </c>
      <c r="AE244" s="152" t="n"/>
      <c r="AF244" s="152" t="inlineStr">
        <is>
          <t>Not disclosed</t>
        </is>
      </c>
      <c r="AG244" s="156" t="inlineStr">
        <is>
          <t>Not disclosed</t>
        </is>
      </c>
      <c r="AH244" s="152" t="inlineStr">
        <is>
          <t>Not disclosed</t>
        </is>
      </c>
      <c r="AI244" s="158" t="n">
        <v>2</v>
      </c>
      <c r="AJ244" s="156" t="inlineStr">
        <is>
          <t>Not disclosed</t>
        </is>
      </c>
      <c r="AK244" s="156" t="n"/>
      <c r="AL244" s="152" t="inlineStr">
        <is>
          <t>Not disclosed</t>
        </is>
      </c>
      <c r="AM244" s="152" t="n"/>
      <c r="AN244" s="152" t="inlineStr">
        <is>
          <t>Not disclosed</t>
        </is>
      </c>
      <c r="AO244" s="152" t="inlineStr">
        <is>
          <t>Not disclosed</t>
        </is>
      </c>
      <c r="AP244" s="152" t="inlineStr">
        <is>
          <t>Not disclosed</t>
        </is>
      </c>
      <c r="AQ244" s="152" t="inlineStr">
        <is>
          <t>Not disclosed</t>
        </is>
      </c>
      <c r="AR244" s="152" t="n"/>
      <c r="AS244" s="152" t="n"/>
      <c r="AT244" s="156" t="inlineStr">
        <is>
          <t>Not disclosed</t>
        </is>
      </c>
      <c r="AU244" s="156" t="inlineStr">
        <is>
          <t>Not disclosed</t>
        </is>
      </c>
      <c r="AV244" s="152" t="inlineStr">
        <is>
          <t>Not disclosed</t>
        </is>
      </c>
      <c r="AW244" s="156" t="inlineStr">
        <is>
          <t>Not disclosed</t>
        </is>
      </c>
      <c r="AX244" s="158" t="n">
        <v>2</v>
      </c>
      <c r="AY244" s="156" t="inlineStr">
        <is>
          <t>Not disclosed</t>
        </is>
      </c>
      <c r="AZ244" s="156" t="inlineStr">
        <is>
          <t>Not disclosed</t>
        </is>
      </c>
      <c r="BA244" s="156" t="n"/>
      <c r="BB244" s="156" t="inlineStr">
        <is>
          <t>Not disclosed</t>
        </is>
      </c>
      <c r="BC244" s="156" t="inlineStr">
        <is>
          <t>Not disclosed</t>
        </is>
      </c>
      <c r="BD244" s="152" t="inlineStr">
        <is>
          <t>Not disclosed</t>
        </is>
      </c>
      <c r="BE244" s="152" t="inlineStr">
        <is>
          <t>Not disclosed</t>
        </is>
      </c>
      <c r="BF244" s="152" t="n"/>
      <c r="BG244" s="152" t="n"/>
      <c r="BH244" s="152" t="n"/>
      <c r="BI244" s="152" t="n"/>
      <c r="BJ244" s="152" t="n"/>
      <c r="BK244" s="152" t="n"/>
      <c r="BL244" s="152" t="n"/>
      <c r="BM244" s="152" t="inlineStr">
        <is>
          <t>Not disclosed</t>
        </is>
      </c>
      <c r="BN244" s="152" t="inlineStr">
        <is>
          <t>Not disclosed</t>
        </is>
      </c>
      <c r="BO244" s="156" t="inlineStr">
        <is>
          <t>Manipulation 2/4 · Navigation 2/4 · Peak 5 km/h · Walk 4 km/h · Runtime 4</t>
        </is>
      </c>
      <c r="BP244" s="152" t="n"/>
      <c r="BQ244" s="156" t="inlineStr">
        <is>
          <t>Research labs, commercial pilots, and education programs evaluating a humanoid from Xpeng (China) now listed as prototype.</t>
        </is>
      </c>
      <c r="BR244" s="156" t="inlineStr">
        <is>
          <t>Prototype</t>
        </is>
      </c>
      <c r="BS244" s="156" t="inlineStr">
        <is>
          <t>Prototype</t>
        </is>
      </c>
      <c r="BT244" s="152" t="n"/>
      <c r="BU244" s="152" t="inlineStr">
        <is>
          <t>Not verified</t>
        </is>
      </c>
      <c r="BV244" s="156" t="n"/>
      <c r="BW244" s="156" t="inlineStr">
        <is>
          <t>Origin &amp; status — China · Prototype · 2026 | Manipulation — Payload 44.1 lb | Sensing &amp; software — Sensor and compute package confirmed on formal quote | Buying notes — From $150,000 · 12 months manufacturer standard (typical research/commercial humanoid)</t>
        </is>
      </c>
      <c r="BX244" s="156" t="inlineStr">
        <is>
          <t>as_shipped|IRON|150000|As shipped</t>
        </is>
      </c>
      <c r="BY244" s="152" t="inlineStr">
        <is>
          <t>iron|Manufacturer finish|#e2e8f0|0</t>
        </is>
      </c>
      <c r="BZ244" s="152" t="inlineStr"/>
      <c r="CA244" s="156" t="n"/>
      <c r="CB244" s="156" t="inlineStr">
        <is>
          <t>12 months manufacturer standard (typical research/commercial humanoid)</t>
        </is>
      </c>
      <c r="CC244" s="154" t="n">
        <v>12</v>
      </c>
      <c r="CD244" s="156" t="inlineStr">
        <is>
          <t>+3 Year Extended ≈24% of configuration (default in configurator)</t>
        </is>
      </c>
      <c r="CE244" s="152" t="inlineStr">
        <is>
          <t>Humanoid category norm 2025–2026</t>
        </is>
      </c>
      <c r="CF244" s="152" t="inlineStr">
        <is>
          <t>Estimated</t>
        </is>
      </c>
      <c r="CG244" s="156" t="inlineStr">
        <is>
          <t>Confirm on formal OEM quote. EDU or enterprise packages may differ.</t>
        </is>
      </c>
      <c r="CH244" s="152" t="inlineStr">
        <is>
          <t>10%</t>
        </is>
      </c>
      <c r="CI244" s="152" t="inlineStr">
        <is>
          <t>17%</t>
        </is>
      </c>
      <c r="CJ244" s="152" t="inlineStr">
        <is>
          <t>24%</t>
        </is>
      </c>
      <c r="CK244" s="156" t="inlineStr">
        <is>
          <t>+1yr ≈10% | +2yr ≈17% | +3yr ≈24% of selected configuration price (parts &amp; labor beyond manufacturer standard).</t>
        </is>
      </c>
      <c r="CL244"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44" s="152" t="inlineStr">
        <is>
          <t>12 months manufacturer standard (typical research/commercial humanoid)</t>
        </is>
      </c>
      <c r="CN244" s="203" t="inlineStr">
        <is>
          <t>https://aixzd.com/robot/iron</t>
        </is>
      </c>
      <c r="CQ244" s="101" t="inlineStr">
        <is>
          <t>Height: 5 ft 11 in | Weight: 198.4 | Degrees of Freedom: 26 | Payload: 44.1 | Max Speed: 3.11 | Battery / Runtime: ≈ 4 hours</t>
        </is>
      </c>
    </row>
    <row r="245" ht="31.5" customHeight="1" s="102">
      <c r="A245" s="145" t="inlineStr">
        <is>
          <t>xpeng_px5</t>
        </is>
      </c>
      <c r="B245" s="153" t="inlineStr">
        <is>
          <t>Humanoid.guide</t>
        </is>
      </c>
      <c r="C245" s="145" t="inlineStr">
        <is>
          <t>Xpeng</t>
        </is>
      </c>
      <c r="D245" s="145" t="inlineStr">
        <is>
          <t>PX5</t>
        </is>
      </c>
      <c r="E245" s="145" t="inlineStr">
        <is>
          <t>[Xpeng] PX5 (2026)</t>
        </is>
      </c>
      <c r="F245" s="146" t="inlineStr">
        <is>
          <t>humanoid</t>
        </is>
      </c>
      <c r="G245" s="145" t="inlineStr">
        <is>
          <t>China</t>
        </is>
      </c>
      <c r="H245" s="145" t="n"/>
      <c r="I245" s="148" t="n">
        <v>150000</v>
      </c>
      <c r="J245" s="145" t="inlineStr">
        <is>
          <t>Humanoid.guide list</t>
        </is>
      </c>
      <c r="K245" s="149" t="inlineStr">
        <is>
          <t>The PX5 is an advanced humanoid robot developed by XPENG, a Chinese electric vehicle manufacturer that has expanded into robotics.</t>
        </is>
      </c>
      <c r="L245" s="101" t="inlineStr">
        <is>
          <t>The PX5 is an advanced humanoid robot developed by XPENG, a Chinese electric vehicle manufacturer that has expanded into robotics.</t>
        </is>
      </c>
      <c r="M245" s="101" t="inlineStr">
        <is>
          <t>The PX5 is an advanced humanoid robot developed by XPENG, a Chinese electric vehicle manufacturer that has expanded into robotics. Public status is listed as prototype.</t>
        </is>
      </c>
      <c r="N245" s="150" t="inlineStr">
        <is>
          <t>https://humanoid.guide/product/px5/</t>
        </is>
      </c>
      <c r="O245" s="150" t="inlineStr">
        <is>
          <t>https://www.xpeng.com</t>
        </is>
      </c>
      <c r="P245" s="145" t="inlineStr">
        <is>
          <t>4 ft 11 in</t>
        </is>
      </c>
      <c r="Q245" s="145" t="n">
        <v>150</v>
      </c>
      <c r="R245" s="145" t="n">
        <v>240.3</v>
      </c>
      <c r="S245" s="145" t="n">
        <v>109</v>
      </c>
      <c r="T245" s="149" t="inlineStr">
        <is>
          <t>Not disclosed</t>
        </is>
      </c>
      <c r="U245" s="145" t="n"/>
      <c r="V245" s="145" t="inlineStr">
        <is>
          <t>22</t>
        </is>
      </c>
      <c r="W245" s="149" t="inlineStr">
        <is>
          <t>Not disclosed</t>
        </is>
      </c>
      <c r="X245" s="145" t="n">
        <v>26.5</v>
      </c>
      <c r="Y245" s="145" t="n">
        <v>12</v>
      </c>
      <c r="Z245" s="145" t="n">
        <v>3.11</v>
      </c>
      <c r="AA245" s="145" t="n">
        <v>5</v>
      </c>
      <c r="AB245" s="145" t="n">
        <v>3.5</v>
      </c>
      <c r="AC245" s="149" t="inlineStr">
        <is>
          <t>≈ 1.5 hours</t>
        </is>
      </c>
      <c r="AD245" s="149" t="inlineStr">
        <is>
          <t>1.5</t>
        </is>
      </c>
      <c r="AE245" s="145" t="n"/>
      <c r="AF245" s="145" t="inlineStr">
        <is>
          <t>Not disclosed</t>
        </is>
      </c>
      <c r="AG245" s="149" t="inlineStr">
        <is>
          <t>Not disclosed</t>
        </is>
      </c>
      <c r="AH245" s="145" t="inlineStr">
        <is>
          <t>Not disclosed</t>
        </is>
      </c>
      <c r="AI245" s="158" t="n">
        <v>2</v>
      </c>
      <c r="AJ245" s="149" t="inlineStr">
        <is>
          <t>Not disclosed</t>
        </is>
      </c>
      <c r="AK245" s="149" t="n"/>
      <c r="AL245" s="145" t="inlineStr">
        <is>
          <t>Not disclosed</t>
        </is>
      </c>
      <c r="AM245" s="145" t="n"/>
      <c r="AN245" s="145" t="inlineStr">
        <is>
          <t>Not disclosed</t>
        </is>
      </c>
      <c r="AO245" s="145" t="inlineStr">
        <is>
          <t>Not disclosed</t>
        </is>
      </c>
      <c r="AP245" s="145" t="inlineStr">
        <is>
          <t>Not disclosed</t>
        </is>
      </c>
      <c r="AQ245" s="145" t="inlineStr">
        <is>
          <t>Not disclosed</t>
        </is>
      </c>
      <c r="AR245" s="145" t="n"/>
      <c r="AS245" s="145" t="n"/>
      <c r="AT245" s="149" t="inlineStr">
        <is>
          <t>Not disclosed</t>
        </is>
      </c>
      <c r="AU245" s="149" t="inlineStr">
        <is>
          <t>Not disclosed</t>
        </is>
      </c>
      <c r="AV245" s="145" t="inlineStr">
        <is>
          <t>Not disclosed</t>
        </is>
      </c>
      <c r="AW245" s="149" t="inlineStr">
        <is>
          <t>Not disclosed</t>
        </is>
      </c>
      <c r="AX245" s="158" t="n">
        <v>2</v>
      </c>
      <c r="AY245" s="149" t="inlineStr">
        <is>
          <t>Not disclosed</t>
        </is>
      </c>
      <c r="AZ245" s="149" t="inlineStr">
        <is>
          <t>Not disclosed</t>
        </is>
      </c>
      <c r="BA245" s="149" t="n"/>
      <c r="BB245" s="149" t="inlineStr">
        <is>
          <t>Not disclosed</t>
        </is>
      </c>
      <c r="BC245" s="149" t="inlineStr">
        <is>
          <t>Not disclosed</t>
        </is>
      </c>
      <c r="BD245" s="145" t="inlineStr">
        <is>
          <t>Not disclosed</t>
        </is>
      </c>
      <c r="BE245" s="145" t="inlineStr">
        <is>
          <t>Not disclosed</t>
        </is>
      </c>
      <c r="BF245" s="145" t="n"/>
      <c r="BG245" s="145" t="n"/>
      <c r="BH245" s="145" t="n"/>
      <c r="BI245" s="145" t="n"/>
      <c r="BJ245" s="145" t="n"/>
      <c r="BK245" s="145" t="n"/>
      <c r="BL245" s="145" t="n"/>
      <c r="BM245" s="145" t="inlineStr">
        <is>
          <t>Not disclosed</t>
        </is>
      </c>
      <c r="BN245" s="145" t="inlineStr">
        <is>
          <t>Not disclosed</t>
        </is>
      </c>
      <c r="BO245" s="149" t="inlineStr">
        <is>
          <t>Manipulation 2/4 · Navigation 2/4 · Peak 5 km/h · Walk 3.5 km/h · Runtime 1.5</t>
        </is>
      </c>
      <c r="BP245" s="145" t="n"/>
      <c r="BQ245" s="149" t="inlineStr">
        <is>
          <t>Research labs, commercial pilots, and education programs evaluating a humanoid from Xpeng (China) now listed as prototype.</t>
        </is>
      </c>
      <c r="BR245" s="149" t="inlineStr">
        <is>
          <t>Prototype</t>
        </is>
      </c>
      <c r="BS245" s="149" t="inlineStr">
        <is>
          <t>Prototype</t>
        </is>
      </c>
      <c r="BT245" s="145" t="n"/>
      <c r="BU245" s="145" t="inlineStr">
        <is>
          <t>Not verified</t>
        </is>
      </c>
      <c r="BV245" s="149" t="n"/>
      <c r="BW245" s="149" t="inlineStr">
        <is>
          <t>Origin &amp; status — China · Prototype · 2026 | Manipulation — Payload 26.5 lb | Sensing &amp; software — Sensor and compute package confirmed on formal quote | Buying notes — From $150,000 · 12 months manufacturer standard (typical research/commercial humanoid)</t>
        </is>
      </c>
      <c r="BX245" s="149" t="inlineStr">
        <is>
          <t>as_shipped|PX5|150000|As shipped</t>
        </is>
      </c>
      <c r="BY245" s="145" t="inlineStr">
        <is>
          <t>px5|Manufacturer finish|#e2e8f0|0</t>
        </is>
      </c>
      <c r="BZ245" s="145" t="inlineStr"/>
      <c r="CA245" s="149" t="n"/>
      <c r="CB245" s="149" t="inlineStr">
        <is>
          <t>12 months manufacturer standard (typical research/commercial humanoid)</t>
        </is>
      </c>
      <c r="CC245" s="147" t="n">
        <v>12</v>
      </c>
      <c r="CD245" s="149" t="inlineStr">
        <is>
          <t>+3 Year Extended ≈24% of configuration (default in configurator)</t>
        </is>
      </c>
      <c r="CE245" s="145" t="inlineStr">
        <is>
          <t>Humanoid category norm 2025–2026</t>
        </is>
      </c>
      <c r="CF245" s="145" t="inlineStr">
        <is>
          <t>Estimated</t>
        </is>
      </c>
      <c r="CG245" s="149" t="inlineStr">
        <is>
          <t>Confirm on formal OEM quote. EDU or enterprise packages may differ.</t>
        </is>
      </c>
      <c r="CH245" s="145" t="inlineStr">
        <is>
          <t>10%</t>
        </is>
      </c>
      <c r="CI245" s="145" t="inlineStr">
        <is>
          <t>17%</t>
        </is>
      </c>
      <c r="CJ245" s="145" t="inlineStr">
        <is>
          <t>24%</t>
        </is>
      </c>
      <c r="CK245" s="149" t="inlineStr">
        <is>
          <t>+1yr ≈10% | +2yr ≈17% | +3yr ≈24% of selected configuration price (parts &amp; labor beyond manufacturer standard).</t>
        </is>
      </c>
      <c r="CL24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45" s="145" t="inlineStr">
        <is>
          <t>12 months manufacturer standard (typical research/commercial humanoid)</t>
        </is>
      </c>
      <c r="CQ245" s="101" t="inlineStr">
        <is>
          <t>Height: 4 ft 11 in | Weight: 240.3 | Degrees of Freedom: 22 | Payload: 26.5 | Max Speed: 3.11 | Battery / Runtime: ≈ 1.5 hours</t>
        </is>
      </c>
    </row>
    <row r="246" ht="31.5" customHeight="1" s="102">
      <c r="A246" s="159" t="inlineStr">
        <is>
          <t>xpeng_robotics_iron_gen_2_production</t>
        </is>
      </c>
      <c r="B246" s="144" t="inlineStr">
        <is>
          <t>Both</t>
        </is>
      </c>
      <c r="C246" s="152" t="inlineStr">
        <is>
          <t>XPENG Robotics</t>
        </is>
      </c>
      <c r="D246" s="152" t="inlineStr">
        <is>
          <t>IRON Gen 2</t>
        </is>
      </c>
      <c r="E246" s="152" t="inlineStr">
        <is>
          <t>[XPENG] IRON Gen 2 (2024)</t>
        </is>
      </c>
      <c r="F246" s="146" t="inlineStr">
        <is>
          <t>humanoid</t>
        </is>
      </c>
      <c r="G246" s="152" t="inlineStr">
        <is>
          <t>China</t>
        </is>
      </c>
      <c r="H246" s="154" t="n">
        <v>2024</v>
      </c>
      <c r="I246" s="155" t="n">
        <v>50000</v>
      </c>
      <c r="J246" s="152" t="inlineStr">
        <is>
          <t>Website store</t>
        </is>
      </c>
      <c r="K246" s="156" t="inlineStr">
        <is>
          <t>Humanoid robot from XPENG with 200‑DoF mobility, 22‑DoF hands, 720° vision, and Turing‑AI compute for real‑world factory and retail tasks.</t>
        </is>
      </c>
      <c r="L246" s="101" t="inlineStr">
        <is>
          <t>Humanoid robot from XPENG with 200‑DoF mobility, 22‑DoF hands, 720° vision, and Turing‑AI compute for real‑world factory and retail tasks.</t>
        </is>
      </c>
      <c r="M246" s="101" t="inlineStr">
        <is>
          <t>IRON Gen 2 is XPENG Robotics's humanoid, introduced around 2024 in China. Humanoid robot from XPENG with 200‑DoF mobility, 22‑DoF hands, 720° vision, and Turing‑AI compute for real‑world factory and retail tasks. Public status is listed as mass production targeted late 2026; initial internal/store, and it is positioned for service / Retail / Industrial / Showroom.</t>
        </is>
      </c>
      <c r="N246" s="157" t="inlineStr">
        <is>
          <t>https://humanoid.guide/product/iron/</t>
        </is>
      </c>
      <c r="O246" s="157" t="inlineStr">
        <is>
          <t>https://www.xpeng.com</t>
        </is>
      </c>
      <c r="P246" s="152" t="inlineStr">
        <is>
          <t>5 ft 8 in – 5 ft 10 in</t>
        </is>
      </c>
      <c r="Q246" s="152" t="n">
        <v>173</v>
      </c>
      <c r="R246" s="152" t="n">
        <v>154.3</v>
      </c>
      <c r="S246" s="152" t="n">
        <v>70</v>
      </c>
      <c r="T246" s="156" t="inlineStr">
        <is>
          <t>Not disclosed</t>
        </is>
      </c>
      <c r="U246" s="152" t="n"/>
      <c r="V246" s="152" t="inlineStr">
        <is>
          <t>76–82 (21–22 per hand)</t>
        </is>
      </c>
      <c r="W246" s="156" t="inlineStr">
        <is>
          <t>22</t>
        </is>
      </c>
      <c r="X246" s="152" t="inlineStr">
        <is>
          <t>35 lb (reported)</t>
        </is>
      </c>
      <c r="Y246" s="152" t="n">
        <v>20</v>
      </c>
      <c r="Z246" s="152" t="n">
        <v>4.35</v>
      </c>
      <c r="AA246" s="152" t="n">
        <v>7</v>
      </c>
      <c r="AB246" s="152" t="n">
        <v>4</v>
      </c>
      <c r="AC246" s="156" t="inlineStr">
        <is>
          <t>≈ 4 hours</t>
        </is>
      </c>
      <c r="AD246" s="156" t="inlineStr">
        <is>
          <t>4</t>
        </is>
      </c>
      <c r="AE246" s="152" t="n"/>
      <c r="AF246" s="152" t="inlineStr">
        <is>
          <t>Not disclosed</t>
        </is>
      </c>
      <c r="AG246" s="156" t="inlineStr">
        <is>
          <t>Industrial manipulation focus</t>
        </is>
      </c>
      <c r="AH246" s="152" t="inlineStr">
        <is>
          <t>10</t>
        </is>
      </c>
      <c r="AI246" s="151" t="n">
        <v>3</v>
      </c>
      <c r="AJ246" s="156" t="inlineStr">
        <is>
          <t>Automotive-adjacent multi-camera perception</t>
        </is>
      </c>
      <c r="AK246" s="156" t="n"/>
      <c r="AL246" s="152" t="inlineStr">
        <is>
          <t>Not disclosed</t>
        </is>
      </c>
      <c r="AM246" s="152" t="n"/>
      <c r="AN246" s="152" t="inlineStr">
        <is>
          <t>Not disclosed</t>
        </is>
      </c>
      <c r="AO246" s="152" t="inlineStr">
        <is>
          <t>Not disclosed</t>
        </is>
      </c>
      <c r="AP246" s="152" t="inlineStr">
        <is>
          <t>Not disclosed</t>
        </is>
      </c>
      <c r="AQ246" s="152" t="inlineStr">
        <is>
          <t>Not disclosed</t>
        </is>
      </c>
      <c r="AR246" s="152" t="n"/>
      <c r="AS246" s="152" t="n"/>
      <c r="AT246" s="156" t="inlineStr">
        <is>
          <t>XPENG Turing AI chips</t>
        </is>
      </c>
      <c r="AU246" s="156" t="inlineStr">
        <is>
          <t>Cloud‑connected</t>
        </is>
      </c>
      <c r="AV246" s="152" t="inlineStr">
        <is>
          <t>XPENG robotics stack</t>
        </is>
      </c>
      <c r="AW246" s="156" t="inlineStr">
        <is>
          <t>Not disclosed</t>
        </is>
      </c>
      <c r="AX246" s="151" t="n">
        <v>3</v>
      </c>
      <c r="AY246" s="156" t="inlineStr">
        <is>
          <t>Tianji AIOS</t>
        </is>
      </c>
      <c r="AZ246" s="156" t="inlineStr">
        <is>
          <t>Vision‑Language‑Task (VLT)</t>
        </is>
      </c>
      <c r="BA246" s="156" t="n"/>
      <c r="BB246" s="156" t="inlineStr">
        <is>
          <t>Electric servo‑actuator drive (high‑torque servos referenced in coverage; vendor hasn’t posted actuator specs).</t>
        </is>
      </c>
      <c r="BC246" s="156" t="inlineStr">
        <is>
          <t>Not disclosed</t>
        </is>
      </c>
      <c r="BD246" s="152" t="inlineStr">
        <is>
          <t>Not disclosed</t>
        </is>
      </c>
      <c r="BE246" s="152" t="inlineStr">
        <is>
          <t>Not disclosed</t>
        </is>
      </c>
      <c r="BF246" s="152" t="n"/>
      <c r="BG246" s="152" t="n"/>
      <c r="BH246" s="152" t="n"/>
      <c r="BI246" s="152" t="n"/>
      <c r="BJ246" s="152" t="n"/>
      <c r="BK246" s="152" t="n"/>
      <c r="BL246" s="152" t="n"/>
      <c r="BM246" s="152" t="inlineStr">
        <is>
          <t>Not disclosed</t>
        </is>
      </c>
      <c r="BN246" s="152" t="inlineStr">
        <is>
          <t>Not disclosed</t>
        </is>
      </c>
      <c r="BO246" s="156" t="inlineStr">
        <is>
          <t>Market: Service / Retail / Industrial / Showroom · Manipulation 3/4 · Navigation 3/4 · AI: Vision‑Language‑Task (VLT) · Actuation: Electric servo‑actuator drive (high‑torque servos referenced in coverage; vendor hasn’t posted actuator spe… · Peak 7 km/h · Walk 4 km/h · Runtime 4</t>
        </is>
      </c>
      <c r="BP246" s="152" t="n"/>
      <c r="BQ246" s="156" t="inlineStr">
        <is>
          <t>Service / Retail / Industrial / Showroom</t>
        </is>
      </c>
      <c r="BR246" s="156" t="inlineStr">
        <is>
          <t>Mass production targeted late 2026; initial internal/store</t>
        </is>
      </c>
      <c r="BS246" s="156" t="inlineStr">
        <is>
          <t>Prototype</t>
        </is>
      </c>
      <c r="BT246" s="152" t="n"/>
      <c r="BU246" s="152" t="inlineStr">
        <is>
          <t>Not verified</t>
        </is>
      </c>
      <c r="BV246" s="156" t="inlineStr">
        <is>
          <t>Strong funding ($6.3B valuation Aug 2026); 2,250 TOPS Turing chips; flexible lattice skin Humanoid.guide listed price $150,000.</t>
        </is>
      </c>
      <c r="BW246" s="156" t="inlineStr">
        <is>
          <t>Origin &amp; status — China · Mass production targeted late 2026; initial internal/store · 2024 | Manipulation — Industrial manipulation focus · 10 fingers · Hand DOF 22 · Payload 35 lb (reported) | Sensing &amp; software — Automotive-adjacent multi-camera perception · Vision‑Language‑Task (VLT) · Tianji AIOS · XPENG robotics stack | Buying notes — From $50,000 · 12 months manufacturer standard (typical research/commercial humanoid) · Best fit: Service</t>
        </is>
      </c>
      <c r="BX246" s="156" t="inlineStr">
        <is>
          <t>as_shipped|IRON Gen 2|50000|As shipped</t>
        </is>
      </c>
      <c r="BY246" s="152" t="inlineStr">
        <is>
          <t>iron_gen_2|Manufacturer finish|#e2e8f0|0</t>
        </is>
      </c>
      <c r="BZ246" s="152" t="inlineStr"/>
      <c r="CA246" s="156" t="inlineStr">
        <is>
          <t>Add-ons: case; 2 color options; Multi-year extended warranty available</t>
        </is>
      </c>
      <c r="CB246" s="156" t="inlineStr">
        <is>
          <t>12 months manufacturer standard (typical research/commercial humanoid)</t>
        </is>
      </c>
      <c r="CC246" s="154" t="n">
        <v>12</v>
      </c>
      <c r="CD246" s="156" t="inlineStr">
        <is>
          <t>+3 Year Extended ≈24% of configuration (default in configurator)</t>
        </is>
      </c>
      <c r="CE246" s="152" t="inlineStr">
        <is>
          <t>Humanoid category norm 2025–2026</t>
        </is>
      </c>
      <c r="CF246" s="152" t="inlineStr">
        <is>
          <t>Estimated</t>
        </is>
      </c>
      <c r="CG246" s="156" t="inlineStr">
        <is>
          <t>EDU or enterprise packages may differ; confirm on formal quote.</t>
        </is>
      </c>
      <c r="CH246" s="152" t="inlineStr">
        <is>
          <t>10%</t>
        </is>
      </c>
      <c r="CI246" s="152" t="inlineStr">
        <is>
          <t>17%</t>
        </is>
      </c>
      <c r="CJ246" s="152" t="inlineStr">
        <is>
          <t>24%</t>
        </is>
      </c>
      <c r="CK246"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46"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46" s="152" t="inlineStr">
        <is>
          <t>12 months manufacturer standard (typical research/commercial humanoid)</t>
        </is>
      </c>
      <c r="CN246" s="203" t="inlineStr">
        <is>
          <t>https://aixzd.com/robot/iron</t>
        </is>
      </c>
      <c r="CQ246" s="101" t="inlineStr">
        <is>
          <t>Height: 5 ft 8 in – 5 ft 10 in | Weight: 154.3 | Degrees of Freedom: 76–82 (21–22 per hand) | Payload: 35 lb (reported) | Max Speed: 4.35 | Battery / Runtime: ≈ 4 hours</t>
        </is>
      </c>
    </row>
    <row r="247" ht="31.5" customHeight="1" s="102">
      <c r="A247" s="145" t="inlineStr">
        <is>
          <t>xyz_deux</t>
        </is>
      </c>
      <c r="B247" s="153" t="inlineStr">
        <is>
          <t>Humanoid.guide</t>
        </is>
      </c>
      <c r="C247" s="145" t="inlineStr">
        <is>
          <t>XYZ</t>
        </is>
      </c>
      <c r="D247" s="145" t="inlineStr">
        <is>
          <t>DEUX</t>
        </is>
      </c>
      <c r="E247" s="145" t="inlineStr">
        <is>
          <t>[XYZ] DEUX (2026)</t>
        </is>
      </c>
      <c r="F247" s="146" t="inlineStr">
        <is>
          <t>humanoid</t>
        </is>
      </c>
      <c r="G247" s="145" t="inlineStr">
        <is>
          <t>South Korea</t>
        </is>
      </c>
      <c r="H247" s="145" t="n"/>
      <c r="I247" s="148" t="n">
        <v>29900</v>
      </c>
      <c r="J247" s="145" t="inlineStr">
        <is>
          <t>Humanoid.guide list</t>
        </is>
      </c>
      <c r="K247" s="149" t="inlineStr">
        <is>
          <t>DEUX is XYZ’s semi-humanoid service robot for everyday spaces like stores, offices, and hospitals.</t>
        </is>
      </c>
      <c r="L247" s="101" t="inlineStr">
        <is>
          <t>DEUX is XYZ’s semi-humanoid service robot for everyday spaces like stores, offices, and hospitals.</t>
        </is>
      </c>
      <c r="M247" s="101" t="inlineStr">
        <is>
          <t>DEUX is XYZ’s semi-humanoid service robot for everyday spaces like stores, offices, and hospitals. Public status is listed as in production, and it is positioned for service environments — stores, offices, hospitals, homes.</t>
        </is>
      </c>
      <c r="N247" s="150" t="inlineStr">
        <is>
          <t>https://humanoid.guide/product/deux/</t>
        </is>
      </c>
      <c r="O247" s="150" t="inlineStr">
        <is>
          <t>https://xyzcorp.imweb.me/</t>
        </is>
      </c>
      <c r="P247" s="145" t="inlineStr">
        <is>
          <t>5 ft 1 in</t>
        </is>
      </c>
      <c r="Q247" s="145" t="n">
        <v>155</v>
      </c>
      <c r="R247" s="145" t="n">
        <v>132.3</v>
      </c>
      <c r="S247" s="145" t="n">
        <v>60</v>
      </c>
      <c r="T247" s="149" t="inlineStr">
        <is>
          <t>Not disclosed</t>
        </is>
      </c>
      <c r="U247" s="145" t="n"/>
      <c r="V247" s="145" t="inlineStr">
        <is>
          <t>32</t>
        </is>
      </c>
      <c r="W247" s="149" t="inlineStr">
        <is>
          <t>14</t>
        </is>
      </c>
      <c r="X247" s="145" t="n">
        <v>24.3</v>
      </c>
      <c r="Y247" s="145" t="n">
        <v>11</v>
      </c>
      <c r="Z247" s="145" t="n">
        <v>3.11</v>
      </c>
      <c r="AA247" s="145" t="n">
        <v>5</v>
      </c>
      <c r="AB247" s="145" t="n"/>
      <c r="AC247" s="149" t="inlineStr">
        <is>
          <t>Not disclosed</t>
        </is>
      </c>
      <c r="AD247" s="149" t="n"/>
      <c r="AE247" s="145" t="n"/>
      <c r="AF247" s="145" t="inlineStr">
        <is>
          <t>Not disclosed</t>
        </is>
      </c>
      <c r="AG247" s="149" t="inlineStr">
        <is>
          <t>3 per hand (proprietary)</t>
        </is>
      </c>
      <c r="AH247" s="145" t="inlineStr">
        <is>
          <t>3 per hand (proprietary)</t>
        </is>
      </c>
      <c r="AI247" s="145" t="n"/>
      <c r="AJ247" s="149" t="inlineStr">
        <is>
          <t>Not disclosed</t>
        </is>
      </c>
      <c r="AK247" s="149" t="n"/>
      <c r="AL247" s="145" t="inlineStr">
        <is>
          <t>Not disclosed</t>
        </is>
      </c>
      <c r="AM247" s="145" t="n"/>
      <c r="AN247" s="145" t="inlineStr">
        <is>
          <t>Not disclosed</t>
        </is>
      </c>
      <c r="AO247" s="145" t="inlineStr">
        <is>
          <t>Not disclosed</t>
        </is>
      </c>
      <c r="AP247" s="145" t="inlineStr">
        <is>
          <t>Not disclosed</t>
        </is>
      </c>
      <c r="AQ247" s="145" t="inlineStr">
        <is>
          <t>Not disclosed</t>
        </is>
      </c>
      <c r="AR247" s="145" t="n"/>
      <c r="AS247" s="145" t="n"/>
      <c r="AT247" s="149" t="inlineStr">
        <is>
          <t>NVIDIA Thor</t>
        </is>
      </c>
      <c r="AU247" s="149" t="inlineStr">
        <is>
          <t>1,000 Hz CAN-FD control bus</t>
        </is>
      </c>
      <c r="AV247" s="145" t="inlineStr">
        <is>
          <t>Not disclosed</t>
        </is>
      </c>
      <c r="AW247" s="149" t="inlineStr">
        <is>
          <t>Not disclosed</t>
        </is>
      </c>
      <c r="AX247" s="145" t="n"/>
      <c r="AY247" s="149" t="inlineStr">
        <is>
          <t>ROS 2 (with Python and DEUX Controller)</t>
        </is>
      </c>
      <c r="AZ247" s="149" t="inlineStr">
        <is>
          <t>Brain X — agentic AI with continuously learning behavior models</t>
        </is>
      </c>
      <c r="BA247" s="149" t="n"/>
      <c r="BB247" s="149" t="inlineStr">
        <is>
          <t>Not disclosed</t>
        </is>
      </c>
      <c r="BC247" s="149" t="inlineStr">
        <is>
          <t>Not disclosed</t>
        </is>
      </c>
      <c r="BD247" s="145" t="inlineStr">
        <is>
          <t>Aluminum alloy frame with polymer shell</t>
        </is>
      </c>
      <c r="BE247" s="145" t="inlineStr">
        <is>
          <t>Not disclosed</t>
        </is>
      </c>
      <c r="BF247" s="145" t="n"/>
      <c r="BG247" s="145" t="n"/>
      <c r="BH247" s="145" t="n"/>
      <c r="BI247" s="145" t="n"/>
      <c r="BJ247" s="145" t="n"/>
      <c r="BK247" s="145" t="n"/>
      <c r="BL247" s="145" t="n"/>
      <c r="BM247" s="145" t="inlineStr">
        <is>
          <t>Yes</t>
        </is>
      </c>
      <c r="BN247" s="145" t="inlineStr">
        <is>
          <t>Not disclosed</t>
        </is>
      </c>
      <c r="BO247" s="149" t="inlineStr">
        <is>
          <t>Market: Service environments — stores, offices, hospitals, homes · Human-safe: Yes · AI: Brain X — agentic AI with continuously learning behavior models · Peak 5 km/h</t>
        </is>
      </c>
      <c r="BP247" s="145" t="n"/>
      <c r="BQ247" s="149" t="inlineStr">
        <is>
          <t>Service environments — stores, offices, hospitals, homes</t>
        </is>
      </c>
      <c r="BR247" s="149" t="inlineStr">
        <is>
          <t>In production</t>
        </is>
      </c>
      <c r="BS247" s="149" t="inlineStr">
        <is>
          <t>In production</t>
        </is>
      </c>
      <c r="BT247" s="145" t="n"/>
      <c r="BU247" s="145" t="n"/>
      <c r="BV247" s="149" t="n"/>
      <c r="BW247" s="149" t="inlineStr">
        <is>
          <t>Origin &amp; status — South Korea · In production · 2026 | Manipulation — 3 per hand (proprietary) · 3 per hand (proprietary) fingers · Hand DOF 14 · Payload 24.3 lb | Sensing &amp; software — Brain X — agentic AI with continuously learning behavior models · ROS 2 (with Python and DEUX Controller) | Buying notes — From $29,900 · 12 months manufacturer standard (typical research/commercial humanoid) · Best fit: Service environments — stores, offices, hospitals, homes</t>
        </is>
      </c>
      <c r="BX247" s="149" t="inlineStr">
        <is>
          <t>as_shipped|DEUX|29900|As shipped</t>
        </is>
      </c>
      <c r="BY247" s="145" t="inlineStr">
        <is>
          <t>deux|Manufacturer finish|#e2e8f0|0</t>
        </is>
      </c>
      <c r="BZ247" s="145" t="inlineStr"/>
      <c r="CA247" s="149" t="n"/>
      <c r="CB247" s="149" t="inlineStr">
        <is>
          <t>12 months manufacturer standard (typical research/commercial humanoid)</t>
        </is>
      </c>
      <c r="CC247" s="147" t="n">
        <v>12</v>
      </c>
      <c r="CD247" s="149" t="inlineStr">
        <is>
          <t>+3 Year Extended ≈24% of configuration (default in configurator)</t>
        </is>
      </c>
      <c r="CE247" s="145" t="inlineStr">
        <is>
          <t>Humanoid category norm 2025–2026</t>
        </is>
      </c>
      <c r="CF247" s="145" t="inlineStr">
        <is>
          <t>Estimated</t>
        </is>
      </c>
      <c r="CG247" s="149" t="inlineStr">
        <is>
          <t>Confirm on formal OEM quote. EDU or enterprise packages may differ.</t>
        </is>
      </c>
      <c r="CH247" s="145" t="inlineStr">
        <is>
          <t>10%</t>
        </is>
      </c>
      <c r="CI247" s="145" t="inlineStr">
        <is>
          <t>17%</t>
        </is>
      </c>
      <c r="CJ247" s="145" t="inlineStr">
        <is>
          <t>24%</t>
        </is>
      </c>
      <c r="CK247" s="149" t="inlineStr">
        <is>
          <t>+1yr ≈10% | +2yr ≈17% | +3yr ≈24% of selected configuration price (parts &amp; labor beyond manufacturer standard).</t>
        </is>
      </c>
      <c r="CL247"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47" s="145" t="inlineStr">
        <is>
          <t>12 months manufacturer standard (typical research/commercial humanoid)</t>
        </is>
      </c>
      <c r="CN247" s="203" t="inlineStr">
        <is>
          <t>https://aixzd.com/robot/deux</t>
        </is>
      </c>
      <c r="CQ247" s="101" t="inlineStr">
        <is>
          <t>Height: 5 ft 1 in | Weight: 132.3 | Degrees of Freedom: 32 | Payload: 24.3 | Max Speed: 3.11 | Battery / Runtime: Not disclosed</t>
        </is>
      </c>
    </row>
    <row r="248" ht="31.5" customHeight="1" s="102">
      <c r="A248" s="152" t="inlineStr">
        <is>
          <t>zerith_robotics_zerith_h1</t>
        </is>
      </c>
      <c r="B248" s="153" t="inlineStr">
        <is>
          <t>Humanoid.guide</t>
        </is>
      </c>
      <c r="C248" s="152" t="inlineStr">
        <is>
          <t>Zerith Robotics</t>
        </is>
      </c>
      <c r="D248" s="152" t="inlineStr">
        <is>
          <t>Zerith H1</t>
        </is>
      </c>
      <c r="E248" s="152" t="inlineStr">
        <is>
          <t>[Zerith Robotics] Zerith H1 (2026)</t>
        </is>
      </c>
      <c r="F248" s="146" t="inlineStr">
        <is>
          <t>humanoid</t>
        </is>
      </c>
      <c r="G248" s="152" t="inlineStr">
        <is>
          <t>China</t>
        </is>
      </c>
      <c r="H248" s="152" t="n"/>
      <c r="I248" s="155" t="n">
        <v>80000</v>
      </c>
      <c r="J248" s="152" t="inlineStr">
        <is>
          <t>Humanoid.guide list</t>
        </is>
      </c>
      <c r="K248" s="156" t="inlineStr">
        <is>
          <t>Zerith H1 is a wheeled humanoid robot designed to autonomously clean, organize, and maintain indoor facilities, especially in hospitality settings.</t>
        </is>
      </c>
      <c r="L248" s="101" t="inlineStr">
        <is>
          <t>Zerith H1 is a wheeled humanoid robot designed to autonomously clean, organize, and maintain indoor facilities, especially in hospitality settings.</t>
        </is>
      </c>
      <c r="M248" s="101" t="inlineStr">
        <is>
          <t>Zerith H1 is a wheeled humanoid robot designed to autonomously clean, organize, and maintain indoor facilities, especially in hospitality settings. Public status is listed as in production, and it is positioned for industrial automation; logistics; manufacturing inspection; Service.</t>
        </is>
      </c>
      <c r="N248" s="157" t="inlineStr">
        <is>
          <t>https://humanoid.guide/product/zerith-h1/</t>
        </is>
      </c>
      <c r="O248" s="157" t="inlineStr">
        <is>
          <t>https://casbot.tech/</t>
        </is>
      </c>
      <c r="P248" s="152" t="inlineStr">
        <is>
          <t>5 ft 11 in</t>
        </is>
      </c>
      <c r="Q248" s="152" t="n">
        <v>180</v>
      </c>
      <c r="R248" s="152" t="n">
        <v>121.3</v>
      </c>
      <c r="S248" s="152" t="n">
        <v>55</v>
      </c>
      <c r="T248" s="156" t="inlineStr">
        <is>
          <t>Not disclosed</t>
        </is>
      </c>
      <c r="U248" s="152" t="n"/>
      <c r="V248" s="152" t="inlineStr">
        <is>
          <t>23</t>
        </is>
      </c>
      <c r="W248" s="156" t="inlineStr">
        <is>
          <t>7</t>
        </is>
      </c>
      <c r="X248" s="152" t="n">
        <v>22</v>
      </c>
      <c r="Y248" s="152" t="n">
        <v>10</v>
      </c>
      <c r="Z248" s="152" t="n">
        <v>3.36</v>
      </c>
      <c r="AA248" s="152" t="n">
        <v>5.4</v>
      </c>
      <c r="AB248" s="152" t="n"/>
      <c r="AC248" s="156" t="inlineStr">
        <is>
          <t>~3.5 – 4</t>
        </is>
      </c>
      <c r="AD248" s="156" t="inlineStr">
        <is>
          <t>~3.5 – 4</t>
        </is>
      </c>
      <c r="AE248" s="152" t="n"/>
      <c r="AF248" s="152" t="inlineStr">
        <is>
          <t>Not disclosed</t>
        </is>
      </c>
      <c r="AG248" s="156" t="inlineStr">
        <is>
          <t>2-finger gripping claws</t>
        </is>
      </c>
      <c r="AH248" s="152" t="inlineStr">
        <is>
          <t>2-finger gripping claws</t>
        </is>
      </c>
      <c r="AI248" s="152" t="n"/>
      <c r="AJ248" s="156" t="inlineStr">
        <is>
          <t>RGB-D + LiDAR</t>
        </is>
      </c>
      <c r="AK248" s="156" t="inlineStr">
        <is>
          <t>RGB-D + LiDAR</t>
        </is>
      </c>
      <c r="AL248" s="152" t="inlineStr">
        <is>
          <t>Not disclosed</t>
        </is>
      </c>
      <c r="AM248" s="152" t="n"/>
      <c r="AN248" s="152" t="inlineStr">
        <is>
          <t>Not disclosed</t>
        </is>
      </c>
      <c r="AO248" s="152" t="inlineStr">
        <is>
          <t>Not disclosed</t>
        </is>
      </c>
      <c r="AP248" s="152" t="inlineStr">
        <is>
          <t>Not disclosed</t>
        </is>
      </c>
      <c r="AQ248" s="152" t="inlineStr">
        <is>
          <t>Not disclosed</t>
        </is>
      </c>
      <c r="AR248" s="152" t="n"/>
      <c r="AS248" s="152" t="n"/>
      <c r="AT248" s="156" t="inlineStr">
        <is>
          <t>Dual Intel Core i7 processors</t>
        </is>
      </c>
      <c r="AU248" s="156" t="inlineStr">
        <is>
          <t>Bluetooth; Ethernet; HDMI; Wi-Fi</t>
        </is>
      </c>
      <c r="AV248" s="152" t="inlineStr">
        <is>
          <t>Not disclosed</t>
        </is>
      </c>
      <c r="AW248" s="156" t="inlineStr">
        <is>
          <t>Not disclosed</t>
        </is>
      </c>
      <c r="AX248" s="152" t="n"/>
      <c r="AY248" s="156" t="inlineStr">
        <is>
          <t>ROS2 framework</t>
        </is>
      </c>
      <c r="AZ248" s="156" t="inlineStr">
        <is>
          <t>Possible via ROS2 stacks but not publicly documented</t>
        </is>
      </c>
      <c r="BA248" s="156" t="inlineStr">
        <is>
          <t>Estimated &amp;lt;100 ms</t>
        </is>
      </c>
      <c r="BB248" s="156" t="inlineStr">
        <is>
          <t>High-torque electric actuators</t>
        </is>
      </c>
      <c r="BC248" s="156" t="inlineStr">
        <is>
          <t>High-precision reduction gears</t>
        </is>
      </c>
      <c r="BD248" s="152" t="inlineStr">
        <is>
          <t>Metal frame + engineering plastics</t>
        </is>
      </c>
      <c r="BE248" s="152" t="inlineStr">
        <is>
          <t>IP20</t>
        </is>
      </c>
      <c r="BF248" s="152" t="inlineStr">
        <is>
          <t>Assumed indoor industrial grade (IP20–IP54)</t>
        </is>
      </c>
      <c r="BG248" s="152" t="n"/>
      <c r="BH248" s="152" t="n"/>
      <c r="BI248" s="152" t="n"/>
      <c r="BJ248" s="152" t="n"/>
      <c r="BK248" s="152" t="n"/>
      <c r="BL248" s="152" t="n"/>
      <c r="BM248" s="152" t="inlineStr">
        <is>
          <t>Yes</t>
        </is>
      </c>
      <c r="BN248" s="152" t="inlineStr">
        <is>
          <t>Not disclosed</t>
        </is>
      </c>
      <c r="BO248" s="156" t="inlineStr">
        <is>
          <t>Market: Industrial automation; logistics; manufacturing inspection; Service · Human-safe: Yes · AI: Possible via ROS2 stacks but not publicly documented · Actuation: High-torque electric actuators · Peak 5.4 km/h · Runtime ~3.5 – 4</t>
        </is>
      </c>
      <c r="BP248" s="152" t="n"/>
      <c r="BQ248" s="156" t="inlineStr">
        <is>
          <t>Industrial automation; logistics; manufacturing inspection; Service</t>
        </is>
      </c>
      <c r="BR248" s="156" t="inlineStr">
        <is>
          <t>In production</t>
        </is>
      </c>
      <c r="BS248" s="156" t="inlineStr">
        <is>
          <t>In production</t>
        </is>
      </c>
      <c r="BT248" s="152" t="inlineStr">
        <is>
          <t>White / industrial service finish</t>
        </is>
      </c>
      <c r="BU248" s="152" t="inlineStr">
        <is>
          <t>Not verified</t>
        </is>
      </c>
      <c r="BV248" s="156" t="n"/>
      <c r="BW248" s="156" t="inlineStr">
        <is>
          <t>Origin &amp; status — China · In production · 2026 | Manipulation — 2-finger gripping claws · Hand DOF 7 · Payload 22 lb | Sensing &amp; software — RGB-D + LiDAR · Possible via ROS2 stacks but not publicly documented · ROS2 framework | Buying notes — From $80,000 · 12 months manufacturer standard (typical research/commercial humanoid) · Best fit: Industrial automation</t>
        </is>
      </c>
      <c r="BX248" s="156" t="inlineStr">
        <is>
          <t>as_shipped|Zerith H1|80000|As shipped</t>
        </is>
      </c>
      <c r="BY248" s="152" t="inlineStr">
        <is>
          <t>white|White|#e2e8f0|0 || industrial_service_finish|industrial service finish|#1e293b|0</t>
        </is>
      </c>
      <c r="BZ248" s="152" t="inlineStr"/>
      <c r="CA248" s="156" t="n"/>
      <c r="CB248" s="156" t="inlineStr">
        <is>
          <t>12 months manufacturer standard (typical research/commercial humanoid)</t>
        </is>
      </c>
      <c r="CC248" s="154" t="n">
        <v>12</v>
      </c>
      <c r="CD248" s="156" t="inlineStr">
        <is>
          <t>+3 Year Extended ≈24% of configuration (default in configurator)</t>
        </is>
      </c>
      <c r="CE248" s="152" t="inlineStr">
        <is>
          <t>Humanoid category norm 2025–2026</t>
        </is>
      </c>
      <c r="CF248" s="152" t="inlineStr">
        <is>
          <t>Estimated</t>
        </is>
      </c>
      <c r="CG248" s="156" t="inlineStr">
        <is>
          <t>Confirm on formal OEM quote. EDU or enterprise packages may differ.</t>
        </is>
      </c>
      <c r="CH248" s="152" t="inlineStr">
        <is>
          <t>10%</t>
        </is>
      </c>
      <c r="CI248" s="152" t="inlineStr">
        <is>
          <t>17%</t>
        </is>
      </c>
      <c r="CJ248" s="152" t="inlineStr">
        <is>
          <t>24%</t>
        </is>
      </c>
      <c r="CK248" s="156" t="inlineStr">
        <is>
          <t>+1yr ≈10% | +2yr ≈17% | +3yr ≈24% of selected configuration price (parts &amp; labor beyond manufacturer standard).</t>
        </is>
      </c>
      <c r="CL248"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48" s="152" t="inlineStr">
        <is>
          <t>12 months manufacturer standard (typical research/commercial humanoid)</t>
        </is>
      </c>
      <c r="CN248" s="203" t="inlineStr">
        <is>
          <t>https://aixzd.com/robot/zerith-h1</t>
        </is>
      </c>
      <c r="CO248" s="203" t="inlineStr">
        <is>
          <t>https://theresanaiforthat.com/robots/</t>
        </is>
      </c>
      <c r="CP248" s="203" t="inlineStr">
        <is>
          <t>Cross-checked against TAAFT Robots directory (669 entries) 28 Aug 2026 — individual TAAFT permalinks are JS/Cloudflare gated.</t>
        </is>
      </c>
      <c r="CQ248" s="101" t="inlineStr">
        <is>
          <t>Height: 5 ft 11 in | Weight: 121.3 | Degrees of Freedom: 23 | Payload: 22 | Max Speed: 3.36 | Battery / Runtime: ~3.5 – 4</t>
        </is>
      </c>
    </row>
    <row r="249" ht="31.5" customHeight="1" s="102">
      <c r="A249" s="145" t="inlineStr">
        <is>
          <t>zerith_robotics_zerith_z1</t>
        </is>
      </c>
      <c r="B249" s="153" t="inlineStr">
        <is>
          <t>Humanoid.guide</t>
        </is>
      </c>
      <c r="C249" s="145" t="inlineStr">
        <is>
          <t>Zerith Robotics</t>
        </is>
      </c>
      <c r="D249" s="145" t="inlineStr">
        <is>
          <t>Zerith Z1</t>
        </is>
      </c>
      <c r="E249" s="145" t="inlineStr">
        <is>
          <t>[Zerith Robotics] Zerith Z1 (2026)</t>
        </is>
      </c>
      <c r="F249" s="146" t="inlineStr">
        <is>
          <t>humanoid</t>
        </is>
      </c>
      <c r="G249" s="145" t="inlineStr">
        <is>
          <t>China</t>
        </is>
      </c>
      <c r="H249" s="145" t="n"/>
      <c r="I249" s="148" t="n">
        <v>120000</v>
      </c>
      <c r="J249" s="145" t="inlineStr">
        <is>
          <t>Humanoid.guide list</t>
        </is>
      </c>
      <c r="K249" s="149" t="inlineStr">
        <is>
          <t>Zerith Z1 is a bipedal humanoid robot with advanced AI-driven motion, designed for autonomous navigation and human-like interaction in service and commercial environments.</t>
        </is>
      </c>
      <c r="L249" s="101" t="inlineStr">
        <is>
          <t>Zerith Z1 is a bipedal humanoid robot with advanced AI-driven motion, designed for autonomous navigation and human-like interaction in service and commercial environments.</t>
        </is>
      </c>
      <c r="M249" s="101" t="inlineStr">
        <is>
          <t>Zerith Z1 is a bipedal humanoid robot with advanced AI-driven motion, designed for autonomous navigation and human-like interaction in service and commercial environments. Public status is listed as in production, and it is positioned for industrial automation; logistics; manufacturing inspection; Service.</t>
        </is>
      </c>
      <c r="N249" s="150" t="inlineStr">
        <is>
          <t>https://humanoid.guide/product/zerith-z1/</t>
        </is>
      </c>
      <c r="O249" s="150" t="inlineStr">
        <is>
          <t>https://casbot.tech/</t>
        </is>
      </c>
      <c r="P249" s="145" t="inlineStr">
        <is>
          <t>4 ft 9 in</t>
        </is>
      </c>
      <c r="Q249" s="145" t="n">
        <v>145</v>
      </c>
      <c r="R249" s="145" t="n">
        <v>72.8</v>
      </c>
      <c r="S249" s="145" t="n">
        <v>33</v>
      </c>
      <c r="T249" s="149" t="inlineStr">
        <is>
          <t>Not disclosed</t>
        </is>
      </c>
      <c r="U249" s="145" t="n"/>
      <c r="V249" s="145" t="inlineStr">
        <is>
          <t>27</t>
        </is>
      </c>
      <c r="W249" s="149" t="inlineStr">
        <is>
          <t>Not disclosed</t>
        </is>
      </c>
      <c r="X249" s="145" t="n">
        <v>17.6</v>
      </c>
      <c r="Y249" s="145" t="n">
        <v>8</v>
      </c>
      <c r="Z249" s="145" t="n">
        <v>2.49</v>
      </c>
      <c r="AA249" s="145" t="n">
        <v>4</v>
      </c>
      <c r="AB249" s="145" t="n">
        <v>3</v>
      </c>
      <c r="AC249" s="149" t="inlineStr">
        <is>
          <t>≈ 2 hours</t>
        </is>
      </c>
      <c r="AD249" s="149" t="inlineStr">
        <is>
          <t>2</t>
        </is>
      </c>
      <c r="AE249" s="145" t="n"/>
      <c r="AF249" s="145" t="inlineStr">
        <is>
          <t>Not disclosed</t>
        </is>
      </c>
      <c r="AG249" s="149" t="inlineStr">
        <is>
          <t>5 per hand</t>
        </is>
      </c>
      <c r="AH249" s="145" t="inlineStr">
        <is>
          <t>5 per hand</t>
        </is>
      </c>
      <c r="AI249" s="145" t="n"/>
      <c r="AJ249" s="149" t="inlineStr">
        <is>
          <t>RGB + depth sensors, LiDAR, IMU</t>
        </is>
      </c>
      <c r="AK249" s="149" t="inlineStr">
        <is>
          <t>RGB + depth sensors, LiDAR, IMU</t>
        </is>
      </c>
      <c r="AL249" s="145" t="inlineStr">
        <is>
          <t>Not disclosed</t>
        </is>
      </c>
      <c r="AM249" s="145" t="n"/>
      <c r="AN249" s="145" t="inlineStr">
        <is>
          <t>Not disclosed</t>
        </is>
      </c>
      <c r="AO249" s="145" t="inlineStr">
        <is>
          <t>Not disclosed</t>
        </is>
      </c>
      <c r="AP249" s="145" t="inlineStr">
        <is>
          <t>Not disclosed</t>
        </is>
      </c>
      <c r="AQ249" s="145" t="inlineStr">
        <is>
          <t>Not disclosed</t>
        </is>
      </c>
      <c r="AR249" s="145" t="n"/>
      <c r="AS249" s="145" t="n"/>
      <c r="AT249" s="149" t="inlineStr">
        <is>
          <t>Industrial-grade onboard compute</t>
        </is>
      </c>
      <c r="AU249" s="149" t="inlineStr">
        <is>
          <t>Ethernet; ROS network interfaces; Wi-Fi</t>
        </is>
      </c>
      <c r="AV249" s="145" t="inlineStr">
        <is>
          <t>Not disclosed</t>
        </is>
      </c>
      <c r="AW249" s="149" t="inlineStr">
        <is>
          <t>Not disclosed</t>
        </is>
      </c>
      <c r="AX249" s="145" t="n"/>
      <c r="AY249" s="149" t="inlineStr">
        <is>
          <t>Likely Linux/ROS-compatible</t>
        </is>
      </c>
      <c r="AZ249" s="149" t="inlineStr">
        <is>
          <t>Not disclosed</t>
        </is>
      </c>
      <c r="BA249" s="149" t="inlineStr">
        <is>
          <t>Estimated &amp;lt;100 ms</t>
        </is>
      </c>
      <c r="BB249" s="149" t="inlineStr">
        <is>
          <t>Electric joint actuators</t>
        </is>
      </c>
      <c r="BC249" s="149" t="inlineStr">
        <is>
          <t>High-precision reductions</t>
        </is>
      </c>
      <c r="BD249" s="145" t="inlineStr">
        <is>
          <t>Lightweight metal and composite frame</t>
        </is>
      </c>
      <c r="BE249" s="145" t="inlineStr">
        <is>
          <t>IP20</t>
        </is>
      </c>
      <c r="BF249" s="145" t="inlineStr">
        <is>
          <t>Assumed indoor industrial grade (IP20–IP54)</t>
        </is>
      </c>
      <c r="BG249" s="145" t="n"/>
      <c r="BH249" s="145" t="n"/>
      <c r="BI249" s="145" t="n"/>
      <c r="BJ249" s="145" t="n"/>
      <c r="BK249" s="145" t="n"/>
      <c r="BL249" s="145" t="n"/>
      <c r="BM249" s="145" t="inlineStr">
        <is>
          <t>Yes</t>
        </is>
      </c>
      <c r="BN249" s="145" t="inlineStr">
        <is>
          <t>Not disclosed</t>
        </is>
      </c>
      <c r="BO249" s="149" t="inlineStr">
        <is>
          <t>Market: Industrial automation; logistics; manufacturing inspection; Service · Human-safe: Yes · Actuation: Electric joint actuators · Peak 4 km/h · Walk 3 km/h · Runtime 2</t>
        </is>
      </c>
      <c r="BP249" s="145" t="n"/>
      <c r="BQ249" s="149" t="inlineStr">
        <is>
          <t>Industrial automation; logistics; manufacturing inspection; Service</t>
        </is>
      </c>
      <c r="BR249" s="149" t="inlineStr">
        <is>
          <t>In production</t>
        </is>
      </c>
      <c r="BS249" s="149" t="inlineStr">
        <is>
          <t>In production</t>
        </is>
      </c>
      <c r="BT249" s="145" t="inlineStr">
        <is>
          <t>White</t>
        </is>
      </c>
      <c r="BU249" s="145" t="inlineStr">
        <is>
          <t>Not verified</t>
        </is>
      </c>
      <c r="BV249" s="149" t="n"/>
      <c r="BW249" s="149" t="inlineStr">
        <is>
          <t>Origin &amp; status — China · In production · 2026 | Manipulation — 5 per hand · 5 per hand fingers · Payload 17.6 lb | Sensing &amp; software — RGB + depth sensors, LiDAR, IMU · Likely Linux/ROS-compatible | Buying notes — From $120,000 · 12 months manufacturer standard (typical research/commercial humanoid) · Best fit: Industrial automation</t>
        </is>
      </c>
      <c r="BX249" s="149" t="inlineStr">
        <is>
          <t>as_shipped|Zerith Z1|120000|As shipped</t>
        </is>
      </c>
      <c r="BY249" s="145" t="inlineStr">
        <is>
          <t>white|White|#e2e8f0|0</t>
        </is>
      </c>
      <c r="BZ249" s="145" t="inlineStr"/>
      <c r="CA249" s="149" t="n"/>
      <c r="CB249" s="149" t="inlineStr">
        <is>
          <t>12 months manufacturer standard (typical research/commercial humanoid)</t>
        </is>
      </c>
      <c r="CC249" s="147" t="n">
        <v>12</v>
      </c>
      <c r="CD249" s="149" t="inlineStr">
        <is>
          <t>+3 Year Extended ≈24% of configuration (default in configurator)</t>
        </is>
      </c>
      <c r="CE249" s="145" t="inlineStr">
        <is>
          <t>Humanoid category norm 2025–2026</t>
        </is>
      </c>
      <c r="CF249" s="145" t="inlineStr">
        <is>
          <t>Estimated</t>
        </is>
      </c>
      <c r="CG249" s="149" t="inlineStr">
        <is>
          <t>Confirm on formal OEM quote. EDU or enterprise packages may differ.</t>
        </is>
      </c>
      <c r="CH249" s="145" t="inlineStr">
        <is>
          <t>10%</t>
        </is>
      </c>
      <c r="CI249" s="145" t="inlineStr">
        <is>
          <t>17%</t>
        </is>
      </c>
      <c r="CJ249" s="145" t="inlineStr">
        <is>
          <t>24%</t>
        </is>
      </c>
      <c r="CK249" s="149" t="inlineStr">
        <is>
          <t>+1yr ≈10% | +2yr ≈17% | +3yr ≈24% of selected configuration price (parts &amp; labor beyond manufacturer standard).</t>
        </is>
      </c>
      <c r="CL24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49" s="145" t="inlineStr">
        <is>
          <t>12 months manufacturer standard (typical research/commercial humanoid)</t>
        </is>
      </c>
      <c r="CN249" s="203" t="inlineStr">
        <is>
          <t>https://aixzd.com/robot/zerith-z1</t>
        </is>
      </c>
      <c r="CQ249" s="101" t="inlineStr">
        <is>
          <t>Height: 4 ft 9 in | Weight: 72.8 | Degrees of Freedom: 27 | Payload: 17.6 | Max Speed: 2.49 | Battery / Runtime: ≈ 2 hours</t>
        </is>
      </c>
    </row>
    <row r="250" ht="31.5" customHeight="1" s="102">
      <c r="A250" s="152" t="inlineStr">
        <is>
          <t>zeroth_robotics_sean</t>
        </is>
      </c>
      <c r="B250" s="153" t="inlineStr">
        <is>
          <t>Humanoid.guide</t>
        </is>
      </c>
      <c r="C250" s="152" t="inlineStr">
        <is>
          <t>Zeroth Robotics</t>
        </is>
      </c>
      <c r="D250" s="152" t="inlineStr">
        <is>
          <t>Sean</t>
        </is>
      </c>
      <c r="E250" s="152" t="inlineStr">
        <is>
          <t>[Zeroth Robotics] Sean (2026)</t>
        </is>
      </c>
      <c r="F250" s="146" t="inlineStr">
        <is>
          <t>humanoid</t>
        </is>
      </c>
      <c r="G250" s="152" t="inlineStr">
        <is>
          <t>China</t>
        </is>
      </c>
      <c r="H250" s="152" t="n"/>
      <c r="I250" s="155" t="n">
        <v>65000</v>
      </c>
      <c r="J250" s="152" t="inlineStr">
        <is>
          <t>Humanoid.guide list</t>
        </is>
      </c>
      <c r="K250" s="156" t="inlineStr">
        <is>
          <t>Sean is a practical humanoid robot with three-finger grippers, designed for reliable handling and safe human interaction in structured environments.</t>
        </is>
      </c>
      <c r="L250" s="101" t="inlineStr">
        <is>
          <t>Sean is a practical humanoid robot with three-finger grippers, designed for reliable handling and safe human interaction in structured environments.</t>
        </is>
      </c>
      <c r="M250" s="101" t="inlineStr">
        <is>
          <t>Sean is a practical humanoid robot with three-finger grippers, designed for reliable handling and safe human interaction in structured environments. Public status is listed as prototype, and it is positioned for aI development; Home assistance; Research; retail.</t>
        </is>
      </c>
      <c r="N250" s="157" t="inlineStr">
        <is>
          <t>https://humanoid.guide/product/sean/</t>
        </is>
      </c>
      <c r="O250" s="157" t="inlineStr">
        <is>
          <t>https://www.zeroth.bot</t>
        </is>
      </c>
      <c r="P250" s="152" t="inlineStr">
        <is>
          <t>5 ft 1 in</t>
        </is>
      </c>
      <c r="Q250" s="152" t="n">
        <v>155</v>
      </c>
      <c r="R250" s="152" t="n">
        <v>99.2</v>
      </c>
      <c r="S250" s="152" t="n">
        <v>45</v>
      </c>
      <c r="T250" s="156" t="inlineStr">
        <is>
          <t>Not disclosed</t>
        </is>
      </c>
      <c r="U250" s="152" t="n"/>
      <c r="V250" s="152" t="inlineStr">
        <is>
          <t>16</t>
        </is>
      </c>
      <c r="W250" s="156" t="inlineStr">
        <is>
          <t>6</t>
        </is>
      </c>
      <c r="X250" s="152" t="n">
        <v>6.6</v>
      </c>
      <c r="Y250" s="152" t="n">
        <v>3</v>
      </c>
      <c r="Z250" s="152" t="n">
        <v>1.86</v>
      </c>
      <c r="AA250" s="152" t="n">
        <v>3</v>
      </c>
      <c r="AB250" s="152" t="n"/>
      <c r="AC250" s="156" t="inlineStr">
        <is>
          <t>≈ 2 hours</t>
        </is>
      </c>
      <c r="AD250" s="156" t="inlineStr">
        <is>
          <t>2</t>
        </is>
      </c>
      <c r="AE250" s="152" t="n"/>
      <c r="AF250" s="152" t="inlineStr">
        <is>
          <t>Not disclosed</t>
        </is>
      </c>
      <c r="AG250" s="156" t="inlineStr">
        <is>
          <t>3</t>
        </is>
      </c>
      <c r="AH250" s="152" t="inlineStr">
        <is>
          <t>3</t>
        </is>
      </c>
      <c r="AI250" s="152" t="n"/>
      <c r="AJ250" s="156" t="inlineStr">
        <is>
          <t>HD–4K vision system (estimated)</t>
        </is>
      </c>
      <c r="AK250" s="156" t="inlineStr">
        <is>
          <t>HD–4K vision system (estimated)</t>
        </is>
      </c>
      <c r="AL250" s="152" t="inlineStr">
        <is>
          <t>Not disclosed</t>
        </is>
      </c>
      <c r="AM250" s="152" t="n"/>
      <c r="AN250" s="152" t="inlineStr">
        <is>
          <t>Not disclosed</t>
        </is>
      </c>
      <c r="AO250" s="152" t="inlineStr">
        <is>
          <t>Not disclosed</t>
        </is>
      </c>
      <c r="AP250" s="152" t="inlineStr">
        <is>
          <t>Not disclosed</t>
        </is>
      </c>
      <c r="AQ250" s="152" t="inlineStr">
        <is>
          <t>Not disclosed</t>
        </is>
      </c>
      <c r="AR250" s="152" t="n"/>
      <c r="AS250" s="152" t="n"/>
      <c r="AT250" s="156" t="inlineStr">
        <is>
          <t>Likely onboard edge AI compute (e.g., NVIDIA Jetson class, estimated)</t>
        </is>
      </c>
      <c r="AU250" s="156" t="inlineStr">
        <is>
          <t>Ethernet; Wi-Fi</t>
        </is>
      </c>
      <c r="AV250" s="152" t="inlineStr">
        <is>
          <t>Not disclosed</t>
        </is>
      </c>
      <c r="AW250" s="156" t="inlineStr">
        <is>
          <t>Not disclosed</t>
        </is>
      </c>
      <c r="AX250" s="152" t="n"/>
      <c r="AY250" s="156" t="inlineStr">
        <is>
          <t>Not disclosed</t>
        </is>
      </c>
      <c r="AZ250" s="156" t="inlineStr">
        <is>
          <t>Not disclosed</t>
        </is>
      </c>
      <c r="BA250" s="156" t="n"/>
      <c r="BB250" s="156" t="inlineStr">
        <is>
          <t>Electric servo motors</t>
        </is>
      </c>
      <c r="BC250" s="156" t="inlineStr">
        <is>
          <t>Harmonic or planetary gear systems (assumed standard)</t>
        </is>
      </c>
      <c r="BD250" s="152" t="inlineStr">
        <is>
          <t>Aluminum alloy + composite panels</t>
        </is>
      </c>
      <c r="BE250" s="152" t="inlineStr">
        <is>
          <t>Not specified (likely indoor use, low IP rating)</t>
        </is>
      </c>
      <c r="BF250" s="152" t="inlineStr">
        <is>
          <t>Not specified (likely indoor use, low IP rating)</t>
        </is>
      </c>
      <c r="BG250" s="152" t="n"/>
      <c r="BH250" s="152" t="n"/>
      <c r="BI250" s="152" t="n"/>
      <c r="BJ250" s="152" t="n"/>
      <c r="BK250" s="152" t="n"/>
      <c r="BL250" s="152" t="n"/>
      <c r="BM250" s="152" t="inlineStr">
        <is>
          <t>Yes</t>
        </is>
      </c>
      <c r="BN250" s="152" t="inlineStr">
        <is>
          <t>Not disclosed</t>
        </is>
      </c>
      <c r="BO250" s="156" t="inlineStr">
        <is>
          <t>Market: AI development; Home assistance; Research; retail · Human-safe: Yes · Actuation: Electric servo motors · Peak 3 km/h · Runtime 2</t>
        </is>
      </c>
      <c r="BP250" s="152" t="n"/>
      <c r="BQ250" s="156" t="inlineStr">
        <is>
          <t>AI development; Home assistance; Research; retail</t>
        </is>
      </c>
      <c r="BR250" s="156" t="inlineStr">
        <is>
          <t>Prototype</t>
        </is>
      </c>
      <c r="BS250" s="156" t="inlineStr">
        <is>
          <t>Prototype</t>
        </is>
      </c>
      <c r="BT250" s="152" t="inlineStr">
        <is>
          <t>White</t>
        </is>
      </c>
      <c r="BU250" s="152" t="inlineStr">
        <is>
          <t>Not verified</t>
        </is>
      </c>
      <c r="BV250" s="156" t="n"/>
      <c r="BW250" s="156" t="inlineStr">
        <is>
          <t>Origin &amp; status — China · Prototype · 2026 | Manipulation — 3 · 3 fingers · Hand DOF 6 · Payload 6.6 lb | Sensing &amp; software — HD–4K vision system (estimated) | Buying notes — From $65,000 · 12 months manufacturer standard (typical research/commercial humanoid) · Best fit: AI development</t>
        </is>
      </c>
      <c r="BX250" s="156" t="inlineStr">
        <is>
          <t>as_shipped|Sean|65000|As shipped</t>
        </is>
      </c>
      <c r="BY250" s="152" t="inlineStr">
        <is>
          <t>white|White|#e2e8f0|0</t>
        </is>
      </c>
      <c r="BZ250" s="152" t="inlineStr"/>
      <c r="CA250" s="156" t="n"/>
      <c r="CB250" s="156" t="inlineStr">
        <is>
          <t>12 months manufacturer standard (typical research/commercial humanoid)</t>
        </is>
      </c>
      <c r="CC250" s="154" t="n">
        <v>12</v>
      </c>
      <c r="CD250" s="156" t="inlineStr">
        <is>
          <t>+3 Year Extended ≈24% of configuration (default in configurator)</t>
        </is>
      </c>
      <c r="CE250" s="152" t="inlineStr">
        <is>
          <t>Humanoid category norm 2025–2026</t>
        </is>
      </c>
      <c r="CF250" s="152" t="inlineStr">
        <is>
          <t>Estimated</t>
        </is>
      </c>
      <c r="CG250" s="156" t="inlineStr">
        <is>
          <t>Confirm on formal OEM quote. EDU or enterprise packages may differ.</t>
        </is>
      </c>
      <c r="CH250" s="152" t="inlineStr">
        <is>
          <t>10%</t>
        </is>
      </c>
      <c r="CI250" s="152" t="inlineStr">
        <is>
          <t>17%</t>
        </is>
      </c>
      <c r="CJ250" s="152" t="inlineStr">
        <is>
          <t>24%</t>
        </is>
      </c>
      <c r="CK250" s="156" t="inlineStr">
        <is>
          <t>+1yr ≈10% | +2yr ≈17% | +3yr ≈24% of selected configuration price (parts &amp; labor beyond manufacturer standard).</t>
        </is>
      </c>
      <c r="CL250"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50" s="152" t="inlineStr">
        <is>
          <t>12 months manufacturer standard (typical research/commercial humanoid)</t>
        </is>
      </c>
      <c r="CQ250" s="101" t="inlineStr">
        <is>
          <t>Height: 5 ft 1 in | Weight: 99.2 | Degrees of Freedom: 16 | Payload: 6.6 | Max Speed: 1.86 | Battery / Runtime: ≈ 2 hours</t>
        </is>
      </c>
    </row>
    <row r="251" ht="31.5" customHeight="1" s="102">
      <c r="A251" s="145" t="inlineStr">
        <is>
          <t>zhejiang_humanoid_robot_innovation_center_navai</t>
        </is>
      </c>
      <c r="B251" s="153" t="inlineStr">
        <is>
          <t>Humanoid.guide</t>
        </is>
      </c>
      <c r="C251" s="145" t="inlineStr">
        <is>
          <t>Zhejiang Humanoid Robot Innovation Center</t>
        </is>
      </c>
      <c r="D251" s="145" t="inlineStr">
        <is>
          <t>NAVAI-I3</t>
        </is>
      </c>
      <c r="E251" s="145" t="inlineStr">
        <is>
          <t>[Zhejiang Humanoid Robot Innovation Center] NAVAI-I3 (2026)</t>
        </is>
      </c>
      <c r="F251" s="146" t="inlineStr">
        <is>
          <t>humanoid</t>
        </is>
      </c>
      <c r="G251" s="145" t="inlineStr">
        <is>
          <t>China</t>
        </is>
      </c>
      <c r="H251" s="145" t="n"/>
      <c r="I251" s="148" t="n">
        <v>120000</v>
      </c>
      <c r="J251" s="145" t="inlineStr">
        <is>
          <t>Humanoid.guide list</t>
        </is>
      </c>
      <c r="K251" s="149" t="inlineStr">
        <is>
          <t>The Navai-I3 is a Chinese humanoid robot built for stability, mixed-terrain mobility, and research-focused applications.</t>
        </is>
      </c>
      <c r="L251" s="101" t="inlineStr">
        <is>
          <t>The Navai-I3 is a Chinese humanoid robot built for stability, mixed-terrain mobility, and research-focused applications.</t>
        </is>
      </c>
      <c r="M251" s="101" t="inlineStr">
        <is>
          <t>The Navai-I3 is a Chinese humanoid robot built for stability, mixed-terrain mobility, and research-focused applications. Public status is listed as prototype, and it is positioned for research institutions, robotics labs, AI development, demonstrations.</t>
        </is>
      </c>
      <c r="N251" s="150" t="inlineStr">
        <is>
          <t>https://humanoid.guide/product/navai-i3/</t>
        </is>
      </c>
      <c r="O251" s="150" t="inlineStr">
        <is>
          <t>https://www.humanoid.com.cn</t>
        </is>
      </c>
      <c r="P251" s="145" t="inlineStr">
        <is>
          <t>5 ft 11 in</t>
        </is>
      </c>
      <c r="Q251" s="145" t="n">
        <v>180</v>
      </c>
      <c r="R251" s="145" t="n">
        <v>154.3</v>
      </c>
      <c r="S251" s="145" t="n">
        <v>70</v>
      </c>
      <c r="T251" s="149" t="inlineStr">
        <is>
          <t>Not disclosed</t>
        </is>
      </c>
      <c r="U251" s="145" t="inlineStr">
        <is>
          <t>200 × 80 × 60 cm</t>
        </is>
      </c>
      <c r="V251" s="145" t="inlineStr">
        <is>
          <t>44</t>
        </is>
      </c>
      <c r="W251" s="149" t="inlineStr">
        <is>
          <t>14</t>
        </is>
      </c>
      <c r="X251" s="145" t="n">
        <v>22</v>
      </c>
      <c r="Y251" s="145" t="n">
        <v>10</v>
      </c>
      <c r="Z251" s="145" t="n">
        <v>5.59</v>
      </c>
      <c r="AA251" s="145" t="n">
        <v>9</v>
      </c>
      <c r="AB251" s="145" t="n">
        <v>4</v>
      </c>
      <c r="AC251" s="149" t="inlineStr">
        <is>
          <t>≈ 2 hours</t>
        </is>
      </c>
      <c r="AD251" s="149" t="inlineStr">
        <is>
          <t>2</t>
        </is>
      </c>
      <c r="AE251" s="145" t="n"/>
      <c r="AF251" s="145" t="inlineStr">
        <is>
          <t>Not disclosed</t>
        </is>
      </c>
      <c r="AG251" s="149" t="inlineStr">
        <is>
          <t>5 per hand</t>
        </is>
      </c>
      <c r="AH251" s="145" t="inlineStr">
        <is>
          <t>5 per hand</t>
        </is>
      </c>
      <c r="AI251" s="158" t="n">
        <v>2</v>
      </c>
      <c r="AJ251" s="149" t="inlineStr">
        <is>
          <t>1080p RGB + depth camera</t>
        </is>
      </c>
      <c r="AK251" s="149" t="inlineStr">
        <is>
          <t>1080p RGB + depth camera</t>
        </is>
      </c>
      <c r="AL251" s="145" t="inlineStr">
        <is>
          <t>Not disclosed</t>
        </is>
      </c>
      <c r="AM251" s="145" t="n"/>
      <c r="AN251" s="145" t="inlineStr">
        <is>
          <t>Not disclosed</t>
        </is>
      </c>
      <c r="AO251" s="145" t="inlineStr">
        <is>
          <t>Not disclosed</t>
        </is>
      </c>
      <c r="AP251" s="145" t="inlineStr">
        <is>
          <t>Not disclosed</t>
        </is>
      </c>
      <c r="AQ251" s="145" t="inlineStr">
        <is>
          <t>Not disclosed</t>
        </is>
      </c>
      <c r="AR251" s="145" t="n"/>
      <c r="AS251" s="145" t="n"/>
      <c r="AT251" s="149" t="inlineStr">
        <is>
          <t>ARM + embedded GPU</t>
        </is>
      </c>
      <c r="AU251" s="149" t="inlineStr">
        <is>
          <t>Ethernet; Wi-Fi, Bluetooth, 5G</t>
        </is>
      </c>
      <c r="AV251" s="145" t="inlineStr">
        <is>
          <t>Not disclosed</t>
        </is>
      </c>
      <c r="AW251" s="149" t="inlineStr">
        <is>
          <t>Not disclosed</t>
        </is>
      </c>
      <c r="AX251" s="161" t="n">
        <v>4</v>
      </c>
      <c r="AY251" s="149" t="inlineStr">
        <is>
          <t>Likely Linux + custom robot control stack</t>
        </is>
      </c>
      <c r="AZ251" s="149" t="inlineStr">
        <is>
          <t>Not disclosed</t>
        </is>
      </c>
      <c r="BA251" s="149" t="inlineStr">
        <is>
          <t>150–250 ms</t>
        </is>
      </c>
      <c r="BB251" s="149" t="inlineStr">
        <is>
          <t>Electric servo motors</t>
        </is>
      </c>
      <c r="BC251" s="149" t="inlineStr">
        <is>
          <t>Likely harmonic drives for precision</t>
        </is>
      </c>
      <c r="BD251" s="145" t="inlineStr">
        <is>
          <t>Aluminum frame + composite panels</t>
        </is>
      </c>
      <c r="BE251" s="145" t="inlineStr">
        <is>
          <t>IP20</t>
        </is>
      </c>
      <c r="BF251" s="145" t="inlineStr">
        <is>
          <t>IP20</t>
        </is>
      </c>
      <c r="BG251" s="145" t="n"/>
      <c r="BH251" s="145" t="n"/>
      <c r="BI251" s="145" t="n"/>
      <c r="BJ251" s="145" t="n"/>
      <c r="BK251" s="145" t="n"/>
      <c r="BL251" s="145" t="n"/>
      <c r="BM251" s="145" t="inlineStr">
        <is>
          <t>Yes</t>
        </is>
      </c>
      <c r="BN251" s="145" t="inlineStr">
        <is>
          <t>Not disclosed</t>
        </is>
      </c>
      <c r="BO251" s="149" t="inlineStr">
        <is>
          <t>Market: Research institutions, robotics labs, AI development, demonstrations · Manipulation 2/4 · Navigation 4/4 · Human-safe: Yes · Actuation: Electric servo motors · Peak 9 km/h · Walk 4 km/h · Runtime 2</t>
        </is>
      </c>
      <c r="BP251" s="145" t="n"/>
      <c r="BQ251" s="149" t="inlineStr">
        <is>
          <t>Research institutions, robotics labs, AI development, demonstrations</t>
        </is>
      </c>
      <c r="BR251" s="149" t="inlineStr">
        <is>
          <t>Prototype</t>
        </is>
      </c>
      <c r="BS251" s="149" t="inlineStr">
        <is>
          <t>Prototype</t>
        </is>
      </c>
      <c r="BT251" s="145" t="inlineStr">
        <is>
          <t>White/grey (prototype)</t>
        </is>
      </c>
      <c r="BU251" s="145" t="inlineStr">
        <is>
          <t>Not verified</t>
        </is>
      </c>
      <c r="BV251" s="149" t="n"/>
      <c r="BW251" s="149" t="inlineStr">
        <is>
          <t>Origin &amp; status — China · Prototype · 2026 | Manipulation — 5 per hand · 5 per hand fingers · Hand DOF 14 · Payload 22 lb | Sensing &amp; software — 1080p RGB + depth camera · Likely Linux + custom robot control stack | Buying notes — From $120,000 · 12 months manufacturer standard (typical research/commercial humanoid) · Best fit: Research institutions, robotics labs, AI development, demonstra…</t>
        </is>
      </c>
      <c r="BX251" s="149" t="inlineStr">
        <is>
          <t>as_shipped|NAVAI-I3|120000|As shipped</t>
        </is>
      </c>
      <c r="BY251" s="145" t="inlineStr">
        <is>
          <t>white|White|#e2e8f0|0 || grey_prototype|grey (prototype)|#1e293b|0</t>
        </is>
      </c>
      <c r="BZ251" s="145" t="inlineStr"/>
      <c r="CA251" s="149" t="n"/>
      <c r="CB251" s="149" t="inlineStr">
        <is>
          <t>12 months manufacturer standard (typical research/commercial humanoid)</t>
        </is>
      </c>
      <c r="CC251" s="147" t="n">
        <v>12</v>
      </c>
      <c r="CD251" s="149" t="inlineStr">
        <is>
          <t>+3 Year Extended ≈24% of configuration (default in configurator)</t>
        </is>
      </c>
      <c r="CE251" s="145" t="inlineStr">
        <is>
          <t>Humanoid category norm 2025–2026</t>
        </is>
      </c>
      <c r="CF251" s="145" t="inlineStr">
        <is>
          <t>Estimated</t>
        </is>
      </c>
      <c r="CG251" s="149" t="inlineStr">
        <is>
          <t>Confirm on formal OEM quote. EDU or enterprise packages may differ.</t>
        </is>
      </c>
      <c r="CH251" s="145" t="inlineStr">
        <is>
          <t>10%</t>
        </is>
      </c>
      <c r="CI251" s="145" t="inlineStr">
        <is>
          <t>17%</t>
        </is>
      </c>
      <c r="CJ251" s="145" t="inlineStr">
        <is>
          <t>24%</t>
        </is>
      </c>
      <c r="CK251" s="149" t="inlineStr">
        <is>
          <t>+1yr ≈10% | +2yr ≈17% | +3yr ≈24% of selected configuration price (parts &amp; labor beyond manufacturer standard).</t>
        </is>
      </c>
      <c r="CL25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51" s="145" t="inlineStr">
        <is>
          <t>12 months manufacturer standard (typical research/commercial humanoid)</t>
        </is>
      </c>
      <c r="CQ251" s="101" t="inlineStr">
        <is>
          <t>Height: 5 ft 11 in | Weight: 154.3 | Degrees of Freedom: 44 | Payload: 22 | Max Speed: 5.59 | Battery / Runtime: ≈ 2 hours</t>
        </is>
      </c>
    </row>
    <row r="252" ht="31.5" customHeight="1" s="102">
      <c r="A252" s="152" t="inlineStr">
        <is>
          <t>zhejiang_humanoid_robot_innovation_center_naviga</t>
        </is>
      </c>
      <c r="B252" s="153" t="inlineStr">
        <is>
          <t>Humanoid.guide</t>
        </is>
      </c>
      <c r="C252" s="152" t="inlineStr">
        <is>
          <t>Zhejiang Humanoid Robot Innovation Center</t>
        </is>
      </c>
      <c r="D252" s="152" t="inlineStr">
        <is>
          <t>Navigator 2</t>
        </is>
      </c>
      <c r="E252" s="152" t="inlineStr">
        <is>
          <t>[Zhejiang Humanoid Robot Innovation Center] Navigator 2 (2024)</t>
        </is>
      </c>
      <c r="F252" s="146" t="inlineStr">
        <is>
          <t>humanoid</t>
        </is>
      </c>
      <c r="G252" s="152" t="inlineStr">
        <is>
          <t>China</t>
        </is>
      </c>
      <c r="H252" s="154" t="n">
        <v>2024</v>
      </c>
      <c r="I252" s="155" t="n">
        <v>100000</v>
      </c>
      <c r="J252" s="152" t="inlineStr">
        <is>
          <t>Humanoid.guide list</t>
        </is>
      </c>
      <c r="K252" s="156" t="inlineStr">
        <is>
          <t>During the World Robot Conference 2024 in Beijing, Supcon and Haishu’s Zhejiang Humanoid Robot Innovation Center introduced its latest humanoid robot, Navigator 2 NAVIAI.</t>
        </is>
      </c>
      <c r="L252" s="101" t="inlineStr">
        <is>
          <t>During the World Robot Conference 2024 in Beijing, Supcon and Haishu’s Zhejiang Humanoid Robot Innovation Center introduced its latest humanoid robot, Navigator 2 NAVIAI.</t>
        </is>
      </c>
      <c r="M252" s="101" t="inlineStr">
        <is>
          <t>Navigator 2 is Zhejiang Humanoid Robot Innovation Center's humanoid, introduced around 2024 in China. During the World Robot Conference 2024 in Beijing, Supcon and Haishu’s Zhejiang Humanoid Robot Innovation Center introduced its latest humanoid robot, Navigator 2 NAVIAI. Public status is listed as prototype.</t>
        </is>
      </c>
      <c r="N252" s="157" t="inlineStr">
        <is>
          <t>https://humanoid.guide/product/navigator-2/</t>
        </is>
      </c>
      <c r="O252" s="157" t="inlineStr">
        <is>
          <t>https://www.humanoid.com.cn</t>
        </is>
      </c>
      <c r="P252" s="152" t="inlineStr">
        <is>
          <t>5 ft 5 in</t>
        </is>
      </c>
      <c r="Q252" s="152" t="n">
        <v>165</v>
      </c>
      <c r="R252" s="152" t="n">
        <v>132.3</v>
      </c>
      <c r="S252" s="152" t="n">
        <v>60</v>
      </c>
      <c r="T252" s="156" t="inlineStr">
        <is>
          <t>Not disclosed</t>
        </is>
      </c>
      <c r="U252" s="152" t="n"/>
      <c r="V252" s="152" t="inlineStr">
        <is>
          <t>20</t>
        </is>
      </c>
      <c r="W252" s="156" t="inlineStr">
        <is>
          <t>Not disclosed</t>
        </is>
      </c>
      <c r="X252" s="152" t="n">
        <v>11</v>
      </c>
      <c r="Y252" s="152" t="n">
        <v>5</v>
      </c>
      <c r="Z252" s="152" t="n">
        <v>3.73</v>
      </c>
      <c r="AA252" s="152" t="n">
        <v>6</v>
      </c>
      <c r="AB252" s="152" t="n">
        <v>1.6</v>
      </c>
      <c r="AC252" s="156" t="inlineStr">
        <is>
          <t>≈ 2 hours</t>
        </is>
      </c>
      <c r="AD252" s="156" t="inlineStr">
        <is>
          <t>2</t>
        </is>
      </c>
      <c r="AE252" s="152" t="n"/>
      <c r="AF252" s="152" t="inlineStr">
        <is>
          <t>Not disclosed</t>
        </is>
      </c>
      <c r="AG252" s="156" t="inlineStr">
        <is>
          <t>Not disclosed</t>
        </is>
      </c>
      <c r="AH252" s="152" t="inlineStr">
        <is>
          <t>Not disclosed</t>
        </is>
      </c>
      <c r="AI252" s="158" t="n">
        <v>2</v>
      </c>
      <c r="AJ252" s="156" t="inlineStr">
        <is>
          <t>Not disclosed</t>
        </is>
      </c>
      <c r="AK252" s="156" t="n"/>
      <c r="AL252" s="152" t="inlineStr">
        <is>
          <t>Not disclosed</t>
        </is>
      </c>
      <c r="AM252" s="152" t="n"/>
      <c r="AN252" s="152" t="inlineStr">
        <is>
          <t>Not disclosed</t>
        </is>
      </c>
      <c r="AO252" s="152" t="inlineStr">
        <is>
          <t>Not disclosed</t>
        </is>
      </c>
      <c r="AP252" s="152" t="inlineStr">
        <is>
          <t>Not disclosed</t>
        </is>
      </c>
      <c r="AQ252" s="152" t="inlineStr">
        <is>
          <t>Not disclosed</t>
        </is>
      </c>
      <c r="AR252" s="152" t="n"/>
      <c r="AS252" s="152" t="n"/>
      <c r="AT252" s="156" t="inlineStr">
        <is>
          <t>Not disclosed</t>
        </is>
      </c>
      <c r="AU252" s="156" t="inlineStr">
        <is>
          <t>Not disclosed</t>
        </is>
      </c>
      <c r="AV252" s="152" t="inlineStr">
        <is>
          <t>Not disclosed</t>
        </is>
      </c>
      <c r="AW252" s="156" t="inlineStr">
        <is>
          <t>Not disclosed</t>
        </is>
      </c>
      <c r="AX252" s="158" t="n">
        <v>2</v>
      </c>
      <c r="AY252" s="156" t="inlineStr">
        <is>
          <t>Not disclosed</t>
        </is>
      </c>
      <c r="AZ252" s="156" t="inlineStr">
        <is>
          <t>Not disclosed</t>
        </is>
      </c>
      <c r="BA252" s="156" t="n"/>
      <c r="BB252" s="156" t="inlineStr">
        <is>
          <t>Not disclosed</t>
        </is>
      </c>
      <c r="BC252" s="156" t="inlineStr">
        <is>
          <t>Not disclosed</t>
        </is>
      </c>
      <c r="BD252" s="152" t="inlineStr">
        <is>
          <t>Not disclosed</t>
        </is>
      </c>
      <c r="BE252" s="152" t="inlineStr">
        <is>
          <t>Not disclosed</t>
        </is>
      </c>
      <c r="BF252" s="152" t="n"/>
      <c r="BG252" s="152" t="n"/>
      <c r="BH252" s="152" t="n"/>
      <c r="BI252" s="152" t="n"/>
      <c r="BJ252" s="152" t="n"/>
      <c r="BK252" s="152" t="n"/>
      <c r="BL252" s="152" t="n"/>
      <c r="BM252" s="152" t="inlineStr">
        <is>
          <t>Not disclosed</t>
        </is>
      </c>
      <c r="BN252" s="152" t="inlineStr">
        <is>
          <t>Not disclosed</t>
        </is>
      </c>
      <c r="BO252" s="156" t="inlineStr">
        <is>
          <t>Manipulation 2/4 · Navigation 2/4 · Peak 6 km/h · Walk 1.6 km/h · Runtime 2</t>
        </is>
      </c>
      <c r="BP252" s="152" t="n"/>
      <c r="BQ252" s="156" t="inlineStr">
        <is>
          <t>Research labs, commercial pilots, and education programs evaluating a humanoid from Zhejiang Humanoid Robot Innovation Center (China) now listed as prototype.</t>
        </is>
      </c>
      <c r="BR252" s="156" t="inlineStr">
        <is>
          <t>Prototype</t>
        </is>
      </c>
      <c r="BS252" s="156" t="inlineStr">
        <is>
          <t>Prototype</t>
        </is>
      </c>
      <c r="BT252" s="152" t="n"/>
      <c r="BU252" s="152" t="inlineStr">
        <is>
          <t>Not verified</t>
        </is>
      </c>
      <c r="BV252" s="156" t="n"/>
      <c r="BW252" s="156" t="inlineStr">
        <is>
          <t>Origin &amp; status — China · Prototype · 2024 | Manipulation — Payload 11 lb | Sensing &amp; software — Sensor and compute package confirmed on formal quote | Buying notes — From $100,000 · 12 months manufacturer standard (typical research/commercial humanoid)</t>
        </is>
      </c>
      <c r="BX252" s="156" t="inlineStr">
        <is>
          <t>as_shipped|Navigator 2|100000|As shipped</t>
        </is>
      </c>
      <c r="BY252" s="152" t="inlineStr">
        <is>
          <t>navigator_2|Manufacturer finish|#e2e8f0|0</t>
        </is>
      </c>
      <c r="BZ252" s="152" t="inlineStr"/>
      <c r="CA252" s="156" t="n"/>
      <c r="CB252" s="156" t="inlineStr">
        <is>
          <t>12 months manufacturer standard (typical research/commercial humanoid)</t>
        </is>
      </c>
      <c r="CC252" s="154" t="n">
        <v>12</v>
      </c>
      <c r="CD252" s="156" t="inlineStr">
        <is>
          <t>+3 Year Extended ≈24% of configuration (default in configurator)</t>
        </is>
      </c>
      <c r="CE252" s="152" t="inlineStr">
        <is>
          <t>Humanoid category norm 2025–2026</t>
        </is>
      </c>
      <c r="CF252" s="152" t="inlineStr">
        <is>
          <t>Estimated</t>
        </is>
      </c>
      <c r="CG252" s="156" t="inlineStr">
        <is>
          <t>Confirm on formal OEM quote. EDU or enterprise packages may differ.</t>
        </is>
      </c>
      <c r="CH252" s="152" t="inlineStr">
        <is>
          <t>10%</t>
        </is>
      </c>
      <c r="CI252" s="152" t="inlineStr">
        <is>
          <t>17%</t>
        </is>
      </c>
      <c r="CJ252" s="152" t="inlineStr">
        <is>
          <t>24%</t>
        </is>
      </c>
      <c r="CK252" s="156" t="inlineStr">
        <is>
          <t>+1yr ≈10% | +2yr ≈17% | +3yr ≈24% of selected configuration price (parts &amp; labor beyond manufacturer standard).</t>
        </is>
      </c>
      <c r="CL252"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52" s="152" t="inlineStr">
        <is>
          <t>12 months manufacturer standard (typical research/commercial humanoid)</t>
        </is>
      </c>
      <c r="CQ252" s="101" t="inlineStr">
        <is>
          <t>Height: 5 ft 5 in | Weight: 132.3 | Degrees of Freedom: 20 | Payload: 11 | Max Speed: 3.73 | Battery / Runtime: ≈ 2 hours</t>
        </is>
      </c>
    </row>
    <row r="253" ht="31.5" customHeight="1" s="102">
      <c r="A253" s="143" t="inlineStr">
        <is>
          <t>d1</t>
        </is>
      </c>
      <c r="B253" s="160" t="inlineStr">
        <is>
          <t>Website</t>
        </is>
      </c>
      <c r="C253" s="145" t="inlineStr">
        <is>
          <t>AgiBot</t>
        </is>
      </c>
      <c r="D253" s="145" t="inlineStr">
        <is>
          <t>D1</t>
        </is>
      </c>
      <c r="E253" s="145" t="inlineStr">
        <is>
          <t>[AgiBot] D1 (2025)</t>
        </is>
      </c>
      <c r="F253" s="163" t="inlineStr">
        <is>
          <t>campanionoid</t>
        </is>
      </c>
      <c r="G253" s="145" t="inlineStr">
        <is>
          <t>China</t>
        </is>
      </c>
      <c r="H253" s="147" t="n">
        <v>2025</v>
      </c>
      <c r="I253" s="148" t="n">
        <v>3200</v>
      </c>
      <c r="J253" s="145" t="inlineStr">
        <is>
          <t>Website store</t>
        </is>
      </c>
      <c r="K253" s="149" t="inlineStr">
        <is>
          <t>D1 is AgiBot (Zhiyuan)'s quadruped. Vision suite for service and interaction tasks; aimed at education, entertainment, entry AgiBot quadruped fleets.</t>
        </is>
      </c>
      <c r="L253" s="101" t="inlineStr">
        <is>
          <t>D1 is AgiBot (Zhiyuan)'s quadruped. Vision suite for service and interaction tasks; aimed at education, entertainment, entry AgiBot quadruped fleets.</t>
        </is>
      </c>
      <c r="M253" s="101" t="inlineStr">
        <is>
          <t>D1 is AgiBot (Zhiyuan)'s quadruped. Vision suite for service and interaction tasks; aimed at education, entertainment, entry AgiBot quadruped fleets. It is positioned for education, entertainment, and teams wanting an AgiBot quadruped with clearer tier pricing.</t>
        </is>
      </c>
      <c r="N253" s="145" t="n"/>
      <c r="O253" s="145" t="inlineStr">
        <is>
          <t>https://www.agibot.com</t>
        </is>
      </c>
      <c r="P253" s="145" t="inlineStr">
        <is>
          <t>Not disclosed</t>
        </is>
      </c>
      <c r="Q253" s="145" t="n"/>
      <c r="R253" s="145" t="inlineStr">
        <is>
          <t>Not disclosed</t>
        </is>
      </c>
      <c r="S253" s="145" t="n"/>
      <c r="T253" s="149" t="inlineStr">
        <is>
          <t>Not disclosed</t>
        </is>
      </c>
      <c r="U253" s="145" t="n"/>
      <c r="V253" s="145" t="inlineStr">
        <is>
          <t>Not disclosed</t>
        </is>
      </c>
      <c r="W253" s="149" t="n"/>
      <c r="X253" s="145" t="inlineStr">
        <is>
          <t>Not disclosed</t>
        </is>
      </c>
      <c r="Y253" s="145" t="n"/>
      <c r="Z253" s="145" t="inlineStr">
        <is>
          <t>Not disclosed</t>
        </is>
      </c>
      <c r="AA253" s="145" t="n"/>
      <c r="AB253" s="145" t="n"/>
      <c r="AC253" s="149" t="inlineStr">
        <is>
          <t>Not disclosed</t>
        </is>
      </c>
      <c r="AD253" s="149" t="n"/>
      <c r="AE253" s="145" t="n"/>
      <c r="AF253" s="145" t="inlineStr">
        <is>
          <t>Not disclosed</t>
        </is>
      </c>
      <c r="AG253" s="149" t="n"/>
      <c r="AH253" s="145" t="n"/>
      <c r="AI253" s="145" t="n"/>
      <c r="AJ253" s="149" t="inlineStr">
        <is>
          <t>Vision suite for service and interaction tasks</t>
        </is>
      </c>
      <c r="AK253" s="149" t="n"/>
      <c r="AL253" s="145" t="inlineStr">
        <is>
          <t>Not disclosed</t>
        </is>
      </c>
      <c r="AM253" s="145" t="n"/>
      <c r="AN253" s="145" t="inlineStr">
        <is>
          <t>Not disclosed</t>
        </is>
      </c>
      <c r="AO253" s="145" t="n"/>
      <c r="AP253" s="145" t="inlineStr">
        <is>
          <t>Not disclosed</t>
        </is>
      </c>
      <c r="AQ253" s="145" t="n"/>
      <c r="AR253" s="145" t="inlineStr">
        <is>
          <t>Not disclosed</t>
        </is>
      </c>
      <c r="AS253" s="145" t="inlineStr">
        <is>
          <t>Not disclosed</t>
        </is>
      </c>
      <c r="AT253" s="149" t="n"/>
      <c r="AU253" s="149" t="inlineStr">
        <is>
          <t>Not disclosed</t>
        </is>
      </c>
      <c r="AV253" s="145" t="inlineStr">
        <is>
          <t>Service-robot software stack</t>
        </is>
      </c>
      <c r="AW253" s="149" t="inlineStr">
        <is>
          <t>Not disclosed</t>
        </is>
      </c>
      <c r="AX253" s="145" t="n"/>
      <c r="AY253" s="149" t="n"/>
      <c r="AZ253" s="149" t="n"/>
      <c r="BA253" s="149" t="n"/>
      <c r="BB253" s="149" t="inlineStr">
        <is>
          <t>Not disclosed</t>
        </is>
      </c>
      <c r="BC253" s="149" t="n"/>
      <c r="BD253" s="145" t="n"/>
      <c r="BE253" s="145" t="inlineStr">
        <is>
          <t>Not disclosed</t>
        </is>
      </c>
      <c r="BF253" s="145" t="n"/>
      <c r="BG253" s="145" t="n"/>
      <c r="BH253" s="145" t="n"/>
      <c r="BI253" s="145" t="n"/>
      <c r="BJ253" s="145" t="n"/>
      <c r="BK253" s="145" t="n"/>
      <c r="BL253" s="145" t="n"/>
      <c r="BM253" s="145" t="n"/>
      <c r="BN253" s="145" t="n"/>
      <c r="BO253" s="149" t="n"/>
      <c r="BP253" s="145" t="inlineStr">
        <is>
          <t>Not disclosed</t>
        </is>
      </c>
      <c r="BQ253" s="149" t="inlineStr">
        <is>
          <t>Education, entertainment, and teams wanting an AgiBot quadruped with clearer tier pricing.</t>
        </is>
      </c>
      <c r="BR253" s="149" t="inlineStr">
        <is>
          <t>Not disclosed</t>
        </is>
      </c>
      <c r="BS253" s="149" t="n"/>
      <c r="BT253" s="145" t="n"/>
      <c r="BU253" s="145" t="n"/>
      <c r="BV253" s="149" t="n"/>
      <c r="BW253" s="149" t="inlineStr">
        <is>
          <t>Origin &amp; status — China · 2025 | Mobility — Payload Not disclosed · Top speed Not disclosed | Sensing &amp; software — Vision suite for service and interaction tasks | Buying notes — $3,200 · 12 months manufacturer standard (typical by tier) · Best fit: Education, entertainment, entry AgiBot quadruped fleets</t>
        </is>
      </c>
      <c r="BX253" s="149" t="inlineStr">
        <is>
          <t>pro|D1 Pro|3200|Consumer / entry || edu|D1 Edu|6080|Education || ultra|D1 Ultra|7680|Flagship compact quadruped</t>
        </is>
      </c>
      <c r="BY253" s="145" t="inlineStr">
        <is>
          <t>default|Factory finish|#e2e8f0|0</t>
        </is>
      </c>
      <c r="BZ253" s="145" t="inlineStr">
        <is>
          <t>battery_d1, skin_d1</t>
        </is>
      </c>
      <c r="CA253" s="149" t="inlineStr">
        <is>
          <t>3 configuration tiers; Add-ons: battery_d1, skin_d1, case; 2 color options; Multi-year extended warranty available</t>
        </is>
      </c>
      <c r="CB253" s="149" t="inlineStr">
        <is>
          <t>12 months manufacturer standard (typical by tier)</t>
        </is>
      </c>
      <c r="CC253" s="147" t="n">
        <v>12</v>
      </c>
      <c r="CD253" s="149" t="inlineStr">
        <is>
          <t>+3 Year Extended ≈24% of configuration (default in configurator)</t>
        </is>
      </c>
      <c r="CE253" s="145" t="inlineStr">
        <is>
          <t>Category norm for AgiBot commercial platforms</t>
        </is>
      </c>
      <c r="CF253" s="145" t="inlineStr">
        <is>
          <t>Estimated</t>
        </is>
      </c>
      <c r="CG253" s="149" t="inlineStr">
        <is>
          <t>Confirm tier-specific term on formal quote.</t>
        </is>
      </c>
      <c r="CH253" s="145" t="inlineStr">
        <is>
          <t>10%</t>
        </is>
      </c>
      <c r="CI253" s="145" t="inlineStr">
        <is>
          <t>17%</t>
        </is>
      </c>
      <c r="CJ253" s="145" t="inlineStr">
        <is>
          <t>24%</t>
        </is>
      </c>
      <c r="CK253"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53"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53" s="145" t="inlineStr">
        <is>
          <t>12 months manufacturer standard (typical by tier)</t>
        </is>
      </c>
      <c r="CO253" s="203" t="inlineStr">
        <is>
          <t>https://theresanaiforthat.com/robots/</t>
        </is>
      </c>
      <c r="CP253" s="203" t="inlineStr">
        <is>
          <t>Cross-checked against TAAFT Robots directory (669 entries) 28 Aug 2026 — individual TAAFT permalinks are JS/Cloudflare gated.</t>
        </is>
      </c>
    </row>
    <row r="254" ht="31.5" customHeight="1" s="102">
      <c r="A254" s="143" t="inlineStr">
        <is>
          <t>d1_coolto</t>
        </is>
      </c>
      <c r="B254" s="160" t="inlineStr">
        <is>
          <t>Website</t>
        </is>
      </c>
      <c r="C254" s="145" t="inlineStr">
        <is>
          <t>AgiBot (Zhiyuan)</t>
        </is>
      </c>
      <c r="D254" s="145" t="inlineStr">
        <is>
          <t>Coolto</t>
        </is>
      </c>
      <c r="E254" s="145" t="inlineStr">
        <is>
          <t>[AgiBot] Coolto (2025)</t>
        </is>
      </c>
      <c r="F254" s="163" t="inlineStr">
        <is>
          <t>campanionoid</t>
        </is>
      </c>
      <c r="G254" s="145" t="inlineStr">
        <is>
          <t>China</t>
        </is>
      </c>
      <c r="H254" s="147" t="n">
        <v>2025</v>
      </c>
      <c r="I254" s="148" t="n">
        <v>3200</v>
      </c>
      <c r="J254" s="145" t="inlineStr">
        <is>
          <t>Website store</t>
        </is>
      </c>
      <c r="K254" s="149" t="inlineStr">
        <is>
          <t>The Coolto is a campanionoid platform from AgiBot (Zhiyuan).</t>
        </is>
      </c>
      <c r="N254" s="145" t="n"/>
      <c r="O254" s="145" t="inlineStr">
        <is>
          <t>https://www.agibot.com</t>
        </is>
      </c>
      <c r="P254" s="145" t="n"/>
      <c r="Q254" s="145" t="n"/>
      <c r="R254" s="145" t="n"/>
      <c r="S254" s="145" t="n"/>
      <c r="T254" s="149" t="n"/>
      <c r="U254" s="145" t="n"/>
      <c r="V254" s="145" t="n"/>
      <c r="W254" s="149" t="n"/>
      <c r="X254" s="145" t="n"/>
      <c r="Y254" s="145" t="n"/>
      <c r="Z254" s="145" t="n"/>
      <c r="AA254" s="145" t="n"/>
      <c r="AB254" s="145" t="n"/>
      <c r="AC254" s="149" t="n"/>
      <c r="AD254" s="149" t="n"/>
      <c r="AE254" s="145" t="n"/>
      <c r="AF254" s="145" t="n"/>
      <c r="AG254" s="149" t="n"/>
      <c r="AH254" s="145" t="n"/>
      <c r="AI254" s="145" t="n"/>
      <c r="AJ254" s="149" t="inlineStr">
        <is>
          <t>Vision suite for service and interaction tasks</t>
        </is>
      </c>
      <c r="AK254" s="149" t="n"/>
      <c r="AL254" s="145" t="n"/>
      <c r="AM254" s="145" t="n"/>
      <c r="AN254" s="145" t="n"/>
      <c r="AO254" s="145" t="n"/>
      <c r="AP254" s="145" t="n"/>
      <c r="AQ254" s="145" t="n"/>
      <c r="AR254" s="145" t="n"/>
      <c r="AS254" s="145" t="n"/>
      <c r="AT254" s="149" t="n"/>
      <c r="AU254" s="149" t="n"/>
      <c r="AV254" s="145" t="inlineStr">
        <is>
          <t>Service-robot software stack</t>
        </is>
      </c>
      <c r="AW254" s="149" t="n"/>
      <c r="AX254" s="145" t="n"/>
      <c r="AY254" s="149" t="n"/>
      <c r="AZ254" s="149" t="n"/>
      <c r="BA254" s="149" t="n"/>
      <c r="BB254" s="149" t="n"/>
      <c r="BC254" s="149" t="n"/>
      <c r="BD254" s="145" t="n"/>
      <c r="BE254" s="145" t="n"/>
      <c r="BF254" s="145" t="n"/>
      <c r="BG254" s="145" t="n"/>
      <c r="BH254" s="145" t="n"/>
      <c r="BI254" s="145" t="n"/>
      <c r="BJ254" s="145" t="n"/>
      <c r="BK254" s="145" t="n"/>
      <c r="BL254" s="145" t="n"/>
      <c r="BM254" s="145" t="n"/>
      <c r="BN254" s="145" t="n"/>
      <c r="BO254" s="149" t="n"/>
      <c r="BP254" s="145" t="n"/>
      <c r="BQ254" s="149" t="n"/>
      <c r="BR254" s="149" t="n"/>
      <c r="BS254" s="149" t="n"/>
      <c r="BT254" s="145" t="n"/>
      <c r="BU254" s="145" t="n"/>
      <c r="BV254" s="149" t="n"/>
      <c r="BW254" s="149" t="inlineStr">
        <is>
          <t>Weight, height, width, and length (fully upright): documented on formal configuration sheets | Camera / vision: Vision suite for service and interaction tasks | Control interface: Service-robot software stack</t>
        </is>
      </c>
      <c r="BX254" s="149" t="inlineStr">
        <is>
          <t>pro|D1 Pro|3200|Accessible companion / demo || edu|D1 Edu|6080|Education package || ultra|D1 Ultra|7680|Higher performance</t>
        </is>
      </c>
      <c r="BY254" s="145" t="inlineStr">
        <is>
          <t>default|Standard Finish|#e2e8f0|0 || theme|Themed Skin|#f59e0b|1200</t>
        </is>
      </c>
      <c r="BZ254" s="145" t="inlineStr">
        <is>
          <t>battery_d1, skin_d1, case, warranty_d1</t>
        </is>
      </c>
      <c r="CA254" s="149" t="inlineStr">
        <is>
          <t>3 configuration tiers; Add-ons: battery_d1, skin_d1, case; 2 color options; Multi-year extended warranty available</t>
        </is>
      </c>
      <c r="CB254" s="149" t="inlineStr">
        <is>
          <t>12 months manufacturer standard (typical by tier)</t>
        </is>
      </c>
      <c r="CC254" s="147" t="n">
        <v>12</v>
      </c>
      <c r="CD254" s="149" t="inlineStr">
        <is>
          <t>+3 Year Extended ≈24% of configuration (default in configurator)</t>
        </is>
      </c>
      <c r="CE254" s="145" t="inlineStr">
        <is>
          <t>Category norm for AgiBot commercial platforms</t>
        </is>
      </c>
      <c r="CF254" s="145" t="inlineStr">
        <is>
          <t>Estimated</t>
        </is>
      </c>
      <c r="CG254" s="149" t="inlineStr">
        <is>
          <t>Confirm tier-specific term on formal quote.</t>
        </is>
      </c>
      <c r="CH254" s="145" t="inlineStr">
        <is>
          <t>10%</t>
        </is>
      </c>
      <c r="CI254" s="145" t="inlineStr">
        <is>
          <t>17%</t>
        </is>
      </c>
      <c r="CJ254" s="145" t="inlineStr">
        <is>
          <t>24%</t>
        </is>
      </c>
      <c r="CK254"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54"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54" s="145" t="inlineStr">
        <is>
          <t>12 months manufacturer standard (typical by tier)</t>
        </is>
      </c>
      <c r="CO254" s="203" t="inlineStr">
        <is>
          <t>https://theresanaiforthat.com/robots/</t>
        </is>
      </c>
      <c r="CP254" s="203" t="inlineStr">
        <is>
          <t>Cross-checked against TAAFT Robots directory (669 entries) 28 Aug 2026 — individual TAAFT permalinks are JS/Cloudflare gated.</t>
        </is>
      </c>
    </row>
    <row r="255" ht="31.5" customHeight="1" s="102">
      <c r="A255" s="143" t="inlineStr">
        <is>
          <t>anybotics_anymal_d_anymal_x</t>
        </is>
      </c>
      <c r="B255" s="160" t="inlineStr">
        <is>
          <t>Website</t>
        </is>
      </c>
      <c r="C255" s="145" t="inlineStr">
        <is>
          <t>ANYbotics</t>
        </is>
      </c>
      <c r="D255" s="145" t="inlineStr">
        <is>
          <t>ANYmal D</t>
        </is>
      </c>
      <c r="E255" s="145" t="inlineStr">
        <is>
          <t>[ANYbotics] ANYmal D (2019)</t>
        </is>
      </c>
      <c r="F255" s="163" t="inlineStr">
        <is>
          <t>campanionoid</t>
        </is>
      </c>
      <c r="G255" s="145" t="inlineStr">
        <is>
          <t>Switzerland</t>
        </is>
      </c>
      <c r="H255" s="147" t="n">
        <v>2019</v>
      </c>
      <c r="I255" s="148" t="n">
        <v>150000</v>
      </c>
      <c r="J255" s="145" t="inlineStr">
        <is>
          <t>Robot Price Index Aug 2026 · enterprise typical</t>
        </is>
      </c>
      <c r="K255" s="149" t="inlineStr">
        <is>
          <t>[ANYbotics] ANYmal D (2019) is a quadruped from ANYbotics (Switzerland, 2019), positioned for industrial inspection (oil.</t>
        </is>
      </c>
      <c r="L255" s="101" t="inlineStr">
        <is>
          <t>[ANYbotics] ANYmal D (2019) is a quadruped from ANYbotics (Switzerland, 2019), positioned for industrial inspection (oil.</t>
        </is>
      </c>
      <c r="M255" s="101" t="inlineStr">
        <is>
          <t>ANYmal D is ANYbotics's quadruped, introduced around 2019 in Switzerland. [ANYbotics] ANYmal D (2019) is a quadruped from ANYbotics (Switzerland, 2019), positioned for industrial inspection (oil. Public status is listed as commercial / ATEX-IECEx certified, and it is positioned for industrial inspection (oil/gas, chemical, power).</t>
        </is>
      </c>
      <c r="N255" s="145" t="n"/>
      <c r="O255" s="145" t="inlineStr">
        <is>
          <t>https://www.anybotics.com</t>
        </is>
      </c>
      <c r="P255" s="145" t="inlineStr">
        <is>
          <t>Not disclosed</t>
        </is>
      </c>
      <c r="Q255" s="145" t="n"/>
      <c r="R255" s="145" t="inlineStr">
        <is>
          <t>≈ 66–110 lb class</t>
        </is>
      </c>
      <c r="S255" s="145" t="n"/>
      <c r="T255" s="149" t="inlineStr">
        <is>
          <t>Not disclosed</t>
        </is>
      </c>
      <c r="U255" s="145" t="n"/>
      <c r="V255" s="145" t="inlineStr">
        <is>
          <t>12 DOF</t>
        </is>
      </c>
      <c r="W255" s="149" t="n"/>
      <c r="X255" s="145" t="inlineStr">
        <is>
          <t>≈ 22–33 lb class</t>
        </is>
      </c>
      <c r="Y255" s="145" t="n"/>
      <c r="Z255" s="145" t="inlineStr">
        <is>
          <t>~2.2 mph</t>
        </is>
      </c>
      <c r="AA255" s="145" t="n"/>
      <c r="AB255" s="145" t="n"/>
      <c r="AC255" s="149" t="inlineStr">
        <is>
          <t>Not disclosed</t>
        </is>
      </c>
      <c r="AD255" s="149" t="n"/>
      <c r="AE255" s="145" t="n"/>
      <c r="AF255" s="145" t="inlineStr">
        <is>
          <t>Not disclosed</t>
        </is>
      </c>
      <c r="AG255" s="149" t="n"/>
      <c r="AH255" s="145" t="n"/>
      <c r="AI255" s="145" t="n"/>
      <c r="AJ255" s="149" t="inlineStr">
        <is>
          <t>Industrial inspection cameras</t>
        </is>
      </c>
      <c r="AK255" s="149" t="n"/>
      <c r="AL255" s="145" t="inlineStr">
        <is>
          <t>Not disclosed</t>
        </is>
      </c>
      <c r="AM255" s="145" t="n"/>
      <c r="AN255" s="145" t="inlineStr">
        <is>
          <t>3D LiDAR for autonomous inspection</t>
        </is>
      </c>
      <c r="AO255" s="145" t="n"/>
      <c r="AP255" s="145" t="inlineStr">
        <is>
          <t>Not disclosed</t>
        </is>
      </c>
      <c r="AQ255" s="145" t="n"/>
      <c r="AR255" s="145" t="inlineStr">
        <is>
          <t>Not disclosed</t>
        </is>
      </c>
      <c r="AS255" s="145" t="inlineStr">
        <is>
          <t>Not disclosed</t>
        </is>
      </c>
      <c r="AT255" s="149" t="n"/>
      <c r="AU255" s="149" t="inlineStr">
        <is>
          <t>Not disclosed</t>
        </is>
      </c>
      <c r="AV255" s="145" t="inlineStr">
        <is>
          <t>ANYbotics Data Navigator and autonomy stack</t>
        </is>
      </c>
      <c r="AW255" s="149" t="inlineStr">
        <is>
          <t>Autonomous industrial inspection routes</t>
        </is>
      </c>
      <c r="AX255" s="145" t="n"/>
      <c r="AY255" s="149" t="n"/>
      <c r="AZ255" s="149" t="n"/>
      <c r="BA255" s="149" t="n"/>
      <c r="BB255" s="149" t="inlineStr">
        <is>
          <t>Not disclosed</t>
        </is>
      </c>
      <c r="BC255" s="149" t="n"/>
      <c r="BD255" s="145" t="n"/>
      <c r="BE255" s="145" t="inlineStr">
        <is>
          <t>IP67</t>
        </is>
      </c>
      <c r="BF255" s="145" t="n"/>
      <c r="BG255" s="145" t="n"/>
      <c r="BH255" s="145" t="n"/>
      <c r="BI255" s="145" t="n"/>
      <c r="BJ255" s="145" t="n"/>
      <c r="BK255" s="145" t="n"/>
      <c r="BL255" s="145" t="n"/>
      <c r="BM255" s="145" t="n"/>
      <c r="BN255" s="145" t="n"/>
      <c r="BO255" s="149" t="n"/>
      <c r="BP255" s="145" t="inlineStr">
        <is>
          <t>Not disclosed</t>
        </is>
      </c>
      <c r="BQ255" s="149" t="inlineStr">
        <is>
          <t>Industrial inspection (oil/gas, chemical, power)</t>
        </is>
      </c>
      <c r="BR255" s="149" t="inlineStr">
        <is>
          <t>Commercial / ATEX-IECEx certified</t>
        </is>
      </c>
      <c r="BS255" s="149" t="n"/>
      <c r="BT255" s="145" t="n"/>
      <c r="BU255" s="145" t="n"/>
      <c r="BV255" s="149" t="inlineStr">
        <is>
          <t>Only commercial explosion-proof quadruped; strong offshore record</t>
        </is>
      </c>
      <c r="BW255" s="149" t="inlineStr">
        <is>
          <t>Origin &amp; status — Switzerland · Commercial / ATEX-IECEx certified · 2019 | Mobility — 12 DOF · Payload ≈ 22–33 lb class · Top speed ~2.2 mph · IP67 | Sensing &amp; software — 3D LiDAR for autonomous inspection | Buying notes — Enterprise quote ($150k+) · 12 months manufacturer standard (typical) · Best fit: Only commercial explosion-proof quadruped; strong offshore record</t>
        </is>
      </c>
      <c r="BX255" s="149" t="inlineStr">
        <is>
          <t>as_shipped|ANYmal D|150000|As shipped</t>
        </is>
      </c>
      <c r="BY255" s="145" t="inlineStr">
        <is>
          <t>anymal_d|Manufacturer finish|#e2e8f0|0</t>
        </is>
      </c>
      <c r="BZ255" s="145" t="inlineStr"/>
      <c r="CA255" s="149" t="inlineStr">
        <is>
          <t>Add-ons: case; 2 color options; Multi-year extended warranty available</t>
        </is>
      </c>
      <c r="CB255" s="149" t="inlineStr">
        <is>
          <t>12 months manufacturer standard (typical)</t>
        </is>
      </c>
      <c r="CC255" s="147" t="n">
        <v>12</v>
      </c>
      <c r="CD255" s="149" t="inlineStr">
        <is>
          <t>+3 Year Extended ≈24% of configuration (default in configurator)</t>
        </is>
      </c>
      <c r="CE255" s="145" t="inlineStr">
        <is>
          <t>Quadruped category norm</t>
        </is>
      </c>
      <c r="CF255" s="145" t="inlineStr">
        <is>
          <t>Estimated</t>
        </is>
      </c>
      <c r="CG255" s="149" t="inlineStr">
        <is>
          <t>Confirm configuration-specific term on quote.</t>
        </is>
      </c>
      <c r="CH255" s="145" t="inlineStr">
        <is>
          <t>10%</t>
        </is>
      </c>
      <c r="CI255" s="145" t="inlineStr">
        <is>
          <t>17%</t>
        </is>
      </c>
      <c r="CJ255" s="145" t="inlineStr">
        <is>
          <t>24%</t>
        </is>
      </c>
      <c r="CK25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5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55" s="145" t="inlineStr">
        <is>
          <t>12 months manufacturer standard (typical)</t>
        </is>
      </c>
    </row>
    <row r="256" ht="31.5" customHeight="1" s="102">
      <c r="A256" s="143" t="inlineStr">
        <is>
          <t>anybotics_anymal_d_anymal_x_anymal_x</t>
        </is>
      </c>
      <c r="B256" s="160" t="inlineStr">
        <is>
          <t>Website</t>
        </is>
      </c>
      <c r="C256" s="145" t="inlineStr">
        <is>
          <t>ANYbotics</t>
        </is>
      </c>
      <c r="D256" s="145" t="inlineStr">
        <is>
          <t>ANYmal X</t>
        </is>
      </c>
      <c r="E256" s="145" t="inlineStr">
        <is>
          <t>[ANYbotics] ANYmal X (2019)</t>
        </is>
      </c>
      <c r="F256" s="163" t="inlineStr">
        <is>
          <t>campanionoid</t>
        </is>
      </c>
      <c r="G256" s="145" t="inlineStr">
        <is>
          <t>Switzerland</t>
        </is>
      </c>
      <c r="H256" s="147" t="n">
        <v>2019</v>
      </c>
      <c r="I256" s="148" t="n">
        <v>180000</v>
      </c>
      <c r="J256" s="145" t="inlineStr">
        <is>
          <t>Robot Price Index Aug 2026 · ATEX premium vs D</t>
        </is>
      </c>
      <c r="K256" s="149" t="inlineStr">
        <is>
          <t>[ANYbotics] ANYmal X (2019) is a quadruped from ANYbotics (Switzerland, 2019), positioned for industrial inspection (oil.</t>
        </is>
      </c>
      <c r="L256" s="101" t="inlineStr">
        <is>
          <t>[ANYbotics] ANYmal X (2019) is a quadruped from ANYbotics (Switzerland, 2019), positioned for industrial inspection (oil.</t>
        </is>
      </c>
      <c r="M256" s="101" t="inlineStr">
        <is>
          <t>ANYmal X is ANYbotics's quadruped, introduced around 2019 in Switzerland. [ANYbotics] ANYmal X (2019) is a quadruped from ANYbotics (Switzerland, 2019), positioned for industrial inspection (oil. Public status is listed as commercial / ATEX-IECEx certified, and it is positioned for industrial inspection (oil/gas, chemical, power).</t>
        </is>
      </c>
      <c r="N256" s="145" t="n"/>
      <c r="O256" s="145" t="inlineStr">
        <is>
          <t>https://www.anybotics.com</t>
        </is>
      </c>
      <c r="P256" s="145" t="inlineStr">
        <is>
          <t>Not disclosed</t>
        </is>
      </c>
      <c r="Q256" s="145" t="n"/>
      <c r="R256" s="145" t="inlineStr">
        <is>
          <t>≈ 66–110 lb class</t>
        </is>
      </c>
      <c r="S256" s="145" t="n"/>
      <c r="T256" s="149" t="inlineStr">
        <is>
          <t>Not disclosed</t>
        </is>
      </c>
      <c r="U256" s="145" t="n"/>
      <c r="V256" s="145" t="inlineStr">
        <is>
          <t>12 DOF</t>
        </is>
      </c>
      <c r="W256" s="149" t="n"/>
      <c r="X256" s="145" t="inlineStr">
        <is>
          <t>≈ 22–33 lb class</t>
        </is>
      </c>
      <c r="Y256" s="145" t="n"/>
      <c r="Z256" s="145" t="inlineStr">
        <is>
          <t>~2.2 mph</t>
        </is>
      </c>
      <c r="AA256" s="145" t="n"/>
      <c r="AB256" s="145" t="n"/>
      <c r="AC256" s="149" t="inlineStr">
        <is>
          <t>Not disclosed</t>
        </is>
      </c>
      <c r="AD256" s="149" t="n"/>
      <c r="AE256" s="145" t="n"/>
      <c r="AF256" s="145" t="inlineStr">
        <is>
          <t>Not disclosed</t>
        </is>
      </c>
      <c r="AG256" s="149" t="n"/>
      <c r="AH256" s="145" t="n"/>
      <c r="AI256" s="145" t="n"/>
      <c r="AJ256" s="149" t="inlineStr">
        <is>
          <t>Industrial inspection cameras</t>
        </is>
      </c>
      <c r="AK256" s="149" t="n"/>
      <c r="AL256" s="145" t="inlineStr">
        <is>
          <t>Not disclosed</t>
        </is>
      </c>
      <c r="AM256" s="145" t="n"/>
      <c r="AN256" s="145" t="inlineStr">
        <is>
          <t>3D LiDAR for autonomous inspection</t>
        </is>
      </c>
      <c r="AO256" s="145" t="n"/>
      <c r="AP256" s="145" t="inlineStr">
        <is>
          <t>Not disclosed</t>
        </is>
      </c>
      <c r="AQ256" s="145" t="n"/>
      <c r="AR256" s="145" t="inlineStr">
        <is>
          <t>Not disclosed</t>
        </is>
      </c>
      <c r="AS256" s="145" t="inlineStr">
        <is>
          <t>Not disclosed</t>
        </is>
      </c>
      <c r="AT256" s="149" t="n"/>
      <c r="AU256" s="149" t="inlineStr">
        <is>
          <t>Not disclosed</t>
        </is>
      </c>
      <c r="AV256" s="145" t="inlineStr">
        <is>
          <t>ANYbotics Data Navigator and autonomy stack</t>
        </is>
      </c>
      <c r="AW256" s="149" t="inlineStr">
        <is>
          <t>Autonomous industrial inspection routes</t>
        </is>
      </c>
      <c r="AX256" s="145" t="n"/>
      <c r="AY256" s="149" t="n"/>
      <c r="AZ256" s="149" t="n"/>
      <c r="BA256" s="149" t="n"/>
      <c r="BB256" s="149" t="inlineStr">
        <is>
          <t>Not disclosed</t>
        </is>
      </c>
      <c r="BC256" s="149" t="n"/>
      <c r="BD256" s="145" t="n"/>
      <c r="BE256" s="145" t="inlineStr">
        <is>
          <t>IP67</t>
        </is>
      </c>
      <c r="BF256" s="145" t="n"/>
      <c r="BG256" s="145" t="n"/>
      <c r="BH256" s="145" t="n"/>
      <c r="BI256" s="145" t="n"/>
      <c r="BJ256" s="145" t="n"/>
      <c r="BK256" s="145" t="n"/>
      <c r="BL256" s="145" t="n"/>
      <c r="BM256" s="145" t="n"/>
      <c r="BN256" s="145" t="n"/>
      <c r="BO256" s="149" t="n"/>
      <c r="BP256" s="145" t="inlineStr">
        <is>
          <t>Not disclosed</t>
        </is>
      </c>
      <c r="BQ256" s="149" t="inlineStr">
        <is>
          <t>Industrial inspection (oil/gas, chemical, power)</t>
        </is>
      </c>
      <c r="BR256" s="149" t="inlineStr">
        <is>
          <t>Commercial / ATEX-IECEx certified</t>
        </is>
      </c>
      <c r="BS256" s="149" t="n"/>
      <c r="BT256" s="145" t="n"/>
      <c r="BU256" s="145" t="n"/>
      <c r="BV256" s="149" t="inlineStr">
        <is>
          <t>Only commercial explosion-proof quadruped; strong offshore record</t>
        </is>
      </c>
      <c r="BW256" s="149" t="inlineStr">
        <is>
          <t>Origin &amp; status — Switzerland · Commercial / ATEX-IECEx certified · 2019 | Mobility — 12 DOF · Payload ≈ 22–33 lb class · Top speed ~2.2 mph · IP67 | Sensing &amp; software — 3D LiDAR for autonomous inspection | Buying notes — Enterprise quote ($150k+) · 12 months manufacturer standard (typical) · Best fit: Only commercial explosion-proof quadruped; strong offshore record</t>
        </is>
      </c>
      <c r="BX256" s="149" t="inlineStr">
        <is>
          <t>as_shipped|ANYmal X|180000|As shipped</t>
        </is>
      </c>
      <c r="BY256" s="145" t="inlineStr">
        <is>
          <t>anymal_x|Manufacturer finish|#e2e8f0|0</t>
        </is>
      </c>
      <c r="BZ256" s="145" t="inlineStr"/>
      <c r="CA256" s="149" t="inlineStr">
        <is>
          <t>Add-ons: case; 2 color options; Multi-year extended warranty available</t>
        </is>
      </c>
      <c r="CB256" s="149" t="inlineStr">
        <is>
          <t>12 months manufacturer standard (typical)</t>
        </is>
      </c>
      <c r="CC256" s="147" t="n">
        <v>12</v>
      </c>
      <c r="CD256" s="149" t="inlineStr">
        <is>
          <t>+3 Year Extended ≈24% of configuration (default in configurator)</t>
        </is>
      </c>
      <c r="CE256" s="145" t="inlineStr">
        <is>
          <t>Quadruped category norm</t>
        </is>
      </c>
      <c r="CF256" s="145" t="inlineStr">
        <is>
          <t>Estimated</t>
        </is>
      </c>
      <c r="CG256" s="149" t="inlineStr">
        <is>
          <t>Confirm configuration-specific term on quote.</t>
        </is>
      </c>
      <c r="CH256" s="145" t="inlineStr">
        <is>
          <t>10%</t>
        </is>
      </c>
      <c r="CI256" s="145" t="inlineStr">
        <is>
          <t>17%</t>
        </is>
      </c>
      <c r="CJ256" s="145" t="inlineStr">
        <is>
          <t>24%</t>
        </is>
      </c>
      <c r="CK256"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56"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56" s="145" t="inlineStr">
        <is>
          <t>12 months manufacturer standard (typical)</t>
        </is>
      </c>
    </row>
    <row r="257" ht="31.5" customHeight="1" s="102">
      <c r="A257" s="143" t="inlineStr">
        <is>
          <t>deep_robotics_lite3_lite_series</t>
        </is>
      </c>
      <c r="B257" s="160" t="inlineStr">
        <is>
          <t>Website</t>
        </is>
      </c>
      <c r="C257" s="145" t="inlineStr">
        <is>
          <t>DEEP Robotics</t>
        </is>
      </c>
      <c r="D257" s="145" t="inlineStr">
        <is>
          <t>Lite3</t>
        </is>
      </c>
      <c r="E257" s="145" t="inlineStr">
        <is>
          <t>[Deep Robotics] Lite3 (2023)</t>
        </is>
      </c>
      <c r="F257" s="163" t="inlineStr">
        <is>
          <t>campanionoid</t>
        </is>
      </c>
      <c r="G257" s="145" t="inlineStr">
        <is>
          <t>China</t>
        </is>
      </c>
      <c r="H257" s="147" t="n">
        <v>2023</v>
      </c>
      <c r="I257" s="148" t="n">
        <v>2890</v>
      </c>
      <c r="J257" s="145" t="inlineStr">
        <is>
          <t>Robot Price Index Aug 2026 · entry</t>
        </is>
      </c>
      <c r="K257" s="149" t="inlineStr">
        <is>
          <t>Lite3 is DEEP Robotics's quadruped — 12 DOF, ≈ 11 lb class payload, Up to 8.9 mph. Optional or standard on mid/high tiers; aimed at research.</t>
        </is>
      </c>
      <c r="L257" s="101" t="inlineStr">
        <is>
          <t>Lite3 is DEEP Robotics's quadruped — 12 DOF, ≈ 11 lb class payload, Up to 8.9 mph. Optional or standard on mid/high tiers; aimed at research.</t>
        </is>
      </c>
      <c r="M257" s="101" t="inlineStr">
        <is>
          <t>Lite3 is DEEP Robotics's quadruped — 12 DOF, ≈ 11 lb class payload, Up to 8.9 mph. Optional or standard on mid/high tiers; aimed at research. Public status is listed as orderable, and it is positioned for research / Education / Light professional.</t>
        </is>
      </c>
      <c r="N257" s="145" t="n"/>
      <c r="O257" s="145" t="inlineStr">
        <is>
          <t>https://www.deeprobotics.cn</t>
        </is>
      </c>
      <c r="P257" s="145" t="inlineStr">
        <is>
          <t>Not disclosed</t>
        </is>
      </c>
      <c r="Q257" s="145" t="n"/>
      <c r="R257" s="145" t="inlineStr">
        <is>
          <t>≈ 22–26 lb class</t>
        </is>
      </c>
      <c r="S257" s="145" t="n"/>
      <c r="T257" s="149" t="inlineStr">
        <is>
          <t>Not disclosed</t>
        </is>
      </c>
      <c r="U257" s="145" t="n"/>
      <c r="V257" s="145" t="inlineStr">
        <is>
          <t>12 DOF</t>
        </is>
      </c>
      <c r="W257" s="149" t="n"/>
      <c r="X257" s="145" t="inlineStr">
        <is>
          <t>≈ 11 lb class</t>
        </is>
      </c>
      <c r="Y257" s="145" t="n"/>
      <c r="Z257" s="145" t="inlineStr">
        <is>
          <t>Up to 8.9 mph</t>
        </is>
      </c>
      <c r="AA257" s="145" t="n"/>
      <c r="AB257" s="145" t="n"/>
      <c r="AC257" s="149" t="inlineStr">
        <is>
          <t>Not disclosed</t>
        </is>
      </c>
      <c r="AD257" s="149" t="n"/>
      <c r="AE257" s="145" t="n"/>
      <c r="AF257" s="145" t="inlineStr">
        <is>
          <t>Not disclosed</t>
        </is>
      </c>
      <c r="AG257" s="149" t="n"/>
      <c r="AH257" s="145" t="n"/>
      <c r="AI257" s="145" t="n"/>
      <c r="AJ257" s="149" t="inlineStr">
        <is>
          <t>Entry industrial perception cameras</t>
        </is>
      </c>
      <c r="AK257" s="149" t="n"/>
      <c r="AL257" s="145" t="inlineStr">
        <is>
          <t>Live view and recording when camera payload equipped</t>
        </is>
      </c>
      <c r="AM257" s="145" t="n"/>
      <c r="AN257" s="145" t="inlineStr">
        <is>
          <t>Optional or standard on mid/high tiers</t>
        </is>
      </c>
      <c r="AO257" s="145" t="n"/>
      <c r="AP257" s="145" t="inlineStr">
        <is>
          <t>Not disclosed</t>
        </is>
      </c>
      <c r="AQ257" s="145" t="n"/>
      <c r="AR257" s="145" t="inlineStr">
        <is>
          <t>Not disclosed</t>
        </is>
      </c>
      <c r="AS257" s="145" t="inlineStr">
        <is>
          <t>Not disclosed</t>
        </is>
      </c>
      <c r="AT257" s="149" t="n"/>
      <c r="AU257" s="149" t="inlineStr">
        <is>
          <t>Not disclosed</t>
        </is>
      </c>
      <c r="AV257" s="145" t="inlineStr">
        <is>
          <t>App, remote, and SDK options by tier</t>
        </is>
      </c>
      <c r="AW257" s="149" t="inlineStr">
        <is>
          <t>Quadruped gait library with terrain adaptation on higher models</t>
        </is>
      </c>
      <c r="AX257" s="145" t="n"/>
      <c r="AY257" s="149" t="n"/>
      <c r="AZ257" s="149" t="n"/>
      <c r="BA257" s="149" t="n"/>
      <c r="BB257" s="149" t="inlineStr">
        <is>
          <t>Not disclosed</t>
        </is>
      </c>
      <c r="BC257" s="149" t="n"/>
      <c r="BD257" s="145" t="n"/>
      <c r="BE257" s="145" t="inlineStr">
        <is>
          <t>Not disclosed</t>
        </is>
      </c>
      <c r="BF257" s="145" t="n"/>
      <c r="BG257" s="145" t="n"/>
      <c r="BH257" s="145" t="n"/>
      <c r="BI257" s="145" t="n"/>
      <c r="BJ257" s="145" t="n"/>
      <c r="BK257" s="145" t="n"/>
      <c r="BL257" s="145" t="n"/>
      <c r="BM257" s="145" t="n"/>
      <c r="BN257" s="145" t="n"/>
      <c r="BO257" s="149" t="n"/>
      <c r="BP257" s="145" t="inlineStr">
        <is>
          <t>Not disclosed</t>
        </is>
      </c>
      <c r="BQ257" s="149" t="inlineStr">
        <is>
          <t>Research / Education / Light professional</t>
        </is>
      </c>
      <c r="BR257" s="149" t="inlineStr">
        <is>
          <t>Orderable</t>
        </is>
      </c>
      <c r="BS257" s="149" t="n"/>
      <c r="BT257" s="145" t="n"/>
      <c r="BU257" s="145" t="n"/>
      <c r="BV257" s="149" t="inlineStr">
        <is>
          <t>Strong Go2 alternative; open SDK; competitive research pricing</t>
        </is>
      </c>
      <c r="BW257" s="149" t="inlineStr">
        <is>
          <t>Origin &amp; status — China · Orderable · 2023 | Mobility — 12 DOF · Payload ≈ 11 lb class · Top speed Up to 8.9 mph | Sensing &amp; software — Optional or standard on mid/high tiers | Buying notes — $2,890 · 12 months manufacturer standard (typical industrial quadruped/humanoid) · Best fit: Strong Go2 alternative; open SDK; competitive research pricing</t>
        </is>
      </c>
      <c r="BX257" s="149" t="inlineStr">
        <is>
          <t>as_shipped|Lite3|2890|As shipped</t>
        </is>
      </c>
      <c r="BY257" s="145" t="inlineStr">
        <is>
          <t>lite3|Manufacturer finish|#e2e8f0|0</t>
        </is>
      </c>
      <c r="BZ257" s="145" t="inlineStr"/>
      <c r="CA257" s="149" t="inlineStr">
        <is>
          <t>Add-ons: case; 2 color options; Multi-year extended warranty available</t>
        </is>
      </c>
      <c r="CB257" s="149" t="inlineStr">
        <is>
          <t>12 months manufacturer standard (typical industrial quadruped/humanoid)</t>
        </is>
      </c>
      <c r="CC257" s="147" t="n">
        <v>12</v>
      </c>
      <c r="CD257" s="149" t="inlineStr">
        <is>
          <t>+3 Year Extended ≈24% of configuration (default in configurator)</t>
        </is>
      </c>
      <c r="CE257" s="145" t="inlineStr">
        <is>
          <t>Industry norm for Deep Robotics class platforms</t>
        </is>
      </c>
      <c r="CF257" s="145" t="inlineStr">
        <is>
          <t>Estimated</t>
        </is>
      </c>
      <c r="CG257" s="149" t="inlineStr">
        <is>
          <t>Confirm exact term with authorized channel on quote.</t>
        </is>
      </c>
      <c r="CH257" s="145" t="inlineStr">
        <is>
          <t>10%</t>
        </is>
      </c>
      <c r="CI257" s="145" t="inlineStr">
        <is>
          <t>17%</t>
        </is>
      </c>
      <c r="CJ257" s="145" t="inlineStr">
        <is>
          <t>24%</t>
        </is>
      </c>
      <c r="CK257"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57"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57" s="145" t="inlineStr">
        <is>
          <t>12 months manufacturer standard (typical industrial quadruped/humanoid)</t>
        </is>
      </c>
      <c r="CN257" s="203" t="inlineStr">
        <is>
          <t>https://aixzd.com/robot/lite3</t>
        </is>
      </c>
    </row>
    <row r="258" ht="31.5" customHeight="1" s="102">
      <c r="A258" s="159" t="inlineStr">
        <is>
          <t>lynx</t>
        </is>
      </c>
      <c r="B258" s="160" t="inlineStr">
        <is>
          <t>Website</t>
        </is>
      </c>
      <c r="C258" s="152" t="inlineStr">
        <is>
          <t>Deep Robotics</t>
        </is>
      </c>
      <c r="D258" s="152" t="inlineStr">
        <is>
          <t>Lynx M20</t>
        </is>
      </c>
      <c r="E258" s="152" t="inlineStr">
        <is>
          <t>[Deep Robotics] Lynx M20 (2025)</t>
        </is>
      </c>
      <c r="F258" s="163" t="inlineStr">
        <is>
          <t>campanionoid</t>
        </is>
      </c>
      <c r="G258" s="152" t="inlineStr">
        <is>
          <t>China</t>
        </is>
      </c>
      <c r="H258" s="154" t="n">
        <v>2025</v>
      </c>
      <c r="I258" s="155" t="n">
        <v>59995</v>
      </c>
      <c r="J258" s="152" t="inlineStr">
        <is>
          <t>Robot Price Index Aug 2026</t>
        </is>
      </c>
      <c r="K258" s="156" t="inlineStr">
        <is>
          <t>Lynx M20 is Deep Robotics's quadruped — 12 DOF, ≈ 26–33 lb class payload. Perception cameras for mobile inspection; aimed at mixed terrain, last-mile, indoor-outdoor industrial.</t>
        </is>
      </c>
      <c r="L258" s="101" t="inlineStr">
        <is>
          <t>Lynx M20 is Deep Robotics's quadruped — 12 DOF, ≈ 26–33 lb class payload. Perception cameras for mobile inspection; aimed at mixed terrain, last-mile, indoor-outdoor industrial.</t>
        </is>
      </c>
      <c r="M258" s="101" t="inlineStr">
        <is>
          <t>Lynx M20 is Deep Robotics's quadruped — 12 DOF, ≈ 26–33 lb class payload. Perception cameras for mobile inspection; aimed at mixed terrain, last-mile, indoor-outdoor industrial. It is positioned for teams that need both fast wheeled travel and the ability to handle steps and rough ground.</t>
        </is>
      </c>
      <c r="N258" s="152" t="n"/>
      <c r="O258" s="152" t="inlineStr">
        <is>
          <t>https://www.deeprobotics.cn</t>
        </is>
      </c>
      <c r="P258" s="152" t="inlineStr">
        <is>
          <t>Not disclosed</t>
        </is>
      </c>
      <c r="Q258" s="152" t="n"/>
      <c r="R258" s="152" t="inlineStr">
        <is>
          <t>≈ 44–88 lb class (Lynx M20 / S10 family)</t>
        </is>
      </c>
      <c r="S258" s="152" t="n"/>
      <c r="T258" s="156" t="inlineStr">
        <is>
          <t>Not disclosed</t>
        </is>
      </c>
      <c r="U258" s="152" t="n"/>
      <c r="V258" s="152" t="inlineStr">
        <is>
          <t>12 DOF</t>
        </is>
      </c>
      <c r="W258" s="156" t="n"/>
      <c r="X258" s="152" t="inlineStr">
        <is>
          <t>≈ 26–33 lb class</t>
        </is>
      </c>
      <c r="Y258" s="152" t="n"/>
      <c r="Z258" s="152" t="inlineStr">
        <is>
          <t>Up to ≈ 11.2 mph class</t>
        </is>
      </c>
      <c r="AA258" s="152" t="n"/>
      <c r="AB258" s="152" t="n"/>
      <c r="AC258" s="156" t="inlineStr">
        <is>
          <t>Not disclosed</t>
        </is>
      </c>
      <c r="AD258" s="156" t="n"/>
      <c r="AE258" s="152" t="n"/>
      <c r="AF258" s="152" t="inlineStr">
        <is>
          <t>Not disclosed</t>
        </is>
      </c>
      <c r="AG258" s="156" t="n"/>
      <c r="AH258" s="152" t="n"/>
      <c r="AI258" s="152" t="n"/>
      <c r="AJ258" s="156" t="inlineStr">
        <is>
          <t>Perception cameras for mobile inspection</t>
        </is>
      </c>
      <c r="AK258" s="156" t="n"/>
      <c r="AL258" s="152" t="inlineStr">
        <is>
          <t>Not disclosed</t>
        </is>
      </c>
      <c r="AM258" s="152" t="n"/>
      <c r="AN258" s="152" t="inlineStr">
        <is>
          <t>Not disclosed</t>
        </is>
      </c>
      <c r="AO258" s="152" t="n"/>
      <c r="AP258" s="152" t="inlineStr">
        <is>
          <t>Not disclosed</t>
        </is>
      </c>
      <c r="AQ258" s="152" t="n"/>
      <c r="AR258" s="152" t="inlineStr">
        <is>
          <t>Not disclosed</t>
        </is>
      </c>
      <c r="AS258" s="152" t="inlineStr">
        <is>
          <t>Not disclosed</t>
        </is>
      </c>
      <c r="AT258" s="156" t="n"/>
      <c r="AU258" s="156" t="inlineStr">
        <is>
          <t>Not disclosed</t>
        </is>
      </c>
      <c r="AV258" s="152" t="inlineStr">
        <is>
          <t>Deep Robotics control software</t>
        </is>
      </c>
      <c r="AW258" s="156" t="inlineStr">
        <is>
          <t>Agile quadruped mobility (Lynx series)</t>
        </is>
      </c>
      <c r="AX258" s="152" t="n"/>
      <c r="AY258" s="156" t="n"/>
      <c r="AZ258" s="156" t="n"/>
      <c r="BA258" s="156" t="n"/>
      <c r="BB258" s="156" t="inlineStr">
        <is>
          <t>Not disclosed</t>
        </is>
      </c>
      <c r="BC258" s="156" t="n"/>
      <c r="BD258" s="152" t="n"/>
      <c r="BE258" s="152" t="inlineStr">
        <is>
          <t>Not disclosed</t>
        </is>
      </c>
      <c r="BF258" s="152" t="n"/>
      <c r="BG258" s="152" t="n"/>
      <c r="BH258" s="152" t="n"/>
      <c r="BI258" s="152" t="n"/>
      <c r="BJ258" s="152" t="n"/>
      <c r="BK258" s="152" t="n"/>
      <c r="BL258" s="152" t="n"/>
      <c r="BM258" s="152" t="n"/>
      <c r="BN258" s="152" t="n"/>
      <c r="BO258" s="156" t="n"/>
      <c r="BP258" s="152" t="inlineStr">
        <is>
          <t>Not disclosed</t>
        </is>
      </c>
      <c r="BQ258" s="156" t="inlineStr">
        <is>
          <t>Teams that need both fast wheeled travel and the ability to handle steps and rough ground.</t>
        </is>
      </c>
      <c r="BR258" s="156" t="inlineStr">
        <is>
          <t>Not disclosed</t>
        </is>
      </c>
      <c r="BS258" s="156" t="n"/>
      <c r="BT258" s="152" t="n"/>
      <c r="BU258" s="152" t="n"/>
      <c r="BV258" s="156" t="n"/>
      <c r="BW258" s="156" t="inlineStr">
        <is>
          <t>Origin &amp; status — China · 2025 | Mobility — 12 DOF · Payload ≈ 26–33 lb class · Top speed Up to ≈ 11.2 mph class | Sensing &amp; software — Perception cameras for mobile inspection | Buying notes — $59,995 · 12 months manufacturer standard (typical industrial quadruped/humanoid) · Best fit: Mixed terrain, last-mile, indoor-outdoor industrial</t>
        </is>
      </c>
      <c r="BX258" s="156" t="inlineStr">
        <is>
          <t>m20|Lynx M20|59995|Wheel-leg hybrid || m20pro|Lynx M20 Pro|61200|Pro / higher sensor package</t>
        </is>
      </c>
      <c r="BY258" s="152" t="inlineStr">
        <is>
          <t>black|Hybrid Black|#1a1a1a|0 || orange|Trail Orange|#ea580c|0</t>
        </is>
      </c>
      <c r="BZ258" s="152" t="inlineStr">
        <is>
          <t>battery_lynx, case, warranty_lynx</t>
        </is>
      </c>
      <c r="CA258" s="156" t="inlineStr">
        <is>
          <t>2 configuration tiers; Add-ons: battery_lynx, case; 2 color options; Multi-year extended warranty available</t>
        </is>
      </c>
      <c r="CB258" s="156" t="inlineStr">
        <is>
          <t>12 months manufacturer standard (typical industrial quadruped/humanoid)</t>
        </is>
      </c>
      <c r="CC258" s="154" t="n">
        <v>12</v>
      </c>
      <c r="CD258" s="156" t="inlineStr">
        <is>
          <t>+3 Year Extended ≈24% of configuration (default in configurator)</t>
        </is>
      </c>
      <c r="CE258" s="152" t="inlineStr">
        <is>
          <t>Industry norm for Deep Robotics class platforms</t>
        </is>
      </c>
      <c r="CF258" s="152" t="inlineStr">
        <is>
          <t>Estimated</t>
        </is>
      </c>
      <c r="CG258" s="156" t="inlineStr">
        <is>
          <t>Confirm exact term with authorized channel on quote.</t>
        </is>
      </c>
      <c r="CH258" s="152" t="inlineStr">
        <is>
          <t>10%</t>
        </is>
      </c>
      <c r="CI258" s="152" t="inlineStr">
        <is>
          <t>17%</t>
        </is>
      </c>
      <c r="CJ258" s="152" t="inlineStr">
        <is>
          <t>24%</t>
        </is>
      </c>
      <c r="CK258"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58"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58" s="152" t="inlineStr">
        <is>
          <t>12 months manufacturer standard (typical industrial quadruped/humanoid)</t>
        </is>
      </c>
    </row>
    <row r="259" ht="31.5" customHeight="1" s="102">
      <c r="A259" s="143" t="inlineStr">
        <is>
          <t>x30</t>
        </is>
      </c>
      <c r="B259" s="160" t="inlineStr">
        <is>
          <t>Website</t>
        </is>
      </c>
      <c r="C259" s="145" t="inlineStr">
        <is>
          <t>Deep Robotics</t>
        </is>
      </c>
      <c r="D259" s="145" t="inlineStr">
        <is>
          <t>X30</t>
        </is>
      </c>
      <c r="E259" s="145" t="inlineStr">
        <is>
          <t>[Deep Robotics] X30 (2024)</t>
        </is>
      </c>
      <c r="F259" s="163" t="inlineStr">
        <is>
          <t>campanionoid</t>
        </is>
      </c>
      <c r="G259" s="145" t="inlineStr">
        <is>
          <t>China</t>
        </is>
      </c>
      <c r="H259" s="147" t="n">
        <v>2024</v>
      </c>
      <c r="I259" s="148" t="n">
        <v>65000</v>
      </c>
      <c r="J259" s="145" t="inlineStr">
        <is>
          <t>Robot Price Index Aug 2026</t>
        </is>
      </c>
      <c r="K259" s="149" t="inlineStr">
        <is>
          <t>X30 is Deep Robotics's quadruped — 12 DOF, ≈ 88–110 lb class depending on configuration payload. 3D LiDAR options on inspection configurations; aimed at inspection, power, outdoor industrial work.</t>
        </is>
      </c>
      <c r="L259" s="101" t="inlineStr">
        <is>
          <t>X30 is Deep Robotics's quadruped — 12 DOF, ≈ 88–110 lb class depending on configuration payload. 3D LiDAR options on inspection configurations; aimed at inspection, power, outdoor industrial work.</t>
        </is>
      </c>
      <c r="M259" s="101" t="inlineStr">
        <is>
          <t>X30 is Deep Robotics's quadruped — 12 DOF, ≈ 88–110 lb class depending on configuration payload. 3D LiDAR options on inspection configurations; aimed at inspection, power, outdoor industrial work. It is positioned for industrial inspection, energy, and outdoor robotics teams.</t>
        </is>
      </c>
      <c r="N259" s="145" t="n"/>
      <c r="O259" s="145" t="inlineStr">
        <is>
          <t>https://www.deeprobotics.cn</t>
        </is>
      </c>
      <c r="P259" s="145" t="inlineStr">
        <is>
          <t>Not disclosed</t>
        </is>
      </c>
      <c r="Q259" s="145" t="n"/>
      <c r="R259" s="145" t="inlineStr">
        <is>
          <t>≈ 110–176 lb class (X20/X30 family range)</t>
        </is>
      </c>
      <c r="S259" s="145" t="n"/>
      <c r="T259" s="149" t="inlineStr">
        <is>
          <t>Not disclosed</t>
        </is>
      </c>
      <c r="U259" s="145" t="n"/>
      <c r="V259" s="145" t="inlineStr">
        <is>
          <t>12 DOF</t>
        </is>
      </c>
      <c r="W259" s="149" t="n"/>
      <c r="X259" s="145" t="inlineStr">
        <is>
          <t>≈ 88–110 lb class depending on configuration</t>
        </is>
      </c>
      <c r="Y259" s="145" t="n"/>
      <c r="Z259" s="145" t="inlineStr">
        <is>
          <t>Not disclosed</t>
        </is>
      </c>
      <c r="AA259" s="145" t="n"/>
      <c r="AB259" s="145" t="n"/>
      <c r="AC259" s="149" t="inlineStr">
        <is>
          <t>Not disclosed</t>
        </is>
      </c>
      <c r="AD259" s="149" t="n"/>
      <c r="AE259" s="145" t="n"/>
      <c r="AF259" s="145" t="inlineStr">
        <is>
          <t>Not disclosed</t>
        </is>
      </c>
      <c r="AG259" s="149" t="n"/>
      <c r="AH259" s="145" t="n"/>
      <c r="AI259" s="145" t="n"/>
      <c r="AJ259" s="149" t="inlineStr">
        <is>
          <t>Industrial inspection cameras</t>
        </is>
      </c>
      <c r="AK259" s="149" t="n"/>
      <c r="AL259" s="145" t="inlineStr">
        <is>
          <t>Not disclosed</t>
        </is>
      </c>
      <c r="AM259" s="145" t="n"/>
      <c r="AN259" s="145" t="inlineStr">
        <is>
          <t>3D LiDAR options on inspection configurations</t>
        </is>
      </c>
      <c r="AO259" s="145" t="n"/>
      <c r="AP259" s="145" t="inlineStr">
        <is>
          <t>Not disclosed</t>
        </is>
      </c>
      <c r="AQ259" s="145" t="n"/>
      <c r="AR259" s="145" t="inlineStr">
        <is>
          <t>Not disclosed</t>
        </is>
      </c>
      <c r="AS259" s="145" t="inlineStr">
        <is>
          <t>Not disclosed</t>
        </is>
      </c>
      <c r="AT259" s="149" t="n"/>
      <c r="AU259" s="149" t="inlineStr">
        <is>
          <t>Not disclosed</t>
        </is>
      </c>
      <c r="AV259" s="145" t="inlineStr">
        <is>
          <t>Deep Robotics industrial software and SDK</t>
        </is>
      </c>
      <c r="AW259" s="149" t="inlineStr">
        <is>
          <t>Rough-terrain quadruped gaits for inspection routes</t>
        </is>
      </c>
      <c r="AX259" s="145" t="n"/>
      <c r="AY259" s="149" t="n"/>
      <c r="AZ259" s="149" t="n"/>
      <c r="BA259" s="149" t="n"/>
      <c r="BB259" s="149" t="inlineStr">
        <is>
          <t>Not disclosed</t>
        </is>
      </c>
      <c r="BC259" s="149" t="n"/>
      <c r="BD259" s="145" t="n"/>
      <c r="BE259" s="145" t="inlineStr">
        <is>
          <t>Industrial outdoor ratings</t>
        </is>
      </c>
      <c r="BF259" s="145" t="n"/>
      <c r="BG259" s="145" t="n"/>
      <c r="BH259" s="145" t="n"/>
      <c r="BI259" s="145" t="n"/>
      <c r="BJ259" s="145" t="n"/>
      <c r="BK259" s="145" t="n"/>
      <c r="BL259" s="145" t="inlineStr">
        <is>
          <t>IP67 class signals on Pro</t>
        </is>
      </c>
      <c r="BM259" s="145" t="n"/>
      <c r="BN259" s="145" t="n"/>
      <c r="BO259" s="149" t="n"/>
      <c r="BP259" s="145" t="inlineStr">
        <is>
          <t>Not disclosed</t>
        </is>
      </c>
      <c r="BQ259" s="149" t="inlineStr">
        <is>
          <t>Industrial inspection, energy, and outdoor robotics teams.</t>
        </is>
      </c>
      <c r="BR259" s="149" t="inlineStr">
        <is>
          <t>Not disclosed</t>
        </is>
      </c>
      <c r="BS259" s="149" t="n"/>
      <c r="BT259" s="145" t="n"/>
      <c r="BU259" s="145" t="n"/>
      <c r="BV259" s="149" t="n"/>
      <c r="BW259" s="149" t="inlineStr">
        <is>
          <t>Origin &amp; status — China · 2024 | Mobility — 12 DOF · Payload ≈ 88–110 lb class depending on configuration · Top speed Not disclosed · IP67 class signals on Pro | Sensing &amp; software — 3D LiDAR options on inspection configurations | Buying notes — $65,000 · 12 months manufacturer standard (typical industrial quadruped/humanoid) · Best fit: Inspection, power, outdoor industrial work</t>
        </is>
      </c>
      <c r="BX259" s="149" t="inlineStr">
        <is>
          <t>x30|X30|65000|Industrial quadruped || x30pro|X30 Pro|85000|Pro industrial package</t>
        </is>
      </c>
      <c r="BY259" s="145" t="inlineStr">
        <is>
          <t>orange|Safety Orange|#ea580c|0 || black|Industrial Black|#1a1a1a|0</t>
        </is>
      </c>
      <c r="BZ259" s="145" t="inlineStr">
        <is>
          <t>battery_x30, case, warranty_x30</t>
        </is>
      </c>
      <c r="CA259" s="149" t="inlineStr">
        <is>
          <t>2 configuration tiers; Add-ons: battery_x30, case; 2 color options; Multi-year extended warranty available</t>
        </is>
      </c>
      <c r="CB259" s="149" t="inlineStr">
        <is>
          <t>12 months manufacturer standard (typical industrial quadruped/humanoid)</t>
        </is>
      </c>
      <c r="CC259" s="147" t="n">
        <v>12</v>
      </c>
      <c r="CD259" s="149" t="inlineStr">
        <is>
          <t>+3 Year Extended ≈24% of configuration (default in configurator)</t>
        </is>
      </c>
      <c r="CE259" s="145" t="inlineStr">
        <is>
          <t>Industry norm for Deep Robotics class platforms</t>
        </is>
      </c>
      <c r="CF259" s="145" t="inlineStr">
        <is>
          <t>Estimated</t>
        </is>
      </c>
      <c r="CG259" s="149" t="inlineStr">
        <is>
          <t>Confirm exact term with authorized channel on quote.</t>
        </is>
      </c>
      <c r="CH259" s="145" t="inlineStr">
        <is>
          <t>10%</t>
        </is>
      </c>
      <c r="CI259" s="145" t="inlineStr">
        <is>
          <t>17%</t>
        </is>
      </c>
      <c r="CJ259" s="145" t="inlineStr">
        <is>
          <t>24%</t>
        </is>
      </c>
      <c r="CK25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5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59" s="145" t="inlineStr">
        <is>
          <t>12 months manufacturer standard (typical industrial quadruped/humanoid)</t>
        </is>
      </c>
      <c r="CN259" s="203" t="inlineStr">
        <is>
          <t>https://aixzd.com/robot/x30</t>
        </is>
      </c>
    </row>
    <row r="260" ht="31.5" customHeight="1" s="102">
      <c r="A260" s="159" t="inlineStr">
        <is>
          <t>dobot_various_quadruped_models</t>
        </is>
      </c>
      <c r="B260" s="160" t="inlineStr">
        <is>
          <t>Website</t>
        </is>
      </c>
      <c r="C260" s="152" t="inlineStr">
        <is>
          <t>DOBOT</t>
        </is>
      </c>
      <c r="D260" s="152" t="inlineStr">
        <is>
          <t>Quadruped Series</t>
        </is>
      </c>
      <c r="E260" s="152" t="inlineStr">
        <is>
          <t>[DOBOT] Quadruped Series (2020)</t>
        </is>
      </c>
      <c r="F260" s="163" t="inlineStr">
        <is>
          <t>campanionoid</t>
        </is>
      </c>
      <c r="G260" s="152" t="inlineStr">
        <is>
          <t>China</t>
        </is>
      </c>
      <c r="H260" s="154" t="n">
        <v>2020</v>
      </c>
      <c r="I260" s="155" t="n">
        <v>10000</v>
      </c>
      <c r="J260" s="152" t="inlineStr">
        <is>
          <t>Website store</t>
        </is>
      </c>
      <c r="K260" s="156" t="inlineStr">
        <is>
          <t>Quadruped Series is DOBOT's quadruped. Optional or standard on mid/high tiers; aimed at education.</t>
        </is>
      </c>
      <c r="L260" s="101" t="inlineStr">
        <is>
          <t>Quadruped Series is DOBOT's quadruped. Optional or standard on mid/high tiers; aimed at education.</t>
        </is>
      </c>
      <c r="M260" s="101" t="inlineStr">
        <is>
          <t>Quadruped Series is DOBOT's quadruped. Optional or standard on mid/high tiers; aimed at education. Public status is listed as growing (~5% H1 2026 share), and it is positioned for education / Light industrial / Consumer.</t>
        </is>
      </c>
      <c r="N260" s="152" t="n"/>
      <c r="O260" s="152" t="inlineStr">
        <is>
          <t>https://www.dobot-robots.com</t>
        </is>
      </c>
      <c r="P260" s="152" t="inlineStr">
        <is>
          <t>Not disclosed</t>
        </is>
      </c>
      <c r="Q260" s="152" t="n"/>
      <c r="R260" s="152" t="inlineStr">
        <is>
          <t>Not disclosed</t>
        </is>
      </c>
      <c r="S260" s="152" t="n"/>
      <c r="T260" s="156" t="inlineStr">
        <is>
          <t>Not disclosed</t>
        </is>
      </c>
      <c r="U260" s="152" t="n"/>
      <c r="V260" s="152" t="inlineStr">
        <is>
          <t>Not disclosed</t>
        </is>
      </c>
      <c r="W260" s="156" t="n"/>
      <c r="X260" s="152" t="inlineStr">
        <is>
          <t>Not disclosed</t>
        </is>
      </c>
      <c r="Y260" s="152" t="n"/>
      <c r="Z260" s="152" t="inlineStr">
        <is>
          <t>Not disclosed</t>
        </is>
      </c>
      <c r="AA260" s="152" t="n"/>
      <c r="AB260" s="152" t="n"/>
      <c r="AC260" s="156" t="inlineStr">
        <is>
          <t>Not disclosed</t>
        </is>
      </c>
      <c r="AD260" s="156" t="n"/>
      <c r="AE260" s="152" t="n"/>
      <c r="AF260" s="152" t="inlineStr">
        <is>
          <t>Not disclosed</t>
        </is>
      </c>
      <c r="AG260" s="156" t="n"/>
      <c r="AH260" s="152" t="n"/>
      <c r="AI260" s="152" t="n"/>
      <c r="AJ260" s="156" t="inlineStr">
        <is>
          <t>Forward and/or body cameras for obstacle awareness</t>
        </is>
      </c>
      <c r="AK260" s="156" t="n"/>
      <c r="AL260" s="152" t="inlineStr">
        <is>
          <t>Live view and recording when camera payload equipped</t>
        </is>
      </c>
      <c r="AM260" s="152" t="n"/>
      <c r="AN260" s="152" t="inlineStr">
        <is>
          <t>Optional or standard on mid/high tiers</t>
        </is>
      </c>
      <c r="AO260" s="152" t="n"/>
      <c r="AP260" s="152" t="inlineStr">
        <is>
          <t>Not disclosed</t>
        </is>
      </c>
      <c r="AQ260" s="152" t="n"/>
      <c r="AR260" s="152" t="inlineStr">
        <is>
          <t>Not disclosed</t>
        </is>
      </c>
      <c r="AS260" s="152" t="inlineStr">
        <is>
          <t>Not disclosed</t>
        </is>
      </c>
      <c r="AT260" s="156" t="n"/>
      <c r="AU260" s="156" t="inlineStr">
        <is>
          <t>Not disclosed</t>
        </is>
      </c>
      <c r="AV260" s="152" t="inlineStr">
        <is>
          <t>App, remote, and SDK options by tier</t>
        </is>
      </c>
      <c r="AW260" s="156" t="inlineStr">
        <is>
          <t>Quadruped gait library with terrain adaptation on higher models</t>
        </is>
      </c>
      <c r="AX260" s="152" t="n"/>
      <c r="AY260" s="156" t="n"/>
      <c r="AZ260" s="156" t="n"/>
      <c r="BA260" s="156" t="n"/>
      <c r="BB260" s="156" t="inlineStr">
        <is>
          <t>Not disclosed</t>
        </is>
      </c>
      <c r="BC260" s="156" t="n"/>
      <c r="BD260" s="152" t="n"/>
      <c r="BE260" s="152" t="inlineStr">
        <is>
          <t>Not disclosed</t>
        </is>
      </c>
      <c r="BF260" s="152" t="n"/>
      <c r="BG260" s="152" t="n"/>
      <c r="BH260" s="152" t="n"/>
      <c r="BI260" s="152" t="n"/>
      <c r="BJ260" s="152" t="n"/>
      <c r="BK260" s="152" t="n"/>
      <c r="BL260" s="152" t="n"/>
      <c r="BM260" s="152" t="n"/>
      <c r="BN260" s="152" t="n"/>
      <c r="BO260" s="156" t="n"/>
      <c r="BP260" s="152" t="inlineStr">
        <is>
          <t>Not disclosed</t>
        </is>
      </c>
      <c r="BQ260" s="156" t="inlineStr">
        <is>
          <t>Education / Light industrial / Consumer</t>
        </is>
      </c>
      <c r="BR260" s="156" t="inlineStr">
        <is>
          <t>Growing (~5% H1 2026 share)</t>
        </is>
      </c>
      <c r="BS260" s="156" t="n"/>
      <c r="BT260" s="152" t="n"/>
      <c r="BU260" s="152" t="n"/>
      <c r="BV260" s="156" t="inlineStr">
        <is>
          <t>Rising volume player in consumer/education</t>
        </is>
      </c>
      <c r="BW260" s="156" t="inlineStr">
        <is>
          <t>Origin &amp; status — China · Growing (~5% H1 2026 share) · 2020 | Mobility — Payload Not disclosed · Top speed Not disclosed | Sensing &amp; software — Optional or standard on mid/high tiers | Buying notes — Contact / mid-range · 12 months manufacturer standard (typical) · Best fit: Rising volume player in consumer/education</t>
        </is>
      </c>
      <c r="BX260" s="156" t="inlineStr">
        <is>
          <t>as_shipped|Quadruped Series|10000|As shipped</t>
        </is>
      </c>
      <c r="BY260" s="152" t="inlineStr">
        <is>
          <t>quadruped_series|Manufacturer finish|#e2e8f0|0</t>
        </is>
      </c>
      <c r="BZ260" s="152" t="inlineStr"/>
      <c r="CA260" s="156" t="inlineStr">
        <is>
          <t>Add-ons: case; 2 color options; Multi-year extended warranty available</t>
        </is>
      </c>
      <c r="CB260" s="156" t="inlineStr">
        <is>
          <t>12 months manufacturer standard (typical)</t>
        </is>
      </c>
      <c r="CC260" s="154" t="n">
        <v>12</v>
      </c>
      <c r="CD260" s="156" t="inlineStr">
        <is>
          <t>+3 Year Extended ≈24% of configuration (default in configurator)</t>
        </is>
      </c>
      <c r="CE260" s="152" t="inlineStr">
        <is>
          <t>Quadruped category norm</t>
        </is>
      </c>
      <c r="CF260" s="152" t="inlineStr">
        <is>
          <t>Estimated</t>
        </is>
      </c>
      <c r="CG260" s="156" t="inlineStr">
        <is>
          <t>Confirm configuration-specific term on quote.</t>
        </is>
      </c>
      <c r="CH260" s="152" t="inlineStr">
        <is>
          <t>10%</t>
        </is>
      </c>
      <c r="CI260" s="152" t="inlineStr">
        <is>
          <t>17%</t>
        </is>
      </c>
      <c r="CJ260" s="152" t="inlineStr">
        <is>
          <t>24%</t>
        </is>
      </c>
      <c r="CK260"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60"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60" s="152" t="inlineStr">
        <is>
          <t>12 months manufacturer standard (typical)</t>
        </is>
      </c>
    </row>
    <row r="261" ht="31.5" customHeight="1" s="102">
      <c r="A261" s="143" t="inlineStr">
        <is>
          <t>ghost_robotics_vision_60</t>
        </is>
      </c>
      <c r="B261" s="160" t="inlineStr">
        <is>
          <t>Website</t>
        </is>
      </c>
      <c r="C261" s="145" t="inlineStr">
        <is>
          <t>Ghost Robotics</t>
        </is>
      </c>
      <c r="D261" s="145" t="inlineStr">
        <is>
          <t>Vision 60</t>
        </is>
      </c>
      <c r="E261" s="145" t="inlineStr">
        <is>
          <t>[Ghost Robotics] Vision 60 (2010)</t>
        </is>
      </c>
      <c r="F261" s="163" t="inlineStr">
        <is>
          <t>campanionoid</t>
        </is>
      </c>
      <c r="G261" s="145" t="inlineStr">
        <is>
          <t>USA</t>
        </is>
      </c>
      <c r="H261" s="147" t="n">
        <v>2010</v>
      </c>
      <c r="I261" s="148" t="n">
        <v>150000</v>
      </c>
      <c r="J261" s="145" t="inlineStr">
        <is>
          <t>Website store</t>
        </is>
      </c>
      <c r="K261" s="149" t="inlineStr">
        <is>
          <t>Vision 60 is Ghost Robotics's quadruped — 12 DOF, ≈ 44 lb class payload, ~6.7 mph. Modular payload cameras; aimed at defense.</t>
        </is>
      </c>
      <c r="L261" s="101" t="inlineStr">
        <is>
          <t>Vision 60 is Ghost Robotics's quadruped — 12 DOF, ≈ 44 lb class payload, ~6.7 mph. Modular payload cameras; aimed at defense.</t>
        </is>
      </c>
      <c r="M261" s="101" t="inlineStr">
        <is>
          <t>Vision 60 is Ghost Robotics's quadruped — 12 DOF, ≈ 44 lb class payload, ~6.7 mph. Modular payload cameras; aimed at defense. Public status is listed as doD / ROGUE contracts; limited civilian, and it is positioned for defense / Base security / Recon / Military.</t>
        </is>
      </c>
      <c r="N261" s="145" t="n"/>
      <c r="O261" s="145" t="inlineStr">
        <is>
          <t>https://www.ghostrobotics.io</t>
        </is>
      </c>
      <c r="P261" s="145" t="inlineStr">
        <is>
          <t>Not disclosed</t>
        </is>
      </c>
      <c r="Q261" s="145" t="n"/>
      <c r="R261" s="145" t="inlineStr">
        <is>
          <t>≈ 110–132 lb class</t>
        </is>
      </c>
      <c r="S261" s="145" t="n"/>
      <c r="T261" s="149" t="inlineStr">
        <is>
          <t>Not disclosed</t>
        </is>
      </c>
      <c r="U261" s="145" t="n"/>
      <c r="V261" s="145" t="inlineStr">
        <is>
          <t>12 DOF</t>
        </is>
      </c>
      <c r="W261" s="149" t="n"/>
      <c r="X261" s="145" t="inlineStr">
        <is>
          <t>≈ 44 lb class</t>
        </is>
      </c>
      <c r="Y261" s="145" t="n"/>
      <c r="Z261" s="145" t="inlineStr">
        <is>
          <t>~6.7 mph</t>
        </is>
      </c>
      <c r="AA261" s="145" t="n"/>
      <c r="AB261" s="145" t="n"/>
      <c r="AC261" s="149" t="inlineStr">
        <is>
          <t>Not disclosed</t>
        </is>
      </c>
      <c r="AD261" s="149" t="n"/>
      <c r="AE261" s="145" t="n"/>
      <c r="AF261" s="145" t="inlineStr">
        <is>
          <t>Not disclosed</t>
        </is>
      </c>
      <c r="AG261" s="149" t="n"/>
      <c r="AH261" s="145" t="n"/>
      <c r="AI261" s="145" t="n"/>
      <c r="AJ261" s="149" t="inlineStr">
        <is>
          <t>Modular payload cameras</t>
        </is>
      </c>
      <c r="AK261" s="149" t="n"/>
      <c r="AL261" s="145" t="inlineStr">
        <is>
          <t>Not disclosed</t>
        </is>
      </c>
      <c r="AM261" s="145" t="n"/>
      <c r="AN261" s="145" t="inlineStr">
        <is>
          <t>Not disclosed</t>
        </is>
      </c>
      <c r="AO261" s="145" t="n"/>
      <c r="AP261" s="145" t="inlineStr">
        <is>
          <t>Not disclosed</t>
        </is>
      </c>
      <c r="AQ261" s="145" t="n"/>
      <c r="AR261" s="145" t="inlineStr">
        <is>
          <t>Not disclosed</t>
        </is>
      </c>
      <c r="AS261" s="145" t="inlineStr">
        <is>
          <t>Not disclosed</t>
        </is>
      </c>
      <c r="AT261" s="149" t="n"/>
      <c r="AU261" s="149" t="inlineStr">
        <is>
          <t>Not disclosed</t>
        </is>
      </c>
      <c r="AV261" s="145" t="inlineStr">
        <is>
          <t>Ghost Robotics control systems</t>
        </is>
      </c>
      <c r="AW261" s="149" t="inlineStr">
        <is>
          <t>Military/industrial legged mobility</t>
        </is>
      </c>
      <c r="AX261" s="145" t="n"/>
      <c r="AY261" s="149" t="n"/>
      <c r="AZ261" s="149" t="n"/>
      <c r="BA261" s="149" t="n"/>
      <c r="BB261" s="149" t="inlineStr">
        <is>
          <t>Not disclosed</t>
        </is>
      </c>
      <c r="BC261" s="149" t="n"/>
      <c r="BD261" s="145" t="n"/>
      <c r="BE261" s="145" t="inlineStr">
        <is>
          <t>Not disclosed</t>
        </is>
      </c>
      <c r="BF261" s="145" t="n"/>
      <c r="BG261" s="145" t="n"/>
      <c r="BH261" s="145" t="n"/>
      <c r="BI261" s="145" t="n"/>
      <c r="BJ261" s="145" t="n"/>
      <c r="BK261" s="145" t="n"/>
      <c r="BL261" s="145" t="n"/>
      <c r="BM261" s="145" t="n"/>
      <c r="BN261" s="145" t="n"/>
      <c r="BO261" s="149" t="n"/>
      <c r="BP261" s="145" t="inlineStr">
        <is>
          <t>Harsh outdoor and tactical environments</t>
        </is>
      </c>
      <c r="BQ261" s="149" t="inlineStr">
        <is>
          <t>Defense / Base security / Recon / Military</t>
        </is>
      </c>
      <c r="BR261" s="149" t="inlineStr">
        <is>
          <t>DoD / ROGUE contracts; limited civilian</t>
        </is>
      </c>
      <c r="BS261" s="149" t="n"/>
      <c r="BT261" s="145" t="n"/>
      <c r="BU261" s="145" t="n"/>
      <c r="BV261" s="149" t="inlineStr">
        <is>
          <t>MIL-spec; IP67; GPS-denied; weapon-mount capable; AF/Army deployments</t>
        </is>
      </c>
      <c r="BW261" s="149" t="inlineStr">
        <is>
          <t>Origin &amp; status — USA · DoD / ROGUE contracts; limited civilian · 2010 | Mobility — 12 DOF · Payload ≈ 44 lb class · Top speed ~6.7 mph | Sensing &amp; software — Modular payload cameras | Buying notes — ~$150,000–165,000 (defense) · 12 months manufacturer standard (typical) · Best fit: MIL-spec; IP67; GPS-denied; weapon-mount capable; AF/Army deployments</t>
        </is>
      </c>
      <c r="BX261" s="149" t="inlineStr">
        <is>
          <t>as_shipped|Vision 60|150000|As shipped</t>
        </is>
      </c>
      <c r="BY261" s="145" t="inlineStr">
        <is>
          <t>vision_60|Manufacturer finish|#e2e8f0|0</t>
        </is>
      </c>
      <c r="BZ261" s="145" t="inlineStr"/>
      <c r="CA261" s="149" t="inlineStr">
        <is>
          <t>Add-ons: case; 2 color options; Multi-year extended warranty available</t>
        </is>
      </c>
      <c r="CB261" s="149" t="inlineStr">
        <is>
          <t>12 months manufacturer standard (typical)</t>
        </is>
      </c>
      <c r="CC261" s="147" t="n">
        <v>12</v>
      </c>
      <c r="CD261" s="149" t="inlineStr">
        <is>
          <t>+3 Year Extended ≈24% of configuration (default in configurator)</t>
        </is>
      </c>
      <c r="CE261" s="145" t="inlineStr">
        <is>
          <t>Quadruped category norm</t>
        </is>
      </c>
      <c r="CF261" s="145" t="inlineStr">
        <is>
          <t>Estimated</t>
        </is>
      </c>
      <c r="CG261" s="149" t="inlineStr">
        <is>
          <t>Confirm configuration-specific term on quote.</t>
        </is>
      </c>
      <c r="CH261" s="145" t="inlineStr">
        <is>
          <t>10%</t>
        </is>
      </c>
      <c r="CI261" s="145" t="inlineStr">
        <is>
          <t>17%</t>
        </is>
      </c>
      <c r="CJ261" s="145" t="inlineStr">
        <is>
          <t>24%</t>
        </is>
      </c>
      <c r="CK26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6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61" s="145" t="inlineStr">
        <is>
          <t>12 months manufacturer standard (typical)</t>
        </is>
      </c>
      <c r="CN261" s="203" t="inlineStr">
        <is>
          <t>https://aixzd.com/robot/vision-60</t>
        </is>
      </c>
    </row>
    <row r="262" ht="31.5" customHeight="1" s="102">
      <c r="A262" s="159" t="inlineStr">
        <is>
          <t>keybotic_keybotic_quadruped_ugvs</t>
        </is>
      </c>
      <c r="B262" s="160" t="inlineStr">
        <is>
          <t>Website</t>
        </is>
      </c>
      <c r="C262" s="152" t="inlineStr">
        <is>
          <t>Keybotic</t>
        </is>
      </c>
      <c r="D262" s="152" t="inlineStr">
        <is>
          <t>Quadruped UGV</t>
        </is>
      </c>
      <c r="E262" s="152" t="inlineStr">
        <is>
          <t>[Keybotic] Quadruped UGV (2019)</t>
        </is>
      </c>
      <c r="F262" s="163" t="inlineStr">
        <is>
          <t>campanionoid</t>
        </is>
      </c>
      <c r="G262" s="152" t="inlineStr">
        <is>
          <t>Spain</t>
        </is>
      </c>
      <c r="H262" s="154" t="n">
        <v>2019</v>
      </c>
      <c r="I262" s="155" t="n">
        <v>10000</v>
      </c>
      <c r="J262" s="152" t="inlineStr">
        <is>
          <t>Website store</t>
        </is>
      </c>
      <c r="K262" s="156" t="inlineStr">
        <is>
          <t>Quadruped UGV is Keybotic's quadruped. Optional or standard on mid/high tiers; aimed at industrial inspection.</t>
        </is>
      </c>
      <c r="L262" s="101" t="inlineStr">
        <is>
          <t>Quadruped UGV is Keybotic's quadruped. Optional or standard on mid/high tiers; aimed at industrial inspection.</t>
        </is>
      </c>
      <c r="M262" s="101" t="inlineStr">
        <is>
          <t>Quadruped UGV is Keybotic's quadruped. Optional or standard on mid/high tiers; aimed at industrial inspection. Public status is listed as commercial / RaaS, and it is positioned for industrial inspection / Mapping.</t>
        </is>
      </c>
      <c r="N262" s="152" t="n"/>
      <c r="O262" s="152" t="inlineStr">
        <is>
          <t>https://www.keybotic.com</t>
        </is>
      </c>
      <c r="P262" s="152" t="inlineStr">
        <is>
          <t>Not disclosed</t>
        </is>
      </c>
      <c r="Q262" s="152" t="n"/>
      <c r="R262" s="152" t="inlineStr">
        <is>
          <t>Not disclosed</t>
        </is>
      </c>
      <c r="S262" s="152" t="n"/>
      <c r="T262" s="156" t="inlineStr">
        <is>
          <t>Not disclosed</t>
        </is>
      </c>
      <c r="U262" s="152" t="n"/>
      <c r="V262" s="152" t="inlineStr">
        <is>
          <t>Not disclosed</t>
        </is>
      </c>
      <c r="W262" s="156" t="n"/>
      <c r="X262" s="152" t="inlineStr">
        <is>
          <t>Not disclosed</t>
        </is>
      </c>
      <c r="Y262" s="152" t="n"/>
      <c r="Z262" s="152" t="inlineStr">
        <is>
          <t>Not disclosed</t>
        </is>
      </c>
      <c r="AA262" s="152" t="n"/>
      <c r="AB262" s="152" t="n"/>
      <c r="AC262" s="156" t="inlineStr">
        <is>
          <t>Not disclosed</t>
        </is>
      </c>
      <c r="AD262" s="156" t="n"/>
      <c r="AE262" s="152" t="n"/>
      <c r="AF262" s="152" t="inlineStr">
        <is>
          <t>Not disclosed</t>
        </is>
      </c>
      <c r="AG262" s="156" t="n"/>
      <c r="AH262" s="152" t="n"/>
      <c r="AI262" s="152" t="n"/>
      <c r="AJ262" s="156" t="inlineStr">
        <is>
          <t>Forward and/or body cameras for obstacle awareness</t>
        </is>
      </c>
      <c r="AK262" s="156" t="n"/>
      <c r="AL262" s="152" t="inlineStr">
        <is>
          <t>Live view and recording when camera payload equipped</t>
        </is>
      </c>
      <c r="AM262" s="152" t="n"/>
      <c r="AN262" s="152" t="inlineStr">
        <is>
          <t>Optional or standard on mid/high tiers</t>
        </is>
      </c>
      <c r="AO262" s="152" t="n"/>
      <c r="AP262" s="152" t="inlineStr">
        <is>
          <t>Not disclosed</t>
        </is>
      </c>
      <c r="AQ262" s="152" t="n"/>
      <c r="AR262" s="152" t="inlineStr">
        <is>
          <t>Not disclosed</t>
        </is>
      </c>
      <c r="AS262" s="152" t="inlineStr">
        <is>
          <t>Not disclosed</t>
        </is>
      </c>
      <c r="AT262" s="156" t="n"/>
      <c r="AU262" s="156" t="inlineStr">
        <is>
          <t>Not disclosed</t>
        </is>
      </c>
      <c r="AV262" s="152" t="inlineStr">
        <is>
          <t>App, remote, and SDK options by tier</t>
        </is>
      </c>
      <c r="AW262" s="156" t="inlineStr">
        <is>
          <t>Quadruped gait library with terrain adaptation on higher models</t>
        </is>
      </c>
      <c r="AX262" s="152" t="n"/>
      <c r="AY262" s="156" t="n"/>
      <c r="AZ262" s="156" t="n"/>
      <c r="BA262" s="156" t="n"/>
      <c r="BB262" s="156" t="inlineStr">
        <is>
          <t>Not disclosed</t>
        </is>
      </c>
      <c r="BC262" s="156" t="n"/>
      <c r="BD262" s="152" t="n"/>
      <c r="BE262" s="152" t="inlineStr">
        <is>
          <t>Not disclosed</t>
        </is>
      </c>
      <c r="BF262" s="152" t="n"/>
      <c r="BG262" s="152" t="n"/>
      <c r="BH262" s="152" t="n"/>
      <c r="BI262" s="152" t="n"/>
      <c r="BJ262" s="152" t="n"/>
      <c r="BK262" s="152" t="n"/>
      <c r="BL262" s="152" t="n"/>
      <c r="BM262" s="152" t="n"/>
      <c r="BN262" s="152" t="n"/>
      <c r="BO262" s="156" t="n"/>
      <c r="BP262" s="152" t="inlineStr">
        <is>
          <t>Not disclosed</t>
        </is>
      </c>
      <c r="BQ262" s="156" t="inlineStr">
        <is>
          <t>Industrial inspection / Mapping</t>
        </is>
      </c>
      <c r="BR262" s="156" t="inlineStr">
        <is>
          <t>Commercial / RaaS</t>
        </is>
      </c>
      <c r="BS262" s="156" t="n"/>
      <c r="BT262" s="152" t="n"/>
      <c r="BU262" s="152" t="n"/>
      <c r="BV262" s="156" t="inlineStr">
        <is>
          <t>European industrial UGV quadrupeds</t>
        </is>
      </c>
      <c r="BW262" s="156" t="inlineStr">
        <is>
          <t>Origin &amp; status — Spain · Commercial / RaaS · 2019 | Mobility — Payload Not disclosed · Top speed Not disclosed | Sensing &amp; software — Optional or standard on mid/high tiers | Buying notes — Contact / RaaS · 12 months manufacturer standard (typical) · Best fit: European industrial UGV quadrupeds</t>
        </is>
      </c>
      <c r="BX262" s="156" t="inlineStr">
        <is>
          <t>as_shipped|Quadruped UGV|10000|As shipped</t>
        </is>
      </c>
      <c r="BY262" s="152" t="inlineStr">
        <is>
          <t>quadruped_ugv|Manufacturer finish|#e2e8f0|0</t>
        </is>
      </c>
      <c r="BZ262" s="152" t="inlineStr"/>
      <c r="CA262" s="156" t="inlineStr">
        <is>
          <t>Add-ons: case; 2 color options; Multi-year extended warranty available</t>
        </is>
      </c>
      <c r="CB262" s="156" t="inlineStr">
        <is>
          <t>12 months manufacturer standard (typical)</t>
        </is>
      </c>
      <c r="CC262" s="154" t="n">
        <v>12</v>
      </c>
      <c r="CD262" s="156" t="inlineStr">
        <is>
          <t>+3 Year Extended ≈24% of configuration (default in configurator)</t>
        </is>
      </c>
      <c r="CE262" s="152" t="inlineStr">
        <is>
          <t>Quadruped category norm</t>
        </is>
      </c>
      <c r="CF262" s="152" t="inlineStr">
        <is>
          <t>Estimated</t>
        </is>
      </c>
      <c r="CG262" s="156" t="inlineStr">
        <is>
          <t>Confirm configuration-specific term on quote.</t>
        </is>
      </c>
      <c r="CH262" s="152" t="inlineStr">
        <is>
          <t>10%</t>
        </is>
      </c>
      <c r="CI262" s="152" t="inlineStr">
        <is>
          <t>17%</t>
        </is>
      </c>
      <c r="CJ262" s="152" t="inlineStr">
        <is>
          <t>24%</t>
        </is>
      </c>
      <c r="CK262"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62"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62" s="152" t="inlineStr">
        <is>
          <t>12 months manufacturer standard (typical)</t>
        </is>
      </c>
    </row>
    <row r="263" ht="31.5" customHeight="1" s="102">
      <c r="A263" s="143" t="inlineStr">
        <is>
          <t>mangdang_mini_pupper_2_pro</t>
        </is>
      </c>
      <c r="B263" s="160" t="inlineStr">
        <is>
          <t>Website</t>
        </is>
      </c>
      <c r="C263" s="145" t="inlineStr">
        <is>
          <t>MangDang</t>
        </is>
      </c>
      <c r="D263" s="145" t="inlineStr">
        <is>
          <t>Mini Pupper 2 Pro</t>
        </is>
      </c>
      <c r="E263" s="145" t="inlineStr">
        <is>
          <t>[MangDang] Mini Pupper 2 Pro (2023)</t>
        </is>
      </c>
      <c r="F263" s="163" t="inlineStr">
        <is>
          <t>campanionoid</t>
        </is>
      </c>
      <c r="G263" s="145" t="inlineStr">
        <is>
          <t>China</t>
        </is>
      </c>
      <c r="H263" s="147" t="n">
        <v>2023</v>
      </c>
      <c r="I263" s="148" t="n">
        <v>500</v>
      </c>
      <c r="J263" s="145" t="inlineStr">
        <is>
          <t>Website store</t>
        </is>
      </c>
      <c r="K263" s="149" t="inlineStr">
        <is>
          <t>Mini Pupper 2 Pro is MangDang's quadruped — 12 DOF, ≈ 0.4 lb class payload. Optional education camera modules; aimed at education.</t>
        </is>
      </c>
      <c r="L263" s="101" t="inlineStr">
        <is>
          <t>Mini Pupper 2 Pro is MangDang's quadruped — 12 DOF, ≈ 0.4 lb class payload. Optional education camera modules; aimed at education.</t>
        </is>
      </c>
      <c r="M263" s="101" t="inlineStr">
        <is>
          <t>Mini Pupper 2 Pro is MangDang's quadruped — 12 DOF, ≈ 0.4 lb class payload. Optional education camera modules; aimed at education. It is positioned for education / Research.</t>
        </is>
      </c>
      <c r="N263" s="145" t="n"/>
      <c r="O263" s="145" t="inlineStr">
        <is>
          <t>https://www.mangdang.net</t>
        </is>
      </c>
      <c r="P263" s="145" t="inlineStr">
        <is>
          <t>Not disclosed</t>
        </is>
      </c>
      <c r="Q263" s="145" t="n"/>
      <c r="R263" s="145" t="inlineStr">
        <is>
          <t>≈ 1.5 lb class</t>
        </is>
      </c>
      <c r="S263" s="145" t="n"/>
      <c r="T263" s="149" t="inlineStr">
        <is>
          <t>Not disclosed</t>
        </is>
      </c>
      <c r="U263" s="145" t="n"/>
      <c r="V263" s="145" t="inlineStr">
        <is>
          <t>12 DOF</t>
        </is>
      </c>
      <c r="W263" s="149" t="n"/>
      <c r="X263" s="145" t="inlineStr">
        <is>
          <t>≈ 0.4 lb class</t>
        </is>
      </c>
      <c r="Y263" s="145" t="n"/>
      <c r="Z263" s="145" t="inlineStr">
        <is>
          <t>Not disclosed</t>
        </is>
      </c>
      <c r="AA263" s="145" t="n"/>
      <c r="AB263" s="145" t="n"/>
      <c r="AC263" s="149" t="inlineStr">
        <is>
          <t>Not disclosed</t>
        </is>
      </c>
      <c r="AD263" s="149" t="n"/>
      <c r="AE263" s="145" t="n"/>
      <c r="AF263" s="145" t="inlineStr">
        <is>
          <t>Not disclosed</t>
        </is>
      </c>
      <c r="AG263" s="149" t="n"/>
      <c r="AH263" s="145" t="n"/>
      <c r="AI263" s="145" t="n"/>
      <c r="AJ263" s="149" t="inlineStr">
        <is>
          <t>Optional education camera modules</t>
        </is>
      </c>
      <c r="AK263" s="149" t="n"/>
      <c r="AL263" s="145" t="inlineStr">
        <is>
          <t>Not disclosed</t>
        </is>
      </c>
      <c r="AM263" s="145" t="n"/>
      <c r="AN263" s="145" t="inlineStr">
        <is>
          <t>Not disclosed</t>
        </is>
      </c>
      <c r="AO263" s="145" t="n"/>
      <c r="AP263" s="145" t="inlineStr">
        <is>
          <t>Not disclosed</t>
        </is>
      </c>
      <c r="AQ263" s="145" t="n"/>
      <c r="AR263" s="145" t="inlineStr">
        <is>
          <t>Not disclosed</t>
        </is>
      </c>
      <c r="AS263" s="145" t="inlineStr">
        <is>
          <t>Not disclosed</t>
        </is>
      </c>
      <c r="AT263" s="149" t="n"/>
      <c r="AU263" s="149" t="inlineStr">
        <is>
          <t>Not disclosed</t>
        </is>
      </c>
      <c r="AV263" s="145" t="inlineStr">
        <is>
          <t>Open-source education SDKs</t>
        </is>
      </c>
      <c r="AW263" s="149" t="inlineStr">
        <is>
          <t>Desktop-scale quadruped gaits for learning</t>
        </is>
      </c>
      <c r="AX263" s="145" t="n"/>
      <c r="AY263" s="149" t="n"/>
      <c r="AZ263" s="149" t="n"/>
      <c r="BA263" s="149" t="n"/>
      <c r="BB263" s="149" t="inlineStr">
        <is>
          <t>Not disclosed</t>
        </is>
      </c>
      <c r="BC263" s="149" t="n"/>
      <c r="BD263" s="145" t="n"/>
      <c r="BE263" s="145" t="inlineStr">
        <is>
          <t>Not disclosed</t>
        </is>
      </c>
      <c r="BF263" s="145" t="n"/>
      <c r="BG263" s="145" t="n"/>
      <c r="BH263" s="145" t="n"/>
      <c r="BI263" s="145" t="n"/>
      <c r="BJ263" s="145" t="n"/>
      <c r="BK263" s="145" t="n"/>
      <c r="BL263" s="145" t="n"/>
      <c r="BM263" s="145" t="n"/>
      <c r="BN263" s="145" t="n"/>
      <c r="BO263" s="149" t="n"/>
      <c r="BP263" s="145" t="inlineStr">
        <is>
          <t>Not disclosed</t>
        </is>
      </c>
      <c r="BQ263" s="149" t="inlineStr">
        <is>
          <t>Education / Research</t>
        </is>
      </c>
      <c r="BR263" s="149" t="inlineStr">
        <is>
          <t>Not disclosed</t>
        </is>
      </c>
      <c r="BS263" s="149" t="n"/>
      <c r="BT263" s="145" t="n"/>
      <c r="BU263" s="145" t="n"/>
      <c r="BV263" s="149" t="inlineStr">
        <is>
          <t>Mini open quadruped for education; ~1.5 lb</t>
        </is>
      </c>
      <c r="BW263" s="149" t="inlineStr">
        <is>
          <t>Origin &amp; status — China · 2023 | Mobility — 12 DOF · Payload ≈ 0.4 lb class · Top speed Not disclosed | Sensing &amp; software — Optional education camera modules | Buying notes — $500 · 12 months limited (typical education platform) · Best fit: Mini open quadruped for education; ~1.5 lb</t>
        </is>
      </c>
      <c r="BX263" s="149" t="inlineStr">
        <is>
          <t>as_shipped|Mini Pupper 2 Pro|500|As shipped</t>
        </is>
      </c>
      <c r="BY263" s="145" t="inlineStr">
        <is>
          <t>mini_pupper_2_pro|Manufacturer finish|#e2e8f0|0</t>
        </is>
      </c>
      <c r="BZ263" s="145" t="inlineStr"/>
      <c r="CA263" s="149" t="inlineStr">
        <is>
          <t>Add-ons: case; 2 color options; Multi-year extended warranty available</t>
        </is>
      </c>
      <c r="CB263" s="149" t="inlineStr">
        <is>
          <t>12 months limited (typical education platform)</t>
        </is>
      </c>
      <c r="CC263" s="147" t="n">
        <v>12</v>
      </c>
      <c r="CD263" s="149" t="inlineStr">
        <is>
          <t>+3 Year Extended ≈24% of configuration (default in configurator)</t>
        </is>
      </c>
      <c r="CE263" s="145" t="inlineStr">
        <is>
          <t>Education robot category norm</t>
        </is>
      </c>
      <c r="CF263" s="145" t="inlineStr">
        <is>
          <t>Estimated</t>
        </is>
      </c>
      <c r="CG263" s="149" t="inlineStr">
        <is>
          <t>Confirm with seller; hobby/education platforms vary.</t>
        </is>
      </c>
      <c r="CH263" s="145" t="inlineStr">
        <is>
          <t>10%</t>
        </is>
      </c>
      <c r="CI263" s="145" t="inlineStr">
        <is>
          <t>17%</t>
        </is>
      </c>
      <c r="CJ263" s="145" t="inlineStr">
        <is>
          <t>24%</t>
        </is>
      </c>
      <c r="CK263"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63"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63" s="145" t="inlineStr">
        <is>
          <t>12 months limited (typical education platform)</t>
        </is>
      </c>
    </row>
    <row r="264" ht="31.5" customHeight="1" s="102">
      <c r="A264" s="159" t="inlineStr">
        <is>
          <t>rainbow_robotics_others_various_research</t>
        </is>
      </c>
      <c r="B264" s="160" t="inlineStr">
        <is>
          <t>Website</t>
        </is>
      </c>
      <c r="C264" s="152" t="inlineStr">
        <is>
          <t>Rainbow Robotics / others</t>
        </is>
      </c>
      <c r="D264" s="152" t="inlineStr">
        <is>
          <t>Research Series</t>
        </is>
      </c>
      <c r="E264" s="152" t="inlineStr">
        <is>
          <t>[Rainbow Robotics] Research Series (2020)</t>
        </is>
      </c>
      <c r="F264" s="163" t="inlineStr">
        <is>
          <t>campanionoid</t>
        </is>
      </c>
      <c r="G264" s="152" t="inlineStr">
        <is>
          <t>South Korea</t>
        </is>
      </c>
      <c r="H264" s="154" t="n">
        <v>2020</v>
      </c>
      <c r="I264" s="155" t="n">
        <v>10000</v>
      </c>
      <c r="J264" s="152" t="inlineStr">
        <is>
          <t>Website store</t>
        </is>
      </c>
      <c r="K264" s="156" t="inlineStr">
        <is>
          <t>Research Series is Rainbow Robotics / others's quadruped. Optional or standard on mid/high tiers; aimed at research.</t>
        </is>
      </c>
      <c r="L264" s="101" t="inlineStr">
        <is>
          <t>Research Series is Rainbow Robotics / others's quadruped. Optional or standard on mid/high tiers; aimed at research.</t>
        </is>
      </c>
      <c r="M264" s="101" t="inlineStr">
        <is>
          <t>Research Series is Rainbow Robotics / others's quadruped. Optional or standard on mid/high tiers; aimed at research. Public status is listed as regional players, and it is positioned for research / Industrial.</t>
        </is>
      </c>
      <c r="N264" s="152" t="n"/>
      <c r="O264" s="152" t="inlineStr">
        <is>
          <t>https://www.rainbow-robotics.com</t>
        </is>
      </c>
      <c r="P264" s="152" t="inlineStr">
        <is>
          <t>Not disclosed</t>
        </is>
      </c>
      <c r="Q264" s="152" t="n"/>
      <c r="R264" s="152" t="inlineStr">
        <is>
          <t>Not disclosed</t>
        </is>
      </c>
      <c r="S264" s="152" t="n"/>
      <c r="T264" s="156" t="inlineStr">
        <is>
          <t>Not disclosed</t>
        </is>
      </c>
      <c r="U264" s="152" t="n"/>
      <c r="V264" s="152" t="inlineStr">
        <is>
          <t>Not disclosed</t>
        </is>
      </c>
      <c r="W264" s="156" t="n"/>
      <c r="X264" s="152" t="inlineStr">
        <is>
          <t>Not disclosed</t>
        </is>
      </c>
      <c r="Y264" s="152" t="n"/>
      <c r="Z264" s="152" t="inlineStr">
        <is>
          <t>Not disclosed</t>
        </is>
      </c>
      <c r="AA264" s="152" t="n"/>
      <c r="AB264" s="152" t="n"/>
      <c r="AC264" s="156" t="inlineStr">
        <is>
          <t>Not disclosed</t>
        </is>
      </c>
      <c r="AD264" s="156" t="n"/>
      <c r="AE264" s="152" t="n"/>
      <c r="AF264" s="152" t="inlineStr">
        <is>
          <t>Not disclosed</t>
        </is>
      </c>
      <c r="AG264" s="156" t="n"/>
      <c r="AH264" s="152" t="n"/>
      <c r="AI264" s="152" t="n"/>
      <c r="AJ264" s="156" t="inlineStr">
        <is>
          <t>Forward and/or body cameras for obstacle awareness</t>
        </is>
      </c>
      <c r="AK264" s="156" t="n"/>
      <c r="AL264" s="152" t="inlineStr">
        <is>
          <t>Live view and recording when camera payload equipped</t>
        </is>
      </c>
      <c r="AM264" s="152" t="n"/>
      <c r="AN264" s="152" t="inlineStr">
        <is>
          <t>Optional or standard on mid/high tiers</t>
        </is>
      </c>
      <c r="AO264" s="152" t="n"/>
      <c r="AP264" s="152" t="inlineStr">
        <is>
          <t>Not disclosed</t>
        </is>
      </c>
      <c r="AQ264" s="152" t="n"/>
      <c r="AR264" s="152" t="inlineStr">
        <is>
          <t>Not disclosed</t>
        </is>
      </c>
      <c r="AS264" s="152" t="inlineStr">
        <is>
          <t>Not disclosed</t>
        </is>
      </c>
      <c r="AT264" s="156" t="n"/>
      <c r="AU264" s="156" t="inlineStr">
        <is>
          <t>Not disclosed</t>
        </is>
      </c>
      <c r="AV264" s="152" t="inlineStr">
        <is>
          <t>App, remote, and SDK options by tier</t>
        </is>
      </c>
      <c r="AW264" s="156" t="inlineStr">
        <is>
          <t>Quadruped gait library with terrain adaptation on higher models</t>
        </is>
      </c>
      <c r="AX264" s="152" t="n"/>
      <c r="AY264" s="156" t="n"/>
      <c r="AZ264" s="156" t="n"/>
      <c r="BA264" s="156" t="n"/>
      <c r="BB264" s="156" t="inlineStr">
        <is>
          <t>Not disclosed</t>
        </is>
      </c>
      <c r="BC264" s="156" t="n"/>
      <c r="BD264" s="152" t="n"/>
      <c r="BE264" s="152" t="inlineStr">
        <is>
          <t>Not disclosed</t>
        </is>
      </c>
      <c r="BF264" s="152" t="n"/>
      <c r="BG264" s="152" t="n"/>
      <c r="BH264" s="152" t="n"/>
      <c r="BI264" s="152" t="n"/>
      <c r="BJ264" s="152" t="n"/>
      <c r="BK264" s="152" t="n"/>
      <c r="BL264" s="152" t="n"/>
      <c r="BM264" s="152" t="n"/>
      <c r="BN264" s="152" t="n"/>
      <c r="BO264" s="156" t="n"/>
      <c r="BP264" s="152" t="inlineStr">
        <is>
          <t>Not disclosed</t>
        </is>
      </c>
      <c r="BQ264" s="156" t="inlineStr">
        <is>
          <t>Research / Industrial</t>
        </is>
      </c>
      <c r="BR264" s="156" t="inlineStr">
        <is>
          <t>Regional players</t>
        </is>
      </c>
      <c r="BS264" s="156" t="n"/>
      <c r="BT264" s="152" t="n"/>
      <c r="BU264" s="152" t="n"/>
      <c r="BV264" s="156" t="inlineStr">
        <is>
          <t>Korean &amp; other regional quadruped efforts for inspection &amp; research</t>
        </is>
      </c>
      <c r="BW264" s="156" t="inlineStr">
        <is>
          <t>Origin &amp; status — South Korea · Regional players · 2020 | Mobility — Payload Not disclosed · Top speed Not disclosed | Sensing &amp; software — Optional or standard on mid/high tiers | Buying notes — Contact · 12 months manufacturer standard (typical) · Best fit: Korean &amp; other regional quadruped efforts for inspection &amp; research</t>
        </is>
      </c>
      <c r="BX264" s="156" t="inlineStr">
        <is>
          <t>as_shipped|Research Series|10000|As shipped</t>
        </is>
      </c>
      <c r="BY264" s="152" t="inlineStr">
        <is>
          <t>research_series|Manufacturer finish|#e2e8f0|0</t>
        </is>
      </c>
      <c r="BZ264" s="152" t="inlineStr"/>
      <c r="CA264" s="156" t="inlineStr">
        <is>
          <t>Add-ons: case; 2 color options; Multi-year extended warranty available</t>
        </is>
      </c>
      <c r="CB264" s="156" t="inlineStr">
        <is>
          <t>12 months manufacturer standard (typical)</t>
        </is>
      </c>
      <c r="CC264" s="154" t="n">
        <v>12</v>
      </c>
      <c r="CD264" s="156" t="inlineStr">
        <is>
          <t>+3 Year Extended ≈24% of configuration (default in configurator)</t>
        </is>
      </c>
      <c r="CE264" s="152" t="inlineStr">
        <is>
          <t>Quadruped category norm</t>
        </is>
      </c>
      <c r="CF264" s="152" t="inlineStr">
        <is>
          <t>Estimated</t>
        </is>
      </c>
      <c r="CG264" s="156" t="inlineStr">
        <is>
          <t>Confirm configuration-specific term on quote.</t>
        </is>
      </c>
      <c r="CH264" s="152" t="inlineStr">
        <is>
          <t>10%</t>
        </is>
      </c>
      <c r="CI264" s="152" t="inlineStr">
        <is>
          <t>17%</t>
        </is>
      </c>
      <c r="CJ264" s="152" t="inlineStr">
        <is>
          <t>24%</t>
        </is>
      </c>
      <c r="CK264"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64"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64" s="152" t="inlineStr">
        <is>
          <t>12 months manufacturer standard (typical)</t>
        </is>
      </c>
    </row>
    <row r="265" ht="31.5" customHeight="1" s="102">
      <c r="A265" s="143" t="inlineStr">
        <is>
          <t>a2</t>
        </is>
      </c>
      <c r="B265" s="160" t="inlineStr">
        <is>
          <t>Website</t>
        </is>
      </c>
      <c r="C265" s="145" t="inlineStr">
        <is>
          <t>Unitree</t>
        </is>
      </c>
      <c r="D265" s="145" t="inlineStr">
        <is>
          <t>A2</t>
        </is>
      </c>
      <c r="E265" s="145" t="inlineStr">
        <is>
          <t>[Unitree] A2 (2024)</t>
        </is>
      </c>
      <c r="F265" s="163" t="inlineStr">
        <is>
          <t>campanionoid</t>
        </is>
      </c>
      <c r="G265" s="145" t="inlineStr">
        <is>
          <t>China</t>
        </is>
      </c>
      <c r="H265" s="147" t="n">
        <v>2024</v>
      </c>
      <c r="I265" s="148" t="n">
        <v>31900</v>
      </c>
      <c r="J265" s="145" t="inlineStr">
        <is>
          <t>Robot Price Index Aug 2026 · Stellar Explorer</t>
        </is>
      </c>
      <c r="K265" s="149" t="inlineStr">
        <is>
          <t>A2 is Unitree's quadruped — 12 (joint motors) DOF, ≈ 55 lb continuous walking · ≈ 220 lb max standing load payload, ≈ 11 mph class (&gt;5 m/s). Dual 3D LiDAR 360° class on industrial configurations; aimed at inspection, outdoor research, industrial demos.</t>
        </is>
      </c>
      <c r="L265" s="101" t="inlineStr">
        <is>
          <t>A2 is Unitree's quadruped — 12 (joint motors) DOF, ≈ 55 lb continuous walking · ≈ 220 lb max standing load payload, ≈ 11 mph class (&gt;5 m/s). Dual 3D LiDAR 360° class on industrial configurations; aimed at inspection, outdoor research, industrial demos.</t>
        </is>
      </c>
      <c r="M265" s="101" t="inlineStr">
        <is>
          <t>A2 sits above Go2 in Unitree’s quadruped line. It was built for outdoor inspection and industrial demonstration, with a heavier chassis, higher payload, and dual-battery endurance that Go2 does not offer.</t>
        </is>
      </c>
      <c r="N265" s="145" t="n"/>
      <c r="O265" s="145" t="inlineStr">
        <is>
          <t>https://www.unitree.com</t>
        </is>
      </c>
      <c r="P265" s="145" t="inlineStr">
        <is>
          <t>≈ 1 ft 10.4 in standing</t>
        </is>
      </c>
      <c r="Q265" s="145" t="n"/>
      <c r="R265" s="145" t="inlineStr">
        <is>
          <t>≈ 93 lb with battery (≈ 77 lb without battery)</t>
        </is>
      </c>
      <c r="S265" s="145" t="n"/>
      <c r="T265" s="149" t="inlineStr">
        <is>
          <t>≈ 32.3 × 17.3 × 22.4 in (standing)</t>
        </is>
      </c>
      <c r="U265" s="145" t="n"/>
      <c r="V265" s="145" t="inlineStr">
        <is>
          <t>12 (joint motors) DOF</t>
        </is>
      </c>
      <c r="W265" s="149" t="n"/>
      <c r="X265" s="145" t="inlineStr">
        <is>
          <t>≈ 55 lb continuous walking · ≈ 220 lb max standing load</t>
        </is>
      </c>
      <c r="Y265" s="145" t="n"/>
      <c r="Z265" s="145" t="inlineStr">
        <is>
          <t>≈ 11 mph class (&gt;5 m/s)</t>
        </is>
      </c>
      <c r="AA265" s="145" t="n"/>
      <c r="AB265" s="145" t="n"/>
      <c r="AC265" s="149" t="inlineStr">
        <is>
          <t>Dual hot-swap ≈ 9 000 mAh packs · unloaded ≈ 5 h / ≈ 12 mi class</t>
        </is>
      </c>
      <c r="AD265" s="149" t="n"/>
      <c r="AE265" s="145" t="n"/>
      <c r="AF265" s="145" t="inlineStr">
        <is>
          <t>Not disclosed</t>
        </is>
      </c>
      <c r="AG265" s="149" t="n"/>
      <c r="AH265" s="145" t="n"/>
      <c r="AI265" s="145" t="n"/>
      <c r="AJ265" s="149" t="inlineStr">
        <is>
          <t>HD camera + dual front/rear 3D LiDAR options</t>
        </is>
      </c>
      <c r="AK265" s="149" t="n"/>
      <c r="AL265" s="145" t="inlineStr">
        <is>
          <t>Not disclosed</t>
        </is>
      </c>
      <c r="AM265" s="145" t="n"/>
      <c r="AN265" s="145" t="inlineStr">
        <is>
          <t>Dual 3D LiDAR 360° class on industrial configurations</t>
        </is>
      </c>
      <c r="AO265" s="145" t="n"/>
      <c r="AP265" s="145" t="inlineStr">
        <is>
          <t>Not disclosed</t>
        </is>
      </c>
      <c r="AQ265" s="145" t="n"/>
      <c r="AR265" s="145" t="inlineStr">
        <is>
          <t>Not disclosed</t>
        </is>
      </c>
      <c r="AS265" s="145" t="inlineStr">
        <is>
          <t>Not disclosed</t>
        </is>
      </c>
      <c r="AT265" s="149" t="n"/>
      <c r="AU265" s="149" t="inlineStr">
        <is>
          <t>Not disclosed</t>
        </is>
      </c>
      <c r="AV265" s="145" t="inlineStr">
        <is>
          <t>Industrial control and SDK paths</t>
        </is>
      </c>
      <c r="AW265" s="149" t="inlineStr">
        <is>
          <t>Outdoor / inspection gait and terrain modes</t>
        </is>
      </c>
      <c r="AX265" s="145" t="n"/>
      <c r="AY265" s="149" t="n"/>
      <c r="AZ265" s="149" t="n"/>
      <c r="BA265" s="149" t="n"/>
      <c r="BB265" s="149" t="inlineStr">
        <is>
          <t>Not disclosed</t>
        </is>
      </c>
      <c r="BC265" s="149" t="n"/>
      <c r="BD265" s="145" t="n"/>
      <c r="BE265" s="145" t="inlineStr">
        <is>
          <t>IP56 chassis / IP67 internals class</t>
        </is>
      </c>
      <c r="BF265" s="145" t="n"/>
      <c r="BG265" s="145" t="n"/>
      <c r="BH265" s="145" t="n"/>
      <c r="BI265" s="145" t="n"/>
      <c r="BJ265" s="145" t="n"/>
      <c r="BK265" s="145" t="n"/>
      <c r="BL265" s="145" t="inlineStr">
        <is>
          <t>Industrial environmental ratings</t>
        </is>
      </c>
      <c r="BM265" s="145" t="n"/>
      <c r="BN265" s="145" t="n"/>
      <c r="BO265" s="149" t="n"/>
      <c r="BP265" s="145" t="inlineStr">
        <is>
          <t>Not disclosed</t>
        </is>
      </c>
      <c r="BQ265" s="149" t="inlineStr">
        <is>
          <t>Inspection teams, industrial demos, outdoor research, and buyers who need more payload and durability than Go2.</t>
        </is>
      </c>
      <c r="BR265" s="149" t="inlineStr">
        <is>
          <t>Not disclosed</t>
        </is>
      </c>
      <c r="BS265" s="149" t="n"/>
      <c r="BT265" s="145" t="n"/>
      <c r="BU265" s="145" t="n"/>
      <c r="BV265" s="149" t="n"/>
      <c r="BW265" s="149" t="inlineStr">
        <is>
          <t>Origin &amp; status — China · 2024 | Mobility — 12 DOF · Payload ≈ 55 lb continuous walking · ≈ 220 lb max standing load · Top speed ≈ 11 mph class (&gt;5 m/s) · Industrial environmental ratings | Sensing &amp; software — Dual 3D LiDAR 360° class on industrial configurations | Buying notes — $31,900 · 12 months manufacturer standard (typical Unitree industrial) · Best fit: Inspection, outdoor research, industrial demos</t>
        </is>
      </c>
      <c r="BX265" s="149" t="inlineStr">
        <is>
          <t>std|A2 Standard|31900|Industrial quadruped || exp|A2 Expanded|45000|Expanded sensor / compute package</t>
        </is>
      </c>
      <c r="BY265" s="145" t="inlineStr">
        <is>
          <t>orange|Safety Orange|#ea580c|0 || black|Industrial Black|#1a1a1a|0</t>
        </is>
      </c>
      <c r="BZ265" s="145" t="inlineStr">
        <is>
          <t>battery_a2, charger, case, warranty_a2</t>
        </is>
      </c>
      <c r="CA265" s="149" t="inlineStr">
        <is>
          <t>2 configuration tiers; Add-ons: battery_a2, charger, case; 2 color options; Multi-year extended warranty available</t>
        </is>
      </c>
      <c r="CB265" s="149" t="inlineStr">
        <is>
          <t>12 months manufacturer standard (typical Unitree industrial)</t>
        </is>
      </c>
      <c r="CC265" s="147" t="n">
        <v>12</v>
      </c>
      <c r="CD265" s="149" t="inlineStr">
        <is>
          <t>+3 Year Extended ≈24% of configuration (default in configurator)</t>
        </is>
      </c>
      <c r="CE265" s="145" t="inlineStr">
        <is>
          <t>Authorized Unitree reseller policy (robots 12 mo)</t>
        </is>
      </c>
      <c r="CF265" s="145" t="inlineStr">
        <is>
          <t>High</t>
        </is>
      </c>
      <c r="CG265" s="149" t="inlineStr">
        <is>
          <t>Industrial quadruped packages commonly 12 months; confirm exact config.</t>
        </is>
      </c>
      <c r="CH265" s="145" t="inlineStr">
        <is>
          <t>10%</t>
        </is>
      </c>
      <c r="CI265" s="145" t="inlineStr">
        <is>
          <t>17%</t>
        </is>
      </c>
      <c r="CJ265" s="145" t="inlineStr">
        <is>
          <t>24%</t>
        </is>
      </c>
      <c r="CK26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6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65" s="145" t="inlineStr">
        <is>
          <t>12 months manufacturer standard (typical Unitree industrial)</t>
        </is>
      </c>
      <c r="CN265" s="203" t="inlineStr">
        <is>
          <t>https://aixzd.com/robot/unitree-a2</t>
        </is>
      </c>
      <c r="CO265" s="203" t="inlineStr">
        <is>
          <t>https://theresanaiforthat.com/robots/</t>
        </is>
      </c>
      <c r="CP265" s="203" t="inlineStr">
        <is>
          <t>Cross-checked against TAAFT Robots directory (669 entries) 28 Aug 2026 — individual TAAFT permalinks are JS/Cloudflare gated.</t>
        </is>
      </c>
    </row>
    <row r="266" ht="31.5" customHeight="1" s="102">
      <c r="A266" s="159" t="inlineStr">
        <is>
          <t>unitree_aliengo_a1_a2</t>
        </is>
      </c>
      <c r="B266" s="160" t="inlineStr">
        <is>
          <t>Website</t>
        </is>
      </c>
      <c r="C266" s="152" t="inlineStr">
        <is>
          <t>Unitree</t>
        </is>
      </c>
      <c r="D266" s="152" t="inlineStr">
        <is>
          <t>Aliengo</t>
        </is>
      </c>
      <c r="E266" s="152" t="inlineStr">
        <is>
          <t>[Unitree] Aliengo (2019)</t>
        </is>
      </c>
      <c r="F266" s="163" t="inlineStr">
        <is>
          <t>campanionoid</t>
        </is>
      </c>
      <c r="G266" s="152" t="inlineStr">
        <is>
          <t>China</t>
        </is>
      </c>
      <c r="H266" s="154" t="n">
        <v>2019</v>
      </c>
      <c r="I266" s="155" t="n">
        <v>15000</v>
      </c>
      <c r="J266" s="152" t="inlineStr">
        <is>
          <t>Historical EDU/commercial band · estimate</t>
        </is>
      </c>
      <c r="K266" s="156" t="inlineStr">
        <is>
          <t>[Unitree] Aliengo (2019) is a quadruped from Unitree (China, 2019), positioned for research.</t>
        </is>
      </c>
      <c r="L266" s="101" t="inlineStr">
        <is>
          <t>[Unitree] Aliengo (2019) is a quadruped from Unitree (China, 2019), positioned for research.</t>
        </is>
      </c>
      <c r="M266" s="101" t="inlineStr">
        <is>
          <t>Aliengo is Unitree's quadruped, introduced around 2019 in China. [Unitree] Aliengo (2019) is a quadruped from Unitree (China, 2019), positioned for research. It is positioned for research / Industrial.</t>
        </is>
      </c>
      <c r="N266" s="152" t="n"/>
      <c r="O266" s="152" t="inlineStr">
        <is>
          <t>https://www.unitree.com</t>
        </is>
      </c>
      <c r="P266" s="152" t="inlineStr">
        <is>
          <t>≈ 1 ft 10.4 in standing</t>
        </is>
      </c>
      <c r="Q266" s="152" t="n"/>
      <c r="R266" s="152" t="inlineStr">
        <is>
          <t>≈ 42–46 lb with battery (Aliengo class)</t>
        </is>
      </c>
      <c r="S266" s="152" t="n"/>
      <c r="T266" s="156" t="inlineStr">
        <is>
          <t>≈ 25.6 × 12.2 × 23.6 in (Aliengo class)</t>
        </is>
      </c>
      <c r="U266" s="152" t="n"/>
      <c r="V266" s="152" t="inlineStr">
        <is>
          <t>12 DOF</t>
        </is>
      </c>
      <c r="W266" s="156" t="n"/>
      <c r="X266" s="152" t="inlineStr">
        <is>
          <t>≈ 22–29 lb continuous</t>
        </is>
      </c>
      <c r="Y266" s="152" t="n"/>
      <c r="Z266" s="152" t="inlineStr">
        <is>
          <t>≈ 3.4–4.0 mph class</t>
        </is>
      </c>
      <c r="AA266" s="152" t="n"/>
      <c r="AB266" s="152" t="n"/>
      <c r="AC266" s="156" t="inlineStr">
        <is>
          <t>≈ 2.5–4.6 h · ≈ 12 600 mAh class pack</t>
        </is>
      </c>
      <c r="AD266" s="156" t="n"/>
      <c r="AE266" s="152" t="n"/>
      <c r="AF266" s="152" t="inlineStr">
        <is>
          <t>Not disclosed</t>
        </is>
      </c>
      <c r="AG266" s="156" t="n"/>
      <c r="AH266" s="152" t="n"/>
      <c r="AI266" s="152" t="n"/>
      <c r="AJ266" s="156" t="inlineStr">
        <is>
          <t>Dual depth cameras + visual odometry camera; optional LiDAR</t>
        </is>
      </c>
      <c r="AK266" s="156" t="n"/>
      <c r="AL266" s="152" t="inlineStr">
        <is>
          <t>Not disclosed</t>
        </is>
      </c>
      <c r="AM266" s="152" t="n"/>
      <c r="AN266" s="152" t="inlineStr">
        <is>
          <t>Common on research Aliengo builds</t>
        </is>
      </c>
      <c r="AO266" s="152" t="n"/>
      <c r="AP266" s="152" t="inlineStr">
        <is>
          <t>Foot force sensors; depth + VIO</t>
        </is>
      </c>
      <c r="AQ266" s="152" t="n"/>
      <c r="AR266" s="152" t="inlineStr">
        <is>
          <t>Not disclosed</t>
        </is>
      </c>
      <c r="AS266" s="152" t="inlineStr">
        <is>
          <t>Not disclosed</t>
        </is>
      </c>
      <c r="AT266" s="156" t="n"/>
      <c r="AU266" s="156" t="inlineStr">
        <is>
          <t>Not disclosed</t>
        </is>
      </c>
      <c r="AV266" s="152" t="inlineStr">
        <is>
          <t>Unitree SDK</t>
        </is>
      </c>
      <c r="AW266" s="156" t="inlineStr">
        <is>
          <t>Research quadruped locomotion</t>
        </is>
      </c>
      <c r="AX266" s="152" t="n"/>
      <c r="AY266" s="156" t="n"/>
      <c r="AZ266" s="156" t="n"/>
      <c r="BA266" s="156" t="n"/>
      <c r="BB266" s="156" t="inlineStr">
        <is>
          <t>Not disclosed</t>
        </is>
      </c>
      <c r="BC266" s="156" t="n"/>
      <c r="BD266" s="152" t="n"/>
      <c r="BE266" s="152" t="inlineStr">
        <is>
          <t>Not disclosed</t>
        </is>
      </c>
      <c r="BF266" s="152" t="n"/>
      <c r="BG266" s="152" t="n"/>
      <c r="BH266" s="152" t="n"/>
      <c r="BI266" s="152" t="n"/>
      <c r="BJ266" s="152" t="n"/>
      <c r="BK266" s="152" t="n"/>
      <c r="BL266" s="152" t="n"/>
      <c r="BM266" s="152" t="n"/>
      <c r="BN266" s="152" t="n"/>
      <c r="BO266" s="156" t="n"/>
      <c r="BP266" s="152" t="inlineStr">
        <is>
          <t>Not disclosed</t>
        </is>
      </c>
      <c r="BQ266" s="156" t="inlineStr">
        <is>
          <t>Research / Industrial</t>
        </is>
      </c>
      <c r="BR266" s="156" t="inlineStr">
        <is>
          <t>Not disclosed</t>
        </is>
      </c>
      <c r="BS266" s="156" t="n"/>
      <c r="BT266" s="152" t="n"/>
      <c r="BU266" s="152" t="n"/>
      <c r="BV266" s="156" t="inlineStr">
        <is>
          <t>Entry to higher research and industrial quadrupeds from Unitree</t>
        </is>
      </c>
      <c r="BW266" s="156" t="inlineStr">
        <is>
          <t>Origin &amp; status — China · 2019 | Mobility — 12 DOF · Payload ≈ 22–29 lb continuous · Top speed ≈ 3.4–4.0 mph class | Sensing &amp; software — Common on research Aliengo builds | Buying notes — $15,000 · 12 months manufacturer standard (typical Unitree industrial) · Best fit: Entry to higher research and industrial quadrupeds from Unitree</t>
        </is>
      </c>
      <c r="BX266" s="156" t="inlineStr">
        <is>
          <t>as_shipped|Aliengo|15000|As shipped</t>
        </is>
      </c>
      <c r="BY266" s="152" t="inlineStr">
        <is>
          <t>aliengo|Manufacturer finish|#e2e8f0|0</t>
        </is>
      </c>
      <c r="BZ266" s="152" t="inlineStr"/>
      <c r="CA266" s="156" t="inlineStr">
        <is>
          <t>Add-ons: case; 2 color options; Multi-year extended warranty available</t>
        </is>
      </c>
      <c r="CB266" s="156" t="inlineStr">
        <is>
          <t>12 months manufacturer standard (typical Unitree industrial)</t>
        </is>
      </c>
      <c r="CC266" s="154" t="n">
        <v>12</v>
      </c>
      <c r="CD266" s="156" t="inlineStr">
        <is>
          <t>+3 Year Extended ≈24% of configuration (default in configurator)</t>
        </is>
      </c>
      <c r="CE266" s="152" t="inlineStr">
        <is>
          <t>Authorized Unitree reseller policy (robots 12 mo)</t>
        </is>
      </c>
      <c r="CF266" s="152" t="inlineStr">
        <is>
          <t>High</t>
        </is>
      </c>
      <c r="CG266" s="156" t="inlineStr">
        <is>
          <t>Industrial quadruped packages commonly 12 months; confirm exact config.</t>
        </is>
      </c>
      <c r="CH266" s="152" t="inlineStr">
        <is>
          <t>10%</t>
        </is>
      </c>
      <c r="CI266" s="152" t="inlineStr">
        <is>
          <t>17%</t>
        </is>
      </c>
      <c r="CJ266" s="152" t="inlineStr">
        <is>
          <t>24%</t>
        </is>
      </c>
      <c r="CK266"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66"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66" s="152" t="inlineStr">
        <is>
          <t>12 months manufacturer standard (typical Unitree industrial)</t>
        </is>
      </c>
      <c r="CN266" s="203" t="inlineStr">
        <is>
          <t>https://aixzd.com/robot/aliengo</t>
        </is>
      </c>
      <c r="CO266" s="203" t="inlineStr">
        <is>
          <t>https://theresanaiforthat.com/robots/</t>
        </is>
      </c>
      <c r="CP266" s="203" t="inlineStr">
        <is>
          <t>Cross-checked against TAAFT Robots directory (669 entries) 28 Aug 2026 — individual TAAFT permalinks are JS/Cloudflare gated.</t>
        </is>
      </c>
    </row>
    <row r="267" ht="31.5" customHeight="1" s="102">
      <c r="A267" s="159" t="inlineStr">
        <is>
          <t>unitree_aliengo_a1_a2_a1</t>
        </is>
      </c>
      <c r="B267" s="160" t="inlineStr">
        <is>
          <t>Website</t>
        </is>
      </c>
      <c r="C267" s="152" t="inlineStr">
        <is>
          <t>Unitree</t>
        </is>
      </c>
      <c r="D267" s="152" t="inlineStr">
        <is>
          <t>A1</t>
        </is>
      </c>
      <c r="E267" s="152" t="inlineStr">
        <is>
          <t>[Unitree] A1 (2019)</t>
        </is>
      </c>
      <c r="F267" s="163" t="inlineStr">
        <is>
          <t>campanionoid</t>
        </is>
      </c>
      <c r="G267" s="152" t="inlineStr">
        <is>
          <t>China</t>
        </is>
      </c>
      <c r="H267" s="154" t="n">
        <v>2019</v>
      </c>
      <c r="I267" s="155" t="n">
        <v>5000</v>
      </c>
      <c r="J267" s="152" t="inlineStr">
        <is>
          <t>Legacy Unitree A1 street/EDU band · estimate</t>
        </is>
      </c>
      <c r="K267" s="156" t="inlineStr">
        <is>
          <t>A1 is Unitree's quadruped — 12 DOF, ≈ 22–29 lb continuous payload, ≈ 3.4–4.0 mph class. Common on research Aliengo builds; aimed at research.</t>
        </is>
      </c>
      <c r="L267" s="101" t="inlineStr">
        <is>
          <t>A1 is Unitree's quadruped — 12 DOF, ≈ 22–29 lb continuous payload, ≈ 3.4–4.0 mph class. Common on research Aliengo builds; aimed at research.</t>
        </is>
      </c>
      <c r="M267" s="101" t="inlineStr">
        <is>
          <t>A1 is Unitree's quadruped — 12 DOF, ≈ 22–29 lb continuous payload, ≈ 3.4–4.0 mph class. Common on research Aliengo builds; aimed at research. It is positioned for research / Industrial.</t>
        </is>
      </c>
      <c r="N267" s="152" t="n"/>
      <c r="O267" s="152" t="inlineStr">
        <is>
          <t>https://www.unitree.com</t>
        </is>
      </c>
      <c r="P267" s="152" t="inlineStr">
        <is>
          <t>≈ 1 ft 10.4 in standing</t>
        </is>
      </c>
      <c r="Q267" s="152" t="n"/>
      <c r="R267" s="152" t="inlineStr">
        <is>
          <t>≈ 42–46 lb with battery (Aliengo class)</t>
        </is>
      </c>
      <c r="S267" s="152" t="n"/>
      <c r="T267" s="156" t="inlineStr">
        <is>
          <t>≈ 25.6 × 12.2 × 23.6 in (Aliengo class)</t>
        </is>
      </c>
      <c r="U267" s="152" t="n"/>
      <c r="V267" s="152" t="inlineStr">
        <is>
          <t>12 DOF</t>
        </is>
      </c>
      <c r="W267" s="156" t="n"/>
      <c r="X267" s="152" t="inlineStr">
        <is>
          <t>≈ 22–29 lb continuous</t>
        </is>
      </c>
      <c r="Y267" s="152" t="n"/>
      <c r="Z267" s="152" t="inlineStr">
        <is>
          <t>≈ 3.4–4.0 mph class</t>
        </is>
      </c>
      <c r="AA267" s="152" t="n"/>
      <c r="AB267" s="152" t="n"/>
      <c r="AC267" s="156" t="inlineStr">
        <is>
          <t>≈ 2.5–4.6 h · ≈ 12 600 mAh class pack</t>
        </is>
      </c>
      <c r="AD267" s="156" t="n"/>
      <c r="AE267" s="152" t="n"/>
      <c r="AF267" s="152" t="inlineStr">
        <is>
          <t>Not disclosed</t>
        </is>
      </c>
      <c r="AG267" s="156" t="n"/>
      <c r="AH267" s="152" t="n"/>
      <c r="AI267" s="152" t="n"/>
      <c r="AJ267" s="156" t="inlineStr">
        <is>
          <t>Dual depth cameras + visual odometry camera; optional LiDAR</t>
        </is>
      </c>
      <c r="AK267" s="156" t="n"/>
      <c r="AL267" s="152" t="inlineStr">
        <is>
          <t>Not disclosed</t>
        </is>
      </c>
      <c r="AM267" s="152" t="n"/>
      <c r="AN267" s="152" t="inlineStr">
        <is>
          <t>Common on research Aliengo builds</t>
        </is>
      </c>
      <c r="AO267" s="152" t="n"/>
      <c r="AP267" s="152" t="inlineStr">
        <is>
          <t>Foot force sensors; depth + VIO</t>
        </is>
      </c>
      <c r="AQ267" s="152" t="n"/>
      <c r="AR267" s="152" t="inlineStr">
        <is>
          <t>Not disclosed</t>
        </is>
      </c>
      <c r="AS267" s="152" t="inlineStr">
        <is>
          <t>Not disclosed</t>
        </is>
      </c>
      <c r="AT267" s="156" t="n"/>
      <c r="AU267" s="156" t="inlineStr">
        <is>
          <t>Not disclosed</t>
        </is>
      </c>
      <c r="AV267" s="152" t="inlineStr">
        <is>
          <t>Unitree SDK</t>
        </is>
      </c>
      <c r="AW267" s="156" t="inlineStr">
        <is>
          <t>Research quadruped locomotion</t>
        </is>
      </c>
      <c r="AX267" s="152" t="n"/>
      <c r="AY267" s="156" t="n"/>
      <c r="AZ267" s="156" t="n"/>
      <c r="BA267" s="156" t="n"/>
      <c r="BB267" s="156" t="inlineStr">
        <is>
          <t>Not disclosed</t>
        </is>
      </c>
      <c r="BC267" s="156" t="n"/>
      <c r="BD267" s="152" t="n"/>
      <c r="BE267" s="152" t="inlineStr">
        <is>
          <t>Not disclosed</t>
        </is>
      </c>
      <c r="BF267" s="152" t="n"/>
      <c r="BG267" s="152" t="n"/>
      <c r="BH267" s="152" t="n"/>
      <c r="BI267" s="152" t="n"/>
      <c r="BJ267" s="152" t="n"/>
      <c r="BK267" s="152" t="n"/>
      <c r="BL267" s="152" t="n"/>
      <c r="BM267" s="152" t="n"/>
      <c r="BN267" s="152" t="n"/>
      <c r="BO267" s="156" t="n"/>
      <c r="BP267" s="152" t="inlineStr">
        <is>
          <t>Not disclosed</t>
        </is>
      </c>
      <c r="BQ267" s="156" t="inlineStr">
        <is>
          <t>Research / Industrial</t>
        </is>
      </c>
      <c r="BR267" s="156" t="inlineStr">
        <is>
          <t>Not disclosed</t>
        </is>
      </c>
      <c r="BS267" s="156" t="n"/>
      <c r="BT267" s="152" t="n"/>
      <c r="BU267" s="152" t="n"/>
      <c r="BV267" s="156" t="inlineStr">
        <is>
          <t>Entry to higher research and industrial quadrupeds from Unitree</t>
        </is>
      </c>
      <c r="BW267" s="156" t="inlineStr">
        <is>
          <t>Origin &amp; status — China · 2019 | Mobility — 12 DOF · Payload ≈ 22–29 lb continuous · Top speed ≈ 3.4–4.0 mph class | Sensing &amp; software — Common on research Aliengo builds | Buying notes — $5,000 · 12 months manufacturer standard (typical Unitree industrial) · Best fit: Entry to higher research and industrial quadrupeds from Unitree</t>
        </is>
      </c>
      <c r="BX267" s="156" t="inlineStr">
        <is>
          <t>as_shipped|A1|5000|As shipped</t>
        </is>
      </c>
      <c r="BY267" s="152" t="inlineStr">
        <is>
          <t>a1|Manufacturer finish|#e2e8f0|0</t>
        </is>
      </c>
      <c r="BZ267" s="152" t="inlineStr"/>
      <c r="CA267" s="156" t="inlineStr">
        <is>
          <t>Add-ons: case; 2 color options; Multi-year extended warranty available</t>
        </is>
      </c>
      <c r="CB267" s="156" t="inlineStr">
        <is>
          <t>12 months manufacturer standard (typical Unitree industrial)</t>
        </is>
      </c>
      <c r="CC267" s="154" t="n">
        <v>12</v>
      </c>
      <c r="CD267" s="156" t="inlineStr">
        <is>
          <t>+3 Year Extended ≈24% of configuration (default in configurator)</t>
        </is>
      </c>
      <c r="CE267" s="152" t="inlineStr">
        <is>
          <t>Authorized Unitree reseller policy (robots 12 mo)</t>
        </is>
      </c>
      <c r="CF267" s="152" t="inlineStr">
        <is>
          <t>High</t>
        </is>
      </c>
      <c r="CG267" s="156" t="inlineStr">
        <is>
          <t>Industrial quadruped packages commonly 12 months; confirm exact config.</t>
        </is>
      </c>
      <c r="CH267" s="152" t="inlineStr">
        <is>
          <t>10%</t>
        </is>
      </c>
      <c r="CI267" s="152" t="inlineStr">
        <is>
          <t>17%</t>
        </is>
      </c>
      <c r="CJ267" s="152" t="inlineStr">
        <is>
          <t>24%</t>
        </is>
      </c>
      <c r="CK267"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67"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67" s="152" t="inlineStr">
        <is>
          <t>12 months manufacturer standard (typical Unitree industrial)</t>
        </is>
      </c>
      <c r="CN267" s="203" t="inlineStr">
        <is>
          <t>https://aixzd.com/robot/a1</t>
        </is>
      </c>
      <c r="CO267" s="203" t="inlineStr">
        <is>
          <t>https://theresanaiforthat.com/robots/</t>
        </is>
      </c>
      <c r="CP267" s="203" t="inlineStr">
        <is>
          <t>Cross-checked against TAAFT Robots directory (669 entries) 28 Aug 2026 — individual TAAFT permalinks are JS/Cloudflare gated.</t>
        </is>
      </c>
    </row>
    <row r="268" ht="31.5" customHeight="1" s="102">
      <c r="A268" s="159" t="inlineStr">
        <is>
          <t>unitree_robotics_as2</t>
        </is>
      </c>
      <c r="B268" s="160" t="inlineStr">
        <is>
          <t>Website</t>
        </is>
      </c>
      <c r="C268" s="152" t="inlineStr">
        <is>
          <t>Unitree</t>
        </is>
      </c>
      <c r="D268" s="152" t="inlineStr">
        <is>
          <t>As2</t>
        </is>
      </c>
      <c r="E268" s="152" t="inlineStr">
        <is>
          <t>[Unitree] As2 (2026)</t>
        </is>
      </c>
      <c r="F268" s="163" t="inlineStr">
        <is>
          <t>campanionoid</t>
        </is>
      </c>
      <c r="G268" s="152" t="inlineStr">
        <is>
          <t>China</t>
        </is>
      </c>
      <c r="H268" s="154" t="n">
        <v>2026</v>
      </c>
      <c r="I268" s="155" t="n">
        <v>3100</v>
      </c>
      <c r="J268" s="152" t="inlineStr">
        <is>
          <t>Robot Price Index Aug 2026</t>
        </is>
      </c>
      <c r="K268" s="156" t="inlineStr">
        <is>
          <t>As2 is Unitree Robotics's quadruped — 12 DOF, ≈ 33 lb continuous class payload, ≈ 11 mph class. Optional or standard on mid/high tiers; aimed at outdoor.</t>
        </is>
      </c>
      <c r="L268" s="101" t="inlineStr">
        <is>
          <t>As2 is Unitree Robotics's quadruped — 12 DOF, ≈ 33 lb continuous class payload, ≈ 11 mph class. Optional or standard on mid/high tiers; aimed at outdoor.</t>
        </is>
      </c>
      <c r="M268" s="101" t="inlineStr">
        <is>
          <t>As2 is Unitree Robotics's quadruped — 12 DOF, ≈ 33 lb continuous class payload, ≈ 11 mph class. Optional or standard on mid/high tiers; aimed at outdoor. Public status is listed as new 2026 release, and it is positioned for outdoor / All-terrain research &amp; light industrial.</t>
        </is>
      </c>
      <c r="N268" s="152" t="n"/>
      <c r="O268" s="152" t="inlineStr">
        <is>
          <t>https://www.unitree.com</t>
        </is>
      </c>
      <c r="P268" s="152" t="inlineStr">
        <is>
          <t>Not disclosed</t>
        </is>
      </c>
      <c r="Q268" s="152" t="n"/>
      <c r="R268" s="152" t="inlineStr">
        <is>
          <t>≈ 40 lb class</t>
        </is>
      </c>
      <c r="S268" s="152" t="n"/>
      <c r="T268" s="156" t="inlineStr">
        <is>
          <t>Not disclosed</t>
        </is>
      </c>
      <c r="U268" s="152" t="n"/>
      <c r="V268" s="152" t="inlineStr">
        <is>
          <t>12 DOF</t>
        </is>
      </c>
      <c r="W268" s="156" t="n"/>
      <c r="X268" s="152" t="inlineStr">
        <is>
          <t>≈ 33 lb continuous class</t>
        </is>
      </c>
      <c r="Y268" s="152" t="n"/>
      <c r="Z268" s="152" t="inlineStr">
        <is>
          <t>≈ 11 mph class</t>
        </is>
      </c>
      <c r="AA268" s="152" t="n"/>
      <c r="AB268" s="152" t="n"/>
      <c r="AC268" s="156" t="inlineStr">
        <is>
          <t>≈ 2–4 h depending on load</t>
        </is>
      </c>
      <c r="AD268" s="156" t="n"/>
      <c r="AE268" s="152" t="n"/>
      <c r="AF268" s="152" t="inlineStr">
        <is>
          <t>Not disclosed</t>
        </is>
      </c>
      <c r="AG268" s="156" t="n"/>
      <c r="AH268" s="152" t="n"/>
      <c r="AI268" s="152" t="n"/>
      <c r="AJ268" s="156" t="inlineStr">
        <is>
          <t>LiDAR + HD camera class</t>
        </is>
      </c>
      <c r="AK268" s="156" t="n"/>
      <c r="AL268" s="152" t="inlineStr">
        <is>
          <t>Live view and recording when camera payload equipped</t>
        </is>
      </c>
      <c r="AM268" s="152" t="n"/>
      <c r="AN268" s="152" t="inlineStr">
        <is>
          <t>Optional or standard on mid/high tiers</t>
        </is>
      </c>
      <c r="AO268" s="152" t="n"/>
      <c r="AP268" s="152" t="inlineStr">
        <is>
          <t>Not disclosed</t>
        </is>
      </c>
      <c r="AQ268" s="152" t="n"/>
      <c r="AR268" s="152" t="inlineStr">
        <is>
          <t>Not disclosed</t>
        </is>
      </c>
      <c r="AS268" s="152" t="inlineStr">
        <is>
          <t>Not disclosed</t>
        </is>
      </c>
      <c r="AT268" s="156" t="n"/>
      <c r="AU268" s="156" t="inlineStr">
        <is>
          <t>Not disclosed</t>
        </is>
      </c>
      <c r="AV268" s="152" t="inlineStr">
        <is>
          <t>App, remote, and SDK options by tier</t>
        </is>
      </c>
      <c r="AW268" s="156" t="inlineStr">
        <is>
          <t>Quadruped gait library with terrain adaptation on higher models</t>
        </is>
      </c>
      <c r="AX268" s="152" t="n"/>
      <c r="AY268" s="156" t="n"/>
      <c r="AZ268" s="156" t="n"/>
      <c r="BA268" s="156" t="n"/>
      <c r="BB268" s="156" t="inlineStr">
        <is>
          <t>Not disclosed</t>
        </is>
      </c>
      <c r="BC268" s="156" t="n"/>
      <c r="BD268" s="152" t="n"/>
      <c r="BE268" s="152" t="inlineStr">
        <is>
          <t>IP54 class</t>
        </is>
      </c>
      <c r="BF268" s="152" t="n"/>
      <c r="BG268" s="152" t="n"/>
      <c r="BH268" s="152" t="n"/>
      <c r="BI268" s="152" t="n"/>
      <c r="BJ268" s="152" t="n"/>
      <c r="BK268" s="152" t="n"/>
      <c r="BL268" s="152" t="n"/>
      <c r="BM268" s="152" t="n"/>
      <c r="BN268" s="152" t="n"/>
      <c r="BO268" s="156" t="n"/>
      <c r="BP268" s="152" t="inlineStr">
        <is>
          <t>Not disclosed</t>
        </is>
      </c>
      <c r="BQ268" s="156" t="inlineStr">
        <is>
          <t>Outdoor / All-terrain research &amp; light industrial</t>
        </is>
      </c>
      <c r="BR268" s="156" t="inlineStr">
        <is>
          <t>New 2026 release</t>
        </is>
      </c>
      <c r="BS268" s="156" t="n"/>
      <c r="BT268" s="152" t="n"/>
      <c r="BU268" s="152" t="n"/>
      <c r="BV268" s="156" t="inlineStr">
        <is>
          <t>~2× Go2 dynamics; IP54; long endurance claims</t>
        </is>
      </c>
      <c r="BW268" s="156" t="inlineStr">
        <is>
          <t>Origin &amp; status — China · New 2026 release · 2026 | Mobility — 12 DOF · Payload ≈ 33 lb continuous class · Top speed ≈ 11 mph class · IP54 class | Sensing &amp; software — Optional or standard on mid/high tiers | Buying notes — Contact / mid-industrial · 12 months manufacturer standard (typical) · Best fit: ~2× Go2 dynamics; IP54; long endurance claims</t>
        </is>
      </c>
      <c r="BX268" s="156" t="inlineStr">
        <is>
          <t>as_shipped|As2|3100|As shipped</t>
        </is>
      </c>
      <c r="BY268" s="152" t="inlineStr">
        <is>
          <t>as2|Manufacturer finish|#e2e8f0|0</t>
        </is>
      </c>
      <c r="BZ268" s="152" t="inlineStr"/>
      <c r="CA268" s="156" t="inlineStr">
        <is>
          <t>Add-ons: case; 2 color options; Multi-year extended warranty available</t>
        </is>
      </c>
      <c r="CB268" s="156" t="inlineStr">
        <is>
          <t>12 months manufacturer standard (typical)</t>
        </is>
      </c>
      <c r="CC268" s="154" t="n">
        <v>12</v>
      </c>
      <c r="CD268" s="156" t="inlineStr">
        <is>
          <t>+3 Year Extended ≈24% of configuration (default in configurator)</t>
        </is>
      </c>
      <c r="CE268" s="152" t="inlineStr">
        <is>
          <t>Quadruped category norm</t>
        </is>
      </c>
      <c r="CF268" s="152" t="inlineStr">
        <is>
          <t>Estimated</t>
        </is>
      </c>
      <c r="CG268" s="156" t="inlineStr">
        <is>
          <t>Confirm configuration-specific term on quote.</t>
        </is>
      </c>
      <c r="CH268" s="152" t="inlineStr">
        <is>
          <t>10%</t>
        </is>
      </c>
      <c r="CI268" s="152" t="inlineStr">
        <is>
          <t>17%</t>
        </is>
      </c>
      <c r="CJ268" s="152" t="inlineStr">
        <is>
          <t>24%</t>
        </is>
      </c>
      <c r="CK268"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68"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68" s="152" t="inlineStr">
        <is>
          <t>12 months manufacturer standard (typical)</t>
        </is>
      </c>
      <c r="CO268" s="203" t="inlineStr">
        <is>
          <t>https://theresanaiforthat.com/robots/</t>
        </is>
      </c>
      <c r="CP268" s="203" t="inlineStr">
        <is>
          <t>Cross-checked against TAAFT Robots directory (669 entries) 28 Aug 2026 — individual TAAFT permalinks are JS/Cloudflare gated.</t>
        </is>
      </c>
    </row>
    <row r="269" ht="31.5" customHeight="1" s="102">
      <c r="A269" s="143" t="inlineStr">
        <is>
          <t>unitree_robotics_b2_b2_w</t>
        </is>
      </c>
      <c r="B269" s="160" t="inlineStr">
        <is>
          <t>Website</t>
        </is>
      </c>
      <c r="C269" s="145" t="inlineStr">
        <is>
          <t>Unitree</t>
        </is>
      </c>
      <c r="D269" s="145" t="inlineStr">
        <is>
          <t>B2</t>
        </is>
      </c>
      <c r="E269" s="145" t="inlineStr">
        <is>
          <t>[Unitree] B2 (2024)</t>
        </is>
      </c>
      <c r="F269" s="163" t="inlineStr">
        <is>
          <t>campanionoid</t>
        </is>
      </c>
      <c r="G269" s="145" t="inlineStr">
        <is>
          <t>China</t>
        </is>
      </c>
      <c r="H269" s="147" t="n">
        <v>2024</v>
      </c>
      <c r="I269" s="148" t="n">
        <v>100000</v>
      </c>
      <c r="J269" s="145" t="inlineStr">
        <is>
          <t>Unitree official shop list · Aug 2026</t>
        </is>
      </c>
      <c r="K269" s="149" t="inlineStr">
        <is>
          <t>[Unitree] B2 (2024) is a quadruped from Unitree Robotics (China, 2024), positioned for industrial.</t>
        </is>
      </c>
      <c r="L269" s="101" t="inlineStr">
        <is>
          <t>[Unitree] B2 (2024) is a quadruped from Unitree Robotics (China, 2024), positioned for industrial.</t>
        </is>
      </c>
      <c r="M269" s="101" t="inlineStr">
        <is>
          <t>[Unitree] B2 (2024) is a quadruped from Unitree Robotics (China, 2024), positioned for industrial. Public status is listed as orderable / Industrial deployments, and it is positioned for industrial / Heavy payload / Logistics / Inspection.</t>
        </is>
      </c>
      <c r="N269" s="145" t="n"/>
      <c r="O269" s="145" t="inlineStr">
        <is>
          <t>https://www.unitree.com</t>
        </is>
      </c>
      <c r="P269" s="145" t="inlineStr">
        <is>
          <t>≈ 2 ft 1.4 in standing (B2); B2-W taller with wheel modules</t>
        </is>
      </c>
      <c r="Q269" s="145" t="n"/>
      <c r="R269" s="145" t="inlineStr">
        <is>
          <t>≈ 132 lb with battery (B2) · ≈ 165 lb class (B2-W)</t>
        </is>
      </c>
      <c r="S269" s="145" t="n"/>
      <c r="T269" s="149" t="inlineStr">
        <is>
          <t>≈ 43.2 × 17.7 × 25.4 in (B2 class)</t>
        </is>
      </c>
      <c r="U269" s="145" t="n"/>
      <c r="V269" s="145" t="inlineStr">
        <is>
          <t>12 leg DOF (plus wheel motors on B2-W)</t>
        </is>
      </c>
      <c r="W269" s="149" t="n"/>
      <c r="X269" s="145" t="inlineStr">
        <is>
          <t>≈ 88 lb continuous class (up to ≈ 265 lb standing load class)</t>
        </is>
      </c>
      <c r="Y269" s="145" t="n"/>
      <c r="Z269" s="145" t="inlineStr">
        <is>
          <t>≈ 13 mph class (≈ 6 m/s)</t>
        </is>
      </c>
      <c r="AA269" s="145" t="n"/>
      <c r="AB269" s="145" t="n"/>
      <c r="AC269" s="149" t="inlineStr">
        <is>
          <t>≈ 4–6 h class · optional autonomous charging</t>
        </is>
      </c>
      <c r="AD269" s="149" t="n"/>
      <c r="AE269" s="145" t="n"/>
      <c r="AF269" s="145" t="inlineStr">
        <is>
          <t>Not disclosed</t>
        </is>
      </c>
      <c r="AG269" s="149" t="n"/>
      <c r="AH269" s="145" t="n"/>
      <c r="AI269" s="145" t="n"/>
      <c r="AJ269" s="149" t="inlineStr">
        <is>
          <t>Industrial perception cameras + dual 3D LiDAR options</t>
        </is>
      </c>
      <c r="AK269" s="149" t="n"/>
      <c r="AL269" s="145" t="inlineStr">
        <is>
          <t>Live view and recording when camera payload equipped</t>
        </is>
      </c>
      <c r="AM269" s="145" t="n"/>
      <c r="AN269" s="145" t="inlineStr">
        <is>
          <t>Dual 3D LiDAR on industrial configurations</t>
        </is>
      </c>
      <c r="AO269" s="145" t="n"/>
      <c r="AP269" s="145" t="inlineStr">
        <is>
          <t>Not disclosed</t>
        </is>
      </c>
      <c r="AQ269" s="145" t="n"/>
      <c r="AR269" s="145" t="inlineStr">
        <is>
          <t>Not disclosed</t>
        </is>
      </c>
      <c r="AS269" s="145" t="inlineStr">
        <is>
          <t>Jetson AGX Orin class options (up to ≈ 275 TOPS)</t>
        </is>
      </c>
      <c r="AT269" s="149" t="n"/>
      <c r="AU269" s="149" t="inlineStr">
        <is>
          <t>Not disclosed</t>
        </is>
      </c>
      <c r="AV269" s="145" t="inlineStr">
        <is>
          <t>App, remote, and SDK options by tier</t>
        </is>
      </c>
      <c r="AW269" s="149" t="inlineStr">
        <is>
          <t>Quadruped gait library with terrain adaptation on higher models</t>
        </is>
      </c>
      <c r="AX269" s="145" t="n"/>
      <c r="AY269" s="149" t="n"/>
      <c r="AZ269" s="149" t="n"/>
      <c r="BA269" s="149" t="n"/>
      <c r="BB269" s="149" t="inlineStr">
        <is>
          <t>Not disclosed</t>
        </is>
      </c>
      <c r="BC269" s="149" t="n"/>
      <c r="BD269" s="145" t="n"/>
      <c r="BE269" s="145" t="inlineStr">
        <is>
          <t>IP67</t>
        </is>
      </c>
      <c r="BF269" s="145" t="n"/>
      <c r="BG269" s="145" t="n"/>
      <c r="BH269" s="145" t="n"/>
      <c r="BI269" s="145" t="n"/>
      <c r="BJ269" s="145" t="n"/>
      <c r="BK269" s="145" t="n"/>
      <c r="BL269" s="145" t="n"/>
      <c r="BM269" s="145" t="n"/>
      <c r="BN269" s="145" t="n"/>
      <c r="BO269" s="149" t="n"/>
      <c r="BP269" s="145" t="inlineStr">
        <is>
          <t>Not disclosed</t>
        </is>
      </c>
      <c r="BQ269" s="149" t="inlineStr">
        <is>
          <t>Industrial / Heavy payload / Logistics / Inspection</t>
        </is>
      </c>
      <c r="BR269" s="149" t="inlineStr">
        <is>
          <t>Orderable / Industrial deployments</t>
        </is>
      </c>
      <c r="BS269" s="149" t="n"/>
      <c r="BT269" s="145" t="n"/>
      <c r="BU269" s="145" t="n"/>
      <c r="BV269" s="149" t="inlineStr">
        <is>
          <t>Flagship industrial; IP67; high payload &amp; speed</t>
        </is>
      </c>
      <c r="BW269" s="149" t="inlineStr">
        <is>
          <t>Origin &amp; status — China · Orderable / Industrial deployments · 2024 | Mobility — 12 DOF · Payload ≈ 88 lb continuous class (up to ≈ 265 lb standing load class) · Top speed ≈ 13 mph class (≈ 6 m/s) · IP67 | Sensing &amp; software — Dual 3D LiDAR on industrial configurations | Buying notes — ~$30,000 – $100,000+ · 12 months manufacturer standard (typical) · Best fit: Flagship industrial; IP67; high payload &amp; speed</t>
        </is>
      </c>
      <c r="BX269" s="149" t="inlineStr">
        <is>
          <t>as_shipped|B2|100000|As shipped</t>
        </is>
      </c>
      <c r="BY269" s="145" t="inlineStr">
        <is>
          <t>b2|Manufacturer finish|#e2e8f0|0</t>
        </is>
      </c>
      <c r="BZ269" s="145" t="inlineStr"/>
      <c r="CA269" s="149" t="inlineStr">
        <is>
          <t>Add-ons: case; 2 color options; Multi-year extended warranty available</t>
        </is>
      </c>
      <c r="CB269" s="149" t="inlineStr">
        <is>
          <t>12 months manufacturer standard (typical)</t>
        </is>
      </c>
      <c r="CC269" s="147" t="n">
        <v>12</v>
      </c>
      <c r="CD269" s="149" t="inlineStr">
        <is>
          <t>+3 Year Extended ≈24% of configuration (default in configurator)</t>
        </is>
      </c>
      <c r="CE269" s="145" t="inlineStr">
        <is>
          <t>Quadruped category norm</t>
        </is>
      </c>
      <c r="CF269" s="145" t="inlineStr">
        <is>
          <t>Estimated</t>
        </is>
      </c>
      <c r="CG269" s="149" t="inlineStr">
        <is>
          <t>Confirm configuration-specific term on quote.</t>
        </is>
      </c>
      <c r="CH269" s="145" t="inlineStr">
        <is>
          <t>10%</t>
        </is>
      </c>
      <c r="CI269" s="145" t="inlineStr">
        <is>
          <t>17%</t>
        </is>
      </c>
      <c r="CJ269" s="145" t="inlineStr">
        <is>
          <t>24%</t>
        </is>
      </c>
      <c r="CK26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6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69" s="145" t="inlineStr">
        <is>
          <t>12 months manufacturer standard (typical)</t>
        </is>
      </c>
      <c r="CN269" s="203" t="inlineStr">
        <is>
          <t>https://aixzd.com/robot/unitree-b2</t>
        </is>
      </c>
      <c r="CO269" s="203" t="inlineStr">
        <is>
          <t>https://theresanaiforthat.com/robots/</t>
        </is>
      </c>
      <c r="CP269" s="203" t="inlineStr">
        <is>
          <t>Cross-checked against TAAFT Robots directory (669 entries) 28 Aug 2026 — individual TAAFT permalinks are JS/Cloudflare gated.</t>
        </is>
      </c>
    </row>
    <row r="270" ht="31.5" customHeight="1" s="102">
      <c r="A270" s="143" t="inlineStr">
        <is>
          <t>unitree_robotics_b2_b2_w_b2_w</t>
        </is>
      </c>
      <c r="B270" s="160" t="inlineStr">
        <is>
          <t>Website</t>
        </is>
      </c>
      <c r="C270" s="145" t="inlineStr">
        <is>
          <t>Unitree</t>
        </is>
      </c>
      <c r="D270" s="145" t="inlineStr">
        <is>
          <t>B2-W</t>
        </is>
      </c>
      <c r="E270" s="145" t="inlineStr">
        <is>
          <t>[Unitree] B2-W (2024)</t>
        </is>
      </c>
      <c r="F270" s="163" t="inlineStr">
        <is>
          <t>campanionoid</t>
        </is>
      </c>
      <c r="G270" s="145" t="inlineStr">
        <is>
          <t>China</t>
        </is>
      </c>
      <c r="H270" s="147" t="n">
        <v>2024</v>
      </c>
      <c r="I270" s="148" t="n">
        <v>100000</v>
      </c>
      <c r="J270" s="145" t="inlineStr">
        <is>
          <t>Unitree official shop list · Aug 2026</t>
        </is>
      </c>
      <c r="K270" s="149" t="inlineStr">
        <is>
          <t>[Unitree] B2-W (2024) is a quadruped from Unitree Robotics (China, 2024), positioned for industrial.</t>
        </is>
      </c>
      <c r="L270" s="101" t="inlineStr">
        <is>
          <t>[Unitree] B2-W (2024) is a quadruped from Unitree Robotics (China, 2024), positioned for industrial.</t>
        </is>
      </c>
      <c r="M270" s="101" t="inlineStr">
        <is>
          <t>B2-W is Unitree's quadruped, introduced around 2024 in China. [Unitree] B2-W (2024) is a quadruped from Unitree Robotics (China, 2024), positioned for industrial. Public status is listed as orderable / Industrial deployments, and it is positioned for industrial / Heavy payload / Logistics / Inspection.</t>
        </is>
      </c>
      <c r="N270" s="145" t="n"/>
      <c r="O270" s="145" t="inlineStr">
        <is>
          <t>https://www.unitree.com</t>
        </is>
      </c>
      <c r="P270" s="145" t="inlineStr">
        <is>
          <t>≈ 2 ft 1.4 in standing (B2); B2-W taller with wheel modules</t>
        </is>
      </c>
      <c r="Q270" s="145" t="n"/>
      <c r="R270" s="145" t="inlineStr">
        <is>
          <t>≈ 132 lb with battery (B2) · ≈ 165 lb class (B2-W)</t>
        </is>
      </c>
      <c r="S270" s="145" t="n"/>
      <c r="T270" s="149" t="inlineStr">
        <is>
          <t>≈ 43.2 × 17.7 × 25.4 in (B2 class)</t>
        </is>
      </c>
      <c r="U270" s="145" t="n"/>
      <c r="V270" s="145" t="inlineStr">
        <is>
          <t>12 leg DOF (plus wheel motors on B2-W)</t>
        </is>
      </c>
      <c r="W270" s="149" t="n"/>
      <c r="X270" s="145" t="inlineStr">
        <is>
          <t>≈ 88 lb continuous class (up to ≈ 265 lb standing load class)</t>
        </is>
      </c>
      <c r="Y270" s="145" t="n"/>
      <c r="Z270" s="145" t="inlineStr">
        <is>
          <t>≈ 13 mph class (≈ 6 m/s)</t>
        </is>
      </c>
      <c r="AA270" s="145" t="n"/>
      <c r="AB270" s="145" t="n"/>
      <c r="AC270" s="149" t="inlineStr">
        <is>
          <t>≈ 4–6 h class · optional autonomous charging</t>
        </is>
      </c>
      <c r="AD270" s="149" t="n"/>
      <c r="AE270" s="145" t="n"/>
      <c r="AF270" s="145" t="inlineStr">
        <is>
          <t>Not disclosed</t>
        </is>
      </c>
      <c r="AG270" s="149" t="n"/>
      <c r="AH270" s="145" t="n"/>
      <c r="AI270" s="145" t="n"/>
      <c r="AJ270" s="149" t="inlineStr">
        <is>
          <t>Industrial perception cameras + dual 3D LiDAR options</t>
        </is>
      </c>
      <c r="AK270" s="149" t="n"/>
      <c r="AL270" s="145" t="inlineStr">
        <is>
          <t>Live view and recording when camera payload equipped</t>
        </is>
      </c>
      <c r="AM270" s="145" t="n"/>
      <c r="AN270" s="145" t="inlineStr">
        <is>
          <t>Dual 3D LiDAR on industrial configurations</t>
        </is>
      </c>
      <c r="AO270" s="145" t="n"/>
      <c r="AP270" s="145" t="inlineStr">
        <is>
          <t>Not disclosed</t>
        </is>
      </c>
      <c r="AQ270" s="145" t="n"/>
      <c r="AR270" s="145" t="inlineStr">
        <is>
          <t>Not disclosed</t>
        </is>
      </c>
      <c r="AS270" s="145" t="inlineStr">
        <is>
          <t>Jetson AGX Orin class options (up to ≈ 275 TOPS)</t>
        </is>
      </c>
      <c r="AT270" s="149" t="n"/>
      <c r="AU270" s="149" t="inlineStr">
        <is>
          <t>Not disclosed</t>
        </is>
      </c>
      <c r="AV270" s="145" t="inlineStr">
        <is>
          <t>App, remote, and SDK options by tier</t>
        </is>
      </c>
      <c r="AW270" s="149" t="inlineStr">
        <is>
          <t>Quadruped gait library with terrain adaptation on higher models</t>
        </is>
      </c>
      <c r="AX270" s="145" t="n"/>
      <c r="AY270" s="149" t="n"/>
      <c r="AZ270" s="149" t="n"/>
      <c r="BA270" s="149" t="n"/>
      <c r="BB270" s="149" t="inlineStr">
        <is>
          <t>Not disclosed</t>
        </is>
      </c>
      <c r="BC270" s="149" t="n"/>
      <c r="BD270" s="145" t="n"/>
      <c r="BE270" s="145" t="inlineStr">
        <is>
          <t>IP67</t>
        </is>
      </c>
      <c r="BF270" s="145" t="n"/>
      <c r="BG270" s="145" t="n"/>
      <c r="BH270" s="145" t="n"/>
      <c r="BI270" s="145" t="n"/>
      <c r="BJ270" s="145" t="n"/>
      <c r="BK270" s="145" t="n"/>
      <c r="BL270" s="145" t="n"/>
      <c r="BM270" s="145" t="n"/>
      <c r="BN270" s="145" t="n"/>
      <c r="BO270" s="149" t="n"/>
      <c r="BP270" s="145" t="inlineStr">
        <is>
          <t>Not disclosed</t>
        </is>
      </c>
      <c r="BQ270" s="149" t="inlineStr">
        <is>
          <t>Industrial / Heavy payload / Logistics / Inspection</t>
        </is>
      </c>
      <c r="BR270" s="149" t="inlineStr">
        <is>
          <t>Orderable / Industrial deployments</t>
        </is>
      </c>
      <c r="BS270" s="149" t="n"/>
      <c r="BT270" s="145" t="n"/>
      <c r="BU270" s="145" t="n"/>
      <c r="BV270" s="149" t="inlineStr">
        <is>
          <t>Flagship industrial; IP67; high payload &amp; speed</t>
        </is>
      </c>
      <c r="BW270" s="149" t="inlineStr">
        <is>
          <t>Origin &amp; status — China · Orderable / Industrial deployments · 2024 | Mobility — 12 DOF · Payload ≈ 88 lb continuous class (up to ≈ 265 lb standing load class) · Top speed ≈ 13 mph class (≈ 6 m/s) · IP67 | Sensing &amp; software — Dual 3D LiDAR on industrial configurations | Buying notes — ~$30,000 – $100,000+ · 12 months manufacturer standard (typical) · Best fit: Flagship industrial; IP67; high payload &amp; speed</t>
        </is>
      </c>
      <c r="BX270" s="149" t="inlineStr">
        <is>
          <t>as_shipped|B2-W|100000|As shipped</t>
        </is>
      </c>
      <c r="BY270" s="145" t="inlineStr">
        <is>
          <t>b2_w|Manufacturer finish|#e2e8f0|0</t>
        </is>
      </c>
      <c r="BZ270" s="145" t="inlineStr"/>
      <c r="CA270" s="149" t="inlineStr">
        <is>
          <t>Add-ons: case; 2 color options; Multi-year extended warranty available</t>
        </is>
      </c>
      <c r="CB270" s="149" t="inlineStr">
        <is>
          <t>12 months manufacturer standard (typical)</t>
        </is>
      </c>
      <c r="CC270" s="147" t="n">
        <v>12</v>
      </c>
      <c r="CD270" s="149" t="inlineStr">
        <is>
          <t>+3 Year Extended ≈24% of configuration (default in configurator)</t>
        </is>
      </c>
      <c r="CE270" s="145" t="inlineStr">
        <is>
          <t>Quadruped category norm</t>
        </is>
      </c>
      <c r="CF270" s="145" t="inlineStr">
        <is>
          <t>Estimated</t>
        </is>
      </c>
      <c r="CG270" s="149" t="inlineStr">
        <is>
          <t>Confirm configuration-specific term on quote.</t>
        </is>
      </c>
      <c r="CH270" s="145" t="inlineStr">
        <is>
          <t>10%</t>
        </is>
      </c>
      <c r="CI270" s="145" t="inlineStr">
        <is>
          <t>17%</t>
        </is>
      </c>
      <c r="CJ270" s="145" t="inlineStr">
        <is>
          <t>24%</t>
        </is>
      </c>
      <c r="CK270"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70"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70" s="145" t="inlineStr">
        <is>
          <t>12 months manufacturer standard (typical)</t>
        </is>
      </c>
      <c r="CN270" s="203" t="inlineStr">
        <is>
          <t>https://aixzd.com/robot/unitree-b2</t>
        </is>
      </c>
      <c r="CO270" s="203" t="inlineStr">
        <is>
          <t>https://theresanaiforthat.com/robots/</t>
        </is>
      </c>
      <c r="CP270" s="203" t="inlineStr">
        <is>
          <t>Cross-checked against TAAFT Robots directory (669 entries) 28 Aug 2026 — individual TAAFT permalinks are JS/Cloudflare gated.</t>
        </is>
      </c>
    </row>
    <row r="271" ht="31.5" customHeight="1" s="102">
      <c r="A271" s="143" t="inlineStr">
        <is>
          <t>xiaomi_cyberdog_2_pro</t>
        </is>
      </c>
      <c r="B271" s="160" t="inlineStr">
        <is>
          <t>Website</t>
        </is>
      </c>
      <c r="C271" s="145" t="inlineStr">
        <is>
          <t>Xiaomi</t>
        </is>
      </c>
      <c r="D271" s="145" t="inlineStr">
        <is>
          <t>CyberDog 2</t>
        </is>
      </c>
      <c r="E271" s="145" t="inlineStr">
        <is>
          <t>[Xiaomi] CyberDog 2 (2023)</t>
        </is>
      </c>
      <c r="F271" s="163" t="inlineStr">
        <is>
          <t>campanionoid</t>
        </is>
      </c>
      <c r="G271" s="145" t="inlineStr">
        <is>
          <t>China</t>
        </is>
      </c>
      <c r="H271" s="147" t="n">
        <v>2023</v>
      </c>
      <c r="I271" s="148" t="n">
        <v>1800</v>
      </c>
      <c r="J271" s="145" t="inlineStr">
        <is>
          <t>Robot Price Index Aug 2026</t>
        </is>
      </c>
      <c r="K271" s="149" t="inlineStr">
        <is>
          <t>[Xiaomi] CyberDog 2 (2023) is a quadruped from Xiaomi (China, 2023), positioned for consumer.</t>
        </is>
      </c>
      <c r="L271" s="101" t="inlineStr">
        <is>
          <t>[Xiaomi] CyberDog 2 (2023) is a quadruped from Xiaomi (China, 2023), positioned for consumer.</t>
        </is>
      </c>
      <c r="M271" s="101" t="inlineStr">
        <is>
          <t>CyberDog 2 is Xiaomi's quadruped, introduced around 2023 in China. [Xiaomi] CyberDog 2 (2023) is a quadruped from Xiaomi (China, 2023), positioned for consumer. Public status is listed as limited / Consumer focus, and it is positioned for consumer / Smart home / Companion / Light research.</t>
        </is>
      </c>
      <c r="N271" s="145" t="n"/>
      <c r="O271" s="145" t="inlineStr">
        <is>
          <t>https://www.xiaomi.com</t>
        </is>
      </c>
      <c r="P271" s="145" t="inlineStr">
        <is>
          <t>Not disclosed</t>
        </is>
      </c>
      <c r="Q271" s="145" t="n"/>
      <c r="R271" s="145" t="inlineStr">
        <is>
          <t>≈ 20–33 lb class</t>
        </is>
      </c>
      <c r="S271" s="145" t="n"/>
      <c r="T271" s="149" t="inlineStr">
        <is>
          <t>Not disclosed</t>
        </is>
      </c>
      <c r="U271" s="145" t="n"/>
      <c r="V271" s="145" t="inlineStr">
        <is>
          <t>12 DOF</t>
        </is>
      </c>
      <c r="W271" s="149" t="n"/>
      <c r="X271" s="145" t="inlineStr">
        <is>
          <t>≈ 7 lb class</t>
        </is>
      </c>
      <c r="Y271" s="145" t="n"/>
      <c r="Z271" s="145" t="inlineStr">
        <is>
          <t>Up to 7.8 mph</t>
        </is>
      </c>
      <c r="AA271" s="145" t="n"/>
      <c r="AB271" s="145" t="n"/>
      <c r="AC271" s="149" t="inlineStr">
        <is>
          <t>Not disclosed</t>
        </is>
      </c>
      <c r="AD271" s="149" t="n"/>
      <c r="AE271" s="145" t="n"/>
      <c r="AF271" s="145" t="inlineStr">
        <is>
          <t>Not disclosed</t>
        </is>
      </c>
      <c r="AG271" s="149" t="n"/>
      <c r="AH271" s="145" t="n"/>
      <c r="AI271" s="145" t="n"/>
      <c r="AJ271" s="149" t="inlineStr">
        <is>
          <t>AI camera suite for companion behaviors</t>
        </is>
      </c>
      <c r="AK271" s="149" t="n"/>
      <c r="AL271" s="145" t="inlineStr">
        <is>
          <t>On-device capture and app streaming</t>
        </is>
      </c>
      <c r="AM271" s="145" t="n"/>
      <c r="AN271" s="145" t="inlineStr">
        <is>
          <t>Not disclosed</t>
        </is>
      </c>
      <c r="AO271" s="145" t="inlineStr">
        <is>
          <t>Voice interaction microphones</t>
        </is>
      </c>
      <c r="AP271" s="145" t="inlineStr">
        <is>
          <t>Voice interaction microphones</t>
        </is>
      </c>
      <c r="AQ271" s="145" t="n"/>
      <c r="AR271" s="145" t="inlineStr">
        <is>
          <t>Not disclosed</t>
        </is>
      </c>
      <c r="AS271" s="145" t="inlineStr">
        <is>
          <t>Not disclosed</t>
        </is>
      </c>
      <c r="AT271" s="149" t="n"/>
      <c r="AU271" s="149" t="inlineStr">
        <is>
          <t>Not disclosed</t>
        </is>
      </c>
      <c r="AV271" s="145" t="inlineStr">
        <is>
          <t>Xiaomi/CyberDog app</t>
        </is>
      </c>
      <c r="AW271" s="149" t="inlineStr">
        <is>
          <t>Not disclosed</t>
        </is>
      </c>
      <c r="AX271" s="145" t="n"/>
      <c r="AY271" s="149" t="n"/>
      <c r="AZ271" s="149" t="n"/>
      <c r="BA271" s="149" t="n"/>
      <c r="BB271" s="149" t="inlineStr">
        <is>
          <t>Not disclosed</t>
        </is>
      </c>
      <c r="BC271" s="149" t="n"/>
      <c r="BD271" s="145" t="n"/>
      <c r="BE271" s="145" t="inlineStr">
        <is>
          <t>Not disclosed</t>
        </is>
      </c>
      <c r="BF271" s="145" t="n"/>
      <c r="BG271" s="145" t="n"/>
      <c r="BH271" s="145" t="n"/>
      <c r="BI271" s="145" t="n"/>
      <c r="BJ271" s="145" t="n"/>
      <c r="BK271" s="145" t="n"/>
      <c r="BL271" s="145" t="n"/>
      <c r="BM271" s="145" t="n"/>
      <c r="BN271" s="145" t="n"/>
      <c r="BO271" s="149" t="n"/>
      <c r="BP271" s="145" t="inlineStr">
        <is>
          <t>Not disclosed</t>
        </is>
      </c>
      <c r="BQ271" s="149" t="inlineStr">
        <is>
          <t>Consumer / Smart home / Companion / Light research</t>
        </is>
      </c>
      <c r="BR271" s="149" t="inlineStr">
        <is>
          <t>Limited / Consumer focus</t>
        </is>
      </c>
      <c r="BS271" s="149" t="n"/>
      <c r="BT271" s="145" t="n"/>
      <c r="BU271" s="145" t="n"/>
      <c r="BV271" s="149" t="inlineStr">
        <is>
          <t>AI robot dog; Jetson; voice &amp; app; not primary industrial</t>
        </is>
      </c>
      <c r="BW271" s="149" t="inlineStr">
        <is>
          <t>Origin &amp; status — China · Limited / Consumer focus · 2023 | Mobility — 12 DOF · Payload ≈ 7 lb class · Top speed Up to 7.8 mph | Sensing &amp; software — AI camera suite for companion behaviors | Buying notes — $1,500 – $3,000+ · 12 months manufacturer standard (typical) · Best fit: AI robot dog; Jetson; voice &amp; app; not primary industrial</t>
        </is>
      </c>
      <c r="BX271" s="149" t="inlineStr">
        <is>
          <t>as_shipped|CyberDog 2|1800|As shipped</t>
        </is>
      </c>
      <c r="BY271" s="145" t="inlineStr">
        <is>
          <t>cyberdog_2|Manufacturer finish|#e2e8f0|0</t>
        </is>
      </c>
      <c r="BZ271" s="145" t="inlineStr"/>
      <c r="CA271" s="149" t="inlineStr">
        <is>
          <t>Add-ons: case; 2 color options; Multi-year extended warranty available</t>
        </is>
      </c>
      <c r="CB271" s="149" t="inlineStr">
        <is>
          <t>12 months manufacturer standard (typical)</t>
        </is>
      </c>
      <c r="CC271" s="147" t="n">
        <v>12</v>
      </c>
      <c r="CD271" s="149" t="inlineStr">
        <is>
          <t>+3 Year Extended ≈24% of configuration (default in configurator)</t>
        </is>
      </c>
      <c r="CE271" s="145" t="inlineStr">
        <is>
          <t>Quadruped category norm</t>
        </is>
      </c>
      <c r="CF271" s="145" t="inlineStr">
        <is>
          <t>Estimated</t>
        </is>
      </c>
      <c r="CG271" s="149" t="inlineStr">
        <is>
          <t>Confirm configuration-specific term on quote.</t>
        </is>
      </c>
      <c r="CH271" s="145" t="inlineStr">
        <is>
          <t>10%</t>
        </is>
      </c>
      <c r="CI271" s="145" t="inlineStr">
        <is>
          <t>17%</t>
        </is>
      </c>
      <c r="CJ271" s="145" t="inlineStr">
        <is>
          <t>24%</t>
        </is>
      </c>
      <c r="CK27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7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71" s="145" t="inlineStr">
        <is>
          <t>12 months manufacturer standard (typical)</t>
        </is>
      </c>
      <c r="CN271" s="203" t="inlineStr">
        <is>
          <t>https://aixzd.com/robot/cyberdog</t>
        </is>
      </c>
    </row>
    <row r="272" ht="31.5" customHeight="1" s="102">
      <c r="A272" s="143" t="inlineStr">
        <is>
          <t>xiaomi_cyberdog_2_pro_cyberdog_2_pro</t>
        </is>
      </c>
      <c r="B272" s="160" t="inlineStr">
        <is>
          <t>Website</t>
        </is>
      </c>
      <c r="C272" s="145" t="inlineStr">
        <is>
          <t>Xiaomi</t>
        </is>
      </c>
      <c r="D272" s="145" t="inlineStr">
        <is>
          <t>CyberDog 2 Pro</t>
        </is>
      </c>
      <c r="E272" s="145" t="inlineStr">
        <is>
          <t>[Xiaomi] CyberDog 2 Pro (2023)</t>
        </is>
      </c>
      <c r="F272" s="163" t="inlineStr">
        <is>
          <t>campanionoid</t>
        </is>
      </c>
      <c r="G272" s="145" t="inlineStr">
        <is>
          <t>China</t>
        </is>
      </c>
      <c r="H272" s="147" t="n">
        <v>2023</v>
      </c>
      <c r="I272" s="148" t="n">
        <v>2500</v>
      </c>
      <c r="J272" s="145" t="inlineStr">
        <is>
          <t>Robot Price Index Aug 2026</t>
        </is>
      </c>
      <c r="K272" s="149" t="inlineStr">
        <is>
          <t>[Xiaomi] CyberDog 2 Pro (2023) is a quadruped from Xiaomi (China, 2023), positioned for consumer.</t>
        </is>
      </c>
      <c r="L272" s="101" t="inlineStr">
        <is>
          <t>[Xiaomi] CyberDog 2 Pro (2023) is a quadruped from Xiaomi (China, 2023), positioned for consumer.</t>
        </is>
      </c>
      <c r="M272" s="101" t="inlineStr">
        <is>
          <t>CyberDog 2 Pro is Xiaomi's quadruped, introduced around 2023 in China. [Xiaomi] CyberDog 2 Pro (2023) is a quadruped from Xiaomi (China, 2023), positioned for consumer. Public status is listed as limited / Consumer focus, and it is positioned for consumer / Smart home / Companion / Light research.</t>
        </is>
      </c>
      <c r="N272" s="145" t="n"/>
      <c r="O272" s="145" t="inlineStr">
        <is>
          <t>https://www.xiaomi.com</t>
        </is>
      </c>
      <c r="P272" s="145" t="inlineStr">
        <is>
          <t>Not disclosed</t>
        </is>
      </c>
      <c r="Q272" s="145" t="n"/>
      <c r="R272" s="145" t="inlineStr">
        <is>
          <t>≈ 20–33 lb class</t>
        </is>
      </c>
      <c r="S272" s="145" t="n"/>
      <c r="T272" s="149" t="inlineStr">
        <is>
          <t>Not disclosed</t>
        </is>
      </c>
      <c r="U272" s="145" t="n"/>
      <c r="V272" s="145" t="inlineStr">
        <is>
          <t>12 DOF</t>
        </is>
      </c>
      <c r="W272" s="149" t="n"/>
      <c r="X272" s="145" t="inlineStr">
        <is>
          <t>≈ 7 lb class</t>
        </is>
      </c>
      <c r="Y272" s="145" t="n"/>
      <c r="Z272" s="145" t="inlineStr">
        <is>
          <t>Up to 7.8 mph</t>
        </is>
      </c>
      <c r="AA272" s="145" t="n"/>
      <c r="AB272" s="145" t="n"/>
      <c r="AC272" s="149" t="inlineStr">
        <is>
          <t>Not disclosed</t>
        </is>
      </c>
      <c r="AD272" s="149" t="n"/>
      <c r="AE272" s="145" t="n"/>
      <c r="AF272" s="145" t="inlineStr">
        <is>
          <t>Not disclosed</t>
        </is>
      </c>
      <c r="AG272" s="149" t="n"/>
      <c r="AH272" s="145" t="n"/>
      <c r="AI272" s="145" t="n"/>
      <c r="AJ272" s="149" t="inlineStr">
        <is>
          <t>AI camera suite for companion behaviors</t>
        </is>
      </c>
      <c r="AK272" s="149" t="n"/>
      <c r="AL272" s="145" t="inlineStr">
        <is>
          <t>On-device capture and app streaming</t>
        </is>
      </c>
      <c r="AM272" s="145" t="n"/>
      <c r="AN272" s="145" t="inlineStr">
        <is>
          <t>Not disclosed</t>
        </is>
      </c>
      <c r="AO272" s="145" t="inlineStr">
        <is>
          <t>Voice interaction microphones</t>
        </is>
      </c>
      <c r="AP272" s="145" t="inlineStr">
        <is>
          <t>Voice interaction microphones</t>
        </is>
      </c>
      <c r="AQ272" s="145" t="n"/>
      <c r="AR272" s="145" t="inlineStr">
        <is>
          <t>Not disclosed</t>
        </is>
      </c>
      <c r="AS272" s="145" t="inlineStr">
        <is>
          <t>Not disclosed</t>
        </is>
      </c>
      <c r="AT272" s="149" t="n"/>
      <c r="AU272" s="149" t="inlineStr">
        <is>
          <t>Not disclosed</t>
        </is>
      </c>
      <c r="AV272" s="145" t="inlineStr">
        <is>
          <t>Xiaomi/CyberDog app</t>
        </is>
      </c>
      <c r="AW272" s="149" t="inlineStr">
        <is>
          <t>Not disclosed</t>
        </is>
      </c>
      <c r="AX272" s="145" t="n"/>
      <c r="AY272" s="149" t="n"/>
      <c r="AZ272" s="149" t="n"/>
      <c r="BA272" s="149" t="n"/>
      <c r="BB272" s="149" t="inlineStr">
        <is>
          <t>Not disclosed</t>
        </is>
      </c>
      <c r="BC272" s="149" t="n"/>
      <c r="BD272" s="145" t="n"/>
      <c r="BE272" s="145" t="inlineStr">
        <is>
          <t>Not disclosed</t>
        </is>
      </c>
      <c r="BF272" s="145" t="n"/>
      <c r="BG272" s="145" t="n"/>
      <c r="BH272" s="145" t="n"/>
      <c r="BI272" s="145" t="n"/>
      <c r="BJ272" s="145" t="n"/>
      <c r="BK272" s="145" t="n"/>
      <c r="BL272" s="145" t="n"/>
      <c r="BM272" s="145" t="n"/>
      <c r="BN272" s="145" t="n"/>
      <c r="BO272" s="149" t="n"/>
      <c r="BP272" s="145" t="inlineStr">
        <is>
          <t>Not disclosed</t>
        </is>
      </c>
      <c r="BQ272" s="149" t="inlineStr">
        <is>
          <t>Consumer / Smart home / Companion / Light research</t>
        </is>
      </c>
      <c r="BR272" s="149" t="inlineStr">
        <is>
          <t>Limited / Consumer focus</t>
        </is>
      </c>
      <c r="BS272" s="149" t="n"/>
      <c r="BT272" s="145" t="n"/>
      <c r="BU272" s="145" t="n"/>
      <c r="BV272" s="149" t="inlineStr">
        <is>
          <t>AI robot dog; Jetson; voice &amp; app; not primary industrial</t>
        </is>
      </c>
      <c r="BW272" s="149" t="inlineStr">
        <is>
          <t>Origin &amp; status — China · Limited / Consumer focus · 2023 | Mobility — 12 DOF · Payload ≈ 7 lb class · Top speed Up to 7.8 mph | Sensing &amp; software — AI camera suite for companion behaviors | Buying notes — $1,500 – $3,000+ · 12 months manufacturer standard (typical) · Best fit: AI robot dog; Jetson; voice &amp; app; not primary industrial</t>
        </is>
      </c>
      <c r="BX272" s="149" t="inlineStr">
        <is>
          <t>as_shipped|CyberDog 2 Pro|2500|As shipped</t>
        </is>
      </c>
      <c r="BY272" s="145" t="inlineStr">
        <is>
          <t>cyberdog_2_pro|Manufacturer finish|#e2e8f0|0</t>
        </is>
      </c>
      <c r="BZ272" s="145" t="inlineStr"/>
      <c r="CA272" s="149" t="inlineStr">
        <is>
          <t>Add-ons: case; 2 color options; Multi-year extended warranty available</t>
        </is>
      </c>
      <c r="CB272" s="149" t="inlineStr">
        <is>
          <t>12 months manufacturer standard (typical)</t>
        </is>
      </c>
      <c r="CC272" s="147" t="n">
        <v>12</v>
      </c>
      <c r="CD272" s="149" t="inlineStr">
        <is>
          <t>+3 Year Extended ≈24% of configuration (default in configurator)</t>
        </is>
      </c>
      <c r="CE272" s="145" t="inlineStr">
        <is>
          <t>Quadruped category norm</t>
        </is>
      </c>
      <c r="CF272" s="145" t="inlineStr">
        <is>
          <t>Estimated</t>
        </is>
      </c>
      <c r="CG272" s="149" t="inlineStr">
        <is>
          <t>Confirm configuration-specific term on quote.</t>
        </is>
      </c>
      <c r="CH272" s="145" t="inlineStr">
        <is>
          <t>10%</t>
        </is>
      </c>
      <c r="CI272" s="145" t="inlineStr">
        <is>
          <t>17%</t>
        </is>
      </c>
      <c r="CJ272" s="145" t="inlineStr">
        <is>
          <t>24%</t>
        </is>
      </c>
      <c r="CK272"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72"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72" s="145" t="inlineStr">
        <is>
          <t>12 months manufacturer standard (typical)</t>
        </is>
      </c>
      <c r="CN272" s="203" t="inlineStr">
        <is>
          <t>https://aixzd.com/robot/cyberdog</t>
        </is>
      </c>
    </row>
    <row r="273" ht="31.5" customHeight="1" s="102">
      <c r="A273" s="143" t="inlineStr">
        <is>
          <t>go2</t>
        </is>
      </c>
      <c r="B273" s="160" t="inlineStr">
        <is>
          <t>Website</t>
        </is>
      </c>
      <c r="C273" s="145" t="inlineStr">
        <is>
          <t>Unitree</t>
        </is>
      </c>
      <c r="D273" s="145" t="inlineStr">
        <is>
          <t>Go2</t>
        </is>
      </c>
      <c r="E273" s="145" t="inlineStr">
        <is>
          <t>[Unitree] Go2 (2023)</t>
        </is>
      </c>
      <c r="F273" s="163" t="inlineStr">
        <is>
          <t>campanionoid</t>
        </is>
      </c>
      <c r="G273" s="145" t="inlineStr">
        <is>
          <t>China</t>
        </is>
      </c>
      <c r="H273" s="147" t="n">
        <v>2023</v>
      </c>
      <c r="I273" s="148" t="n">
        <v>1600</v>
      </c>
      <c r="J273" s="145" t="inlineStr">
        <is>
          <t>Website store</t>
        </is>
      </c>
      <c r="K273" s="149" t="inlineStr">
        <is>
          <t>Go2 is Unitree's quadruped — 12 (3 per leg) DOF, ≈ 15–18 lb continuous payload, Air ≈ 5.6 mph · Pro/EDU ≈ 7.8–8.3 mph. Unitree 4D LiDAR L1 (360° × 90°, ≈2 in minimum range class); aimed at first robot dog, education, demos, entry research fleets.</t>
        </is>
      </c>
      <c r="L273" s="101" t="inlineStr">
        <is>
          <t>Go2 is Unitree's quadruped — 12 (3 per leg) DOF, ≈ 15–18 lb continuous payload, Air ≈ 5.6 mph · Pro/EDU ≈ 7.8–8.3 mph. Unitree 4D LiDAR L1 (360° × 90°, ≈2 in minimum range class); aimed at first robot dog, education, demos, entry research fleets.</t>
        </is>
      </c>
      <c r="M273" s="101" t="inlineStr">
        <is>
          <t>Go2 is the 2023 consumer follow-on to Unitree’s Go1 and A1 quadrupeds. It put 4D LiDAR and app control into a price band that turned robot dogs into a retail category rather than a lab curiosity. Air, Pro, and EDU remain the three public trims.</t>
        </is>
      </c>
      <c r="N273" s="145" t="n"/>
      <c r="O273" s="145" t="inlineStr">
        <is>
          <t>https://www.unitree.com</t>
        </is>
      </c>
      <c r="P273" s="145" t="inlineStr">
        <is>
          <t>Not disclosed</t>
        </is>
      </c>
      <c r="Q273" s="145" t="n"/>
      <c r="R273" s="145" t="inlineStr">
        <is>
          <t>≈ 33 lb with battery</t>
        </is>
      </c>
      <c r="S273" s="145" t="n"/>
      <c r="T273" s="149" t="inlineStr">
        <is>
          <t>≈ 28 × 12 × 16 in</t>
        </is>
      </c>
      <c r="U273" s="145" t="n"/>
      <c r="V273" s="145" t="inlineStr">
        <is>
          <t>12 (3 per leg) DOF</t>
        </is>
      </c>
      <c r="W273" s="149" t="n"/>
      <c r="X273" s="145" t="inlineStr">
        <is>
          <t>≈ 15–18 lb continuous</t>
        </is>
      </c>
      <c r="Y273" s="145" t="n"/>
      <c r="Z273" s="145" t="inlineStr">
        <is>
          <t>Air ≈ 5.6 mph · Pro/EDU ≈ 7.8–8.3 mph</t>
        </is>
      </c>
      <c r="AA273" s="145" t="n"/>
      <c r="AB273" s="145" t="n"/>
      <c r="AC273" s="149" t="inlineStr">
        <is>
          <t>8 000 mAh (1–2 h) · long-range 15 000 mAh option (2–4 h)</t>
        </is>
      </c>
      <c r="AD273" s="149" t="n"/>
      <c r="AE273" s="145" t="n"/>
      <c r="AF273" s="145" t="inlineStr">
        <is>
          <t>Standard and optional fast charger; hot-swap battery on supported packs</t>
        </is>
      </c>
      <c r="AG273" s="149" t="n"/>
      <c r="AH273" s="145" t="n"/>
      <c r="AI273" s="145" t="n"/>
      <c r="AJ273" s="149" t="inlineStr">
        <is>
          <t>Vision suite for service and interaction tasks</t>
        </is>
      </c>
      <c r="AK273" s="149" t="n"/>
      <c r="AL273" s="145" t="inlineStr">
        <is>
          <t>Live streaming via app; resolution depends on controller / EDU compute path</t>
        </is>
      </c>
      <c r="AM273" s="145" t="n"/>
      <c r="AN273" s="145" t="inlineStr">
        <is>
          <t>Unitree 4D LiDAR L1 (360° × 90°, ≈2 in minimum range class)</t>
        </is>
      </c>
      <c r="AO273" s="145" t="n"/>
      <c r="AP273" s="145" t="inlineStr">
        <is>
          <t>4D LiDAR, wide-angle camera, IMU</t>
        </is>
      </c>
      <c r="AQ273" s="145" t="n"/>
      <c r="AR273" s="145" t="inlineStr">
        <is>
          <t>Not disclosed</t>
        </is>
      </c>
      <c r="AS273" s="145" t="inlineStr">
        <is>
          <t>Basic controller (Air) · optional Jetson Orin 40–100 TOPS (EDU)</t>
        </is>
      </c>
      <c r="AT273" s="149" t="n"/>
      <c r="AU273" s="149" t="inlineStr">
        <is>
          <t>Wi-Fi 6, Bluetooth 5.2 · 4G on higher tiers</t>
        </is>
      </c>
      <c r="AV273" s="145" t="inlineStr">
        <is>
          <t>Service-robot software stack</t>
        </is>
      </c>
      <c r="AW273" s="149" t="inlineStr">
        <is>
          <t>Obstacle perception via LiDAR + camera; programmed gait modes</t>
        </is>
      </c>
      <c r="AX273" s="145" t="n"/>
      <c r="AY273" s="149" t="n"/>
      <c r="AZ273" s="149" t="n"/>
      <c r="BA273" s="149" t="n"/>
      <c r="BB273" s="149" t="inlineStr">
        <is>
          <t>Not disclosed</t>
        </is>
      </c>
      <c r="BC273" s="149" t="n"/>
      <c r="BD273" s="145" t="n"/>
      <c r="BE273" s="145" t="inlineStr">
        <is>
          <t>IP-class outdoor use on Pro/EDU (confirm exact rating on configuration)</t>
        </is>
      </c>
      <c r="BF273" s="145" t="n"/>
      <c r="BG273" s="145" t="n"/>
      <c r="BH273" s="145" t="n"/>
      <c r="BI273" s="145" t="n"/>
      <c r="BJ273" s="145" t="n"/>
      <c r="BK273" s="145" t="n"/>
      <c r="BL273" s="145" t="n"/>
      <c r="BM273" s="145" t="n"/>
      <c r="BN273" s="145" t="n"/>
      <c r="BO273" s="149" t="n"/>
      <c r="BP273" s="145" t="inlineStr">
        <is>
          <t>Not disclosed</t>
        </is>
      </c>
      <c r="BQ273" s="149" t="inlineStr">
        <is>
          <t>Families, STEM classrooms, content creators, and light outdoor exploring where cost and availability matter most.</t>
        </is>
      </c>
      <c r="BR273" s="149" t="inlineStr">
        <is>
          <t>Not disclosed</t>
        </is>
      </c>
      <c r="BS273" s="149" t="n"/>
      <c r="BT273" s="145" t="n"/>
      <c r="BU273" s="145" t="n"/>
      <c r="BV273" s="149" t="n"/>
      <c r="BW273" s="149" t="inlineStr">
        <is>
          <t>Origin &amp; status — China · 2023 | Mobility — 12 (3 per leg) DOF · Payload ≈ 15–18 lb continuous · Top speed Air ≈ 5.6 mph · Pro/EDU ≈ 7.8–8.3 mph · IP-class outdoor use on Pro/EDU (confirm exact rating on config… | Sensing &amp; software — Unitree 4D LiDAR L1 (360° × 90°, ≈2 in minimum range class) | Buying notes — $1,600 · 6 mo Air / 12 mo Pro &amp; EDU · Best fit: First robot dog, education, demos, entry research fleets</t>
        </is>
      </c>
      <c r="BX273" s="149" t="inlineStr">
        <is>
          <t>air|Go2 Air|1600|Entry companion || pro|Go2 Pro|2800|Full consumer || edu|Go2 EDU|11190|Research / SDK</t>
        </is>
      </c>
      <c r="BY273" s="145" t="inlineStr">
        <is>
          <t>white|Arctic White|#f0f0f0|0 || black|Graphite Black|#1a1a1a|0 || blue|Unitree Blue|#2563eb|0</t>
        </is>
      </c>
      <c r="BZ273" s="145" t="inlineStr">
        <is>
          <t>battery_go2, battery_go2_long, charger_go2, charger_go2_fast, controller_go2, servo_arm_go2</t>
        </is>
      </c>
      <c r="CA273" s="149" t="inlineStr">
        <is>
          <t>3 configuration tiers; Add-ons: battery_d1, skin_d1, case; 2 color options; Multi-year extended warranty available</t>
        </is>
      </c>
      <c r="CB273" s="149" t="inlineStr">
        <is>
          <t>12 months manufacturer standard (typical by tier)</t>
        </is>
      </c>
      <c r="CC273" s="147" t="n">
        <v>12</v>
      </c>
      <c r="CD273" s="149" t="inlineStr">
        <is>
          <t>+3 Year Extended ≈24% of configuration (default in configurator)</t>
        </is>
      </c>
      <c r="CE273" s="145" t="inlineStr">
        <is>
          <t>Category norm for AgiBot commercial platforms</t>
        </is>
      </c>
      <c r="CF273" s="145" t="inlineStr">
        <is>
          <t>Estimated</t>
        </is>
      </c>
      <c r="CG273" s="149" t="inlineStr">
        <is>
          <t>Confirm tier-specific term on formal quote.</t>
        </is>
      </c>
      <c r="CH273" s="145" t="inlineStr">
        <is>
          <t>10%</t>
        </is>
      </c>
      <c r="CI273" s="145" t="inlineStr">
        <is>
          <t>17%</t>
        </is>
      </c>
      <c r="CJ273" s="145" t="inlineStr">
        <is>
          <t>24%</t>
        </is>
      </c>
      <c r="CK273"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73"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73" s="145" t="inlineStr">
        <is>
          <t>12 months manufacturer standard (typical by tier)</t>
        </is>
      </c>
      <c r="CN273" s="203" t="inlineStr">
        <is>
          <t>https://aixzd.com/robot/unitree-go2</t>
        </is>
      </c>
      <c r="CO273" s="203" t="inlineStr">
        <is>
          <t>https://theresanaiforthat.com/robots/</t>
        </is>
      </c>
      <c r="CP273" s="203" t="inlineStr">
        <is>
          <t>Cross-checked against TAAFT Robots directory (669 entries) 28 Aug 2026 — individual TAAFT permalinks are JS/Cloudflare gated.</t>
        </is>
      </c>
    </row>
    <row r="274" ht="31.5" customHeight="1" s="102">
      <c r="A274" s="143" t="inlineStr">
        <is>
          <t>spot</t>
        </is>
      </c>
      <c r="B274" s="160" t="inlineStr">
        <is>
          <t>Website</t>
        </is>
      </c>
      <c r="C274" s="145" t="inlineStr">
        <is>
          <t>Boston Dynamics</t>
        </is>
      </c>
      <c r="D274" s="145" t="inlineStr">
        <is>
          <t>Spot</t>
        </is>
      </c>
      <c r="E274" s="145" t="inlineStr">
        <is>
          <t>[Boston Dynamics] Spot (2020)</t>
        </is>
      </c>
      <c r="F274" s="163" t="inlineStr">
        <is>
          <t>campanionoid</t>
        </is>
      </c>
      <c r="G274" s="145" t="inlineStr">
        <is>
          <t>China</t>
        </is>
      </c>
      <c r="H274" s="147" t="n">
        <v>2020</v>
      </c>
      <c r="I274" s="148" t="n">
        <v>74500</v>
      </c>
      <c r="J274" s="145" t="inlineStr">
        <is>
          <t>2026 configured public-record band (Explorer $74.5k list retired)</t>
        </is>
      </c>
      <c r="K274" s="149" t="inlineStr">
        <is>
          <t>Spot is Boston Dynamics's quadruped — 12 (3 per leg) DOF, ≈ 31 lb recommended total payload payload, ≈ 3.6 mph (1.6 m/s nominal). Optional payload LiDAR and sensor packages; aimed at inspection, mapping, hazardous environments.</t>
        </is>
      </c>
      <c r="L274" s="101" t="inlineStr">
        <is>
          <t>Spot is Boston Dynamics's quadruped — 12 (3 per leg) DOF, ≈ 31 lb recommended total payload payload, ≈ 3.6 mph (1.6 m/s nominal). Optional payload LiDAR and sensor packages; aimed at inspection, mapping, hazardous environments.</t>
        </is>
      </c>
      <c r="M274" s="101" t="inlineStr">
        <is>
          <t>Boston Dynamics spent years on BigDog and LS3 before productizing Spot in 2020. Spot is the company’s first commercially sold robot at scale — an industrial quadruped used for inspection, mapping, and payload work rather than a research demo. Explorer, Enterprise, and Arm packages are the public configurations.</t>
        </is>
      </c>
      <c r="N274" s="145" t="n"/>
      <c r="O274" s="145" t="inlineStr">
        <is>
          <t>https://www.bostondynamics.com</t>
        </is>
      </c>
      <c r="P274" s="145" t="inlineStr">
        <is>
          <t>≈ 2 ft 0 in default walking (min ≈ 1 ft 8.5 in · max ≈ 2 ft 3.6 in · sitting ≈ 0 ft 7.5 in)</t>
        </is>
      </c>
      <c r="Q274" s="145" t="n"/>
      <c r="R274" s="145" t="inlineStr">
        <is>
          <t>≈ 72–75 lb with battery</t>
        </is>
      </c>
      <c r="S274" s="145" t="n"/>
      <c r="T274" s="149" t="inlineStr">
        <is>
          <t>≈ 43.3 × 19.7 × 24.0 in (L × W × default walking height; max walking height ≈ 27.6 in)</t>
        </is>
      </c>
      <c r="U274" s="145" t="n"/>
      <c r="V274" s="145" t="inlineStr">
        <is>
          <t>12 DOF</t>
        </is>
      </c>
      <c r="W274" s="149" t="n"/>
      <c r="X274" s="145" t="inlineStr">
        <is>
          <t>≈ 31 lb recommended total payload</t>
        </is>
      </c>
      <c r="Y274" s="145" t="n"/>
      <c r="Z274" s="145" t="inlineStr">
        <is>
          <t>≈ 3.6 mph (1.6 m/s nominal)</t>
        </is>
      </c>
      <c r="AA274" s="145" t="n"/>
      <c r="AB274" s="145" t="n"/>
      <c r="AC274" s="149" t="inlineStr">
        <is>
          <t>≈ 564 Wh · typical runtime ≈ 90 min (≈ 60 min with powered payloads)</t>
        </is>
      </c>
      <c r="AD274" s="149" t="n"/>
      <c r="AE274" s="145" t="n"/>
      <c r="AF274" s="145" t="inlineStr">
        <is>
          <t>Spot Dock ≈ 50–120 min depending on conditions; hot-swap battery ≈ 11.5 lb</t>
        </is>
      </c>
      <c r="AG274" s="149" t="n"/>
      <c r="AH274" s="145" t="n"/>
      <c r="AI274" s="145" t="n"/>
      <c r="AJ274" s="149" t="inlineStr">
        <is>
          <t>Vision suite for service and interaction tasks</t>
        </is>
      </c>
      <c r="AK274" s="149" t="n"/>
      <c r="AL274" s="145" t="inlineStr">
        <is>
          <t>360° situational video; livestream and recording with optional payload cameras</t>
        </is>
      </c>
      <c r="AM274" s="145" t="n"/>
      <c r="AN274" s="145" t="inlineStr">
        <is>
          <t>Optional payload LiDAR and sensor packages</t>
        </is>
      </c>
      <c r="AO274" s="145" t="n"/>
      <c r="AP274" s="145" t="inlineStr">
        <is>
          <t>Projected stereo depth ≈ 13 ft range; 360° optical coverage</t>
        </is>
      </c>
      <c r="AQ274" s="145" t="n"/>
      <c r="AR274" s="145" t="inlineStr">
        <is>
          <t>Not disclosed</t>
        </is>
      </c>
      <c r="AS274" s="145" t="inlineStr">
        <is>
          <t>Not disclosed</t>
        </is>
      </c>
      <c r="AT274" s="149" t="n"/>
      <c r="AU274" s="149" t="inlineStr">
        <is>
          <t>Not disclosed</t>
        </is>
      </c>
      <c r="AV274" s="145" t="inlineStr">
        <is>
          <t>Service-robot software stack</t>
        </is>
      </c>
      <c r="AW274" s="149" t="inlineStr">
        <is>
          <t>Dynamic stair and terrain mobility; autonomous mission routes</t>
        </is>
      </c>
      <c r="AX274" s="145" t="n"/>
      <c r="AY274" s="149" t="n"/>
      <c r="AZ274" s="149" t="n"/>
      <c r="BA274" s="149" t="n"/>
      <c r="BB274" s="149" t="inlineStr">
        <is>
          <t>Not disclosed</t>
        </is>
      </c>
      <c r="BC274" s="149" t="n"/>
      <c r="BD274" s="145" t="n"/>
      <c r="BE274" s="145" t="inlineStr">
        <is>
          <t>IP54</t>
        </is>
      </c>
      <c r="BF274" s="145" t="n"/>
      <c r="BG274" s="145" t="n"/>
      <c r="BH274" s="145" t="n"/>
      <c r="BI274" s="145" t="n"/>
      <c r="BJ274" s="145" t="n"/>
      <c r="BK274" s="145" t="n"/>
      <c r="BL274" s="145" t="n"/>
      <c r="BM274" s="145" t="n"/>
      <c r="BN274" s="145" t="n"/>
      <c r="BO274" s="149" t="n"/>
      <c r="BP274" s="145" t="inlineStr">
        <is>
          <t>Industrial indoor/outdoor inspection environments</t>
        </is>
      </c>
      <c r="BQ274" s="149" t="inlineStr">
        <is>
          <t>Industrial inspection, public safety, and research groups that need a mature, supported quadruped platform.</t>
        </is>
      </c>
      <c r="BR274" s="149" t="inlineStr">
        <is>
          <t>Not disclosed</t>
        </is>
      </c>
      <c r="BS274" s="149" t="n"/>
      <c r="BT274" s="145" t="n"/>
      <c r="BU274" s="145" t="n"/>
      <c r="BV274" s="149" t="n"/>
      <c r="BW274" s="149" t="inlineStr">
        <is>
          <t>Origin &amp; status — China · 2020 | Mobility — 12 DOF · Payload ≈ 31 lb recommended total payload · Top speed ≈ 3.6 mph (1.6 m/s nominal) · IP54 | Sensing &amp; software — Optional payload LiDAR and sensor packages | Buying notes — $74,500 · 12 months manufacturer standard (typical by tier) · Best fit: Inspection, mapping, hazardous environments</t>
        </is>
      </c>
      <c r="BX274" s="149" t="inlineStr">
        <is>
          <t>explorer|Spot Explorer|74500|Core mobility || enterprise|Spot Enterprise|94500|Site ops || arm|Spot + Arm|124500|Mobile manipulation</t>
        </is>
      </c>
      <c r="BY274" s="145" t="inlineStr">
        <is>
          <t>yellow|Spot Yellow|#eab308|0</t>
        </is>
      </c>
      <c r="BZ274" s="145" t="inlineStr">
        <is>
          <t>spot_dock, spot_cam, arm_spot, orbit_software</t>
        </is>
      </c>
      <c r="CA274" s="149" t="inlineStr">
        <is>
          <t>3 configuration tiers; Add-ons: battery_d1, skin_d1, case; 2 color options; Multi-year extended warranty available</t>
        </is>
      </c>
      <c r="CB274" s="149" t="inlineStr">
        <is>
          <t>12 months manufacturer standard (typical by tier)</t>
        </is>
      </c>
      <c r="CC274" s="147" t="n">
        <v>12</v>
      </c>
      <c r="CD274" s="149" t="inlineStr">
        <is>
          <t>+3 Year Extended ≈24% of configuration (default in configurator)</t>
        </is>
      </c>
      <c r="CE274" s="145" t="inlineStr">
        <is>
          <t>Category norm for AgiBot commercial platforms</t>
        </is>
      </c>
      <c r="CF274" s="145" t="inlineStr">
        <is>
          <t>Estimated</t>
        </is>
      </c>
      <c r="CG274" s="149" t="inlineStr">
        <is>
          <t>Confirm tier-specific term on formal quote.</t>
        </is>
      </c>
      <c r="CH274" s="145" t="inlineStr">
        <is>
          <t>10%</t>
        </is>
      </c>
      <c r="CI274" s="145" t="inlineStr">
        <is>
          <t>17%</t>
        </is>
      </c>
      <c r="CJ274" s="145" t="inlineStr">
        <is>
          <t>24%</t>
        </is>
      </c>
      <c r="CK274"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74"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74" s="145" t="inlineStr">
        <is>
          <t>12 months manufacturer standard (typical by tier)</t>
        </is>
      </c>
      <c r="CO274" s="203" t="inlineStr">
        <is>
          <t>https://theresanaiforthat.com/robots/</t>
        </is>
      </c>
      <c r="CP274" s="203" t="inlineStr">
        <is>
          <t>Cross-checked against TAAFT Robots directory (669 entries) 28 Aug 2026 — individual TAAFT permalinks are JS/Cloudflare gated.</t>
        </is>
      </c>
    </row>
    <row r="275" ht="31.5" customHeight="1" s="102">
      <c r="A275" s="143" t="inlineStr">
        <is>
          <t>aimoga_robotics_argos_x1</t>
        </is>
      </c>
      <c r="B275" s="160" t="inlineStr">
        <is>
          <t>Website</t>
        </is>
      </c>
      <c r="C275" s="145" t="inlineStr">
        <is>
          <t>AiMOGA Robotics</t>
        </is>
      </c>
      <c r="D275" s="145" t="inlineStr">
        <is>
          <t>Argos X1</t>
        </is>
      </c>
      <c r="E275" s="145" t="inlineStr">
        <is>
          <t>[AiMOGA] Argos X1 (2025)</t>
        </is>
      </c>
      <c r="F275" s="163" t="inlineStr">
        <is>
          <t>campanionoid</t>
        </is>
      </c>
      <c r="G275" s="145" t="inlineStr">
        <is>
          <t>China</t>
        </is>
      </c>
      <c r="H275" s="147" t="n">
        <v>2025</v>
      </c>
      <c r="I275" s="148" t="n">
        <v>15800</v>
      </c>
      <c r="J275" s="145" t="inlineStr">
        <is>
          <t>Website store</t>
        </is>
      </c>
      <c r="K275" s="149" t="inlineStr">
        <is>
          <t>Argos X1 is AiMOGA Robotics's quadruped — 12 DOF, ≈ 5.6 mph. Optional or standard on mid/high tiers; aimed at enterprise.</t>
        </is>
      </c>
      <c r="L275" s="101" t="inlineStr">
        <is>
          <t>Argos X1 is AiMOGA Robotics's quadruped — 12 DOF, ≈ 5.6 mph. Optional or standard on mid/high tiers; aimed at enterprise.</t>
        </is>
      </c>
      <c r="M275" s="101" t="inlineStr">
        <is>
          <t>Argos X1 is AiMOGA Robotics's quadruped — 12 DOF, ≈ 5.6 mph. Optional or standard on mid/high tiers; aimed at enterprise. Public status is listed as available, and it is positioned for enterprise / Consumer crossover.</t>
        </is>
      </c>
      <c r="N275" s="145" t="n"/>
      <c r="O275" s="145" t="inlineStr">
        <is>
          <t>https://aimoga-robot.com</t>
        </is>
      </c>
      <c r="P275" s="145" t="inlineStr">
        <is>
          <t>Not disclosed</t>
        </is>
      </c>
      <c r="Q275" s="145" t="n"/>
      <c r="R275" s="145" t="inlineStr">
        <is>
          <t>≈ 30 lb</t>
        </is>
      </c>
      <c r="S275" s="145" t="n"/>
      <c r="T275" s="149" t="inlineStr">
        <is>
          <t>Not disclosed</t>
        </is>
      </c>
      <c r="U275" s="145" t="n"/>
      <c r="V275" s="145" t="inlineStr">
        <is>
          <t>12 DOF</t>
        </is>
      </c>
      <c r="W275" s="149" t="n"/>
      <c r="X275" s="145" t="inlineStr">
        <is>
          <t>Not disclosed</t>
        </is>
      </c>
      <c r="Y275" s="145" t="n"/>
      <c r="Z275" s="145" t="inlineStr">
        <is>
          <t>≈ 5.6 mph</t>
        </is>
      </c>
      <c r="AA275" s="145" t="n"/>
      <c r="AB275" s="145" t="n"/>
      <c r="AC275" s="149" t="inlineStr">
        <is>
          <t>Not disclosed</t>
        </is>
      </c>
      <c r="AD275" s="149" t="n"/>
      <c r="AE275" s="145" t="n"/>
      <c r="AF275" s="145" t="inlineStr">
        <is>
          <t>Not disclosed</t>
        </is>
      </c>
      <c r="AG275" s="149" t="n"/>
      <c r="AH275" s="145" t="n"/>
      <c r="AI275" s="145" t="n"/>
      <c r="AJ275" s="149" t="inlineStr">
        <is>
          <t>Vision suite for service and interaction tasks</t>
        </is>
      </c>
      <c r="AK275" s="149" t="n"/>
      <c r="AL275" s="145" t="inlineStr">
        <is>
          <t>Live view and recording when camera payload equipped</t>
        </is>
      </c>
      <c r="AM275" s="145" t="n"/>
      <c r="AN275" s="145" t="inlineStr">
        <is>
          <t>Optional or standard on mid/high tiers</t>
        </is>
      </c>
      <c r="AO275" s="145" t="n"/>
      <c r="AP275" s="145" t="inlineStr">
        <is>
          <t>Not disclosed</t>
        </is>
      </c>
      <c r="AQ275" s="145" t="n"/>
      <c r="AR275" s="145" t="inlineStr">
        <is>
          <t>Not disclosed</t>
        </is>
      </c>
      <c r="AS275" s="145" t="inlineStr">
        <is>
          <t>Not disclosed</t>
        </is>
      </c>
      <c r="AT275" s="149" t="n"/>
      <c r="AU275" s="149" t="inlineStr">
        <is>
          <t>Not disclosed</t>
        </is>
      </c>
      <c r="AV275" s="145" t="inlineStr">
        <is>
          <t>Service-robot software stack</t>
        </is>
      </c>
      <c r="AW275" s="149" t="inlineStr">
        <is>
          <t>Quadruped gait library with terrain adaptation on higher models</t>
        </is>
      </c>
      <c r="AX275" s="145" t="n"/>
      <c r="AY275" s="149" t="n"/>
      <c r="AZ275" s="149" t="n"/>
      <c r="BA275" s="149" t="n"/>
      <c r="BB275" s="149" t="inlineStr">
        <is>
          <t>Not disclosed</t>
        </is>
      </c>
      <c r="BC275" s="149" t="n"/>
      <c r="BD275" s="145" t="n"/>
      <c r="BE275" s="145" t="inlineStr">
        <is>
          <t>Not disclosed</t>
        </is>
      </c>
      <c r="BF275" s="145" t="n"/>
      <c r="BG275" s="145" t="n"/>
      <c r="BH275" s="145" t="n"/>
      <c r="BI275" s="145" t="n"/>
      <c r="BJ275" s="145" t="n"/>
      <c r="BK275" s="145" t="n"/>
      <c r="BL275" s="145" t="n"/>
      <c r="BM275" s="145" t="n"/>
      <c r="BN275" s="145" t="n"/>
      <c r="BO275" s="149" t="n"/>
      <c r="BP275" s="145" t="inlineStr">
        <is>
          <t>Not disclosed</t>
        </is>
      </c>
      <c r="BQ275" s="149" t="inlineStr">
        <is>
          <t>Teams evaluating Chinese quadrupeds beyond Unitree and Deep Robotics.</t>
        </is>
      </c>
      <c r="BR275" s="149" t="inlineStr">
        <is>
          <t>Available</t>
        </is>
      </c>
      <c r="BS275" s="149" t="n"/>
      <c r="BT275" s="145" t="n"/>
      <c r="BU275" s="145" t="n"/>
      <c r="BV275" s="149" t="n"/>
      <c r="BW275" s="149" t="inlineStr">
        <is>
          <t>Origin &amp; status — China · Available · 2025 | Mobility — 12 DOF · Payload Not disclosed · Top speed ≈ 5.6 mph | Sensing &amp; software — Optional or standard on mid/high tiers | Buying notes — $15,800 · 12 months manufacturer standard (typical by tier) · Best fit: Chery EV-backed; enterprise expanding to consumer</t>
        </is>
      </c>
      <c r="BX275" s="149" t="inlineStr">
        <is>
          <t>as_shipped|Argos X1|15800|As shipped</t>
        </is>
      </c>
      <c r="BY275" s="145" t="inlineStr">
        <is>
          <t>argos_x1|Manufacturer finish|#e2e8f0|0</t>
        </is>
      </c>
      <c r="BZ275" s="145" t="inlineStr"/>
      <c r="CA275" s="149" t="inlineStr">
        <is>
          <t>3 configuration tiers; Add-ons: battery_d1, skin_d1, case; 2 color options; Multi-year extended warranty available</t>
        </is>
      </c>
      <c r="CB275" s="149" t="inlineStr">
        <is>
          <t>12 months manufacturer standard (typical by tier)</t>
        </is>
      </c>
      <c r="CC275" s="147" t="n">
        <v>12</v>
      </c>
      <c r="CD275" s="149" t="inlineStr">
        <is>
          <t>+3 Year Extended ≈24% of configuration (default in configurator)</t>
        </is>
      </c>
      <c r="CE275" s="145" t="inlineStr">
        <is>
          <t>Category norm for AgiBot commercial platforms</t>
        </is>
      </c>
      <c r="CF275" s="145" t="inlineStr">
        <is>
          <t>Estimated</t>
        </is>
      </c>
      <c r="CG275" s="149" t="inlineStr">
        <is>
          <t>Confirm tier-specific term on formal quote.</t>
        </is>
      </c>
      <c r="CH275" s="145" t="inlineStr">
        <is>
          <t>10%</t>
        </is>
      </c>
      <c r="CI275" s="145" t="inlineStr">
        <is>
          <t>17%</t>
        </is>
      </c>
      <c r="CJ275" s="145" t="inlineStr">
        <is>
          <t>24%</t>
        </is>
      </c>
      <c r="CK27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7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75" s="145" t="inlineStr">
        <is>
          <t>12 months manufacturer standard (typical by tier)</t>
        </is>
      </c>
    </row>
    <row r="276" ht="31.5" customHeight="1" s="102">
      <c r="A276" s="143" t="inlineStr">
        <is>
          <t>unitree_aliengo_a1_a2_a2</t>
        </is>
      </c>
      <c r="B276" s="160" t="inlineStr">
        <is>
          <t>Website</t>
        </is>
      </c>
      <c r="C276" s="145" t="inlineStr">
        <is>
          <t>Unitree</t>
        </is>
      </c>
      <c r="D276" s="145" t="inlineStr">
        <is>
          <t>A2</t>
        </is>
      </c>
      <c r="E276" s="145" t="inlineStr">
        <is>
          <t>[Unitree] A2 (2019)</t>
        </is>
      </c>
      <c r="F276" s="163" t="inlineStr">
        <is>
          <t>campanionoid</t>
        </is>
      </c>
      <c r="G276" s="145" t="inlineStr">
        <is>
          <t>China</t>
        </is>
      </c>
      <c r="H276" s="147" t="n">
        <v>2019</v>
      </c>
      <c r="I276" s="148" t="n">
        <v>31900</v>
      </c>
      <c r="J276" s="145" t="inlineStr">
        <is>
          <t>Robot Price Index Aug 2026 · Stellar Explorer</t>
        </is>
      </c>
      <c r="K276" s="149" t="inlineStr">
        <is>
          <t>A2 is Unitree's quadruped — 12 DOF, ≈ 22–29 lb continuous payload, ≈ 3.4–4.0 mph class. Common on research Aliengo builds; aimed at research.</t>
        </is>
      </c>
      <c r="L276" s="101" t="inlineStr">
        <is>
          <t>A2 is Unitree's quadruped — 12 DOF, ≈ 22–29 lb continuous payload, ≈ 3.4–4.0 mph class. Common on research Aliengo builds; aimed at research.</t>
        </is>
      </c>
      <c r="M276" s="101" t="inlineStr">
        <is>
          <t>A2 is Unitree's quadruped — 12 DOF, ≈ 22–29 lb continuous payload, ≈ 3.4–4.0 mph class. Common on research Aliengo builds; aimed at research. It is positioned for research / Industrial.</t>
        </is>
      </c>
      <c r="N276" s="145" t="n"/>
      <c r="O276" s="145" t="inlineStr">
        <is>
          <t>https://www.unitree.com</t>
        </is>
      </c>
      <c r="P276" s="145" t="inlineStr">
        <is>
          <t>≈ 1 ft 10.4 in standing</t>
        </is>
      </c>
      <c r="Q276" s="145" t="n"/>
      <c r="R276" s="145" t="inlineStr">
        <is>
          <t>≈ 42–46 lb with battery (Aliengo class)</t>
        </is>
      </c>
      <c r="S276" s="145" t="n"/>
      <c r="T276" s="149" t="inlineStr">
        <is>
          <t>≈ 25.6 × 12.2 × 23.6 in (Aliengo class)</t>
        </is>
      </c>
      <c r="U276" s="145" t="n"/>
      <c r="V276" s="145" t="inlineStr">
        <is>
          <t>12 DOF</t>
        </is>
      </c>
      <c r="W276" s="149" t="n"/>
      <c r="X276" s="145" t="inlineStr">
        <is>
          <t>≈ 22–29 lb continuous</t>
        </is>
      </c>
      <c r="Y276" s="145" t="n"/>
      <c r="Z276" s="145" t="inlineStr">
        <is>
          <t>≈ 3.4–4.0 mph class</t>
        </is>
      </c>
      <c r="AA276" s="145" t="n"/>
      <c r="AB276" s="145" t="n"/>
      <c r="AC276" s="149" t="inlineStr">
        <is>
          <t>≈ 2.5–4.6 h · ≈ 12 600 mAh class pack</t>
        </is>
      </c>
      <c r="AD276" s="149" t="n"/>
      <c r="AE276" s="145" t="n"/>
      <c r="AF276" s="145" t="inlineStr">
        <is>
          <t>Not disclosed</t>
        </is>
      </c>
      <c r="AG276" s="149" t="n"/>
      <c r="AH276" s="145" t="n"/>
      <c r="AI276" s="145" t="n"/>
      <c r="AJ276" s="149" t="inlineStr">
        <is>
          <t>Vision suite for service and interaction tasks</t>
        </is>
      </c>
      <c r="AK276" s="149" t="n"/>
      <c r="AL276" s="145" t="inlineStr">
        <is>
          <t>Not disclosed</t>
        </is>
      </c>
      <c r="AM276" s="145" t="n"/>
      <c r="AN276" s="145" t="inlineStr">
        <is>
          <t>Common on research Aliengo builds</t>
        </is>
      </c>
      <c r="AO276" s="145" t="n"/>
      <c r="AP276" s="145" t="inlineStr">
        <is>
          <t>Foot force sensors; depth + VIO</t>
        </is>
      </c>
      <c r="AQ276" s="145" t="n"/>
      <c r="AR276" s="145" t="inlineStr">
        <is>
          <t>Not disclosed</t>
        </is>
      </c>
      <c r="AS276" s="145" t="inlineStr">
        <is>
          <t>Not disclosed</t>
        </is>
      </c>
      <c r="AT276" s="149" t="n"/>
      <c r="AU276" s="149" t="inlineStr">
        <is>
          <t>Not disclosed</t>
        </is>
      </c>
      <c r="AV276" s="145" t="inlineStr">
        <is>
          <t>Service-robot software stack</t>
        </is>
      </c>
      <c r="AW276" s="149" t="inlineStr">
        <is>
          <t>Research quadruped locomotion</t>
        </is>
      </c>
      <c r="AX276" s="145" t="n"/>
      <c r="AY276" s="149" t="n"/>
      <c r="AZ276" s="149" t="n"/>
      <c r="BA276" s="149" t="n"/>
      <c r="BB276" s="149" t="inlineStr">
        <is>
          <t>Not disclosed</t>
        </is>
      </c>
      <c r="BC276" s="149" t="n"/>
      <c r="BD276" s="145" t="n"/>
      <c r="BE276" s="145" t="inlineStr">
        <is>
          <t>Not disclosed</t>
        </is>
      </c>
      <c r="BF276" s="145" t="n"/>
      <c r="BG276" s="145" t="n"/>
      <c r="BH276" s="145" t="n"/>
      <c r="BI276" s="145" t="n"/>
      <c r="BJ276" s="145" t="n"/>
      <c r="BK276" s="145" t="n"/>
      <c r="BL276" s="145" t="n"/>
      <c r="BM276" s="145" t="n"/>
      <c r="BN276" s="145" t="n"/>
      <c r="BO276" s="149" t="n"/>
      <c r="BP276" s="145" t="inlineStr">
        <is>
          <t>Not disclosed</t>
        </is>
      </c>
      <c r="BQ276" s="149" t="inlineStr">
        <is>
          <t>Research labs and industrial teams needing proven Unitree quadrupeds beyond Go2.</t>
        </is>
      </c>
      <c r="BR276" s="149" t="inlineStr">
        <is>
          <t>Not disclosed</t>
        </is>
      </c>
      <c r="BS276" s="149" t="n"/>
      <c r="BT276" s="145" t="n"/>
      <c r="BU276" s="145" t="n"/>
      <c r="BV276" s="149" t="n"/>
      <c r="BW276" s="149" t="inlineStr">
        <is>
          <t>Origin &amp; status — China · 2019 | Mobility — 12 DOF · Payload ≈ 22–29 lb continuous · Top speed ≈ 3.4–4.0 mph class | Sensing &amp; software — Common on research Aliengo builds | Buying notes — $31,900 · 12 months manufacturer standard (typical by tier) · Best fit: Entry to higher research and industrial quadrupeds from Unitree</t>
        </is>
      </c>
      <c r="BX276" s="149" t="inlineStr">
        <is>
          <t>as_shipped|A2|31900|As shipped</t>
        </is>
      </c>
      <c r="BY276" s="145" t="inlineStr">
        <is>
          <t>a2|Manufacturer finish|#e2e8f0|0</t>
        </is>
      </c>
      <c r="BZ276" s="145" t="inlineStr"/>
      <c r="CA276" s="149" t="inlineStr">
        <is>
          <t>3 configuration tiers; Add-ons: battery_d1, skin_d1, case; 2 color options; Multi-year extended warranty available</t>
        </is>
      </c>
      <c r="CB276" s="149" t="inlineStr">
        <is>
          <t>12 months manufacturer standard (typical by tier)</t>
        </is>
      </c>
      <c r="CC276" s="147" t="n">
        <v>12</v>
      </c>
      <c r="CD276" s="149" t="inlineStr">
        <is>
          <t>+3 Year Extended ≈24% of configuration (default in configurator)</t>
        </is>
      </c>
      <c r="CE276" s="145" t="inlineStr">
        <is>
          <t>Category norm for AgiBot commercial platforms</t>
        </is>
      </c>
      <c r="CF276" s="145" t="inlineStr">
        <is>
          <t>Estimated</t>
        </is>
      </c>
      <c r="CG276" s="149" t="inlineStr">
        <is>
          <t>Confirm tier-specific term on formal quote.</t>
        </is>
      </c>
      <c r="CH276" s="145" t="inlineStr">
        <is>
          <t>10%</t>
        </is>
      </c>
      <c r="CI276" s="145" t="inlineStr">
        <is>
          <t>17%</t>
        </is>
      </c>
      <c r="CJ276" s="145" t="inlineStr">
        <is>
          <t>24%</t>
        </is>
      </c>
      <c r="CK276"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76"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76" s="145" t="inlineStr">
        <is>
          <t>12 months manufacturer standard (typical by tier)</t>
        </is>
      </c>
      <c r="CN276" s="203" t="inlineStr">
        <is>
          <t>https://aixzd.com/robot/unitree-a2</t>
        </is>
      </c>
      <c r="CO276" s="203" t="inlineStr">
        <is>
          <t>https://theresanaiforthat.com/robots/</t>
        </is>
      </c>
      <c r="CP276" s="203" t="inlineStr">
        <is>
          <t>Cross-checked against TAAFT Robots directory (669 entries) 28 Aug 2026 — individual TAAFT permalinks are JS/Cloudflare gated.</t>
        </is>
      </c>
    </row>
    <row r="277" ht="31.5" customHeight="1" s="102">
      <c r="A277" s="143" t="inlineStr">
        <is>
          <t>weilan_industrial_quadruped</t>
        </is>
      </c>
      <c r="B277" s="160" t="inlineStr">
        <is>
          <t>Website</t>
        </is>
      </c>
      <c r="C277" s="145" t="inlineStr">
        <is>
          <t>Weilan</t>
        </is>
      </c>
      <c r="D277" s="145" t="inlineStr">
        <is>
          <t>Industrial Quadruped</t>
        </is>
      </c>
      <c r="E277" s="145" t="inlineStr">
        <is>
          <t>[Weilan] Industrial Quadruped (2022)</t>
        </is>
      </c>
      <c r="F277" s="163" t="inlineStr">
        <is>
          <t>campanionoid</t>
        </is>
      </c>
      <c r="G277" s="145" t="inlineStr">
        <is>
          <t>China</t>
        </is>
      </c>
      <c r="H277" s="147" t="n">
        <v>2022</v>
      </c>
      <c r="I277" s="148" t="n">
        <v>25000</v>
      </c>
      <c r="J277" s="145" t="inlineStr">
        <is>
          <t>Website store</t>
        </is>
      </c>
      <c r="K277" s="149" t="inlineStr">
        <is>
          <t>Industrial Quadruped is Weilan's quadruped. Optional or standard on mid/high tiers; aimed at industrial.</t>
        </is>
      </c>
      <c r="L277" s="101" t="inlineStr">
        <is>
          <t>Industrial Quadruped is Weilan's quadruped. Optional or standard on mid/high tiers; aimed at industrial.</t>
        </is>
      </c>
      <c r="M277" s="101" t="inlineStr">
        <is>
          <t>Industrial Quadruped is Weilan's quadruped. Optional or standard on mid/high tiers; aimed at industrial.</t>
        </is>
      </c>
      <c r="N277" s="145" t="n"/>
      <c r="O277" s="145" t="inlineStr">
        <is>
          <t>https://www.weilan.com</t>
        </is>
      </c>
      <c r="P277" s="145" t="inlineStr">
        <is>
          <t>Not disclosed</t>
        </is>
      </c>
      <c r="Q277" s="145" t="n"/>
      <c r="R277" s="145" t="inlineStr">
        <is>
          <t>Not disclosed</t>
        </is>
      </c>
      <c r="S277" s="145" t="n"/>
      <c r="T277" s="149" t="inlineStr">
        <is>
          <t>Not disclosed</t>
        </is>
      </c>
      <c r="U277" s="145" t="n"/>
      <c r="V277" s="145" t="inlineStr">
        <is>
          <t>Not disclosed</t>
        </is>
      </c>
      <c r="W277" s="149" t="n"/>
      <c r="X277" s="145" t="inlineStr">
        <is>
          <t>Not disclosed</t>
        </is>
      </c>
      <c r="Y277" s="145" t="n"/>
      <c r="Z277" s="145" t="inlineStr">
        <is>
          <t>Not disclosed</t>
        </is>
      </c>
      <c r="AA277" s="145" t="n"/>
      <c r="AB277" s="145" t="n"/>
      <c r="AC277" s="149" t="inlineStr">
        <is>
          <t>Not disclosed</t>
        </is>
      </c>
      <c r="AD277" s="149" t="n"/>
      <c r="AE277" s="145" t="n"/>
      <c r="AF277" s="145" t="inlineStr">
        <is>
          <t>Not disclosed</t>
        </is>
      </c>
      <c r="AG277" s="149" t="n"/>
      <c r="AH277" s="145" t="n"/>
      <c r="AI277" s="145" t="n"/>
      <c r="AJ277" s="149" t="inlineStr">
        <is>
          <t>Vision suite for service and interaction tasks</t>
        </is>
      </c>
      <c r="AK277" s="149" t="n"/>
      <c r="AL277" s="145" t="inlineStr">
        <is>
          <t>Live view and recording when camera payload equipped</t>
        </is>
      </c>
      <c r="AM277" s="145" t="n"/>
      <c r="AN277" s="145" t="inlineStr">
        <is>
          <t>Optional or standard on mid/high tiers</t>
        </is>
      </c>
      <c r="AO277" s="145" t="n"/>
      <c r="AP277" s="145" t="inlineStr">
        <is>
          <t>Not disclosed</t>
        </is>
      </c>
      <c r="AQ277" s="145" t="n"/>
      <c r="AR277" s="145" t="inlineStr">
        <is>
          <t>Not disclosed</t>
        </is>
      </c>
      <c r="AS277" s="145" t="inlineStr">
        <is>
          <t>Not disclosed</t>
        </is>
      </c>
      <c r="AT277" s="149" t="n"/>
      <c r="AU277" s="149" t="inlineStr">
        <is>
          <t>Not disclosed</t>
        </is>
      </c>
      <c r="AV277" s="145" t="inlineStr">
        <is>
          <t>Service-robot software stack</t>
        </is>
      </c>
      <c r="AW277" s="149" t="inlineStr">
        <is>
          <t>Quadruped gait library with terrain adaptation on higher models</t>
        </is>
      </c>
      <c r="AX277" s="145" t="n"/>
      <c r="AY277" s="149" t="n"/>
      <c r="AZ277" s="149" t="n"/>
      <c r="BA277" s="149" t="n"/>
      <c r="BB277" s="149" t="inlineStr">
        <is>
          <t>Not disclosed</t>
        </is>
      </c>
      <c r="BC277" s="149" t="n"/>
      <c r="BD277" s="145" t="n"/>
      <c r="BE277" s="145" t="inlineStr">
        <is>
          <t>Not disclosed</t>
        </is>
      </c>
      <c r="BF277" s="145" t="n"/>
      <c r="BG277" s="145" t="n"/>
      <c r="BH277" s="145" t="n"/>
      <c r="BI277" s="145" t="n"/>
      <c r="BJ277" s="145" t="n"/>
      <c r="BK277" s="145" t="n"/>
      <c r="BL277" s="145" t="n"/>
      <c r="BM277" s="145" t="n"/>
      <c r="BN277" s="145" t="n"/>
      <c r="BO277" s="149" t="n"/>
      <c r="BP277" s="145" t="inlineStr">
        <is>
          <t>Not disclosed</t>
        </is>
      </c>
      <c r="BQ277" s="149" t="inlineStr">
        <is>
          <t>Industrial inspection and professional quadruped applications.</t>
        </is>
      </c>
      <c r="BR277" s="149" t="inlineStr">
        <is>
          <t>Not disclosed</t>
        </is>
      </c>
      <c r="BS277" s="149" t="n"/>
      <c r="BT277" s="145" t="n"/>
      <c r="BU277" s="145" t="n"/>
      <c r="BV277" s="149" t="n"/>
      <c r="BW277" s="149" t="inlineStr">
        <is>
          <t>Origin &amp; status — China · 2022 | Mobility — Payload Not disclosed · Top speed Not disclosed | Sensing &amp; software — Optional or standard on mid/high tiers | Buying notes — $25,000 · 12 months manufacturer standard (typical by tier) · Best fit: Enterprise / Contact for pricing</t>
        </is>
      </c>
      <c r="BX277" s="149" t="inlineStr">
        <is>
          <t>as_shipped|Industrial Quadruped|25000|As shipped</t>
        </is>
      </c>
      <c r="BY277" s="145" t="inlineStr">
        <is>
          <t>industrial_quadruped|Manufacturer finish|#e2e8f0|0</t>
        </is>
      </c>
      <c r="BZ277" s="145" t="inlineStr"/>
      <c r="CA277" s="149" t="inlineStr">
        <is>
          <t>3 configuration tiers; Add-ons: battery_d1, skin_d1, case; 2 color options; Multi-year extended warranty available</t>
        </is>
      </c>
      <c r="CB277" s="149" t="inlineStr">
        <is>
          <t>12 months manufacturer standard (typical by tier)</t>
        </is>
      </c>
      <c r="CC277" s="147" t="n">
        <v>12</v>
      </c>
      <c r="CD277" s="149" t="inlineStr">
        <is>
          <t>+3 Year Extended ≈24% of configuration (default in configurator)</t>
        </is>
      </c>
      <c r="CE277" s="145" t="inlineStr">
        <is>
          <t>Category norm for AgiBot commercial platforms</t>
        </is>
      </c>
      <c r="CF277" s="145" t="inlineStr">
        <is>
          <t>Estimated</t>
        </is>
      </c>
      <c r="CG277" s="149" t="inlineStr">
        <is>
          <t>Confirm tier-specific term on formal quote.</t>
        </is>
      </c>
      <c r="CH277" s="145" t="inlineStr">
        <is>
          <t>10%</t>
        </is>
      </c>
      <c r="CI277" s="145" t="inlineStr">
        <is>
          <t>17%</t>
        </is>
      </c>
      <c r="CJ277" s="145" t="inlineStr">
        <is>
          <t>24%</t>
        </is>
      </c>
      <c r="CK277"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77"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77" s="145" t="inlineStr">
        <is>
          <t>12 months manufacturer standard (typical by tier)</t>
        </is>
      </c>
    </row>
    <row r="278" ht="31.5" customHeight="1" s="102">
      <c r="A278" s="143" t="inlineStr">
        <is>
          <t>acsl_soten_industrial_series</t>
        </is>
      </c>
      <c r="B278" s="160" t="inlineStr">
        <is>
          <t>Website</t>
        </is>
      </c>
      <c r="C278" s="145" t="inlineStr">
        <is>
          <t>ACSL</t>
        </is>
      </c>
      <c r="D278" s="145" t="inlineStr">
        <is>
          <t>SOTEN Industrial</t>
        </is>
      </c>
      <c r="E278" s="145" t="inlineStr">
        <is>
          <t>[ACSL] SOTEN Industrial (2010)</t>
        </is>
      </c>
      <c r="F278" s="164" t="inlineStr">
        <is>
          <t>aerial</t>
        </is>
      </c>
      <c r="G278" s="145" t="inlineStr">
        <is>
          <t>Japan</t>
        </is>
      </c>
      <c r="H278" s="147" t="n">
        <v>2010</v>
      </c>
      <c r="I278" s="148" t="n">
        <v>10000</v>
      </c>
      <c r="J278" s="145" t="inlineStr">
        <is>
          <t>Website store</t>
        </is>
      </c>
      <c r="K278" s="149" t="inlineStr">
        <is>
          <t>SOTEN Industrial is ACSL's aerial robot — camera-centric. Industrial inspection cameras; aimed at industrial.</t>
        </is>
      </c>
      <c r="L278" s="101" t="inlineStr">
        <is>
          <t>SOTEN Industrial is ACSL's aerial robot — camera-centric. Industrial inspection cameras; aimed at industrial.</t>
        </is>
      </c>
      <c r="M278" s="101" t="inlineStr">
        <is>
          <t>SOTEN Industrial is ACSL's aerial robot — camera-centric. Industrial inspection cameras; aimed at industrial. It is positioned for industrial / Survey / Inspection.</t>
        </is>
      </c>
      <c r="N278" s="145" t="n"/>
      <c r="O278" s="145" t="inlineStr">
        <is>
          <t>https://www.acsl.co.jp</t>
        </is>
      </c>
      <c r="P278" s="145" t="n"/>
      <c r="Q278" s="145" t="n"/>
      <c r="R278" s="145" t="inlineStr">
        <is>
          <t>Not disclosed</t>
        </is>
      </c>
      <c r="S278" s="145" t="n"/>
      <c r="T278" s="149" t="inlineStr">
        <is>
          <t>Not disclosed</t>
        </is>
      </c>
      <c r="U278" s="145" t="n"/>
      <c r="V278" s="145" t="n"/>
      <c r="W278" s="149" t="n"/>
      <c r="X278" s="145" t="inlineStr">
        <is>
          <t>Not disclosed</t>
        </is>
      </c>
      <c r="Y278" s="145" t="n"/>
      <c r="Z278" s="145" t="inlineStr">
        <is>
          <t>Not disclosed</t>
        </is>
      </c>
      <c r="AA278" s="145" t="n"/>
      <c r="AB278" s="145" t="n"/>
      <c r="AC278" s="149" t="inlineStr">
        <is>
          <t>Not disclosed</t>
        </is>
      </c>
      <c r="AD278" s="149" t="n"/>
      <c r="AE278" s="145" t="inlineStr">
        <is>
          <t>Not disclosed</t>
        </is>
      </c>
      <c r="AF278" s="145" t="inlineStr">
        <is>
          <t>Not disclosed</t>
        </is>
      </c>
      <c r="AG278" s="149" t="n"/>
      <c r="AH278" s="145" t="n"/>
      <c r="AI278" s="145" t="n"/>
      <c r="AJ278" s="149" t="inlineStr">
        <is>
          <t>Industrial inspection cameras</t>
        </is>
      </c>
      <c r="AK278" s="149" t="n"/>
      <c r="AL278" s="145" t="inlineStr">
        <is>
          <t>Secure industrial video paths</t>
        </is>
      </c>
      <c r="AM278" s="145" t="inlineStr">
        <is>
          <t>Not disclosed</t>
        </is>
      </c>
      <c r="AN278" s="145" t="n"/>
      <c r="AO278" s="145" t="n"/>
      <c r="AP278" s="145" t="n"/>
      <c r="AQ278" s="145" t="n"/>
      <c r="AR278" s="145" t="inlineStr">
        <is>
          <t>Not disclosed</t>
        </is>
      </c>
      <c r="AS278" s="145" t="inlineStr">
        <is>
          <t>Not disclosed</t>
        </is>
      </c>
      <c r="AT278" s="149" t="n"/>
      <c r="AU278" s="149" t="inlineStr">
        <is>
          <t>Not disclosed</t>
        </is>
      </c>
      <c r="AV278" s="145" t="inlineStr">
        <is>
          <t>ACSL industrial flight software</t>
        </is>
      </c>
      <c r="AW278" s="149" t="n"/>
      <c r="AX278" s="145" t="n"/>
      <c r="AY278" s="149" t="n"/>
      <c r="AZ278" s="149" t="n"/>
      <c r="BA278" s="149" t="n"/>
      <c r="BB278" s="149" t="n"/>
      <c r="BC278" s="149" t="n"/>
      <c r="BD278" s="145" t="n"/>
      <c r="BE278" s="145" t="inlineStr">
        <is>
          <t>Not disclosed</t>
        </is>
      </c>
      <c r="BF278" s="145" t="n"/>
      <c r="BG278" s="145" t="n"/>
      <c r="BH278" s="145" t="inlineStr">
        <is>
          <t>Not disclosed</t>
        </is>
      </c>
      <c r="BI278" s="145" t="n"/>
      <c r="BJ278" s="145" t="n"/>
      <c r="BK278" s="145" t="n"/>
      <c r="BL278" s="145" t="n"/>
      <c r="BM278" s="145" t="n"/>
      <c r="BN278" s="145" t="n"/>
      <c r="BO278" s="149" t="n"/>
      <c r="BP278" s="145" t="inlineStr">
        <is>
          <t>Not disclosed</t>
        </is>
      </c>
      <c r="BQ278" s="149" t="inlineStr">
        <is>
          <t>Industrial / Survey / Inspection</t>
        </is>
      </c>
      <c r="BR278" s="149" t="inlineStr">
        <is>
          <t>Not disclosed</t>
        </is>
      </c>
      <c r="BS278" s="149" t="n"/>
      <c r="BT278" s="145" t="n"/>
      <c r="BU278" s="145" t="n"/>
      <c r="BV278" s="149" t="inlineStr">
        <is>
          <t>Japanese NDAA-friendly industrial multirotor; strong enterprise &amp; infrastructure focus</t>
        </is>
      </c>
      <c r="BW278" s="149" t="inlineStr">
        <is>
          <t>Origin &amp; status — Japan · 2010 | Flight — Flight time Not disclosed · Range Not disclosed · Payload Not disclosed | Sensing — Industrial inspection cameras | Buying notes — $10,000 · 12 months manufacturer standard (typical) · Best fit: Japanese NDAA-friendly industrial multirotor; strong enterprise &amp; infrastructure focus</t>
        </is>
      </c>
      <c r="BX278" s="149" t="inlineStr">
        <is>
          <t>as_shipped|SOTEN Industrial|10000|As shipped</t>
        </is>
      </c>
      <c r="BY278" s="145" t="inlineStr">
        <is>
          <t>soten_industrial|Manufacturer finish|#e2e8f0|0</t>
        </is>
      </c>
      <c r="BZ278" s="145" t="inlineStr"/>
      <c r="CA278" s="149" t="inlineStr">
        <is>
          <t>Add-ons: case; 2 color options; Multi-year extended warranty available</t>
        </is>
      </c>
      <c r="CB278" s="149" t="inlineStr">
        <is>
          <t>12 months manufacturer standard (typical)</t>
        </is>
      </c>
      <c r="CC278" s="147" t="n">
        <v>12</v>
      </c>
      <c r="CD278" s="149" t="inlineStr">
        <is>
          <t>+3 Year Extended ≈24% of configuration (default in configurator)</t>
        </is>
      </c>
      <c r="CE278" s="145" t="inlineStr">
        <is>
          <t>Industry default when OEM sheet not public</t>
        </is>
      </c>
      <c r="CF278" s="145" t="inlineStr">
        <is>
          <t>Estimated</t>
        </is>
      </c>
      <c r="CG278" s="149" t="inlineStr">
        <is>
          <t>Always confirm exact warranty on formal quote before purchase.</t>
        </is>
      </c>
      <c r="CH278" s="145" t="inlineStr">
        <is>
          <t>10%</t>
        </is>
      </c>
      <c r="CI278" s="145" t="inlineStr">
        <is>
          <t>17%</t>
        </is>
      </c>
      <c r="CJ278" s="145" t="inlineStr">
        <is>
          <t>24%</t>
        </is>
      </c>
      <c r="CK278"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78"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78" s="145" t="inlineStr">
        <is>
          <t>12 months manufacturer standard (typical)</t>
        </is>
      </c>
    </row>
    <row r="279" ht="31.5" customHeight="1" s="102">
      <c r="A279" s="159" t="inlineStr">
        <is>
          <t>aerovironment_rq_11_raven</t>
        </is>
      </c>
      <c r="B279" s="160" t="inlineStr">
        <is>
          <t>Website</t>
        </is>
      </c>
      <c r="C279" s="152" t="inlineStr">
        <is>
          <t>AeroVironment</t>
        </is>
      </c>
      <c r="D279" s="152" t="inlineStr">
        <is>
          <t>RQ-11 Raven</t>
        </is>
      </c>
      <c r="E279" s="152" t="inlineStr">
        <is>
          <t>[AeroVironment] RQ-11 Raven (2003)</t>
        </is>
      </c>
      <c r="F279" s="164" t="inlineStr">
        <is>
          <t>aerial</t>
        </is>
      </c>
      <c r="G279" s="152" t="inlineStr">
        <is>
          <t>USA</t>
        </is>
      </c>
      <c r="H279" s="154" t="n">
        <v>2003</v>
      </c>
      <c r="I279" s="155" t="n">
        <v>85000</v>
      </c>
      <c r="J279" s="152" t="inlineStr">
        <is>
          <t>RQ-11 Raven configured system estimate</t>
        </is>
      </c>
      <c r="K279" s="156" t="inlineStr">
        <is>
          <t>RQ-11 Raven is AeroVironment's aerial robot — camera-centric. EO/IR nose payloads (variant dependent); aimed at military.</t>
        </is>
      </c>
      <c r="L279" s="101" t="inlineStr">
        <is>
          <t>RQ-11 Raven is AeroVironment's aerial robot — camera-centric. EO/IR nose payloads (variant dependent); aimed at military.</t>
        </is>
      </c>
      <c r="M279" s="101" t="inlineStr">
        <is>
          <t>RQ-11 Raven is AeroVironment's aerial robot — camera-centric. EO/IR nose payloads (variant dependent); aimed at military. It is positioned for military / Tactical.</t>
        </is>
      </c>
      <c r="N279" s="152" t="n"/>
      <c r="O279" s="152" t="inlineStr">
        <is>
          <t>https://www.avinc.com</t>
        </is>
      </c>
      <c r="P279" s="152" t="n"/>
      <c r="Q279" s="152" t="n"/>
      <c r="R279" s="152" t="inlineStr">
        <is>
          <t>Not disclosed</t>
        </is>
      </c>
      <c r="S279" s="152" t="n"/>
      <c r="T279" s="156" t="inlineStr">
        <is>
          <t>Not disclosed</t>
        </is>
      </c>
      <c r="U279" s="152" t="n"/>
      <c r="V279" s="152" t="n"/>
      <c r="W279" s="156" t="n"/>
      <c r="X279" s="152" t="inlineStr">
        <is>
          <t>Not disclosed</t>
        </is>
      </c>
      <c r="Y279" s="152" t="n"/>
      <c r="Z279" s="152" t="inlineStr">
        <is>
          <t>Not disclosed</t>
        </is>
      </c>
      <c r="AA279" s="152" t="n"/>
      <c r="AB279" s="152" t="n"/>
      <c r="AC279" s="156" t="inlineStr">
        <is>
          <t>Not disclosed</t>
        </is>
      </c>
      <c r="AD279" s="156" t="n"/>
      <c r="AE279" s="152" t="inlineStr">
        <is>
          <t>Not disclosed</t>
        </is>
      </c>
      <c r="AF279" s="152" t="inlineStr">
        <is>
          <t>Not disclosed</t>
        </is>
      </c>
      <c r="AG279" s="156" t="n"/>
      <c r="AH279" s="152" t="n"/>
      <c r="AI279" s="152" t="n"/>
      <c r="AJ279" s="156" t="inlineStr">
        <is>
          <t>EO/IR nose payloads (variant dependent)</t>
        </is>
      </c>
      <c r="AK279" s="156" t="n"/>
      <c r="AL279" s="152" t="inlineStr">
        <is>
          <t>Tactical ISR video</t>
        </is>
      </c>
      <c r="AM279" s="152" t="inlineStr">
        <is>
          <t>Not disclosed</t>
        </is>
      </c>
      <c r="AN279" s="152" t="n"/>
      <c r="AO279" s="152" t="n"/>
      <c r="AP279" s="152" t="n"/>
      <c r="AQ279" s="152" t="n"/>
      <c r="AR279" s="152" t="inlineStr">
        <is>
          <t>Not disclosed</t>
        </is>
      </c>
      <c r="AS279" s="152" t="inlineStr">
        <is>
          <t>Not disclosed</t>
        </is>
      </c>
      <c r="AT279" s="156" t="n"/>
      <c r="AU279" s="156" t="inlineStr">
        <is>
          <t>Not disclosed</t>
        </is>
      </c>
      <c r="AV279" s="152" t="inlineStr">
        <is>
          <t>Hand-launch portable GCS</t>
        </is>
      </c>
      <c r="AW279" s="156" t="n"/>
      <c r="AX279" s="152" t="n"/>
      <c r="AY279" s="156" t="n"/>
      <c r="AZ279" s="156" t="n"/>
      <c r="BA279" s="156" t="n"/>
      <c r="BB279" s="156" t="n"/>
      <c r="BC279" s="156" t="n"/>
      <c r="BD279" s="152" t="n"/>
      <c r="BE279" s="152" t="inlineStr">
        <is>
          <t>Not disclosed</t>
        </is>
      </c>
      <c r="BF279" s="152" t="n"/>
      <c r="BG279" s="152" t="n"/>
      <c r="BH279" s="152" t="inlineStr">
        <is>
          <t>Not disclosed</t>
        </is>
      </c>
      <c r="BI279" s="152" t="n"/>
      <c r="BJ279" s="152" t="n"/>
      <c r="BK279" s="152" t="n"/>
      <c r="BL279" s="152" t="n"/>
      <c r="BM279" s="152" t="n"/>
      <c r="BN279" s="152" t="n"/>
      <c r="BO279" s="156" t="n"/>
      <c r="BP279" s="152" t="inlineStr">
        <is>
          <t>Not disclosed</t>
        </is>
      </c>
      <c r="BQ279" s="156" t="inlineStr">
        <is>
          <t>Military / Tactical</t>
        </is>
      </c>
      <c r="BR279" s="156" t="inlineStr">
        <is>
          <t>Not disclosed</t>
        </is>
      </c>
      <c r="BS279" s="156" t="n"/>
      <c r="BT279" s="152" t="n"/>
      <c r="BU279" s="152" t="n"/>
      <c r="BV279" s="156" t="inlineStr">
        <is>
          <t>Hand-launched fixed-wing small tactical UAV; widely fielded</t>
        </is>
      </c>
      <c r="BW279" s="156" t="inlineStr">
        <is>
          <t>Origin &amp; status — USA · 2003 | Flight — Flight time Not disclosed · Range Not disclosed · Payload Not disclosed | Sensing — EO/IR nose payloads (variant dependent) | Buying notes — 35,000+ · 12 months limited / contract-dependent · Best fit: Hand-launched fixed-wing small tactical UAV; widely fielded</t>
        </is>
      </c>
      <c r="BX279" s="156" t="inlineStr">
        <is>
          <t>as_shipped|RQ-11 Raven|85000|As shipped</t>
        </is>
      </c>
      <c r="BY279" s="152" t="inlineStr">
        <is>
          <t>rq_11_raven|Manufacturer finish|#e2e8f0|0</t>
        </is>
      </c>
      <c r="BZ279" s="152" t="inlineStr"/>
      <c r="CA279" s="156" t="inlineStr">
        <is>
          <t>Add-ons: case; 2 color options; Multi-year extended warranty available</t>
        </is>
      </c>
      <c r="CB279" s="156" t="inlineStr">
        <is>
          <t>12 months limited / contract-dependent</t>
        </is>
      </c>
      <c r="CC279" s="154" t="n">
        <v>12</v>
      </c>
      <c r="CD279" s="156" t="inlineStr">
        <is>
          <t>+3 Year Extended ≈24% of configuration (default in configurator)</t>
        </is>
      </c>
      <c r="CE279" s="152" t="inlineStr">
        <is>
          <t>Enterprise &amp; OEM UAV norms</t>
        </is>
      </c>
      <c r="CF279" s="152" t="inlineStr">
        <is>
          <t>Estimated</t>
        </is>
      </c>
      <c r="CG279" s="156" t="inlineStr">
        <is>
          <t>Military/industrial UAVs often under program SLA rather than retail warranty.</t>
        </is>
      </c>
      <c r="CH279" s="152" t="inlineStr">
        <is>
          <t>10%</t>
        </is>
      </c>
      <c r="CI279" s="152" t="inlineStr">
        <is>
          <t>17%</t>
        </is>
      </c>
      <c r="CJ279" s="152" t="inlineStr">
        <is>
          <t>24%</t>
        </is>
      </c>
      <c r="CK279"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79"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79" s="152" t="inlineStr">
        <is>
          <t>12 months limited / contract-dependent</t>
        </is>
      </c>
    </row>
    <row r="280" ht="31.5" customHeight="1" s="102">
      <c r="A280" s="143" t="inlineStr">
        <is>
          <t>autel_robotics_evo</t>
        </is>
      </c>
      <c r="B280" s="160" t="inlineStr">
        <is>
          <t>Website</t>
        </is>
      </c>
      <c r="C280" s="145" t="inlineStr">
        <is>
          <t>Autel Robotics</t>
        </is>
      </c>
      <c r="D280" s="145" t="inlineStr">
        <is>
          <t>EVO</t>
        </is>
      </c>
      <c r="E280" s="145" t="inlineStr">
        <is>
          <t>[Autel] EVO (2018)</t>
        </is>
      </c>
      <c r="F280" s="164" t="inlineStr">
        <is>
          <t>aerial</t>
        </is>
      </c>
      <c r="G280" s="145" t="inlineStr">
        <is>
          <t>China</t>
        </is>
      </c>
      <c r="H280" s="147" t="n">
        <v>2018</v>
      </c>
      <c r="I280" s="148" t="n">
        <v>899</v>
      </c>
      <c r="J280" s="145" t="inlineStr">
        <is>
          <t>Website store</t>
        </is>
      </c>
      <c r="K280" s="149" t="inlineStr">
        <is>
          <t>EVO is Autel Robotics's aerial robot — Up to ≈ 40 min class on later EVO models flight time, camera-centric. RGB / thermal options by SKU; aimed at consumer Foldable.</t>
        </is>
      </c>
      <c r="L280" s="101" t="inlineStr">
        <is>
          <t>EVO is Autel Robotics's aerial robot — Up to ≈ 40 min class on later EVO models flight time, camera-centric. RGB / thermal options by SKU; aimed at consumer Foldable.</t>
        </is>
      </c>
      <c r="M280" s="101" t="inlineStr">
        <is>
          <t>EVO is Autel Robotics's aerial robot — Up to ≈ 40 min class on later EVO models flight time, camera-centric. RGB / thermal options by SKU; aimed at consumer Foldable.</t>
        </is>
      </c>
      <c r="N280" s="145" t="n"/>
      <c r="O280" s="145" t="inlineStr">
        <is>
          <t>https://www.autelrobotics.com</t>
        </is>
      </c>
      <c r="P280" s="145" t="n"/>
      <c r="Q280" s="145" t="n"/>
      <c r="R280" s="145" t="inlineStr">
        <is>
          <t>≈ 2.0–3.5 lb class depending on EVO generation</t>
        </is>
      </c>
      <c r="S280" s="145" t="n"/>
      <c r="T280" s="149" t="inlineStr">
        <is>
          <t>Not disclosed</t>
        </is>
      </c>
      <c r="U280" s="145" t="n"/>
      <c r="V280" s="145" t="n"/>
      <c r="W280" s="149" t="n"/>
      <c r="X280" s="145" t="inlineStr">
        <is>
          <t>Not disclosed</t>
        </is>
      </c>
      <c r="Y280" s="145" t="n"/>
      <c r="Z280" s="145" t="inlineStr">
        <is>
          <t>Not disclosed</t>
        </is>
      </c>
      <c r="AA280" s="145" t="n"/>
      <c r="AB280" s="145" t="n"/>
      <c r="AC280" s="149" t="inlineStr">
        <is>
          <t>Not disclosed</t>
        </is>
      </c>
      <c r="AD280" s="149" t="n"/>
      <c r="AE280" s="145" t="inlineStr">
        <is>
          <t>Up to ≈ 40 min class on later EVO models</t>
        </is>
      </c>
      <c r="AF280" s="145" t="inlineStr">
        <is>
          <t>Not disclosed</t>
        </is>
      </c>
      <c r="AG280" s="149" t="n"/>
      <c r="AH280" s="145" t="n"/>
      <c r="AI280" s="145" t="n"/>
      <c r="AJ280" s="149" t="inlineStr">
        <is>
          <t>RGB / thermal options by SKU</t>
        </is>
      </c>
      <c r="AK280" s="149" t="n"/>
      <c r="AL280" s="145" t="inlineStr">
        <is>
          <t>Up to 4K–6K class depending on generation</t>
        </is>
      </c>
      <c r="AM280" s="145" t="inlineStr">
        <is>
          <t>3-axis</t>
        </is>
      </c>
      <c r="AN280" s="145" t="n"/>
      <c r="AO280" s="145" t="n"/>
      <c r="AP280" s="145" t="n"/>
      <c r="AQ280" s="145" t="n"/>
      <c r="AR280" s="145" t="inlineStr">
        <is>
          <t>Multi-directional on later EVO models</t>
        </is>
      </c>
      <c r="AS280" s="145" t="inlineStr">
        <is>
          <t>Not disclosed</t>
        </is>
      </c>
      <c r="AT280" s="149" t="n"/>
      <c r="AU280" s="149" t="inlineStr">
        <is>
          <t>Not disclosed</t>
        </is>
      </c>
      <c r="AV280" s="145" t="inlineStr">
        <is>
          <t>Autel Sky app and Smart Controller variants</t>
        </is>
      </c>
      <c r="AW280" s="149" t="n"/>
      <c r="AX280" s="145" t="n"/>
      <c r="AY280" s="149" t="n"/>
      <c r="AZ280" s="149" t="n"/>
      <c r="BA280" s="149" t="n"/>
      <c r="BB280" s="149" t="n"/>
      <c r="BC280" s="149" t="n"/>
      <c r="BD280" s="145" t="n"/>
      <c r="BE280" s="145" t="inlineStr">
        <is>
          <t>Not disclosed</t>
        </is>
      </c>
      <c r="BF280" s="145" t="n"/>
      <c r="BG280" s="145" t="n"/>
      <c r="BH280" s="145" t="inlineStr">
        <is>
          <t>Not disclosed</t>
        </is>
      </c>
      <c r="BI280" s="145" t="n"/>
      <c r="BJ280" s="145" t="n"/>
      <c r="BK280" s="145" t="n"/>
      <c r="BL280" s="145" t="n"/>
      <c r="BM280" s="145" t="n"/>
      <c r="BN280" s="145" t="n"/>
      <c r="BO280" s="149" t="n"/>
      <c r="BP280" s="145" t="inlineStr">
        <is>
          <t>Not disclosed</t>
        </is>
      </c>
      <c r="BQ280" s="149" t="inlineStr">
        <is>
          <t>Consumer Foldable</t>
        </is>
      </c>
      <c r="BR280" s="149" t="inlineStr">
        <is>
          <t>Not disclosed</t>
        </is>
      </c>
      <c r="BS280" s="149" t="n"/>
      <c r="BT280" s="145" t="n"/>
      <c r="BU280" s="145" t="n"/>
      <c r="BV280" s="149" t="inlineStr">
        <is>
          <t>Early strong competitor to Mavic series</t>
        </is>
      </c>
      <c r="BW280" s="149" t="inlineStr">
        <is>
          <t>Origin &amp; status — China · 2018 | Flight — Flight time Up to ≈ 40 min class on later EVO models · Range Not disclosed · Payload Not disclosed | Sensing — RGB / thermal options by SKU | Buying notes — $899 · 12 months manufacturer standard (typical) · Best fit: Early strong competitor to Mavic series</t>
        </is>
      </c>
      <c r="BX280" s="149" t="inlineStr">
        <is>
          <t>as_shipped|EVO|899|As shipped</t>
        </is>
      </c>
      <c r="BY280" s="145" t="inlineStr">
        <is>
          <t>evo|Manufacturer finish|#e2e8f0|0</t>
        </is>
      </c>
      <c r="BZ280" s="145" t="inlineStr"/>
      <c r="CA280" s="149" t="inlineStr">
        <is>
          <t>Add-ons: case; 2 color options; Multi-year extended warranty available</t>
        </is>
      </c>
      <c r="CB280" s="149" t="inlineStr">
        <is>
          <t>12 months manufacturer standard (typical)</t>
        </is>
      </c>
      <c r="CC280" s="147" t="n">
        <v>12</v>
      </c>
      <c r="CD280" s="149" t="inlineStr">
        <is>
          <t>+3 Year Extended ≈24% of configuration (default in configurator)</t>
        </is>
      </c>
      <c r="CE280" s="145" t="inlineStr">
        <is>
          <t>Industry default when OEM sheet not public</t>
        </is>
      </c>
      <c r="CF280" s="145" t="inlineStr">
        <is>
          <t>Estimated</t>
        </is>
      </c>
      <c r="CG280" s="149" t="inlineStr">
        <is>
          <t>Always confirm exact warranty on formal quote before purchase.</t>
        </is>
      </c>
      <c r="CH280" s="145" t="inlineStr">
        <is>
          <t>10%</t>
        </is>
      </c>
      <c r="CI280" s="145" t="inlineStr">
        <is>
          <t>17%</t>
        </is>
      </c>
      <c r="CJ280" s="145" t="inlineStr">
        <is>
          <t>24%</t>
        </is>
      </c>
      <c r="CK280"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80"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80" s="145" t="inlineStr">
        <is>
          <t>12 months manufacturer standard (typical)</t>
        </is>
      </c>
    </row>
    <row r="281" ht="31.5" customHeight="1" s="102">
      <c r="A281" s="159" t="inlineStr">
        <is>
          <t>baykar_bayraktar_tb2</t>
        </is>
      </c>
      <c r="B281" s="160" t="inlineStr">
        <is>
          <t>Website</t>
        </is>
      </c>
      <c r="C281" s="152" t="inlineStr">
        <is>
          <t>Baykar</t>
        </is>
      </c>
      <c r="D281" s="152" t="inlineStr">
        <is>
          <t>Bayraktar TB2</t>
        </is>
      </c>
      <c r="E281" s="152" t="inlineStr">
        <is>
          <t>[Baykar] Bayraktar TB2 (2014)</t>
        </is>
      </c>
      <c r="F281" s="164" t="inlineStr">
        <is>
          <t>aerial</t>
        </is>
      </c>
      <c r="G281" s="152" t="inlineStr">
        <is>
          <t>Turkey</t>
        </is>
      </c>
      <c r="H281" s="154" t="n">
        <v>2014</v>
      </c>
      <c r="I281" s="155" t="n">
        <v>5000000</v>
      </c>
      <c r="J281" s="152" t="inlineStr">
        <is>
          <t>Public TB2 export reporting · ~$5M class estimate</t>
        </is>
      </c>
      <c r="K281" s="156" t="inlineStr">
        <is>
          <t>Bayraktar TB2 is Baykar's aerial robot — camera-centric. EO/IR/laser payload turrets; aimed at mALE combat.</t>
        </is>
      </c>
      <c r="L281" s="101" t="inlineStr">
        <is>
          <t>Bayraktar TB2 is Baykar's aerial robot — camera-centric. EO/IR/laser payload turrets; aimed at mALE combat.</t>
        </is>
      </c>
      <c r="M281" s="101" t="inlineStr">
        <is>
          <t>Bayraktar TB2 is Baykar's aerial robot — camera-centric. EO/IR/laser payload turrets; aimed at mALE combat. It is positioned for mALE combat / ISR; major export success.</t>
        </is>
      </c>
      <c r="N281" s="152" t="n"/>
      <c r="O281" s="152" t="inlineStr">
        <is>
          <t>https://baykartech.com</t>
        </is>
      </c>
      <c r="P281" s="152" t="n"/>
      <c r="Q281" s="152" t="n"/>
      <c r="R281" s="152" t="inlineStr">
        <is>
          <t>Not disclosed</t>
        </is>
      </c>
      <c r="S281" s="152" t="n"/>
      <c r="T281" s="156" t="inlineStr">
        <is>
          <t>Not disclosed</t>
        </is>
      </c>
      <c r="U281" s="152" t="n"/>
      <c r="V281" s="152" t="n"/>
      <c r="W281" s="156" t="n"/>
      <c r="X281" s="152" t="inlineStr">
        <is>
          <t>Not disclosed</t>
        </is>
      </c>
      <c r="Y281" s="152" t="n"/>
      <c r="Z281" s="152" t="inlineStr">
        <is>
          <t>Not disclosed</t>
        </is>
      </c>
      <c r="AA281" s="152" t="n"/>
      <c r="AB281" s="152" t="n"/>
      <c r="AC281" s="156" t="inlineStr">
        <is>
          <t>Not disclosed</t>
        </is>
      </c>
      <c r="AD281" s="156" t="n"/>
      <c r="AE281" s="152" t="inlineStr">
        <is>
          <t>Not disclosed</t>
        </is>
      </c>
      <c r="AF281" s="152" t="inlineStr">
        <is>
          <t>Not disclosed</t>
        </is>
      </c>
      <c r="AG281" s="156" t="n"/>
      <c r="AH281" s="152" t="n"/>
      <c r="AI281" s="152" t="n"/>
      <c r="AJ281" s="156" t="inlineStr">
        <is>
          <t>EO/IR/laser payload turrets</t>
        </is>
      </c>
      <c r="AK281" s="156" t="n"/>
      <c r="AL281" s="152" t="inlineStr">
        <is>
          <t>ISR and targeting video</t>
        </is>
      </c>
      <c r="AM281" s="152" t="inlineStr">
        <is>
          <t>Not disclosed</t>
        </is>
      </c>
      <c r="AN281" s="152" t="n"/>
      <c r="AO281" s="152" t="n"/>
      <c r="AP281" s="152" t="n"/>
      <c r="AQ281" s="152" t="n"/>
      <c r="AR281" s="152" t="inlineStr">
        <is>
          <t>Not disclosed</t>
        </is>
      </c>
      <c r="AS281" s="152" t="inlineStr">
        <is>
          <t>Not disclosed</t>
        </is>
      </c>
      <c r="AT281" s="156" t="n"/>
      <c r="AU281" s="156" t="inlineStr">
        <is>
          <t>Not disclosed</t>
        </is>
      </c>
      <c r="AV281" s="152" t="inlineStr">
        <is>
          <t>Ground control station for MALE-class UAV ops</t>
        </is>
      </c>
      <c r="AW281" s="156" t="n"/>
      <c r="AX281" s="152" t="n"/>
      <c r="AY281" s="156" t="n"/>
      <c r="AZ281" s="156" t="n"/>
      <c r="BA281" s="156" t="n"/>
      <c r="BB281" s="156" t="n"/>
      <c r="BC281" s="156" t="n"/>
      <c r="BD281" s="152" t="n"/>
      <c r="BE281" s="152" t="inlineStr">
        <is>
          <t>Not disclosed</t>
        </is>
      </c>
      <c r="BF281" s="152" t="n"/>
      <c r="BG281" s="152" t="n"/>
      <c r="BH281" s="152" t="inlineStr">
        <is>
          <t>Line-of-sight and relay-dependent operational ranges (mission specific)</t>
        </is>
      </c>
      <c r="BI281" s="152" t="n"/>
      <c r="BJ281" s="152" t="n"/>
      <c r="BK281" s="152" t="n"/>
      <c r="BL281" s="152" t="n"/>
      <c r="BM281" s="152" t="n"/>
      <c r="BN281" s="152" t="n"/>
      <c r="BO281" s="156" t="n"/>
      <c r="BP281" s="152" t="inlineStr">
        <is>
          <t>Not disclosed</t>
        </is>
      </c>
      <c r="BQ281" s="156" t="inlineStr">
        <is>
          <t>MALE combat / ISR; major export success</t>
        </is>
      </c>
      <c r="BR281" s="156" t="inlineStr">
        <is>
          <t>Not disclosed</t>
        </is>
      </c>
      <c r="BS281" s="156" t="n"/>
      <c r="BT281" s="152" t="n"/>
      <c r="BU281" s="152" t="n"/>
      <c r="BV281" s="156" t="n"/>
      <c r="BW281" s="156" t="inlineStr">
        <is>
          <t>Origin &amp; status — Turkey · 2014 | Flight — Flight time Not disclosed · Range Line-of-sight and relay-dependent operational ranges (mission specific) · Payload Not disclosed | Sensing — EO/IR/laser payload turrets | Buying notes — Inquiry / Export · 12 months limited / contract-dependent · Best fit: MALE combat / ISR; major export success</t>
        </is>
      </c>
      <c r="BX281" s="156" t="inlineStr">
        <is>
          <t>as_shipped|Bayraktar TB2|5000000|As shipped</t>
        </is>
      </c>
      <c r="BY281" s="152" t="inlineStr">
        <is>
          <t>bayraktar_tb2|Manufacturer finish|#e2e8f0|0</t>
        </is>
      </c>
      <c r="BZ281" s="152" t="inlineStr"/>
      <c r="CA281" s="156" t="inlineStr">
        <is>
          <t>Add-ons: case; 2 color options; Multi-year extended warranty available</t>
        </is>
      </c>
      <c r="CB281" s="156" t="inlineStr">
        <is>
          <t>12 months limited / contract-dependent</t>
        </is>
      </c>
      <c r="CC281" s="154" t="n">
        <v>12</v>
      </c>
      <c r="CD281" s="156" t="inlineStr">
        <is>
          <t>+3 Year Extended ≈24% of configuration (default in configurator)</t>
        </is>
      </c>
      <c r="CE281" s="152" t="inlineStr">
        <is>
          <t>Enterprise &amp; OEM UAV norms</t>
        </is>
      </c>
      <c r="CF281" s="152" t="inlineStr">
        <is>
          <t>Estimated</t>
        </is>
      </c>
      <c r="CG281" s="156" t="inlineStr">
        <is>
          <t>Military/industrial UAVs often under program SLA rather than retail warranty.</t>
        </is>
      </c>
      <c r="CH281" s="152" t="inlineStr">
        <is>
          <t>10%</t>
        </is>
      </c>
      <c r="CI281" s="152" t="inlineStr">
        <is>
          <t>17%</t>
        </is>
      </c>
      <c r="CJ281" s="152" t="inlineStr">
        <is>
          <t>24%</t>
        </is>
      </c>
      <c r="CK281"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81"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81" s="152" t="inlineStr">
        <is>
          <t>12 months limited / contract-dependent</t>
        </is>
      </c>
    </row>
    <row r="282" ht="31.5" customHeight="1" s="102">
      <c r="A282" s="143" t="inlineStr">
        <is>
          <t>dji_air_3</t>
        </is>
      </c>
      <c r="B282" s="160" t="inlineStr">
        <is>
          <t>Website</t>
        </is>
      </c>
      <c r="C282" s="145" t="inlineStr">
        <is>
          <t>DJI</t>
        </is>
      </c>
      <c r="D282" s="145" t="inlineStr">
        <is>
          <t>Air 3</t>
        </is>
      </c>
      <c r="E282" s="145" t="inlineStr">
        <is>
          <t>[DJI] Air 3 (2023)</t>
        </is>
      </c>
      <c r="F282" s="164" t="inlineStr">
        <is>
          <t>aerial</t>
        </is>
      </c>
      <c r="G282" s="145" t="inlineStr">
        <is>
          <t>China</t>
        </is>
      </c>
      <c r="H282" s="147" t="n">
        <v>2023</v>
      </c>
      <c r="I282" s="148" t="n">
        <v>1099</v>
      </c>
      <c r="J282" s="145" t="inlineStr">
        <is>
          <t>Website store</t>
        </is>
      </c>
      <c r="K282" s="149" t="inlineStr">
        <is>
          <t>[DJI] Air 3 (2023) is a aerial platform from DJI (China, 2023), positioned for consumer dual-camera.</t>
        </is>
      </c>
      <c r="L282" s="101" t="inlineStr">
        <is>
          <t>[DJI] Air 3 (2023) is a aerial platform from DJI (China, 2023), positioned for consumer dual-camera.</t>
        </is>
      </c>
      <c r="M282" s="101" t="inlineStr">
        <is>
          <t>[DJI] Air 3 (2023) is a aerial platform from DJI (China, 2023), positioned for consumer dual-camera.</t>
        </is>
      </c>
      <c r="N282" s="145" t="n"/>
      <c r="O282" s="145" t="inlineStr">
        <is>
          <t>https://www.dji.com</t>
        </is>
      </c>
      <c r="P282" s="145" t="n"/>
      <c r="Q282" s="145" t="n"/>
      <c r="R282" s="145" t="inlineStr">
        <is>
          <t>≈ 1.59 lb class (Air 3 / Air 3S family)</t>
        </is>
      </c>
      <c r="S282" s="145" t="n"/>
      <c r="T282" s="149" t="inlineStr">
        <is>
          <t>Not disclosed</t>
        </is>
      </c>
      <c r="U282" s="145" t="n"/>
      <c r="V282" s="145" t="n"/>
      <c r="W282" s="149" t="n"/>
      <c r="X282" s="145" t="inlineStr">
        <is>
          <t>Not disclosed</t>
        </is>
      </c>
      <c r="Y282" s="145" t="n"/>
      <c r="Z282" s="145" t="inlineStr">
        <is>
          <t>≈ 47 mph class</t>
        </is>
      </c>
      <c r="AA282" s="145" t="n"/>
      <c r="AB282" s="145" t="n"/>
      <c r="AC282" s="149" t="inlineStr">
        <is>
          <t>Not disclosed</t>
        </is>
      </c>
      <c r="AD282" s="149" t="n"/>
      <c r="AE282" s="145" t="inlineStr">
        <is>
          <t>Up to ≈ 46 min class</t>
        </is>
      </c>
      <c r="AF282" s="145" t="inlineStr">
        <is>
          <t>Not disclosed</t>
        </is>
      </c>
      <c r="AG282" s="149" t="n"/>
      <c r="AH282" s="145" t="n"/>
      <c r="AI282" s="145" t="n"/>
      <c r="AJ282" s="149" t="inlineStr">
        <is>
          <t>Dual primary cameras (wide + medium tele) on Air 3 / Air 3S</t>
        </is>
      </c>
      <c r="AK282" s="149" t="n"/>
      <c r="AL282" s="145" t="inlineStr">
        <is>
          <t>Up to 4K HDR / 4K/100fps class</t>
        </is>
      </c>
      <c r="AM282" s="145" t="inlineStr">
        <is>
          <t>3-axis gimbal</t>
        </is>
      </c>
      <c r="AN282" s="145" t="n"/>
      <c r="AO282" s="145" t="n"/>
      <c r="AP282" s="145" t="n"/>
      <c r="AQ282" s="145" t="n"/>
      <c r="AR282" s="145" t="inlineStr">
        <is>
          <t>Multi-directional / omnidirectional class</t>
        </is>
      </c>
      <c r="AS282" s="145" t="inlineStr">
        <is>
          <t>Not disclosed</t>
        </is>
      </c>
      <c r="AT282" s="149" t="n"/>
      <c r="AU282" s="149" t="inlineStr">
        <is>
          <t>Not disclosed</t>
        </is>
      </c>
      <c r="AV282" s="145" t="inlineStr">
        <is>
          <t>DJI Fly app + RC-N2 / RC 2 class controllers</t>
        </is>
      </c>
      <c r="AW282" s="149" t="n"/>
      <c r="AX282" s="145" t="n"/>
      <c r="AY282" s="149" t="n"/>
      <c r="AZ282" s="149" t="n"/>
      <c r="BA282" s="149" t="n"/>
      <c r="BB282" s="149" t="n"/>
      <c r="BC282" s="149" t="n"/>
      <c r="BD282" s="145" t="n"/>
      <c r="BE282" s="145" t="inlineStr">
        <is>
          <t>Not disclosed</t>
        </is>
      </c>
      <c r="BF282" s="145" t="n"/>
      <c r="BG282" s="145" t="n"/>
      <c r="BH282" s="145" t="inlineStr">
        <is>
          <t>O4 transmission class</t>
        </is>
      </c>
      <c r="BI282" s="145" t="n"/>
      <c r="BJ282" s="145" t="n"/>
      <c r="BK282" s="145" t="n"/>
      <c r="BL282" s="145" t="n"/>
      <c r="BM282" s="145" t="n"/>
      <c r="BN282" s="145" t="n"/>
      <c r="BO282" s="149" t="n"/>
      <c r="BP282" s="145" t="inlineStr">
        <is>
          <t>Not disclosed</t>
        </is>
      </c>
      <c r="BQ282" s="149" t="inlineStr">
        <is>
          <t>Consumer Dual-Camera</t>
        </is>
      </c>
      <c r="BR282" s="149" t="inlineStr">
        <is>
          <t>Not disclosed</t>
        </is>
      </c>
      <c r="BS282" s="149" t="n"/>
      <c r="BT282" s="145" t="n"/>
      <c r="BU282" s="145" t="n"/>
      <c r="BV282" s="149" t="inlineStr">
        <is>
          <t>Dual wide + tele cameras; long flight times; O4 transmission system</t>
        </is>
      </c>
      <c r="BW282" s="149" t="inlineStr">
        <is>
          <t>Origin &amp; status — China · 2023 | Flight — Flight time Up to ≈ 46 min class · Range O4 transmission class · Payload Not disclosed | Sensing — Dual primary cameras (wide + medium tele) on Air 3 / Air 3S | Buying notes — $1,099 · 12 months on main aircraft / gimbal / propulsion (excl. propellers) · Best fit: Dual wide + tele cameras; long flight times; O4 transmission system</t>
        </is>
      </c>
      <c r="BX282" s="149" t="inlineStr">
        <is>
          <t>drone|Air 3 (DJI RC-N2)|1099|Aircraft + RC-N2 || flymore|Air 3 Fly More Combo (RC-N2)|1349|Fly More || flymore_2|Air 3 Fly More Combo (DJI RC 2)|1549|Fly More + RC 2</t>
        </is>
      </c>
      <c r="BY282" s="145" t="inlineStr">
        <is>
          <t>gray|Air 3 Gray-Gold|#71717a|0</t>
        </is>
      </c>
      <c r="BZ282" s="145" t="inlineStr">
        <is>
          <t>battery, charger</t>
        </is>
      </c>
      <c r="CA282" s="149" t="inlineStr">
        <is>
          <t>Add-ons: case; 2 color options; Multi-year extended warranty available</t>
        </is>
      </c>
      <c r="CB282" s="149" t="inlineStr">
        <is>
          <t>12 months on main aircraft / gimbal / propulsion (excl. propellers)</t>
        </is>
      </c>
      <c r="CC282" s="147" t="n">
        <v>12</v>
      </c>
      <c r="CD282" s="149" t="inlineStr">
        <is>
          <t>+3 Year Extended ≈24% of configuration (default in configurator)</t>
        </is>
      </c>
      <c r="CE282" s="145" t="inlineStr">
        <is>
          <t>DJI After-Sales Service Policy</t>
        </is>
      </c>
      <c r="CF282" s="145" t="inlineStr">
        <is>
          <t>Documented</t>
        </is>
      </c>
      <c r="CG282" s="149" t="inlineStr">
        <is>
          <t>Batteries often 12 months and &lt;200 charge cycles. Propellers/shell typically no warranty. DJI Care is optional.</t>
        </is>
      </c>
      <c r="CH282" s="145" t="inlineStr">
        <is>
          <t>10%</t>
        </is>
      </c>
      <c r="CI282" s="145" t="inlineStr">
        <is>
          <t>17%</t>
        </is>
      </c>
      <c r="CJ282" s="145" t="inlineStr">
        <is>
          <t>24%</t>
        </is>
      </c>
      <c r="CK282"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82"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82" s="145" t="inlineStr">
        <is>
          <t>12 months on main aircraft / gimbal / propulsion (excl. propellers)</t>
        </is>
      </c>
    </row>
    <row r="283" ht="31.5" customHeight="1" s="102">
      <c r="A283" s="143" t="inlineStr">
        <is>
          <t>dji_air_3_air_3s</t>
        </is>
      </c>
      <c r="B283" s="160" t="inlineStr">
        <is>
          <t>Website</t>
        </is>
      </c>
      <c r="C283" s="145" t="inlineStr">
        <is>
          <t>DJI</t>
        </is>
      </c>
      <c r="D283" s="145" t="inlineStr">
        <is>
          <t>Air 3S</t>
        </is>
      </c>
      <c r="E283" s="145" t="inlineStr">
        <is>
          <t>[DJI] Air 3S (2024)</t>
        </is>
      </c>
      <c r="F283" s="164" t="inlineStr">
        <is>
          <t>aerial</t>
        </is>
      </c>
      <c r="G283" s="145" t="inlineStr">
        <is>
          <t>China</t>
        </is>
      </c>
      <c r="H283" s="147" t="n">
        <v>2023</v>
      </c>
      <c r="I283" s="148" t="n">
        <v>1299</v>
      </c>
      <c r="J283" s="145" t="inlineStr">
        <is>
          <t>Website store</t>
        </is>
      </c>
      <c r="K283" s="149" t="inlineStr">
        <is>
          <t>[DJI] Air 3S (2023) is a aerial platform from DJI (China, 2023), positioned for consumer dual-camera.</t>
        </is>
      </c>
      <c r="L283" s="101" t="inlineStr">
        <is>
          <t>[DJI] Air 3S (2023) is a aerial platform from DJI (China, 2023), positioned for consumer dual-camera.</t>
        </is>
      </c>
      <c r="M283" s="101" t="inlineStr">
        <is>
          <t>[DJI] Air 3S (2023) is a aerial platform from DJI (China, 2023), positioned for consumer dual-camera.</t>
        </is>
      </c>
      <c r="N283" s="145" t="n"/>
      <c r="O283" s="145" t="inlineStr">
        <is>
          <t>https://www.dji.com</t>
        </is>
      </c>
      <c r="P283" s="145" t="n"/>
      <c r="Q283" s="145" t="n"/>
      <c r="R283" s="145" t="inlineStr">
        <is>
          <t>≈ 1.59 lb class (Air 3 / Air 3S family)</t>
        </is>
      </c>
      <c r="S283" s="145" t="n"/>
      <c r="T283" s="149" t="inlineStr">
        <is>
          <t>Not disclosed</t>
        </is>
      </c>
      <c r="U283" s="145" t="n"/>
      <c r="V283" s="145" t="n"/>
      <c r="W283" s="149" t="n"/>
      <c r="X283" s="145" t="inlineStr">
        <is>
          <t>Not disclosed</t>
        </is>
      </c>
      <c r="Y283" s="145" t="n"/>
      <c r="Z283" s="145" t="inlineStr">
        <is>
          <t>≈ 47 mph class</t>
        </is>
      </c>
      <c r="AA283" s="145" t="n"/>
      <c r="AB283" s="145" t="n"/>
      <c r="AC283" s="149" t="inlineStr">
        <is>
          <t>Not disclosed</t>
        </is>
      </c>
      <c r="AD283" s="149" t="n"/>
      <c r="AE283" s="145" t="inlineStr">
        <is>
          <t>Up to ≈ 46 min class</t>
        </is>
      </c>
      <c r="AF283" s="145" t="inlineStr">
        <is>
          <t>Not disclosed</t>
        </is>
      </c>
      <c r="AG283" s="149" t="n"/>
      <c r="AH283" s="145" t="n"/>
      <c r="AI283" s="145" t="n"/>
      <c r="AJ283" s="149" t="inlineStr">
        <is>
          <t>Dual primary cameras (wide + medium tele) on Air 3 / Air 3S</t>
        </is>
      </c>
      <c r="AK283" s="149" t="n"/>
      <c r="AL283" s="145" t="inlineStr">
        <is>
          <t>Up to 4K HDR / 4K/100fps class</t>
        </is>
      </c>
      <c r="AM283" s="145" t="inlineStr">
        <is>
          <t>3-axis gimbal</t>
        </is>
      </c>
      <c r="AN283" s="145" t="n"/>
      <c r="AO283" s="145" t="n"/>
      <c r="AP283" s="145" t="n"/>
      <c r="AQ283" s="145" t="n"/>
      <c r="AR283" s="145" t="inlineStr">
        <is>
          <t>Multi-directional / omnidirectional class</t>
        </is>
      </c>
      <c r="AS283" s="145" t="inlineStr">
        <is>
          <t>Not disclosed</t>
        </is>
      </c>
      <c r="AT283" s="149" t="n"/>
      <c r="AU283" s="149" t="inlineStr">
        <is>
          <t>Not disclosed</t>
        </is>
      </c>
      <c r="AV283" s="145" t="inlineStr">
        <is>
          <t>DJI Fly app + RC-N2 / RC 2 class controllers</t>
        </is>
      </c>
      <c r="AW283" s="149" t="n"/>
      <c r="AX283" s="145" t="n"/>
      <c r="AY283" s="149" t="n"/>
      <c r="AZ283" s="149" t="n"/>
      <c r="BA283" s="149" t="n"/>
      <c r="BB283" s="149" t="n"/>
      <c r="BC283" s="149" t="n"/>
      <c r="BD283" s="145" t="n"/>
      <c r="BE283" s="145" t="inlineStr">
        <is>
          <t>Not disclosed</t>
        </is>
      </c>
      <c r="BF283" s="145" t="n"/>
      <c r="BG283" s="145" t="n"/>
      <c r="BH283" s="145" t="inlineStr">
        <is>
          <t>O4 transmission class</t>
        </is>
      </c>
      <c r="BI283" s="145" t="n"/>
      <c r="BJ283" s="145" t="n"/>
      <c r="BK283" s="145" t="n"/>
      <c r="BL283" s="145" t="n"/>
      <c r="BM283" s="145" t="n"/>
      <c r="BN283" s="145" t="n"/>
      <c r="BO283" s="149" t="n"/>
      <c r="BP283" s="145" t="inlineStr">
        <is>
          <t>Not disclosed</t>
        </is>
      </c>
      <c r="BQ283" s="149" t="inlineStr">
        <is>
          <t>Consumer Dual-Camera</t>
        </is>
      </c>
      <c r="BR283" s="149" t="inlineStr">
        <is>
          <t>Not disclosed</t>
        </is>
      </c>
      <c r="BS283" s="149" t="n"/>
      <c r="BT283" s="145" t="n"/>
      <c r="BU283" s="145" t="n"/>
      <c r="BV283" s="149" t="inlineStr">
        <is>
          <t>Dual wide + tele cameras; long flight times; O4 transmission system</t>
        </is>
      </c>
      <c r="BW283" s="149" t="inlineStr">
        <is>
          <t>Origin &amp; status — China · 2023 | Flight — Flight time Up to ≈ 46 min class · Range O4 transmission class · Payload Not disclosed | Sensing — Dual primary cameras (wide + medium tele) on Air 3 / Air 3S | Buying notes — $1,299 · 12 months on main aircraft / gimbal / propulsion (excl. propellers) · Best fit: Dual wide + tele cameras; long flight times; O4 transmission system</t>
        </is>
      </c>
      <c r="BX283" s="149" t="inlineStr">
        <is>
          <t>drone|Air 3S (DJI RC-N3)|1299|Aircraft + RC-N3 || flymore|Air 3S Fly More Combo|1699|Fly More</t>
        </is>
      </c>
      <c r="BY283" s="145" t="inlineStr">
        <is>
          <t>gray|Air 3S Gray-Gold|#71717a|0</t>
        </is>
      </c>
      <c r="BZ283" s="145" t="inlineStr">
        <is>
          <t>battery, charger</t>
        </is>
      </c>
      <c r="CA283" s="149" t="inlineStr">
        <is>
          <t>Add-ons: case; 2 color options; Multi-year extended warranty available</t>
        </is>
      </c>
      <c r="CB283" s="149" t="inlineStr">
        <is>
          <t>12 months on main aircraft / gimbal / propulsion (excl. propellers)</t>
        </is>
      </c>
      <c r="CC283" s="147" t="n">
        <v>12</v>
      </c>
      <c r="CD283" s="149" t="inlineStr">
        <is>
          <t>+3 Year Extended ≈24% of configuration (default in configurator)</t>
        </is>
      </c>
      <c r="CE283" s="145" t="inlineStr">
        <is>
          <t>DJI After-Sales Service Policy</t>
        </is>
      </c>
      <c r="CF283" s="145" t="inlineStr">
        <is>
          <t>Documented</t>
        </is>
      </c>
      <c r="CG283" s="149" t="inlineStr">
        <is>
          <t>Batteries often 12 months and &lt;200 charge cycles. Propellers/shell typically no warranty. DJI Care is optional.</t>
        </is>
      </c>
      <c r="CH283" s="145" t="inlineStr">
        <is>
          <t>10%</t>
        </is>
      </c>
      <c r="CI283" s="145" t="inlineStr">
        <is>
          <t>17%</t>
        </is>
      </c>
      <c r="CJ283" s="145" t="inlineStr">
        <is>
          <t>24%</t>
        </is>
      </c>
      <c r="CK283"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83"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83" s="145" t="inlineStr">
        <is>
          <t>12 months on main aircraft / gimbal / propulsion (excl. propellers)</t>
        </is>
      </c>
    </row>
    <row r="284" ht="31.5" customHeight="1" s="102">
      <c r="A284" s="143" t="inlineStr">
        <is>
          <t>dji_matrice_350_rtk</t>
        </is>
      </c>
      <c r="B284" s="160" t="inlineStr">
        <is>
          <t>Website</t>
        </is>
      </c>
      <c r="C284" s="145" t="inlineStr">
        <is>
          <t>DJI</t>
        </is>
      </c>
      <c r="D284" s="145" t="inlineStr">
        <is>
          <t>Matrice 350 RTK</t>
        </is>
      </c>
      <c r="E284" s="145" t="inlineStr">
        <is>
          <t>[DJI] Matrice 350 RTK (2023)</t>
        </is>
      </c>
      <c r="F284" s="164" t="inlineStr">
        <is>
          <t>aerial</t>
        </is>
      </c>
      <c r="G284" s="145" t="inlineStr">
        <is>
          <t>China</t>
        </is>
      </c>
      <c r="H284" s="147" t="n">
        <v>2023</v>
      </c>
      <c r="I284" s="148" t="n">
        <v>13470</v>
      </c>
      <c r="J284" s="145" t="inlineStr">
        <is>
          <t>Website store</t>
        </is>
      </c>
      <c r="K284" s="149" t="inlineStr">
        <is>
          <t>Matrice 350 RTK is DJI's aerial robot — Up to ≈ 55 min depending on payload flight time, camera-centric. Modular Zenmuse payloads (H20/H30, P1, L2 LiDAR, etc.); aimed at enterprise Multirotor.</t>
        </is>
      </c>
      <c r="L284" s="101" t="inlineStr">
        <is>
          <t>Matrice 350 RTK is DJI's aerial robot — Up to ≈ 55 min depending on payload flight time, camera-centric. Modular Zenmuse payloads (H20/H30, P1, L2 LiDAR, etc.); aimed at enterprise Multirotor.</t>
        </is>
      </c>
      <c r="M284" s="101" t="inlineStr">
        <is>
          <t>Matrice 350 RTK is DJI's aerial robot — Up to ≈ 55 min depending on payload flight time, camera-centric. Modular Zenmuse payloads (H20/H30, P1, L2 LiDAR, etc.); aimed at enterprise Multirotor.</t>
        </is>
      </c>
      <c r="N284" s="145" t="n"/>
      <c r="O284" s="145" t="inlineStr">
        <is>
          <t>https://www.dji.com</t>
        </is>
      </c>
      <c r="P284" s="145" t="n"/>
      <c r="Q284" s="145" t="n"/>
      <c r="R284" s="145" t="inlineStr">
        <is>
          <t>≈ 8.3 lb without battery · max takeoff ≈ 20.3 lb</t>
        </is>
      </c>
      <c r="S284" s="145" t="n"/>
      <c r="T284" s="149" t="inlineStr">
        <is>
          <t>Not disclosed</t>
        </is>
      </c>
      <c r="U284" s="145" t="n"/>
      <c r="V284" s="145" t="n"/>
      <c r="W284" s="149" t="n"/>
      <c r="X284" s="145" t="inlineStr">
        <is>
          <t>Not disclosed</t>
        </is>
      </c>
      <c r="Y284" s="145" t="n"/>
      <c r="Z284" s="145" t="inlineStr">
        <is>
          <t>Not disclosed</t>
        </is>
      </c>
      <c r="AA284" s="145" t="n"/>
      <c r="AB284" s="145" t="n"/>
      <c r="AC284" s="149" t="inlineStr">
        <is>
          <t>Not disclosed</t>
        </is>
      </c>
      <c r="AD284" s="149" t="n"/>
      <c r="AE284" s="145" t="inlineStr">
        <is>
          <t>Up to ≈ 55 min depending on payload</t>
        </is>
      </c>
      <c r="AF284" s="145" t="inlineStr">
        <is>
          <t>Not disclosed</t>
        </is>
      </c>
      <c r="AG284" s="149" t="n"/>
      <c r="AH284" s="145" t="n"/>
      <c r="AI284" s="145" t="n"/>
      <c r="AJ284" s="149" t="inlineStr">
        <is>
          <t>Modular Zenmuse payloads (H20/H30, P1, L2 LiDAR, etc.)</t>
        </is>
      </c>
      <c r="AK284" s="149" t="n"/>
      <c r="AL284" s="145" t="inlineStr">
        <is>
          <t>Payload-dependent (RGB, zoom, thermal, LiDAR point clouds)</t>
        </is>
      </c>
      <c r="AM284" s="145" t="inlineStr">
        <is>
          <t>Single or dual lower gimbal</t>
        </is>
      </c>
      <c r="AN284" s="145" t="n"/>
      <c r="AO284" s="145" t="n"/>
      <c r="AP284" s="145" t="n"/>
      <c r="AQ284" s="145" t="n"/>
      <c r="AR284" s="145" t="inlineStr">
        <is>
          <t>Six-directional sensing class</t>
        </is>
      </c>
      <c r="AS284" s="145" t="inlineStr">
        <is>
          <t>Not disclosed</t>
        </is>
      </c>
      <c r="AT284" s="149" t="n"/>
      <c r="AU284" s="149" t="inlineStr">
        <is>
          <t>Not disclosed</t>
        </is>
      </c>
      <c r="AV284" s="145" t="inlineStr">
        <is>
          <t>DJI Pilot 2 + DJI RC Plus</t>
        </is>
      </c>
      <c r="AW284" s="149" t="n"/>
      <c r="AX284" s="145" t="n"/>
      <c r="AY284" s="149" t="n"/>
      <c r="AZ284" s="149" t="n"/>
      <c r="BA284" s="149" t="n"/>
      <c r="BB284" s="149" t="n"/>
      <c r="BC284" s="149" t="n"/>
      <c r="BD284" s="145" t="n"/>
      <c r="BE284" s="145" t="inlineStr">
        <is>
          <t>IP55</t>
        </is>
      </c>
      <c r="BF284" s="145" t="n"/>
      <c r="BG284" s="145" t="n"/>
      <c r="BH284" s="145" t="inlineStr">
        <is>
          <t>O3 Enterprise transmission class</t>
        </is>
      </c>
      <c r="BI284" s="145" t="n"/>
      <c r="BJ284" s="145" t="n"/>
      <c r="BK284" s="145" t="n"/>
      <c r="BL284" s="145" t="n"/>
      <c r="BM284" s="145" t="n"/>
      <c r="BN284" s="145" t="n"/>
      <c r="BO284" s="149" t="n"/>
      <c r="BP284" s="145" t="inlineStr">
        <is>
          <t>Not disclosed</t>
        </is>
      </c>
      <c r="BQ284" s="149" t="inlineStr">
        <is>
          <t>Enterprise Multirotor</t>
        </is>
      </c>
      <c r="BR284" s="149" t="inlineStr">
        <is>
          <t>Not disclosed</t>
        </is>
      </c>
      <c r="BS284" s="149" t="n"/>
      <c r="BT284" s="145" t="n"/>
      <c r="BU284" s="145" t="n"/>
      <c r="BV284" s="149" t="inlineStr">
        <is>
          <t>Modular multi-payload platform; RTK; IP55; flagship enterprise platform</t>
        </is>
      </c>
      <c r="BW284" s="149" t="inlineStr">
        <is>
          <t>Origin &amp; status — China · 2023 | Flight — Flight time Up to ≈ 55 min depending on payload · Range O3 Enterprise transmission class · Payload Not disclosed | Sensing — Modular Zenmuse payloads (H20/H30, P1, L2 LiDAR, etc.) | Buying notes — 11,000+ · 12 months on main aircraft / gimbal / propulsion (excl. propellers) · Best fit: Modular multi-payload platform; RTK; IP55; flagship enterprise platform</t>
        </is>
      </c>
      <c r="BX284" s="149" t="inlineStr">
        <is>
          <t>aircraft|Matrice 350 RTK Aircraft|13470|Airframe || combo|Matrice 350 RTK Concern Kit|19999|Enterprise kit</t>
        </is>
      </c>
      <c r="BY284" s="145" t="inlineStr">
        <is>
          <t>gray|Matrice Gray|#3f3f46|0</t>
        </is>
      </c>
      <c r="BZ284" s="145" t="inlineStr">
        <is>
          <t>battery, charger, controller</t>
        </is>
      </c>
      <c r="CA284" s="149" t="inlineStr">
        <is>
          <t>Add-ons: case; 2 color options; Multi-year extended warranty available</t>
        </is>
      </c>
      <c r="CB284" s="149" t="inlineStr">
        <is>
          <t>12 months on main aircraft / gimbal / propulsion (excl. propellers)</t>
        </is>
      </c>
      <c r="CC284" s="147" t="n">
        <v>12</v>
      </c>
      <c r="CD284" s="149" t="inlineStr">
        <is>
          <t>+3 Year Extended ≈24% of configuration (default in configurator)</t>
        </is>
      </c>
      <c r="CE284" s="145" t="inlineStr">
        <is>
          <t>DJI After-Sales Service Policy</t>
        </is>
      </c>
      <c r="CF284" s="145" t="inlineStr">
        <is>
          <t>Documented</t>
        </is>
      </c>
      <c r="CG284" s="149" t="inlineStr">
        <is>
          <t>Batteries often 12 months and &lt;200 charge cycles. Propellers/shell typically no warranty. DJI Care is optional.</t>
        </is>
      </c>
      <c r="CH284" s="145" t="inlineStr">
        <is>
          <t>10%</t>
        </is>
      </c>
      <c r="CI284" s="145" t="inlineStr">
        <is>
          <t>17%</t>
        </is>
      </c>
      <c r="CJ284" s="145" t="inlineStr">
        <is>
          <t>24%</t>
        </is>
      </c>
      <c r="CK284"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84"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84" s="145" t="inlineStr">
        <is>
          <t>12 months on main aircraft / gimbal / propulsion (excl. propellers)</t>
        </is>
      </c>
    </row>
    <row r="285" ht="31.5" customHeight="1" s="102">
      <c r="A285" s="159" t="inlineStr">
        <is>
          <t>dji_mavic_3_pro</t>
        </is>
      </c>
      <c r="B285" s="160" t="inlineStr">
        <is>
          <t>Website</t>
        </is>
      </c>
      <c r="C285" s="152" t="inlineStr">
        <is>
          <t>DJI</t>
        </is>
      </c>
      <c r="D285" s="152" t="inlineStr">
        <is>
          <t>Mavic 3 Pro</t>
        </is>
      </c>
      <c r="E285" s="152" t="inlineStr">
        <is>
          <t>[DJI] Mavic 3 Pro (2023)</t>
        </is>
      </c>
      <c r="F285" s="164" t="inlineStr">
        <is>
          <t>aerial</t>
        </is>
      </c>
      <c r="G285" s="152" t="inlineStr">
        <is>
          <t>China</t>
        </is>
      </c>
      <c r="H285" s="154" t="n">
        <v>2023</v>
      </c>
      <c r="I285" s="155" t="n">
        <v>2199</v>
      </c>
      <c r="J285" s="152" t="inlineStr">
        <is>
          <t>Website store</t>
        </is>
      </c>
      <c r="K285" s="156" t="inlineStr">
        <is>
          <t>Mavic 3 Pro is DJI's aerial robot — Up to ≈ 43 min flight time, camera-centric. Triple-camera: 4/3-inch Hasselblad 20 MP wide + 1/1.3-inch 48 MP medium tele + 1/2-inch 12 MP tele; aimed at prosumer Triple-Camera.</t>
        </is>
      </c>
      <c r="L285" s="101" t="inlineStr">
        <is>
          <t>Mavic 3 Pro is DJI's aerial robot — Up to ≈ 43 min flight time, camera-centric. Triple-camera: 4/3-inch Hasselblad 20 MP wide + 1/1.3-inch 48 MP medium tele + 1/2-inch 12 MP tele; aimed at prosumer Triple-Camera.</t>
        </is>
      </c>
      <c r="M285" s="101" t="inlineStr">
        <is>
          <t>Mavic 3 Pro is DJI's aerial robot — Up to ≈ 43 min flight time, camera-centric. Triple-camera: 4/3-inch Hasselblad 20 MP wide + 1/1.3-inch 48 MP medium tele + 1/2-inch 12 MP tele; aimed at prosumer Triple-Camera.</t>
        </is>
      </c>
      <c r="N285" s="152" t="n"/>
      <c r="O285" s="152" t="inlineStr">
        <is>
          <t>https://www.dji.com</t>
        </is>
      </c>
      <c r="P285" s="152" t="n"/>
      <c r="Q285" s="152" t="n"/>
      <c r="R285" s="152" t="inlineStr">
        <is>
          <t>≈ 2.11 lb (≈ 958 g)</t>
        </is>
      </c>
      <c r="S285" s="152" t="n"/>
      <c r="T285" s="156" t="inlineStr">
        <is>
          <t>Not disclosed</t>
        </is>
      </c>
      <c r="U285" s="152" t="n"/>
      <c r="V285" s="152" t="n"/>
      <c r="W285" s="156" t="n"/>
      <c r="X285" s="152" t="inlineStr">
        <is>
          <t>Not disclosed</t>
        </is>
      </c>
      <c r="Y285" s="152" t="n"/>
      <c r="Z285" s="152" t="inlineStr">
        <is>
          <t>≈ 47 mph class</t>
        </is>
      </c>
      <c r="AA285" s="152" t="n"/>
      <c r="AB285" s="152" t="n"/>
      <c r="AC285" s="156" t="inlineStr">
        <is>
          <t>Not disclosed</t>
        </is>
      </c>
      <c r="AD285" s="156" t="n"/>
      <c r="AE285" s="152" t="inlineStr">
        <is>
          <t>Up to ≈ 43 min</t>
        </is>
      </c>
      <c r="AF285" s="152" t="inlineStr">
        <is>
          <t>Not disclosed</t>
        </is>
      </c>
      <c r="AG285" s="156" t="n"/>
      <c r="AH285" s="152" t="n"/>
      <c r="AI285" s="152" t="n"/>
      <c r="AJ285" s="156" t="inlineStr">
        <is>
          <t>Triple-camera: 4/3-inch Hasselblad 20 MP wide + 1/1.3-inch 48 MP medium tele + 1/2-inch 12 MP tele</t>
        </is>
      </c>
      <c r="AK285" s="156" t="n"/>
      <c r="AL285" s="152" t="inlineStr">
        <is>
          <t>Up to 5.1K/50fps · 4K/120fps class</t>
        </is>
      </c>
      <c r="AM285" s="152" t="inlineStr">
        <is>
          <t>3-axis</t>
        </is>
      </c>
      <c r="AN285" s="152" t="n"/>
      <c r="AO285" s="152" t="n"/>
      <c r="AP285" s="152" t="n"/>
      <c r="AQ285" s="152" t="n"/>
      <c r="AR285" s="152" t="inlineStr">
        <is>
          <t>Omnidirectional (6 directions)</t>
        </is>
      </c>
      <c r="AS285" s="152" t="inlineStr">
        <is>
          <t>Not disclosed</t>
        </is>
      </c>
      <c r="AT285" s="156" t="n"/>
      <c r="AU285" s="156" t="inlineStr">
        <is>
          <t>Not disclosed</t>
        </is>
      </c>
      <c r="AV285" s="152" t="inlineStr">
        <is>
          <t>DJI Fly + RC series</t>
        </is>
      </c>
      <c r="AW285" s="156" t="n"/>
      <c r="AX285" s="152" t="n"/>
      <c r="AY285" s="156" t="n"/>
      <c r="AZ285" s="156" t="n"/>
      <c r="BA285" s="156" t="n"/>
      <c r="BB285" s="156" t="n"/>
      <c r="BC285" s="156" t="n"/>
      <c r="BD285" s="152" t="n"/>
      <c r="BE285" s="152" t="inlineStr">
        <is>
          <t>Not disclosed</t>
        </is>
      </c>
      <c r="BF285" s="152" t="n"/>
      <c r="BG285" s="152" t="n"/>
      <c r="BH285" s="152" t="inlineStr">
        <is>
          <t>O3+ · up to ≈ 9 mi FCC class</t>
        </is>
      </c>
      <c r="BI285" s="152" t="n"/>
      <c r="BJ285" s="152" t="n"/>
      <c r="BK285" s="152" t="n"/>
      <c r="BL285" s="152" t="n"/>
      <c r="BM285" s="152" t="n"/>
      <c r="BN285" s="152" t="n"/>
      <c r="BO285" s="156" t="n"/>
      <c r="BP285" s="152" t="inlineStr">
        <is>
          <t>Not disclosed</t>
        </is>
      </c>
      <c r="BQ285" s="156" t="inlineStr">
        <is>
          <t>Prosumer Triple-Camera</t>
        </is>
      </c>
      <c r="BR285" s="156" t="inlineStr">
        <is>
          <t>Not disclosed</t>
        </is>
      </c>
      <c r="BS285" s="156" t="n"/>
      <c r="BT285" s="152" t="n"/>
      <c r="BU285" s="152" t="n"/>
      <c r="BV285" s="156" t="inlineStr">
        <is>
          <t>Hasselblad 4/3-inch main sensor + 3× and 7× telephoto cameras</t>
        </is>
      </c>
      <c r="BW285" s="156" t="inlineStr">
        <is>
          <t>Origin &amp; status — China · 2023 | Flight — Flight time Up to ≈ 43 min · Range O3+ · up to ≈ 9 mi FCC class · Payload Not disclosed | Sensing — Triple-camera: 4/3-inch Hasselblad 20 MP wide + 1/1.3-inch 48 MP medium tele + 1/2-inch 12 MP tele | Buying notes — 2,199 · 12 months on main aircraft / gimbal / propulsion (excl. propellers) · Best fit: Hasselblad 4/3-inch main sensor + 3× and 7× telephoto cameras</t>
        </is>
      </c>
      <c r="BX285" s="156" t="inlineStr">
        <is>
          <t>drone|Mavic 3 Pro (DJI RC)|2199|Aircraft + RC || flymore|Mavic 3 Pro Fly More Combo|2999|Fly More + RC || cine|Mavic 3 Pro Cine Premium Combo|4799|Apple ProRes + SSD</t>
        </is>
      </c>
      <c r="BY285" s="152" t="inlineStr">
        <is>
          <t>gray|Mavic Gray|#52525b|0</t>
        </is>
      </c>
      <c r="BZ285" s="152" t="inlineStr">
        <is>
          <t>battery, charger</t>
        </is>
      </c>
      <c r="CA285" s="156" t="inlineStr">
        <is>
          <t>Add-ons: case; 2 color options; Multi-year extended warranty available</t>
        </is>
      </c>
      <c r="CB285" s="156" t="inlineStr">
        <is>
          <t>12 months on main aircraft / gimbal / propulsion (excl. propellers)</t>
        </is>
      </c>
      <c r="CC285" s="154" t="n">
        <v>12</v>
      </c>
      <c r="CD285" s="156" t="inlineStr">
        <is>
          <t>+3 Year Extended ≈24% of configuration (default in configurator)</t>
        </is>
      </c>
      <c r="CE285" s="152" t="inlineStr">
        <is>
          <t>DJI After-Sales Service Policy</t>
        </is>
      </c>
      <c r="CF285" s="152" t="inlineStr">
        <is>
          <t>Documented</t>
        </is>
      </c>
      <c r="CG285" s="156" t="inlineStr">
        <is>
          <t>Batteries often 12 months and &lt;200 charge cycles. Propellers/shell typically no warranty. DJI Care is optional.</t>
        </is>
      </c>
      <c r="CH285" s="152" t="inlineStr">
        <is>
          <t>10%</t>
        </is>
      </c>
      <c r="CI285" s="152" t="inlineStr">
        <is>
          <t>17%</t>
        </is>
      </c>
      <c r="CJ285" s="152" t="inlineStr">
        <is>
          <t>24%</t>
        </is>
      </c>
      <c r="CK285"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85"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85" s="152" t="inlineStr">
        <is>
          <t>12 months on main aircraft / gimbal / propulsion (excl. propellers)</t>
        </is>
      </c>
    </row>
    <row r="286" ht="31.5" customHeight="1" s="102">
      <c r="A286" s="143" t="inlineStr">
        <is>
          <t>dji_mavic_pro</t>
        </is>
      </c>
      <c r="B286" s="160" t="inlineStr">
        <is>
          <t>Website</t>
        </is>
      </c>
      <c r="C286" s="145" t="inlineStr">
        <is>
          <t>DJI</t>
        </is>
      </c>
      <c r="D286" s="145" t="inlineStr">
        <is>
          <t>Mavic Pro</t>
        </is>
      </c>
      <c r="E286" s="145" t="inlineStr">
        <is>
          <t>[DJI] Mavic Pro (2016)</t>
        </is>
      </c>
      <c r="F286" s="164" t="inlineStr">
        <is>
          <t>aerial</t>
        </is>
      </c>
      <c r="G286" s="145" t="inlineStr">
        <is>
          <t>China</t>
        </is>
      </c>
      <c r="H286" s="147" t="n">
        <v>2016</v>
      </c>
      <c r="I286" s="148" t="n">
        <v>999</v>
      </c>
      <c r="J286" s="145" t="inlineStr">
        <is>
          <t>Website store</t>
        </is>
      </c>
      <c r="K286" s="149" t="inlineStr">
        <is>
          <t>Mavic Pro is DJI's aerial robot — Up to ≈ 27 min class flight time, camera-centric. 1/2.3-inch CMOS; aimed at consumer Foldable.</t>
        </is>
      </c>
      <c r="L286" s="101" t="inlineStr">
        <is>
          <t>Mavic Pro is DJI's aerial robot — Up to ≈ 27 min class flight time, camera-centric. 1/2.3-inch CMOS; aimed at consumer Foldable.</t>
        </is>
      </c>
      <c r="M286" s="101" t="inlineStr">
        <is>
          <t>Mavic Pro is DJI's aerial robot — Up to ≈ 27 min class flight time, camera-centric. 1/2.3-inch CMOS; aimed at consumer Foldable.</t>
        </is>
      </c>
      <c r="N286" s="145" t="n"/>
      <c r="O286" s="145" t="inlineStr">
        <is>
          <t>https://www.dji.com</t>
        </is>
      </c>
      <c r="P286" s="145" t="n"/>
      <c r="Q286" s="145" t="n"/>
      <c r="R286" s="145" t="inlineStr">
        <is>
          <t>≈ 1.6 lb class (original Mavic Pro generation)</t>
        </is>
      </c>
      <c r="S286" s="145" t="n"/>
      <c r="T286" s="149" t="inlineStr">
        <is>
          <t>Not disclosed</t>
        </is>
      </c>
      <c r="U286" s="145" t="n"/>
      <c r="V286" s="145" t="n"/>
      <c r="W286" s="149" t="n"/>
      <c r="X286" s="145" t="inlineStr">
        <is>
          <t>Not disclosed</t>
        </is>
      </c>
      <c r="Y286" s="145" t="n"/>
      <c r="Z286" s="145" t="inlineStr">
        <is>
          <t>Not disclosed</t>
        </is>
      </c>
      <c r="AA286" s="145" t="n"/>
      <c r="AB286" s="145" t="n"/>
      <c r="AC286" s="149" t="inlineStr">
        <is>
          <t>Not disclosed</t>
        </is>
      </c>
      <c r="AD286" s="149" t="n"/>
      <c r="AE286" s="145" t="inlineStr">
        <is>
          <t>Up to ≈ 27 min class</t>
        </is>
      </c>
      <c r="AF286" s="145" t="inlineStr">
        <is>
          <t>Not disclosed</t>
        </is>
      </c>
      <c r="AG286" s="149" t="n"/>
      <c r="AH286" s="145" t="n"/>
      <c r="AI286" s="145" t="n"/>
      <c r="AJ286" s="149" t="inlineStr">
        <is>
          <t>1/2.3-inch CMOS</t>
        </is>
      </c>
      <c r="AK286" s="149" t="n"/>
      <c r="AL286" s="145" t="inlineStr">
        <is>
          <t>Up to 4K class</t>
        </is>
      </c>
      <c r="AM286" s="145" t="inlineStr">
        <is>
          <t>3-axis</t>
        </is>
      </c>
      <c r="AN286" s="145" t="n"/>
      <c r="AO286" s="145" t="n"/>
      <c r="AP286" s="145" t="n"/>
      <c r="AQ286" s="145" t="n"/>
      <c r="AR286" s="145" t="inlineStr">
        <is>
          <t>Not disclosed</t>
        </is>
      </c>
      <c r="AS286" s="145" t="inlineStr">
        <is>
          <t>Not disclosed</t>
        </is>
      </c>
      <c r="AT286" s="149" t="n"/>
      <c r="AU286" s="149" t="inlineStr">
        <is>
          <t>Not disclosed</t>
        </is>
      </c>
      <c r="AV286" s="145" t="inlineStr">
        <is>
          <t>DJI GO era app + RC</t>
        </is>
      </c>
      <c r="AW286" s="149" t="n"/>
      <c r="AX286" s="145" t="n"/>
      <c r="AY286" s="149" t="n"/>
      <c r="AZ286" s="149" t="n"/>
      <c r="BA286" s="149" t="n"/>
      <c r="BB286" s="149" t="n"/>
      <c r="BC286" s="149" t="n"/>
      <c r="BD286" s="145" t="n"/>
      <c r="BE286" s="145" t="inlineStr">
        <is>
          <t>Not disclosed</t>
        </is>
      </c>
      <c r="BF286" s="145" t="n"/>
      <c r="BG286" s="145" t="n"/>
      <c r="BH286" s="145" t="inlineStr">
        <is>
          <t>Not disclosed</t>
        </is>
      </c>
      <c r="BI286" s="145" t="n"/>
      <c r="BJ286" s="145" t="n"/>
      <c r="BK286" s="145" t="n"/>
      <c r="BL286" s="145" t="n"/>
      <c r="BM286" s="145" t="n"/>
      <c r="BN286" s="145" t="n"/>
      <c r="BO286" s="149" t="n"/>
      <c r="BP286" s="145" t="inlineStr">
        <is>
          <t>Not disclosed</t>
        </is>
      </c>
      <c r="BQ286" s="149" t="inlineStr">
        <is>
          <t>Consumer Foldable</t>
        </is>
      </c>
      <c r="BR286" s="149" t="inlineStr">
        <is>
          <t>Not disclosed</t>
        </is>
      </c>
      <c r="BS286" s="149" t="n"/>
      <c r="BT286" s="145" t="n"/>
      <c r="BU286" s="145" t="n"/>
      <c r="BV286" s="149" t="inlineStr">
        <is>
          <t>First major folding consumer drone with 4K camera and obstacle sensing</t>
        </is>
      </c>
      <c r="BW286" s="149" t="inlineStr">
        <is>
          <t>Origin &amp; status — China · 2016 | Flight — Flight time Up to ≈ 27 min class · Range Not disclosed · Payload Not disclosed | Sensing — 1/2.3-inch CMOS | Buying notes — ~999 · 12 months on main aircraft / gimbal / propulsion (excl. propellers) · Best fit: First major folding consumer drone with 4K camera and obstacle sensing</t>
        </is>
      </c>
      <c r="BX286" s="149" t="inlineStr">
        <is>
          <t>as_shipped|Mavic Pro|999|As shipped</t>
        </is>
      </c>
      <c r="BY286" s="145" t="inlineStr">
        <is>
          <t>mavic_pro|Manufacturer finish|#e2e8f0|0</t>
        </is>
      </c>
      <c r="BZ286" s="145" t="inlineStr"/>
      <c r="CA286" s="149" t="inlineStr">
        <is>
          <t>Add-ons: case; 2 color options; Multi-year extended warranty available</t>
        </is>
      </c>
      <c r="CB286" s="149" t="inlineStr">
        <is>
          <t>12 months on main aircraft / gimbal / propulsion (excl. propellers)</t>
        </is>
      </c>
      <c r="CC286" s="147" t="n">
        <v>12</v>
      </c>
      <c r="CD286" s="149" t="inlineStr">
        <is>
          <t>+3 Year Extended ≈24% of configuration (default in configurator)</t>
        </is>
      </c>
      <c r="CE286" s="145" t="inlineStr">
        <is>
          <t>DJI After-Sales Service Policy</t>
        </is>
      </c>
      <c r="CF286" s="145" t="inlineStr">
        <is>
          <t>Documented</t>
        </is>
      </c>
      <c r="CG286" s="149" t="inlineStr">
        <is>
          <t>Batteries often 12 months and &lt;200 charge cycles. Propellers/shell typically no warranty. DJI Care is optional.</t>
        </is>
      </c>
      <c r="CH286" s="145" t="inlineStr">
        <is>
          <t>10%</t>
        </is>
      </c>
      <c r="CI286" s="145" t="inlineStr">
        <is>
          <t>17%</t>
        </is>
      </c>
      <c r="CJ286" s="145" t="inlineStr">
        <is>
          <t>24%</t>
        </is>
      </c>
      <c r="CK286"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86"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86" s="145" t="inlineStr">
        <is>
          <t>12 months on main aircraft / gimbal / propulsion (excl. propellers)</t>
        </is>
      </c>
    </row>
    <row r="287" ht="31.5" customHeight="1" s="102">
      <c r="A287" s="159" t="inlineStr">
        <is>
          <t>dji_mini_4_pro</t>
        </is>
      </c>
      <c r="B287" s="160" t="inlineStr">
        <is>
          <t>Website</t>
        </is>
      </c>
      <c r="C287" s="152" t="inlineStr">
        <is>
          <t>DJI</t>
        </is>
      </c>
      <c r="D287" s="152" t="inlineStr">
        <is>
          <t>Mini 4 Pro</t>
        </is>
      </c>
      <c r="E287" s="152" t="inlineStr">
        <is>
          <t>[DJI] Mini 4 Pro (2023)</t>
        </is>
      </c>
      <c r="F287" s="164" t="inlineStr">
        <is>
          <t>aerial</t>
        </is>
      </c>
      <c r="G287" s="152" t="inlineStr">
        <is>
          <t>China</t>
        </is>
      </c>
      <c r="H287" s="154" t="n">
        <v>2023</v>
      </c>
      <c r="I287" s="155" t="n">
        <v>759</v>
      </c>
      <c r="J287" s="152" t="inlineStr">
        <is>
          <t>Website store</t>
        </is>
      </c>
      <c r="K287" s="156" t="inlineStr">
        <is>
          <t>Mini 4 Pro is DJI's aerial robot — Up to ≈ 34 min (standard) · up to ≈ 45 min with Battery Plus flight time, camera-centric. 1/1.3-inch CMOS 48 MP primary sensor; aimed at consumer Sub-0.55 lb.</t>
        </is>
      </c>
      <c r="L287" s="101" t="inlineStr">
        <is>
          <t>Mini 4 Pro is DJI's aerial robot — Up to ≈ 34 min (standard) · up to ≈ 45 min with Battery Plus flight time, camera-centric. 1/1.3-inch CMOS 48 MP primary sensor; aimed at consumer Sub-0.55 lb.</t>
        </is>
      </c>
      <c r="M287" s="101" t="inlineStr">
        <is>
          <t>DJI created the Mini line to stay under the 249 g regulatory class while still offering a 4K camera. Mini 4 Pro is the 2023 omnidirectional-sensing model in that family, with O4 transmission and a Battery Plus option that stretches endurance.</t>
        </is>
      </c>
      <c r="N287" s="152" t="n"/>
      <c r="O287" s="152" t="inlineStr">
        <is>
          <t>https://www.dji.com</t>
        </is>
      </c>
      <c r="P287" s="152" t="n"/>
      <c r="Q287" s="152" t="n"/>
      <c r="R287" s="152" t="inlineStr">
        <is>
          <t>Under 0.55 lb (sub-249 g class; ≈ 0.64 lb with Battery Plus option)</t>
        </is>
      </c>
      <c r="S287" s="152" t="n"/>
      <c r="T287" s="156" t="inlineStr">
        <is>
          <t>Folded ≈ 5.8 × 3.7 × 2.5 in class · unfolded larger flight envelope</t>
        </is>
      </c>
      <c r="U287" s="152" t="n"/>
      <c r="V287" s="152" t="n"/>
      <c r="W287" s="156" t="n"/>
      <c r="X287" s="152" t="inlineStr">
        <is>
          <t>Not disclosed</t>
        </is>
      </c>
      <c r="Y287" s="152" t="n"/>
      <c r="Z287" s="152" t="inlineStr">
        <is>
          <t>≈ 36 mph class</t>
        </is>
      </c>
      <c r="AA287" s="152" t="n"/>
      <c r="AB287" s="152" t="n"/>
      <c r="AC287" s="156" t="inlineStr">
        <is>
          <t>Not disclosed</t>
        </is>
      </c>
      <c r="AD287" s="156" t="n"/>
      <c r="AE287" s="152" t="inlineStr">
        <is>
          <t>Up to ≈ 34 min (standard) · up to ≈ 45 min with Battery Plus</t>
        </is>
      </c>
      <c r="AF287" s="152" t="inlineStr">
        <is>
          <t>Not disclosed</t>
        </is>
      </c>
      <c r="AG287" s="156" t="n"/>
      <c r="AH287" s="152" t="n"/>
      <c r="AI287" s="152" t="n"/>
      <c r="AJ287" s="156" t="inlineStr">
        <is>
          <t>1/1.3-inch CMOS 48 MP primary sensor</t>
        </is>
      </c>
      <c r="AK287" s="156" t="n"/>
      <c r="AL287" s="152" t="inlineStr">
        <is>
          <t>Up to 4K/60fps HDR · 4K/100fps slow motion class</t>
        </is>
      </c>
      <c r="AM287" s="152" t="inlineStr">
        <is>
          <t>3-axis mechanical gimbal</t>
        </is>
      </c>
      <c r="AN287" s="152" t="n"/>
      <c r="AO287" s="152" t="n"/>
      <c r="AP287" s="152" t="n"/>
      <c r="AQ287" s="152" t="n"/>
      <c r="AR287" s="152" t="inlineStr">
        <is>
          <t>Omnidirectional (fisheye + downward binocular + ToF)</t>
        </is>
      </c>
      <c r="AS287" s="152" t="inlineStr">
        <is>
          <t>Not disclosed</t>
        </is>
      </c>
      <c r="AT287" s="156" t="n"/>
      <c r="AU287" s="156" t="inlineStr">
        <is>
          <t>Not disclosed</t>
        </is>
      </c>
      <c r="AV287" s="152" t="inlineStr">
        <is>
          <t>DJI Fly app + RC controllers</t>
        </is>
      </c>
      <c r="AW287" s="156" t="n"/>
      <c r="AX287" s="152" t="n"/>
      <c r="AY287" s="156" t="n"/>
      <c r="AZ287" s="156" t="n"/>
      <c r="BA287" s="156" t="n"/>
      <c r="BB287" s="156" t="n"/>
      <c r="BC287" s="156" t="n"/>
      <c r="BD287" s="152" t="n"/>
      <c r="BE287" s="152" t="inlineStr">
        <is>
          <t>Not disclosed</t>
        </is>
      </c>
      <c r="BF287" s="152" t="n"/>
      <c r="BG287" s="152" t="n"/>
      <c r="BH287" s="152" t="inlineStr">
        <is>
          <t>O4 transmission · up to ≈ 12 mi FCC class</t>
        </is>
      </c>
      <c r="BI287" s="152" t="n"/>
      <c r="BJ287" s="152" t="n"/>
      <c r="BK287" s="152" t="n"/>
      <c r="BL287" s="152" t="n"/>
      <c r="BM287" s="152" t="n"/>
      <c r="BN287" s="152" t="n"/>
      <c r="BO287" s="156" t="n"/>
      <c r="BP287" s="152" t="inlineStr">
        <is>
          <t>Not disclosed</t>
        </is>
      </c>
      <c r="BQ287" s="156" t="inlineStr">
        <is>
          <t>Consumer Sub-0.55 lb</t>
        </is>
      </c>
      <c r="BR287" s="156" t="inlineStr">
        <is>
          <t>Not disclosed</t>
        </is>
      </c>
      <c r="BS287" s="156" t="n"/>
      <c r="BT287" s="152" t="n"/>
      <c r="BU287" s="152" t="n"/>
      <c r="BV287" s="156" t="inlineStr">
        <is>
          <t>Omnidirectional obstacle avoidance; 1/1.3-inch sensor; mass under 0.55 lb (sub-250 g class for certain regulatory categories)</t>
        </is>
      </c>
      <c r="BW287" s="156" t="inlineStr">
        <is>
          <t>Origin &amp; status — China · 2023 | Flight — Flight time Up to ≈ 34 min (standard) · up to ≈ 45 min with Battery Plus · Range O4 transmission · up to ≈ 12 mi FCC class · Payload Not disclosed | Sensing — 1/1.3-inch CMOS 48 MP primary sensor | Buying notes — $759 · 12 months on main aircraft / gimbal / propulsion (excl. propellers) · Best fit: Omnidirectional obstacle avoidance; 1/1.3-inch sensor; mass under 0.55 lb (…</t>
        </is>
      </c>
      <c r="BX287" s="156" t="inlineStr">
        <is>
          <t>drone|Mini 4 Pro (DJI RC 2)|759|Aircraft + RC 2 || flymore|Mini 4 Pro Fly More Combo|999|Fly More + RC 2 || flymore_pro|Mini 4 Pro Fly More Combo (DJI RC 2)|1169|Plus extra batteries</t>
        </is>
      </c>
      <c r="BY287" s="152" t="inlineStr">
        <is>
          <t>gray|DJI Gray|#6b7280|0</t>
        </is>
      </c>
      <c r="BZ287" s="152" t="inlineStr">
        <is>
          <t>battery, charger</t>
        </is>
      </c>
      <c r="CA287" s="156" t="inlineStr">
        <is>
          <t>Add-ons: case; 2 color options; Multi-year extended warranty available</t>
        </is>
      </c>
      <c r="CB287" s="156" t="inlineStr">
        <is>
          <t>12 months on main aircraft / gimbal / propulsion (excl. propellers)</t>
        </is>
      </c>
      <c r="CC287" s="154" t="n">
        <v>12</v>
      </c>
      <c r="CD287" s="156" t="inlineStr">
        <is>
          <t>+3 Year Extended ≈24% of configuration (default in configurator)</t>
        </is>
      </c>
      <c r="CE287" s="152" t="inlineStr">
        <is>
          <t>DJI After-Sales Service Policy</t>
        </is>
      </c>
      <c r="CF287" s="152" t="inlineStr">
        <is>
          <t>Documented</t>
        </is>
      </c>
      <c r="CG287" s="156" t="inlineStr">
        <is>
          <t>Batteries often 12 months and &lt;200 charge cycles. Propellers/shell typically no warranty. DJI Care is optional.</t>
        </is>
      </c>
      <c r="CH287" s="152" t="inlineStr">
        <is>
          <t>10%</t>
        </is>
      </c>
      <c r="CI287" s="152" t="inlineStr">
        <is>
          <t>17%</t>
        </is>
      </c>
      <c r="CJ287" s="152" t="inlineStr">
        <is>
          <t>24%</t>
        </is>
      </c>
      <c r="CK287"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87"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87" s="152" t="inlineStr">
        <is>
          <t>12 months on main aircraft / gimbal / propulsion (excl. propellers)</t>
        </is>
      </c>
    </row>
    <row r="288" ht="31.5" customHeight="1" s="102">
      <c r="A288" s="143" t="inlineStr">
        <is>
          <t>dji_phantom_1</t>
        </is>
      </c>
      <c r="B288" s="160" t="inlineStr">
        <is>
          <t>Website</t>
        </is>
      </c>
      <c r="C288" s="145" t="inlineStr">
        <is>
          <t>DJI</t>
        </is>
      </c>
      <c r="D288" s="145" t="inlineStr">
        <is>
          <t>Phantom 1</t>
        </is>
      </c>
      <c r="E288" s="145" t="inlineStr">
        <is>
          <t>[DJI] Phantom 1 (2013)</t>
        </is>
      </c>
      <c r="F288" s="164" t="inlineStr">
        <is>
          <t>aerial</t>
        </is>
      </c>
      <c r="G288" s="145" t="inlineStr">
        <is>
          <t>China</t>
        </is>
      </c>
      <c r="H288" s="147" t="n">
        <v>2013</v>
      </c>
      <c r="I288" s="148" t="n">
        <v>679</v>
      </c>
      <c r="J288" s="145" t="inlineStr">
        <is>
          <t>Website store</t>
        </is>
      </c>
      <c r="K288" s="149" t="inlineStr">
        <is>
          <t>Phantom 1 is DJI's aerial robot — camera-centric. External camera mount (GoPro-era); aimed at consumer Multirotor.</t>
        </is>
      </c>
      <c r="L288" s="101" t="inlineStr">
        <is>
          <t>Phantom 1 is DJI's aerial robot — camera-centric. External camera mount (GoPro-era); aimed at consumer Multirotor.</t>
        </is>
      </c>
      <c r="M288" s="101" t="inlineStr">
        <is>
          <t>Phantom 1 is DJI's aerial robot — camera-centric. External camera mount (GoPro-era); aimed at consumer Multirotor.</t>
        </is>
      </c>
      <c r="N288" s="145" t="n"/>
      <c r="O288" s="145" t="inlineStr">
        <is>
          <t>https://www.dji.com</t>
        </is>
      </c>
      <c r="P288" s="145" t="n"/>
      <c r="Q288" s="145" t="n"/>
      <c r="R288" s="145" t="inlineStr">
        <is>
          <t>≈ 2.2 lb class (early Phantom generation without GoPro)</t>
        </is>
      </c>
      <c r="S288" s="145" t="n"/>
      <c r="T288" s="149" t="inlineStr">
        <is>
          <t>Not disclosed</t>
        </is>
      </c>
      <c r="U288" s="145" t="n"/>
      <c r="V288" s="145" t="n"/>
      <c r="W288" s="149" t="n"/>
      <c r="X288" s="145" t="inlineStr">
        <is>
          <t>Not disclosed</t>
        </is>
      </c>
      <c r="Y288" s="145" t="n"/>
      <c r="Z288" s="145" t="inlineStr">
        <is>
          <t>Not disclosed</t>
        </is>
      </c>
      <c r="AA288" s="145" t="n"/>
      <c r="AB288" s="145" t="n"/>
      <c r="AC288" s="149" t="inlineStr">
        <is>
          <t>Not disclosed</t>
        </is>
      </c>
      <c r="AD288" s="149" t="n"/>
      <c r="AE288" s="145" t="inlineStr">
        <is>
          <t>Not disclosed</t>
        </is>
      </c>
      <c r="AF288" s="145" t="inlineStr">
        <is>
          <t>Not disclosed</t>
        </is>
      </c>
      <c r="AG288" s="149" t="n"/>
      <c r="AH288" s="145" t="n"/>
      <c r="AI288" s="145" t="n"/>
      <c r="AJ288" s="149" t="inlineStr">
        <is>
          <t>External camera mount (GoPro-era)</t>
        </is>
      </c>
      <c r="AK288" s="149" t="n"/>
      <c r="AL288" s="145" t="inlineStr">
        <is>
          <t>External camera dependent</t>
        </is>
      </c>
      <c r="AM288" s="145" t="inlineStr">
        <is>
          <t>Not disclosed</t>
        </is>
      </c>
      <c r="AN288" s="145" t="n"/>
      <c r="AO288" s="145" t="n"/>
      <c r="AP288" s="145" t="n"/>
      <c r="AQ288" s="145" t="n"/>
      <c r="AR288" s="145" t="inlineStr">
        <is>
          <t>Not disclosed</t>
        </is>
      </c>
      <c r="AS288" s="145" t="inlineStr">
        <is>
          <t>Not disclosed</t>
        </is>
      </c>
      <c r="AT288" s="149" t="n"/>
      <c r="AU288" s="149" t="inlineStr">
        <is>
          <t>Not disclosed</t>
        </is>
      </c>
      <c r="AV288" s="145" t="inlineStr">
        <is>
          <t>Early Phantom transmitter</t>
        </is>
      </c>
      <c r="AW288" s="149" t="n"/>
      <c r="AX288" s="145" t="n"/>
      <c r="AY288" s="149" t="n"/>
      <c r="AZ288" s="149" t="n"/>
      <c r="BA288" s="149" t="n"/>
      <c r="BB288" s="149" t="n"/>
      <c r="BC288" s="149" t="n"/>
      <c r="BD288" s="145" t="n"/>
      <c r="BE288" s="145" t="inlineStr">
        <is>
          <t>Not disclosed</t>
        </is>
      </c>
      <c r="BF288" s="145" t="n"/>
      <c r="BG288" s="145" t="n"/>
      <c r="BH288" s="145" t="inlineStr">
        <is>
          <t>Not disclosed</t>
        </is>
      </c>
      <c r="BI288" s="145" t="n"/>
      <c r="BJ288" s="145" t="n"/>
      <c r="BK288" s="145" t="n"/>
      <c r="BL288" s="145" t="n"/>
      <c r="BM288" s="145" t="n"/>
      <c r="BN288" s="145" t="n"/>
      <c r="BO288" s="149" t="n"/>
      <c r="BP288" s="145" t="inlineStr">
        <is>
          <t>Not disclosed</t>
        </is>
      </c>
      <c r="BQ288" s="149" t="inlineStr">
        <is>
          <t>Consumer Multirotor</t>
        </is>
      </c>
      <c r="BR288" s="149" t="inlineStr">
        <is>
          <t>Not disclosed</t>
        </is>
      </c>
      <c r="BS288" s="149" t="n"/>
      <c r="BT288" s="145" t="n"/>
      <c r="BU288" s="145" t="n"/>
      <c r="BV288" s="149" t="inlineStr">
        <is>
          <t>Ready-to-fly GPS quadcopter that popularized consumer drones; GoPro-compatible mount</t>
        </is>
      </c>
      <c r="BW288" s="149" t="inlineStr">
        <is>
          <t>Origin &amp; status — China · 2013 | Flight — Flight time Not disclosed · Range Not disclosed · Payload Not disclosed | Sensing — External camera mount (GoPro-era) | Buying notes — $679 · 12 months on main aircraft / gimbal / propulsion (excl. propellers) · Best fit: Ready-to-fly GPS quadcopter that popularized consumer drones; GoPro-compati…</t>
        </is>
      </c>
      <c r="BX288" s="149" t="inlineStr">
        <is>
          <t>as_shipped|Phantom 1|679|As shipped</t>
        </is>
      </c>
      <c r="BY288" s="145" t="inlineStr">
        <is>
          <t>phantom_1|Manufacturer finish|#e2e8f0|0</t>
        </is>
      </c>
      <c r="BZ288" s="145" t="inlineStr"/>
      <c r="CA288" s="149" t="inlineStr">
        <is>
          <t>Add-ons: case; 2 color options; Multi-year extended warranty available</t>
        </is>
      </c>
      <c r="CB288" s="149" t="inlineStr">
        <is>
          <t>12 months on main aircraft / gimbal / propulsion (excl. propellers)</t>
        </is>
      </c>
      <c r="CC288" s="147" t="n">
        <v>12</v>
      </c>
      <c r="CD288" s="149" t="inlineStr">
        <is>
          <t>+3 Year Extended ≈24% of configuration (default in configurator)</t>
        </is>
      </c>
      <c r="CE288" s="145" t="inlineStr">
        <is>
          <t>DJI After-Sales Service Policy</t>
        </is>
      </c>
      <c r="CF288" s="145" t="inlineStr">
        <is>
          <t>Documented</t>
        </is>
      </c>
      <c r="CG288" s="149" t="inlineStr">
        <is>
          <t>Batteries often 12 months and &lt;200 charge cycles. Propellers/shell typically no warranty. DJI Care is optional.</t>
        </is>
      </c>
      <c r="CH288" s="145" t="inlineStr">
        <is>
          <t>10%</t>
        </is>
      </c>
      <c r="CI288" s="145" t="inlineStr">
        <is>
          <t>17%</t>
        </is>
      </c>
      <c r="CJ288" s="145" t="inlineStr">
        <is>
          <t>24%</t>
        </is>
      </c>
      <c r="CK288"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88"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88" s="145" t="inlineStr">
        <is>
          <t>12 months on main aircraft / gimbal / propulsion (excl. propellers)</t>
        </is>
      </c>
    </row>
    <row r="289" ht="31.5" customHeight="1" s="102">
      <c r="A289" s="159" t="inlineStr">
        <is>
          <t>draganfly_commander_specialized</t>
        </is>
      </c>
      <c r="B289" s="160" t="inlineStr">
        <is>
          <t>Website</t>
        </is>
      </c>
      <c r="C289" s="152" t="inlineStr">
        <is>
          <t>Draganfly</t>
        </is>
      </c>
      <c r="D289" s="152" t="inlineStr">
        <is>
          <t>Commander</t>
        </is>
      </c>
      <c r="E289" s="152" t="inlineStr">
        <is>
          <t>[Draganfly] Commander (2023)</t>
        </is>
      </c>
      <c r="F289" s="164" t="inlineStr">
        <is>
          <t>aerial</t>
        </is>
      </c>
      <c r="G289" s="152" t="inlineStr">
        <is>
          <t>Canada</t>
        </is>
      </c>
      <c r="H289" s="154" t="n">
        <v>2023</v>
      </c>
      <c r="I289" s="155" t="n">
        <v>10000</v>
      </c>
      <c r="J289" s="152" t="inlineStr">
        <is>
          <t>Website store</t>
        </is>
      </c>
      <c r="K289" s="156" t="inlineStr">
        <is>
          <t>Commander is Draganfly's aerial robot — camera-centric. Modular mission cameras including thermal; aimed at enterprise.</t>
        </is>
      </c>
      <c r="L289" s="101" t="inlineStr">
        <is>
          <t>Commander is Draganfly's aerial robot — camera-centric. Modular mission cameras including thermal; aimed at enterprise.</t>
        </is>
      </c>
      <c r="M289" s="101" t="inlineStr">
        <is>
          <t>Commander is Draganfly's aerial robot — camera-centric. Modular mission cameras including thermal; aimed at enterprise. It is positioned for enterprise / Public Safety.</t>
        </is>
      </c>
      <c r="N289" s="152" t="n"/>
      <c r="O289" s="152" t="inlineStr">
        <is>
          <t>https://draganfly.com</t>
        </is>
      </c>
      <c r="P289" s="152" t="n"/>
      <c r="Q289" s="152" t="n"/>
      <c r="R289" s="152" t="inlineStr">
        <is>
          <t>Not disclosed</t>
        </is>
      </c>
      <c r="S289" s="152" t="n"/>
      <c r="T289" s="156" t="inlineStr">
        <is>
          <t>Not disclosed</t>
        </is>
      </c>
      <c r="U289" s="152" t="n"/>
      <c r="V289" s="152" t="n"/>
      <c r="W289" s="156" t="n"/>
      <c r="X289" s="152" t="inlineStr">
        <is>
          <t>Not disclosed</t>
        </is>
      </c>
      <c r="Y289" s="152" t="n"/>
      <c r="Z289" s="152" t="inlineStr">
        <is>
          <t>Not disclosed</t>
        </is>
      </c>
      <c r="AA289" s="152" t="n"/>
      <c r="AB289" s="152" t="n"/>
      <c r="AC289" s="156" t="inlineStr">
        <is>
          <t>Not disclosed</t>
        </is>
      </c>
      <c r="AD289" s="156" t="n"/>
      <c r="AE289" s="152" t="inlineStr">
        <is>
          <t>Not disclosed</t>
        </is>
      </c>
      <c r="AF289" s="152" t="inlineStr">
        <is>
          <t>Not disclosed</t>
        </is>
      </c>
      <c r="AG289" s="156" t="n"/>
      <c r="AH289" s="152" t="n"/>
      <c r="AI289" s="152" t="n"/>
      <c r="AJ289" s="156" t="inlineStr">
        <is>
          <t>Modular mission cameras including thermal</t>
        </is>
      </c>
      <c r="AK289" s="156" t="n"/>
      <c r="AL289" s="152" t="inlineStr">
        <is>
          <t>Enterprise / public safety video</t>
        </is>
      </c>
      <c r="AM289" s="152" t="inlineStr">
        <is>
          <t>Not disclosed</t>
        </is>
      </c>
      <c r="AN289" s="152" t="n"/>
      <c r="AO289" s="152" t="n"/>
      <c r="AP289" s="152" t="n"/>
      <c r="AQ289" s="152" t="n"/>
      <c r="AR289" s="152" t="inlineStr">
        <is>
          <t>Not disclosed</t>
        </is>
      </c>
      <c r="AS289" s="152" t="inlineStr">
        <is>
          <t>Not disclosed</t>
        </is>
      </c>
      <c r="AT289" s="156" t="n"/>
      <c r="AU289" s="156" t="inlineStr">
        <is>
          <t>Not disclosed</t>
        </is>
      </c>
      <c r="AV289" s="152" t="inlineStr">
        <is>
          <t>Draganfly mission systems</t>
        </is>
      </c>
      <c r="AW289" s="156" t="n"/>
      <c r="AX289" s="152" t="n"/>
      <c r="AY289" s="156" t="n"/>
      <c r="AZ289" s="156" t="n"/>
      <c r="BA289" s="156" t="n"/>
      <c r="BB289" s="156" t="n"/>
      <c r="BC289" s="156" t="n"/>
      <c r="BD289" s="152" t="n"/>
      <c r="BE289" s="152" t="inlineStr">
        <is>
          <t>Not disclosed</t>
        </is>
      </c>
      <c r="BF289" s="152" t="n"/>
      <c r="BG289" s="152" t="n"/>
      <c r="BH289" s="152" t="inlineStr">
        <is>
          <t>Not disclosed</t>
        </is>
      </c>
      <c r="BI289" s="152" t="n"/>
      <c r="BJ289" s="152" t="n"/>
      <c r="BK289" s="152" t="n"/>
      <c r="BL289" s="152" t="n"/>
      <c r="BM289" s="152" t="n"/>
      <c r="BN289" s="152" t="n"/>
      <c r="BO289" s="156" t="n"/>
      <c r="BP289" s="152" t="inlineStr">
        <is>
          <t>Not disclosed</t>
        </is>
      </c>
      <c r="BQ289" s="156" t="inlineStr">
        <is>
          <t>Enterprise / Public Safety</t>
        </is>
      </c>
      <c r="BR289" s="156" t="inlineStr">
        <is>
          <t>Not disclosed</t>
        </is>
      </c>
      <c r="BS289" s="156" t="n"/>
      <c r="BT289" s="152" t="n"/>
      <c r="BU289" s="152" t="n"/>
      <c r="BV289" s="156" t="inlineStr">
        <is>
          <t>Canadian manufacturer; industrial and specialized mission systems</t>
        </is>
      </c>
      <c r="BW289" s="156" t="inlineStr">
        <is>
          <t>Origin &amp; status — Canada · 2023 | Flight — Flight time Not disclosed · Range Not disclosed · Payload Not disclosed | Sensing — Modular mission cameras including thermal | Buying notes — 10,000+ · 12 months limited / contract-dependent · Best fit: Canadian manufacturer; industrial and specialized mission systems</t>
        </is>
      </c>
      <c r="BX289" s="156" t="inlineStr">
        <is>
          <t>as_shipped|Commander|10000|As shipped</t>
        </is>
      </c>
      <c r="BY289" s="152" t="inlineStr">
        <is>
          <t>commander|Manufacturer finish|#e2e8f0|0</t>
        </is>
      </c>
      <c r="BZ289" s="152" t="inlineStr"/>
      <c r="CA289" s="156" t="inlineStr">
        <is>
          <t>Add-ons: case; 2 color options; Multi-year extended warranty available</t>
        </is>
      </c>
      <c r="CB289" s="156" t="inlineStr">
        <is>
          <t>12 months limited / contract-dependent</t>
        </is>
      </c>
      <c r="CC289" s="154" t="n">
        <v>12</v>
      </c>
      <c r="CD289" s="156" t="inlineStr">
        <is>
          <t>+3 Year Extended ≈24% of configuration (default in configurator)</t>
        </is>
      </c>
      <c r="CE289" s="152" t="inlineStr">
        <is>
          <t>Enterprise &amp; OEM UAV norms</t>
        </is>
      </c>
      <c r="CF289" s="152" t="inlineStr">
        <is>
          <t>Estimated</t>
        </is>
      </c>
      <c r="CG289" s="156" t="inlineStr">
        <is>
          <t>Military/industrial UAVs often under program SLA rather than retail warranty.</t>
        </is>
      </c>
      <c r="CH289" s="152" t="inlineStr">
        <is>
          <t>10%</t>
        </is>
      </c>
      <c r="CI289" s="152" t="inlineStr">
        <is>
          <t>17%</t>
        </is>
      </c>
      <c r="CJ289" s="152" t="inlineStr">
        <is>
          <t>24%</t>
        </is>
      </c>
      <c r="CK289"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89"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89" s="152" t="inlineStr">
        <is>
          <t>12 months limited / contract-dependent</t>
        </is>
      </c>
    </row>
    <row r="290" ht="31.5" customHeight="1" s="102">
      <c r="A290" s="143" t="inlineStr">
        <is>
          <t>ehang_eh216_s</t>
        </is>
      </c>
      <c r="B290" s="160" t="inlineStr">
        <is>
          <t>Website</t>
        </is>
      </c>
      <c r="C290" s="145" t="inlineStr">
        <is>
          <t>EHang</t>
        </is>
      </c>
      <c r="D290" s="145" t="inlineStr">
        <is>
          <t>EH216-S</t>
        </is>
      </c>
      <c r="E290" s="145" t="inlineStr">
        <is>
          <t>[EHang] EH216-S (2020)</t>
        </is>
      </c>
      <c r="F290" s="164" t="inlineStr">
        <is>
          <t>aerial</t>
        </is>
      </c>
      <c r="G290" s="145" t="inlineStr">
        <is>
          <t>China</t>
        </is>
      </c>
      <c r="H290" s="147" t="n">
        <v>2020</v>
      </c>
      <c r="I290" s="148" t="n">
        <v>330000</v>
      </c>
      <c r="J290" s="145" t="inlineStr">
        <is>
          <t>Website store</t>
        </is>
      </c>
      <c r="K290" s="149" t="inlineStr">
        <is>
          <t>EH216-S is EHang's aerial robot — camera-centric. Passenger cabin monitoring + navigation sensors; aimed at passenger eVTOL.</t>
        </is>
      </c>
      <c r="L290" s="101" t="inlineStr">
        <is>
          <t>EH216-S is EHang's aerial robot — camera-centric. Passenger cabin monitoring + navigation sensors; aimed at passenger eVTOL.</t>
        </is>
      </c>
      <c r="M290" s="101" t="inlineStr">
        <is>
          <t>EH216-S is EHang's aerial robot — camera-centric. Passenger cabin monitoring + navigation sensors; aimed at passenger eVTOL.</t>
        </is>
      </c>
      <c r="N290" s="145" t="n"/>
      <c r="O290" s="145" t="inlineStr">
        <is>
          <t>https://www.ehang.com</t>
        </is>
      </c>
      <c r="P290" s="145" t="n"/>
      <c r="Q290" s="145" t="n"/>
      <c r="R290" s="145" t="inlineStr">
        <is>
          <t>Passenger eVTOL class (thousands of pounds gross)</t>
        </is>
      </c>
      <c r="S290" s="145" t="n"/>
      <c r="T290" s="149" t="inlineStr">
        <is>
          <t>Not disclosed</t>
        </is>
      </c>
      <c r="U290" s="145" t="n"/>
      <c r="V290" s="145" t="n"/>
      <c r="W290" s="149" t="n"/>
      <c r="X290" s="145" t="inlineStr">
        <is>
          <t>Not disclosed</t>
        </is>
      </c>
      <c r="Y290" s="145" t="n"/>
      <c r="Z290" s="145" t="inlineStr">
        <is>
          <t>Not disclosed</t>
        </is>
      </c>
      <c r="AA290" s="145" t="n"/>
      <c r="AB290" s="145" t="n"/>
      <c r="AC290" s="149" t="inlineStr">
        <is>
          <t>Not disclosed</t>
        </is>
      </c>
      <c r="AD290" s="149" t="n"/>
      <c r="AE290" s="145" t="inlineStr">
        <is>
          <t>Not disclosed</t>
        </is>
      </c>
      <c r="AF290" s="145" t="inlineStr">
        <is>
          <t>Not disclosed</t>
        </is>
      </c>
      <c r="AG290" s="149" t="n"/>
      <c r="AH290" s="145" t="n"/>
      <c r="AI290" s="145" t="n"/>
      <c r="AJ290" s="149" t="inlineStr">
        <is>
          <t>Passenger cabin monitoring + navigation sensors</t>
        </is>
      </c>
      <c r="AK290" s="149" t="n"/>
      <c r="AL290" s="145" t="inlineStr">
        <is>
          <t>Operational monitoring (not cinema primary)</t>
        </is>
      </c>
      <c r="AM290" s="145" t="inlineStr">
        <is>
          <t>Not disclosed</t>
        </is>
      </c>
      <c r="AN290" s="145" t="n"/>
      <c r="AO290" s="145" t="n"/>
      <c r="AP290" s="145" t="n"/>
      <c r="AQ290" s="145" t="n"/>
      <c r="AR290" s="145" t="inlineStr">
        <is>
          <t>Not disclosed</t>
        </is>
      </c>
      <c r="AS290" s="145" t="inlineStr">
        <is>
          <t>Not disclosed</t>
        </is>
      </c>
      <c r="AT290" s="149" t="n"/>
      <c r="AU290" s="149" t="inlineStr">
        <is>
          <t>Not disclosed</t>
        </is>
      </c>
      <c r="AV290" s="145" t="inlineStr">
        <is>
          <t>Autonomous flight command and control for eVTOL passenger ops</t>
        </is>
      </c>
      <c r="AW290" s="149" t="n"/>
      <c r="AX290" s="145" t="n"/>
      <c r="AY290" s="149" t="n"/>
      <c r="AZ290" s="149" t="n"/>
      <c r="BA290" s="149" t="n"/>
      <c r="BB290" s="149" t="n"/>
      <c r="BC290" s="149" t="n"/>
      <c r="BD290" s="145" t="n"/>
      <c r="BE290" s="145" t="inlineStr">
        <is>
          <t>Not disclosed</t>
        </is>
      </c>
      <c r="BF290" s="145" t="n"/>
      <c r="BG290" s="145" t="n"/>
      <c r="BH290" s="145" t="inlineStr">
        <is>
          <t>Not disclosed</t>
        </is>
      </c>
      <c r="BI290" s="145" t="n"/>
      <c r="BJ290" s="145" t="n"/>
      <c r="BK290" s="145" t="n"/>
      <c r="BL290" s="145" t="n"/>
      <c r="BM290" s="145" t="n"/>
      <c r="BN290" s="145" t="n"/>
      <c r="BO290" s="149" t="n"/>
      <c r="BP290" s="145" t="inlineStr">
        <is>
          <t>Not disclosed</t>
        </is>
      </c>
      <c r="BQ290" s="149" t="inlineStr">
        <is>
          <t>Passenger eVTOL</t>
        </is>
      </c>
      <c r="BR290" s="149" t="inlineStr">
        <is>
          <t>Not disclosed</t>
        </is>
      </c>
      <c r="BS290" s="149" t="n"/>
      <c r="BT290" s="145" t="n"/>
      <c r="BU290" s="145" t="n"/>
      <c r="BV290" s="149" t="inlineStr">
        <is>
          <t>Autonomous passenger-carrying air taxi; China-certified operations</t>
        </is>
      </c>
      <c r="BW290" s="149" t="inlineStr">
        <is>
          <t>Origin &amp; status — China · 2020 | Flight — Flight time Not disclosed · Range Not disclosed · Payload Not disclosed | Sensing — Passenger cabin monitoring + navigation sensors | Buying notes — ~330,000+ · 12 months limited / contract-dependent · Best fit: Autonomous passenger-carrying air taxi; China-certified operations</t>
        </is>
      </c>
      <c r="BX290" s="149" t="inlineStr">
        <is>
          <t>as_shipped|EH216-S|330000|As shipped</t>
        </is>
      </c>
      <c r="BY290" s="145" t="inlineStr">
        <is>
          <t>eh216_s|Manufacturer finish|#e2e8f0|0</t>
        </is>
      </c>
      <c r="BZ290" s="145" t="inlineStr"/>
      <c r="CA290" s="149" t="inlineStr">
        <is>
          <t>Add-ons: case; 2 color options; Multi-year extended warranty available</t>
        </is>
      </c>
      <c r="CB290" s="149" t="inlineStr">
        <is>
          <t>12 months limited / contract-dependent</t>
        </is>
      </c>
      <c r="CC290" s="147" t="n">
        <v>12</v>
      </c>
      <c r="CD290" s="149" t="inlineStr">
        <is>
          <t>+3 Year Extended ≈24% of configuration (default in configurator)</t>
        </is>
      </c>
      <c r="CE290" s="145" t="inlineStr">
        <is>
          <t>Enterprise &amp; OEM UAV norms</t>
        </is>
      </c>
      <c r="CF290" s="145" t="inlineStr">
        <is>
          <t>Estimated</t>
        </is>
      </c>
      <c r="CG290" s="149" t="inlineStr">
        <is>
          <t>Military/industrial UAVs often under program SLA rather than retail warranty.</t>
        </is>
      </c>
      <c r="CH290" s="145" t="inlineStr">
        <is>
          <t>10%</t>
        </is>
      </c>
      <c r="CI290" s="145" t="inlineStr">
        <is>
          <t>17%</t>
        </is>
      </c>
      <c r="CJ290" s="145" t="inlineStr">
        <is>
          <t>24%</t>
        </is>
      </c>
      <c r="CK290"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90"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90" s="145" t="inlineStr">
        <is>
          <t>12 months limited / contract-dependent</t>
        </is>
      </c>
      <c r="CN290" s="203" t="inlineStr">
        <is>
          <t>https://aixzd.com/robot/h2</t>
        </is>
      </c>
    </row>
    <row r="291" ht="31.5" customHeight="1" s="102">
      <c r="A291" s="159" t="inlineStr">
        <is>
          <t>freefly_systems_alta_x</t>
        </is>
      </c>
      <c r="B291" s="160" t="inlineStr">
        <is>
          <t>Website</t>
        </is>
      </c>
      <c r="C291" s="152" t="inlineStr">
        <is>
          <t>Freefly Systems</t>
        </is>
      </c>
      <c r="D291" s="152" t="inlineStr">
        <is>
          <t>Alta X</t>
        </is>
      </c>
      <c r="E291" s="152" t="inlineStr">
        <is>
          <t>[Freefly] Alta X (2018)</t>
        </is>
      </c>
      <c r="F291" s="164" t="inlineStr">
        <is>
          <t>aerial</t>
        </is>
      </c>
      <c r="G291" s="152" t="inlineStr">
        <is>
          <t>USA</t>
        </is>
      </c>
      <c r="H291" s="154" t="n">
        <v>2018</v>
      </c>
      <c r="I291" s="155" t="n">
        <v>15995</v>
      </c>
      <c r="J291" s="152" t="inlineStr">
        <is>
          <t>Website store</t>
        </is>
      </c>
      <c r="K291" s="156" t="inlineStr">
        <is>
          <t>Alta X is Freefly Systems's aerial robot — Heavy cinema payloads (tens of pounds class) payload, camera-centric. Cinema payload platform (camera not fixed); aimed at cinema Heavy-Lift.</t>
        </is>
      </c>
      <c r="L291" s="101" t="inlineStr">
        <is>
          <t>Alta X is Freefly Systems's aerial robot — Heavy cinema payloads (tens of pounds class) payload, camera-centric. Cinema payload platform (camera not fixed); aimed at cinema Heavy-Lift.</t>
        </is>
      </c>
      <c r="M291" s="101" t="inlineStr">
        <is>
          <t>Alta X is Freefly Systems's aerial robot — Heavy cinema payloads (tens of pounds class) payload, camera-centric. Cinema payload platform (camera not fixed); aimed at cinema Heavy-Lift.</t>
        </is>
      </c>
      <c r="N291" s="152" t="n"/>
      <c r="O291" s="152" t="inlineStr">
        <is>
          <t>https://freeflysystems.com</t>
        </is>
      </c>
      <c r="P291" s="152" t="n"/>
      <c r="Q291" s="152" t="n"/>
      <c r="R291" s="152" t="inlineStr">
        <is>
          <t>≈ 22–30 lb class airframe depending on config</t>
        </is>
      </c>
      <c r="S291" s="152" t="n"/>
      <c r="T291" s="156" t="inlineStr">
        <is>
          <t>Not disclosed</t>
        </is>
      </c>
      <c r="U291" s="152" t="n"/>
      <c r="V291" s="152" t="n"/>
      <c r="W291" s="156" t="n"/>
      <c r="X291" s="152" t="inlineStr">
        <is>
          <t>Heavy cinema payloads (tens of pounds class)</t>
        </is>
      </c>
      <c r="Y291" s="152" t="n"/>
      <c r="Z291" s="152" t="inlineStr">
        <is>
          <t>Not disclosed</t>
        </is>
      </c>
      <c r="AA291" s="152" t="n"/>
      <c r="AB291" s="152" t="n"/>
      <c r="AC291" s="156" t="inlineStr">
        <is>
          <t>Not disclosed</t>
        </is>
      </c>
      <c r="AD291" s="156" t="n"/>
      <c r="AE291" s="152" t="inlineStr">
        <is>
          <t>Not disclosed</t>
        </is>
      </c>
      <c r="AF291" s="152" t="inlineStr">
        <is>
          <t>Not disclosed</t>
        </is>
      </c>
      <c r="AG291" s="156" t="n"/>
      <c r="AH291" s="152" t="n"/>
      <c r="AI291" s="152" t="n"/>
      <c r="AJ291" s="156" t="inlineStr">
        <is>
          <t>Cinema payload platform (camera not fixed)</t>
        </is>
      </c>
      <c r="AK291" s="156" t="n"/>
      <c r="AL291" s="152" t="inlineStr">
        <is>
          <t>Payload-defined (cinema cameras)</t>
        </is>
      </c>
      <c r="AM291" s="152" t="inlineStr">
        <is>
          <t>Supports heavy cinema gimbals</t>
        </is>
      </c>
      <c r="AN291" s="152" t="n"/>
      <c r="AO291" s="152" t="n"/>
      <c r="AP291" s="152" t="n"/>
      <c r="AQ291" s="152" t="n"/>
      <c r="AR291" s="152" t="inlineStr">
        <is>
          <t>Not disclosed</t>
        </is>
      </c>
      <c r="AS291" s="152" t="inlineStr">
        <is>
          <t>Not disclosed</t>
        </is>
      </c>
      <c r="AT291" s="156" t="n"/>
      <c r="AU291" s="156" t="inlineStr">
        <is>
          <t>Not disclosed</t>
        </is>
      </c>
      <c r="AV291" s="152" t="inlineStr">
        <is>
          <t>Freefly Pilot / Synapse class systems</t>
        </is>
      </c>
      <c r="AW291" s="156" t="n"/>
      <c r="AX291" s="152" t="n"/>
      <c r="AY291" s="156" t="n"/>
      <c r="AZ291" s="156" t="n"/>
      <c r="BA291" s="156" t="n"/>
      <c r="BB291" s="156" t="n"/>
      <c r="BC291" s="156" t="n"/>
      <c r="BD291" s="152" t="n"/>
      <c r="BE291" s="152" t="inlineStr">
        <is>
          <t>Not disclosed</t>
        </is>
      </c>
      <c r="BF291" s="152" t="n"/>
      <c r="BG291" s="152" t="n"/>
      <c r="BH291" s="152" t="inlineStr">
        <is>
          <t>Not disclosed</t>
        </is>
      </c>
      <c r="BI291" s="152" t="n"/>
      <c r="BJ291" s="152" t="n"/>
      <c r="BK291" s="152" t="n"/>
      <c r="BL291" s="152" t="n"/>
      <c r="BM291" s="152" t="n"/>
      <c r="BN291" s="152" t="n"/>
      <c r="BO291" s="156" t="n"/>
      <c r="BP291" s="152" t="inlineStr">
        <is>
          <t>Not disclosed</t>
        </is>
      </c>
      <c r="BQ291" s="156" t="inlineStr">
        <is>
          <t>Cinema Heavy-Lift</t>
        </is>
      </c>
      <c r="BR291" s="156" t="inlineStr">
        <is>
          <t>Not disclosed</t>
        </is>
      </c>
      <c r="BS291" s="156" t="n"/>
      <c r="BT291" s="152" t="n"/>
      <c r="BU291" s="152" t="n"/>
      <c r="BV291" s="156" t="inlineStr">
        <is>
          <t>High-payload cinema platform; carbon fiber construction</t>
        </is>
      </c>
      <c r="BW291" s="156" t="inlineStr">
        <is>
          <t>Origin &amp; status — USA · 2018 | Flight — Flight time Not disclosed · Range Not disclosed · Payload Heavy-lift cinema and industrial payloads | Sensing — Cinema payload platform (camera not fixed) | Buying notes — $15,995 · 12 months manufacturer standard (typical) · Best fit: High-payload cinema platform; carbon fiber construction</t>
        </is>
      </c>
      <c r="BX291" s="156" t="inlineStr">
        <is>
          <t>as_shipped|Alta X|15995|As shipped</t>
        </is>
      </c>
      <c r="BY291" s="152" t="inlineStr">
        <is>
          <t>alta_x|Manufacturer finish|#e2e8f0|0</t>
        </is>
      </c>
      <c r="BZ291" s="152" t="inlineStr"/>
      <c r="CA291" s="156" t="inlineStr">
        <is>
          <t>Add-ons: case; 2 color options; Multi-year extended warranty available</t>
        </is>
      </c>
      <c r="CB291" s="156" t="inlineStr">
        <is>
          <t>12 months manufacturer standard (typical)</t>
        </is>
      </c>
      <c r="CC291" s="154" t="n">
        <v>12</v>
      </c>
      <c r="CD291" s="156" t="inlineStr">
        <is>
          <t>+3 Year Extended ≈24% of configuration (default in configurator)</t>
        </is>
      </c>
      <c r="CE291" s="152" t="inlineStr">
        <is>
          <t>Industry default when OEM sheet not public</t>
        </is>
      </c>
      <c r="CF291" s="152" t="inlineStr">
        <is>
          <t>Estimated</t>
        </is>
      </c>
      <c r="CG291" s="156" t="inlineStr">
        <is>
          <t>Always confirm exact warranty on formal quote before purchase.</t>
        </is>
      </c>
      <c r="CH291" s="152" t="inlineStr">
        <is>
          <t>10%</t>
        </is>
      </c>
      <c r="CI291" s="152" t="inlineStr">
        <is>
          <t>17%</t>
        </is>
      </c>
      <c r="CJ291" s="152" t="inlineStr">
        <is>
          <t>24%</t>
        </is>
      </c>
      <c r="CK291"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91"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91" s="152" t="inlineStr">
        <is>
          <t>12 months manufacturer standard (typical)</t>
        </is>
      </c>
    </row>
    <row r="292" ht="31.5" customHeight="1" s="102">
      <c r="A292" s="143" t="inlineStr">
        <is>
          <t>holy_stone_hs_series_various</t>
        </is>
      </c>
      <c r="B292" s="160" t="inlineStr">
        <is>
          <t>Website</t>
        </is>
      </c>
      <c r="C292" s="145" t="inlineStr">
        <is>
          <t>Holy Stone</t>
        </is>
      </c>
      <c r="D292" s="145" t="inlineStr">
        <is>
          <t>HS Series</t>
        </is>
      </c>
      <c r="E292" s="145" t="inlineStr">
        <is>
          <t>[Holy Stone] HS Series (2015)</t>
        </is>
      </c>
      <c r="F292" s="164" t="inlineStr">
        <is>
          <t>aerial</t>
        </is>
      </c>
      <c r="G292" s="145" t="inlineStr">
        <is>
          <t>China</t>
        </is>
      </c>
      <c r="H292" s="147" t="n">
        <v>2015</v>
      </c>
      <c r="I292" s="148" t="n">
        <v>300</v>
      </c>
      <c r="J292" s="145" t="inlineStr">
        <is>
          <t>Website store</t>
        </is>
      </c>
      <c r="K292" s="149" t="inlineStr">
        <is>
          <t>HS Series is Holy Stone's aerial robot — camera-centric. Integrated consumer cameras (model dependent); aimed at budget.</t>
        </is>
      </c>
      <c r="L292" s="101" t="inlineStr">
        <is>
          <t>HS Series is Holy Stone's aerial robot — camera-centric. Integrated consumer cameras (model dependent); aimed at budget.</t>
        </is>
      </c>
      <c r="M292" s="101" t="inlineStr">
        <is>
          <t>HS Series is Holy Stone's aerial robot — camera-centric. Integrated consumer cameras (model dependent); aimed at budget. It is positioned for budget / Beginner.</t>
        </is>
      </c>
      <c r="N292" s="145" t="n"/>
      <c r="O292" s="145" t="inlineStr">
        <is>
          <t>https://www.holystone.com</t>
        </is>
      </c>
      <c r="P292" s="145" t="n"/>
      <c r="Q292" s="145" t="n"/>
      <c r="R292" s="145" t="inlineStr">
        <is>
          <t>Not disclosed</t>
        </is>
      </c>
      <c r="S292" s="145" t="n"/>
      <c r="T292" s="149" t="inlineStr">
        <is>
          <t>Not disclosed</t>
        </is>
      </c>
      <c r="U292" s="145" t="n"/>
      <c r="V292" s="145" t="n"/>
      <c r="W292" s="149" t="n"/>
      <c r="X292" s="145" t="inlineStr">
        <is>
          <t>Not disclosed</t>
        </is>
      </c>
      <c r="Y292" s="145" t="n"/>
      <c r="Z292" s="145" t="inlineStr">
        <is>
          <t>Not disclosed</t>
        </is>
      </c>
      <c r="AA292" s="145" t="n"/>
      <c r="AB292" s="145" t="n"/>
      <c r="AC292" s="149" t="inlineStr">
        <is>
          <t>Not disclosed</t>
        </is>
      </c>
      <c r="AD292" s="149" t="n"/>
      <c r="AE292" s="145" t="inlineStr">
        <is>
          <t>Not disclosed</t>
        </is>
      </c>
      <c r="AF292" s="145" t="inlineStr">
        <is>
          <t>Not disclosed</t>
        </is>
      </c>
      <c r="AG292" s="149" t="n"/>
      <c r="AH292" s="145" t="n"/>
      <c r="AI292" s="145" t="n"/>
      <c r="AJ292" s="149" t="inlineStr">
        <is>
          <t>Integrated consumer cameras (model dependent)</t>
        </is>
      </c>
      <c r="AK292" s="149" t="n"/>
      <c r="AL292" s="145" t="inlineStr">
        <is>
          <t>HD to 4K class depending on HS model</t>
        </is>
      </c>
      <c r="AM292" s="145" t="inlineStr">
        <is>
          <t>Not disclosed</t>
        </is>
      </c>
      <c r="AN292" s="145" t="n"/>
      <c r="AO292" s="145" t="n"/>
      <c r="AP292" s="145" t="n"/>
      <c r="AQ292" s="145" t="n"/>
      <c r="AR292" s="145" t="inlineStr">
        <is>
          <t>Not disclosed</t>
        </is>
      </c>
      <c r="AS292" s="145" t="inlineStr">
        <is>
          <t>Not disclosed</t>
        </is>
      </c>
      <c r="AT292" s="149" t="n"/>
      <c r="AU292" s="149" t="inlineStr">
        <is>
          <t>Not disclosed</t>
        </is>
      </c>
      <c r="AV292" s="145" t="inlineStr">
        <is>
          <t>Consumer RC + app</t>
        </is>
      </c>
      <c r="AW292" s="149" t="n"/>
      <c r="AX292" s="145" t="n"/>
      <c r="AY292" s="149" t="n"/>
      <c r="AZ292" s="149" t="n"/>
      <c r="BA292" s="149" t="n"/>
      <c r="BB292" s="149" t="n"/>
      <c r="BC292" s="149" t="n"/>
      <c r="BD292" s="145" t="n"/>
      <c r="BE292" s="145" t="inlineStr">
        <is>
          <t>Not disclosed</t>
        </is>
      </c>
      <c r="BF292" s="145" t="n"/>
      <c r="BG292" s="145" t="n"/>
      <c r="BH292" s="145" t="inlineStr">
        <is>
          <t>Not disclosed</t>
        </is>
      </c>
      <c r="BI292" s="145" t="n"/>
      <c r="BJ292" s="145" t="n"/>
      <c r="BK292" s="145" t="n"/>
      <c r="BL292" s="145" t="n"/>
      <c r="BM292" s="145" t="n"/>
      <c r="BN292" s="145" t="n"/>
      <c r="BO292" s="149" t="n"/>
      <c r="BP292" s="145" t="inlineStr">
        <is>
          <t>Not disclosed</t>
        </is>
      </c>
      <c r="BQ292" s="149" t="inlineStr">
        <is>
          <t>Budget / Beginner</t>
        </is>
      </c>
      <c r="BR292" s="149" t="inlineStr">
        <is>
          <t>Not disclosed</t>
        </is>
      </c>
      <c r="BS292" s="149" t="n"/>
      <c r="BT292" s="145" t="n"/>
      <c r="BU292" s="145" t="n"/>
      <c r="BV292" s="149" t="inlineStr">
        <is>
          <t>Entry-level and toy-class multirotors; high volume on consumer platforms</t>
        </is>
      </c>
      <c r="BW292" s="149" t="inlineStr">
        <is>
          <t>Origin &amp; status — China · 2015 | Flight — Flight time Not disclosed · Range Not disclosed · Payload Not disclosed | Sensing — Integrated consumer cameras (model dependent) | Buying notes — 60–300 · 12 months limited manufacturer warranty (typical consumer UAV) · Best fit: Entry-level and toy-class multirotors; high volume on consumer platforms</t>
        </is>
      </c>
      <c r="BX292" s="149" t="inlineStr">
        <is>
          <t>as_shipped|HS Series|300|As shipped</t>
        </is>
      </c>
      <c r="BY292" s="145" t="inlineStr">
        <is>
          <t>hs_series|Manufacturer finish|#e2e8f0|0</t>
        </is>
      </c>
      <c r="BZ292" s="145" t="inlineStr"/>
      <c r="CA292" s="149" t="inlineStr">
        <is>
          <t>Add-ons: case; 2 color options; Multi-year extended warranty available</t>
        </is>
      </c>
      <c r="CB292" s="149" t="inlineStr">
        <is>
          <t>12 months limited manufacturer warranty (typical consumer UAV)</t>
        </is>
      </c>
      <c r="CC292" s="147" t="n">
        <v>12</v>
      </c>
      <c r="CD292" s="149" t="inlineStr">
        <is>
          <t>+3 Year Extended ≈24% of configuration (default in configurator)</t>
        </is>
      </c>
      <c r="CE292" s="145" t="inlineStr">
        <is>
          <t>Consumer drone category standard</t>
        </is>
      </c>
      <c r="CF292" s="145" t="inlineStr">
        <is>
          <t>Estimated</t>
        </is>
      </c>
      <c r="CG292" s="149" t="inlineStr">
        <is>
          <t>Batteries/propellers often shorter or excluded.</t>
        </is>
      </c>
      <c r="CH292" s="145" t="inlineStr">
        <is>
          <t>10%</t>
        </is>
      </c>
      <c r="CI292" s="145" t="inlineStr">
        <is>
          <t>17%</t>
        </is>
      </c>
      <c r="CJ292" s="145" t="inlineStr">
        <is>
          <t>24%</t>
        </is>
      </c>
      <c r="CK292"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92"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92" s="145" t="inlineStr">
        <is>
          <t>12 months limited manufacturer warranty (typical consumer UAV)</t>
        </is>
      </c>
    </row>
    <row r="293" ht="31.5" customHeight="1" s="102">
      <c r="A293" s="159" t="inlineStr">
        <is>
          <t>insitu_boeing_scaneagle</t>
        </is>
      </c>
      <c r="B293" s="160" t="inlineStr">
        <is>
          <t>Website</t>
        </is>
      </c>
      <c r="C293" s="152" t="inlineStr">
        <is>
          <t>Insitu</t>
        </is>
      </c>
      <c r="D293" s="152" t="inlineStr">
        <is>
          <t>ScanEagle</t>
        </is>
      </c>
      <c r="E293" s="152" t="inlineStr">
        <is>
          <t>[Insitu] ScanEagle (2002)</t>
        </is>
      </c>
      <c r="F293" s="164" t="inlineStr">
        <is>
          <t>aerial</t>
        </is>
      </c>
      <c r="G293" s="152" t="inlineStr">
        <is>
          <t>USA</t>
        </is>
      </c>
      <c r="H293" s="154" t="n">
        <v>2002</v>
      </c>
      <c r="I293" s="155" t="n">
        <v>3500000</v>
      </c>
      <c r="J293" s="152" t="inlineStr">
        <is>
          <t>ScanEagle system class estimate</t>
        </is>
      </c>
      <c r="K293" s="156" t="inlineStr">
        <is>
          <t>ScanEagle is Insitu's aerial robot — camera-centric. Modular ISR turrets; aimed at catapult-launched long-endurance ISR fixed-wing.</t>
        </is>
      </c>
      <c r="L293" s="101" t="inlineStr">
        <is>
          <t>ScanEagle is Insitu's aerial robot — camera-centric. Modular ISR turrets; aimed at catapult-launched long-endurance ISR fixed-wing.</t>
        </is>
      </c>
      <c r="M293" s="101" t="inlineStr">
        <is>
          <t>ScanEagle is Insitu's aerial robot — camera-centric. Modular ISR turrets; aimed at catapult-launched long-endurance ISR fixed-wing.</t>
        </is>
      </c>
      <c r="N293" s="152" t="n"/>
      <c r="O293" s="152" t="inlineStr">
        <is>
          <t>https://www.insitu.com</t>
        </is>
      </c>
      <c r="P293" s="152" t="n"/>
      <c r="Q293" s="152" t="n"/>
      <c r="R293" s="152" t="inlineStr">
        <is>
          <t>Not disclosed</t>
        </is>
      </c>
      <c r="S293" s="152" t="n"/>
      <c r="T293" s="156" t="inlineStr">
        <is>
          <t>Not disclosed</t>
        </is>
      </c>
      <c r="U293" s="152" t="n"/>
      <c r="V293" s="152" t="n"/>
      <c r="W293" s="156" t="n"/>
      <c r="X293" s="152" t="inlineStr">
        <is>
          <t>Not disclosed</t>
        </is>
      </c>
      <c r="Y293" s="152" t="n"/>
      <c r="Z293" s="152" t="inlineStr">
        <is>
          <t>Not disclosed</t>
        </is>
      </c>
      <c r="AA293" s="152" t="n"/>
      <c r="AB293" s="152" t="n"/>
      <c r="AC293" s="156" t="inlineStr">
        <is>
          <t>Not disclosed</t>
        </is>
      </c>
      <c r="AD293" s="156" t="n"/>
      <c r="AE293" s="152" t="inlineStr">
        <is>
          <t>Not disclosed</t>
        </is>
      </c>
      <c r="AF293" s="152" t="inlineStr">
        <is>
          <t>Not disclosed</t>
        </is>
      </c>
      <c r="AG293" s="156" t="n"/>
      <c r="AH293" s="152" t="n"/>
      <c r="AI293" s="152" t="n"/>
      <c r="AJ293" s="156" t="inlineStr">
        <is>
          <t>Modular ISR turrets</t>
        </is>
      </c>
      <c r="AK293" s="156" t="n"/>
      <c r="AL293" s="152" t="inlineStr">
        <is>
          <t>Long-endurance ISR video</t>
        </is>
      </c>
      <c r="AM293" s="152" t="inlineStr">
        <is>
          <t>Not disclosed</t>
        </is>
      </c>
      <c r="AN293" s="152" t="n"/>
      <c r="AO293" s="152" t="n"/>
      <c r="AP293" s="152" t="n"/>
      <c r="AQ293" s="152" t="n"/>
      <c r="AR293" s="152" t="inlineStr">
        <is>
          <t>Not disclosed</t>
        </is>
      </c>
      <c r="AS293" s="152" t="inlineStr">
        <is>
          <t>Not disclosed</t>
        </is>
      </c>
      <c r="AT293" s="156" t="n"/>
      <c r="AU293" s="156" t="inlineStr">
        <is>
          <t>Not disclosed</t>
        </is>
      </c>
      <c r="AV293" s="152" t="inlineStr">
        <is>
          <t>Insitu GCS</t>
        </is>
      </c>
      <c r="AW293" s="156" t="n"/>
      <c r="AX293" s="152" t="n"/>
      <c r="AY293" s="156" t="n"/>
      <c r="AZ293" s="156" t="n"/>
      <c r="BA293" s="156" t="n"/>
      <c r="BB293" s="156" t="n"/>
      <c r="BC293" s="156" t="n"/>
      <c r="BD293" s="152" t="n"/>
      <c r="BE293" s="152" t="inlineStr">
        <is>
          <t>Not disclosed</t>
        </is>
      </c>
      <c r="BF293" s="152" t="n"/>
      <c r="BG293" s="152" t="n"/>
      <c r="BH293" s="152" t="inlineStr">
        <is>
          <t>Not disclosed</t>
        </is>
      </c>
      <c r="BI293" s="152" t="n"/>
      <c r="BJ293" s="152" t="n"/>
      <c r="BK293" s="152" t="n"/>
      <c r="BL293" s="152" t="n"/>
      <c r="BM293" s="152" t="n"/>
      <c r="BN293" s="152" t="n"/>
      <c r="BO293" s="156" t="n"/>
      <c r="BP293" s="152" t="inlineStr">
        <is>
          <t>Not disclosed</t>
        </is>
      </c>
      <c r="BQ293" s="156" t="inlineStr">
        <is>
          <t>Catapult-launched long-endurance ISR fixed-wing</t>
        </is>
      </c>
      <c r="BR293" s="156" t="inlineStr">
        <is>
          <t>Not disclosed</t>
        </is>
      </c>
      <c r="BS293" s="156" t="n"/>
      <c r="BT293" s="152" t="n"/>
      <c r="BU293" s="152" t="n"/>
      <c r="BV293" s="156" t="n"/>
      <c r="BW293" s="156" t="inlineStr">
        <is>
          <t>Origin &amp; status — USA · 2002 | Flight — Flight time Not disclosed · Range Not disclosed · Payload Not disclosed | Sensing — Modular ISR turrets | Buying notes — Inquiry / System · 12 months limited / contract-dependent · Best fit: Catapult-launched long-endurance ISR fixed-wing</t>
        </is>
      </c>
      <c r="BX293" s="156" t="inlineStr">
        <is>
          <t>as_shipped|ScanEagle|3500000|As shipped</t>
        </is>
      </c>
      <c r="BY293" s="152" t="inlineStr">
        <is>
          <t>scaneagle|Manufacturer finish|#e2e8f0|0</t>
        </is>
      </c>
      <c r="BZ293" s="152" t="inlineStr"/>
      <c r="CA293" s="156" t="inlineStr">
        <is>
          <t>Add-ons: case; 2 color options; Multi-year extended warranty available</t>
        </is>
      </c>
      <c r="CB293" s="156" t="inlineStr">
        <is>
          <t>12 months limited / contract-dependent</t>
        </is>
      </c>
      <c r="CC293" s="154" t="n">
        <v>12</v>
      </c>
      <c r="CD293" s="156" t="inlineStr">
        <is>
          <t>+3 Year Extended ≈24% of configuration (default in configurator)</t>
        </is>
      </c>
      <c r="CE293" s="152" t="inlineStr">
        <is>
          <t>Enterprise &amp; OEM UAV norms</t>
        </is>
      </c>
      <c r="CF293" s="152" t="inlineStr">
        <is>
          <t>Estimated</t>
        </is>
      </c>
      <c r="CG293" s="156" t="inlineStr">
        <is>
          <t>Military/industrial UAVs often under program SLA rather than retail warranty.</t>
        </is>
      </c>
      <c r="CH293" s="152" t="inlineStr">
        <is>
          <t>10%</t>
        </is>
      </c>
      <c r="CI293" s="152" t="inlineStr">
        <is>
          <t>17%</t>
        </is>
      </c>
      <c r="CJ293" s="152" t="inlineStr">
        <is>
          <t>24%</t>
        </is>
      </c>
      <c r="CK293"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93"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93" s="152" t="inlineStr">
        <is>
          <t>12 months limited / contract-dependent</t>
        </is>
      </c>
    </row>
    <row r="294" ht="31.5" customHeight="1" s="102">
      <c r="A294" s="143" t="inlineStr">
        <is>
          <t>jouav_cw_industrial_vtol</t>
        </is>
      </c>
      <c r="B294" s="160" t="inlineStr">
        <is>
          <t>Website</t>
        </is>
      </c>
      <c r="C294" s="145" t="inlineStr">
        <is>
          <t>JOUAV</t>
        </is>
      </c>
      <c r="D294" s="145" t="inlineStr">
        <is>
          <t>CW Industrial VTOL</t>
        </is>
      </c>
      <c r="E294" s="145" t="inlineStr">
        <is>
          <t>[JOUAV] CW Industrial VTOL (2015)</t>
        </is>
      </c>
      <c r="F294" s="164" t="inlineStr">
        <is>
          <t>aerial</t>
        </is>
      </c>
      <c r="G294" s="145" t="inlineStr">
        <is>
          <t>China</t>
        </is>
      </c>
      <c r="H294" s="147" t="n">
        <v>2015</v>
      </c>
      <c r="I294" s="148" t="n">
        <v>10000</v>
      </c>
      <c r="J294" s="145" t="inlineStr">
        <is>
          <t>Website store</t>
        </is>
      </c>
      <c r="K294" s="149" t="inlineStr">
        <is>
          <t>CW Industrial VTOL is JOUAV's aerial robot — camera-centric. Survey and industrial VTOL payload options; aimed at industrial VTOL.</t>
        </is>
      </c>
      <c r="L294" s="101" t="inlineStr">
        <is>
          <t>CW Industrial VTOL is JOUAV's aerial robot — camera-centric. Survey and industrial VTOL payload options; aimed at industrial VTOL.</t>
        </is>
      </c>
      <c r="M294" s="101" t="inlineStr">
        <is>
          <t>CW Industrial VTOL is JOUAV's aerial robot — camera-centric. Survey and industrial VTOL payload options; aimed at industrial VTOL.</t>
        </is>
      </c>
      <c r="N294" s="145" t="n"/>
      <c r="O294" s="145" t="inlineStr">
        <is>
          <t>https://www.jouav.com</t>
        </is>
      </c>
      <c r="P294" s="145" t="n"/>
      <c r="Q294" s="145" t="n"/>
      <c r="R294" s="145" t="inlineStr">
        <is>
          <t>Not disclosed</t>
        </is>
      </c>
      <c r="S294" s="145" t="n"/>
      <c r="T294" s="149" t="inlineStr">
        <is>
          <t>Not disclosed</t>
        </is>
      </c>
      <c r="U294" s="145" t="n"/>
      <c r="V294" s="145" t="n"/>
      <c r="W294" s="149" t="n"/>
      <c r="X294" s="145" t="inlineStr">
        <is>
          <t>Not disclosed</t>
        </is>
      </c>
      <c r="Y294" s="145" t="n"/>
      <c r="Z294" s="145" t="inlineStr">
        <is>
          <t>Not disclosed</t>
        </is>
      </c>
      <c r="AA294" s="145" t="n"/>
      <c r="AB294" s="145" t="n"/>
      <c r="AC294" s="149" t="inlineStr">
        <is>
          <t>Not disclosed</t>
        </is>
      </c>
      <c r="AD294" s="149" t="n"/>
      <c r="AE294" s="145" t="inlineStr">
        <is>
          <t>Not disclosed</t>
        </is>
      </c>
      <c r="AF294" s="145" t="inlineStr">
        <is>
          <t>Not disclosed</t>
        </is>
      </c>
      <c r="AG294" s="149" t="n"/>
      <c r="AH294" s="145" t="n"/>
      <c r="AI294" s="145" t="n"/>
      <c r="AJ294" s="149" t="inlineStr">
        <is>
          <t>Survey and industrial VTOL payload options</t>
        </is>
      </c>
      <c r="AK294" s="149" t="n"/>
      <c r="AL294" s="145" t="inlineStr">
        <is>
          <t>Mapping / inspection capture</t>
        </is>
      </c>
      <c r="AM294" s="145" t="inlineStr">
        <is>
          <t>Not disclosed</t>
        </is>
      </c>
      <c r="AN294" s="145" t="n"/>
      <c r="AO294" s="145" t="n"/>
      <c r="AP294" s="145" t="n"/>
      <c r="AQ294" s="145" t="n"/>
      <c r="AR294" s="145" t="inlineStr">
        <is>
          <t>Not disclosed</t>
        </is>
      </c>
      <c r="AS294" s="145" t="inlineStr">
        <is>
          <t>Not disclosed</t>
        </is>
      </c>
      <c r="AT294" s="149" t="n"/>
      <c r="AU294" s="149" t="inlineStr">
        <is>
          <t>Not disclosed</t>
        </is>
      </c>
      <c r="AV294" s="145" t="inlineStr">
        <is>
          <t>Industrial VTOL GCS</t>
        </is>
      </c>
      <c r="AW294" s="149" t="n"/>
      <c r="AX294" s="145" t="n"/>
      <c r="AY294" s="149" t="n"/>
      <c r="AZ294" s="149" t="n"/>
      <c r="BA294" s="149" t="n"/>
      <c r="BB294" s="149" t="n"/>
      <c r="BC294" s="149" t="n"/>
      <c r="BD294" s="145" t="n"/>
      <c r="BE294" s="145" t="inlineStr">
        <is>
          <t>Not disclosed</t>
        </is>
      </c>
      <c r="BF294" s="145" t="n"/>
      <c r="BG294" s="145" t="n"/>
      <c r="BH294" s="145" t="inlineStr">
        <is>
          <t>Not disclosed</t>
        </is>
      </c>
      <c r="BI294" s="145" t="n"/>
      <c r="BJ294" s="145" t="n"/>
      <c r="BK294" s="145" t="n"/>
      <c r="BL294" s="145" t="n"/>
      <c r="BM294" s="145" t="n"/>
      <c r="BN294" s="145" t="n"/>
      <c r="BO294" s="149" t="n"/>
      <c r="BP294" s="145" t="inlineStr">
        <is>
          <t>Not disclosed</t>
        </is>
      </c>
      <c r="BQ294" s="149" t="inlineStr">
        <is>
          <t>Industrial VTOL</t>
        </is>
      </c>
      <c r="BR294" s="149" t="inlineStr">
        <is>
          <t>Not disclosed</t>
        </is>
      </c>
      <c r="BS294" s="149" t="n"/>
      <c r="BT294" s="145" t="n"/>
      <c r="BU294" s="145" t="n"/>
      <c r="BV294" s="149" t="inlineStr">
        <is>
          <t>Long-endurance industrial surveying and security platforms</t>
        </is>
      </c>
      <c r="BW294" s="149" t="inlineStr">
        <is>
          <t>Origin &amp; status — China · 2015 | Flight — Flight time Not disclosed · Range Not disclosed · Payload Not disclosed | Sensing — Survey and industrial VTOL payload options | Buying notes — $10,000 · 12 months limited / contract-dependent · Best fit: Long-endurance industrial surveying and security platforms</t>
        </is>
      </c>
      <c r="BX294" s="149" t="inlineStr">
        <is>
          <t>as_shipped|CW Industrial VTOL|10000|As shipped</t>
        </is>
      </c>
      <c r="BY294" s="145" t="inlineStr">
        <is>
          <t>cw_industrial_vtol|Manufacturer finish|#e2e8f0|0</t>
        </is>
      </c>
      <c r="BZ294" s="145" t="inlineStr"/>
      <c r="CA294" s="149" t="inlineStr">
        <is>
          <t>Add-ons: case; 2 color options; Multi-year extended warranty available</t>
        </is>
      </c>
      <c r="CB294" s="149" t="inlineStr">
        <is>
          <t>12 months limited / contract-dependent</t>
        </is>
      </c>
      <c r="CC294" s="147" t="n">
        <v>12</v>
      </c>
      <c r="CD294" s="149" t="inlineStr">
        <is>
          <t>+3 Year Extended ≈24% of configuration (default in configurator)</t>
        </is>
      </c>
      <c r="CE294" s="145" t="inlineStr">
        <is>
          <t>Enterprise &amp; OEM UAV norms</t>
        </is>
      </c>
      <c r="CF294" s="145" t="inlineStr">
        <is>
          <t>Estimated</t>
        </is>
      </c>
      <c r="CG294" s="149" t="inlineStr">
        <is>
          <t>Military/industrial UAVs often under program SLA rather than retail warranty.</t>
        </is>
      </c>
      <c r="CH294" s="145" t="inlineStr">
        <is>
          <t>10%</t>
        </is>
      </c>
      <c r="CI294" s="145" t="inlineStr">
        <is>
          <t>17%</t>
        </is>
      </c>
      <c r="CJ294" s="145" t="inlineStr">
        <is>
          <t>24%</t>
        </is>
      </c>
      <c r="CK294"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94"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94" s="145" t="inlineStr">
        <is>
          <t>12 months limited / contract-dependent</t>
        </is>
      </c>
    </row>
    <row r="295" ht="31.5" customHeight="1" s="102">
      <c r="A295" s="159" t="inlineStr">
        <is>
          <t>parrot_anafi</t>
        </is>
      </c>
      <c r="B295" s="160" t="inlineStr">
        <is>
          <t>Website</t>
        </is>
      </c>
      <c r="C295" s="152" t="inlineStr">
        <is>
          <t>Parrot</t>
        </is>
      </c>
      <c r="D295" s="152" t="inlineStr">
        <is>
          <t>ANAFI</t>
        </is>
      </c>
      <c r="E295" s="152" t="inlineStr">
        <is>
          <t>[Parrot] ANAFI (2018)</t>
        </is>
      </c>
      <c r="F295" s="164" t="inlineStr">
        <is>
          <t>aerial</t>
        </is>
      </c>
      <c r="G295" s="152" t="inlineStr">
        <is>
          <t>France</t>
        </is>
      </c>
      <c r="H295" s="154" t="n">
        <v>2018</v>
      </c>
      <c r="I295" s="155" t="n">
        <v>699</v>
      </c>
      <c r="J295" s="152" t="inlineStr">
        <is>
          <t>Website store</t>
        </is>
      </c>
      <c r="K295" s="156" t="inlineStr">
        <is>
          <t>ANAFI is Parrot's aerial robot — Up to ≈ 25 min class flight time, camera-centric. 21 MP class sensor; 180° vertical tilt; aimed at consumer Foldable.</t>
        </is>
      </c>
      <c r="L295" s="101" t="inlineStr">
        <is>
          <t>ANAFI is Parrot's aerial robot — Up to ≈ 25 min class flight time, camera-centric. 21 MP class sensor; 180° vertical tilt; aimed at consumer Foldable.</t>
        </is>
      </c>
      <c r="M295" s="101" t="inlineStr">
        <is>
          <t>ANAFI is Parrot's aerial robot — Up to ≈ 25 min class flight time, camera-centric. 21 MP class sensor; 180° vertical tilt; aimed at consumer Foldable.</t>
        </is>
      </c>
      <c r="N295" s="152" t="n"/>
      <c r="O295" s="152" t="inlineStr">
        <is>
          <t>https://www.parrot.com</t>
        </is>
      </c>
      <c r="P295" s="152" t="n"/>
      <c r="Q295" s="152" t="n"/>
      <c r="R295" s="152" t="inlineStr">
        <is>
          <t>≈ 0.7 lb class</t>
        </is>
      </c>
      <c r="S295" s="152" t="n"/>
      <c r="T295" s="156" t="inlineStr">
        <is>
          <t>Not disclosed</t>
        </is>
      </c>
      <c r="U295" s="152" t="n"/>
      <c r="V295" s="152" t="n"/>
      <c r="W295" s="156" t="n"/>
      <c r="X295" s="152" t="inlineStr">
        <is>
          <t>Not disclosed</t>
        </is>
      </c>
      <c r="Y295" s="152" t="n"/>
      <c r="Z295" s="152" t="inlineStr">
        <is>
          <t>Not disclosed</t>
        </is>
      </c>
      <c r="AA295" s="152" t="n"/>
      <c r="AB295" s="152" t="n"/>
      <c r="AC295" s="156" t="inlineStr">
        <is>
          <t>Not disclosed</t>
        </is>
      </c>
      <c r="AD295" s="156" t="n"/>
      <c r="AE295" s="152" t="inlineStr">
        <is>
          <t>Up to ≈ 25 min class</t>
        </is>
      </c>
      <c r="AF295" s="152" t="inlineStr">
        <is>
          <t>Not disclosed</t>
        </is>
      </c>
      <c r="AG295" s="156" t="n"/>
      <c r="AH295" s="152" t="n"/>
      <c r="AI295" s="152" t="n"/>
      <c r="AJ295" s="156" t="inlineStr">
        <is>
          <t>21 MP class sensor; 180° vertical tilt</t>
        </is>
      </c>
      <c r="AK295" s="156" t="n"/>
      <c r="AL295" s="152" t="inlineStr">
        <is>
          <t>4K HDR class</t>
        </is>
      </c>
      <c r="AM295" s="152" t="inlineStr">
        <is>
          <t>3-axis with vertical imaging</t>
        </is>
      </c>
      <c r="AN295" s="152" t="n"/>
      <c r="AO295" s="152" t="n"/>
      <c r="AP295" s="152" t="n"/>
      <c r="AQ295" s="152" t="n"/>
      <c r="AR295" s="152" t="inlineStr">
        <is>
          <t>Not disclosed</t>
        </is>
      </c>
      <c r="AS295" s="152" t="inlineStr">
        <is>
          <t>Not disclosed</t>
        </is>
      </c>
      <c r="AT295" s="156" t="n"/>
      <c r="AU295" s="156" t="inlineStr">
        <is>
          <t>Not disclosed</t>
        </is>
      </c>
      <c r="AV295" s="152" t="inlineStr">
        <is>
          <t>FreeFlight app</t>
        </is>
      </c>
      <c r="AW295" s="156" t="n"/>
      <c r="AX295" s="152" t="n"/>
      <c r="AY295" s="156" t="n"/>
      <c r="AZ295" s="156" t="n"/>
      <c r="BA295" s="156" t="n"/>
      <c r="BB295" s="156" t="n"/>
      <c r="BC295" s="156" t="n"/>
      <c r="BD295" s="152" t="n"/>
      <c r="BE295" s="152" t="inlineStr">
        <is>
          <t>Not disclosed</t>
        </is>
      </c>
      <c r="BF295" s="152" t="n"/>
      <c r="BG295" s="152" t="n"/>
      <c r="BH295" s="152" t="inlineStr">
        <is>
          <t>Not disclosed</t>
        </is>
      </c>
      <c r="BI295" s="152" t="n"/>
      <c r="BJ295" s="152" t="n"/>
      <c r="BK295" s="152" t="n"/>
      <c r="BL295" s="152" t="n"/>
      <c r="BM295" s="152" t="n"/>
      <c r="BN295" s="152" t="n"/>
      <c r="BO295" s="156" t="n"/>
      <c r="BP295" s="152" t="inlineStr">
        <is>
          <t>Not disclosed</t>
        </is>
      </c>
      <c r="BQ295" s="156" t="inlineStr">
        <is>
          <t>Consumer Foldable</t>
        </is>
      </c>
      <c r="BR295" s="156" t="inlineStr">
        <is>
          <t>Not disclosed</t>
        </is>
      </c>
      <c r="BS295" s="156" t="n"/>
      <c r="BT295" s="152" t="n"/>
      <c r="BU295" s="152" t="n"/>
      <c r="BV295" s="156" t="inlineStr">
        <is>
          <t>Ultra-portable European design; 4K HDR; 180° camera tilt</t>
        </is>
      </c>
      <c r="BW295" s="156" t="inlineStr">
        <is>
          <t>Origin &amp; status — France · 2018 | Flight — Flight time Up to ≈ 25 min class · Range Not disclosed · Payload Not disclosed | Sensing — 21 MP class sensor; 180° vertical tilt | Buying notes — $699 · 12 months (reseller-defined; typically 1 year) · Best fit: Ultra-portable European design; 4K HDR; 180° camera tilt</t>
        </is>
      </c>
      <c r="BX295" s="156" t="inlineStr">
        <is>
          <t>as_shipped|ANAFI|699|As shipped</t>
        </is>
      </c>
      <c r="BY295" s="152" t="inlineStr">
        <is>
          <t>anafi|Manufacturer finish|#e2e8f0|0</t>
        </is>
      </c>
      <c r="BZ295" s="152" t="inlineStr"/>
      <c r="CA295" s="156" t="inlineStr">
        <is>
          <t>Add-ons: case; 2 color options; Multi-year extended warranty available</t>
        </is>
      </c>
      <c r="CB295" s="156" t="inlineStr">
        <is>
          <t>12 months (reseller-defined; typically 1 year)</t>
        </is>
      </c>
      <c r="CC295" s="154" t="n">
        <v>12</v>
      </c>
      <c r="CD295" s="156" t="inlineStr">
        <is>
          <t>+3 Year Extended ≈24% of configuration (default in configurator)</t>
        </is>
      </c>
      <c r="CE295" s="152" t="inlineStr">
        <is>
          <t>Parrot FAQ + Crutchfield ANAFI USA listing</t>
        </is>
      </c>
      <c r="CF295" s="152" t="inlineStr">
        <is>
          <t>High</t>
        </is>
      </c>
      <c r="CG295" s="156" t="inlineStr">
        <is>
          <t>Parrot states period is defined by reseller; US retail commonly 1 year parts/labor.</t>
        </is>
      </c>
      <c r="CH295" s="152" t="inlineStr">
        <is>
          <t>10%</t>
        </is>
      </c>
      <c r="CI295" s="152" t="inlineStr">
        <is>
          <t>17%</t>
        </is>
      </c>
      <c r="CJ295" s="152" t="inlineStr">
        <is>
          <t>24%</t>
        </is>
      </c>
      <c r="CK295"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95"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95" s="152" t="inlineStr">
        <is>
          <t>12 months (reseller-defined; typically 1 year)</t>
        </is>
      </c>
    </row>
    <row r="296" ht="31.5" customHeight="1" s="102">
      <c r="A296" s="143" t="inlineStr">
        <is>
          <t>parrot_anafi_ai_ukr_series</t>
        </is>
      </c>
      <c r="B296" s="160" t="inlineStr">
        <is>
          <t>Website</t>
        </is>
      </c>
      <c r="C296" s="145" t="inlineStr">
        <is>
          <t>Parrot</t>
        </is>
      </c>
      <c r="D296" s="145" t="inlineStr">
        <is>
          <t>ANAFI Ai</t>
        </is>
      </c>
      <c r="E296" s="145" t="inlineStr">
        <is>
          <t>[Parrot] ANAFI Ai (2021)</t>
        </is>
      </c>
      <c r="F296" s="164" t="inlineStr">
        <is>
          <t>aerial</t>
        </is>
      </c>
      <c r="G296" s="145" t="inlineStr">
        <is>
          <t>France</t>
        </is>
      </c>
      <c r="H296" s="147" t="n">
        <v>2021</v>
      </c>
      <c r="I296" s="148" t="n">
        <v>4000</v>
      </c>
      <c r="J296" s="145" t="inlineStr">
        <is>
          <t>Website store</t>
        </is>
      </c>
      <c r="K296" s="149" t="inlineStr">
        <is>
          <t>[Parrot] ANAFI Ai (2021) is a aerial platform from Parrot (France, 2021), positioned for enterprise.</t>
        </is>
      </c>
      <c r="L296" s="101" t="inlineStr">
        <is>
          <t>[Parrot] ANAFI Ai (2021) is a aerial platform from Parrot (France, 2021), positioned for enterprise.</t>
        </is>
      </c>
      <c r="M296" s="101" t="inlineStr">
        <is>
          <t>ANAFI Ai is Parrot's aerial robot, introduced around 2021 in France. [Parrot] ANAFI Ai (2021) is a aerial platform from Parrot (France, 2021), positioned for enterprise. It is positioned for enterprise / ISR.</t>
        </is>
      </c>
      <c r="N296" s="145" t="n"/>
      <c r="O296" s="145" t="inlineStr">
        <is>
          <t>https://www.parrot.com</t>
        </is>
      </c>
      <c r="P296" s="145" t="n"/>
      <c r="Q296" s="145" t="n"/>
      <c r="R296" s="145" t="inlineStr">
        <is>
          <t>≈ 1.4 lb class</t>
        </is>
      </c>
      <c r="S296" s="145" t="n"/>
      <c r="T296" s="149" t="inlineStr">
        <is>
          <t>Not disclosed</t>
        </is>
      </c>
      <c r="U296" s="145" t="n"/>
      <c r="V296" s="145" t="n"/>
      <c r="W296" s="149" t="n"/>
      <c r="X296" s="145" t="inlineStr">
        <is>
          <t>Not disclosed</t>
        </is>
      </c>
      <c r="Y296" s="145" t="n"/>
      <c r="Z296" s="145" t="inlineStr">
        <is>
          <t>Not disclosed</t>
        </is>
      </c>
      <c r="AA296" s="145" t="n"/>
      <c r="AB296" s="145" t="n"/>
      <c r="AC296" s="149" t="inlineStr">
        <is>
          <t>Not disclosed</t>
        </is>
      </c>
      <c r="AD296" s="149" t="n"/>
      <c r="AE296" s="145" t="inlineStr">
        <is>
          <t>Up to ≈ 32 min class</t>
        </is>
      </c>
      <c r="AF296" s="145" t="inlineStr">
        <is>
          <t>Not disclosed</t>
        </is>
      </c>
      <c r="AG296" s="149" t="n"/>
      <c r="AH296" s="145" t="n"/>
      <c r="AI296" s="145" t="n"/>
      <c r="AJ296" s="149" t="inlineStr">
        <is>
          <t>32× zoom class; 4K</t>
        </is>
      </c>
      <c r="AK296" s="149" t="n"/>
      <c r="AL296" s="145" t="inlineStr">
        <is>
          <t>4K; secure enterprise transmission options</t>
        </is>
      </c>
      <c r="AM296" s="145" t="inlineStr">
        <is>
          <t>Not disclosed</t>
        </is>
      </c>
      <c r="AN296" s="145" t="n"/>
      <c r="AO296" s="145" t="n"/>
      <c r="AP296" s="145" t="n"/>
      <c r="AQ296" s="145" t="n"/>
      <c r="AR296" s="145" t="inlineStr">
        <is>
          <t>4K stereoscopic obstacle sensing</t>
        </is>
      </c>
      <c r="AS296" s="145" t="inlineStr">
        <is>
          <t>Not disclosed</t>
        </is>
      </c>
      <c r="AT296" s="149" t="n"/>
      <c r="AU296" s="149" t="inlineStr">
        <is>
          <t>Not disclosed</t>
        </is>
      </c>
      <c r="AV296" s="145" t="inlineStr">
        <is>
          <t>FreeFlight 7 / enterprise tools</t>
        </is>
      </c>
      <c r="AW296" s="149" t="n"/>
      <c r="AX296" s="145" t="n"/>
      <c r="AY296" s="149" t="n"/>
      <c r="AZ296" s="149" t="n"/>
      <c r="BA296" s="149" t="n"/>
      <c r="BB296" s="149" t="n"/>
      <c r="BC296" s="149" t="n"/>
      <c r="BD296" s="145" t="n"/>
      <c r="BE296" s="145" t="inlineStr">
        <is>
          <t>Not disclosed</t>
        </is>
      </c>
      <c r="BF296" s="145" t="n"/>
      <c r="BG296" s="145" t="n"/>
      <c r="BH296" s="145" t="inlineStr">
        <is>
          <t>Not disclosed</t>
        </is>
      </c>
      <c r="BI296" s="145" t="n"/>
      <c r="BJ296" s="145" t="n"/>
      <c r="BK296" s="145" t="n"/>
      <c r="BL296" s="145" t="n"/>
      <c r="BM296" s="145" t="n"/>
      <c r="BN296" s="145" t="n"/>
      <c r="BO296" s="149" t="n"/>
      <c r="BP296" s="145" t="inlineStr">
        <is>
          <t>Not disclosed</t>
        </is>
      </c>
      <c r="BQ296" s="149" t="inlineStr">
        <is>
          <t>Enterprise / ISR</t>
        </is>
      </c>
      <c r="BR296" s="149" t="inlineStr">
        <is>
          <t>Not disclosed</t>
        </is>
      </c>
      <c r="BS296" s="149" t="n"/>
      <c r="BT296" s="145" t="n"/>
      <c r="BU296" s="145" t="n"/>
      <c r="BV296" s="149" t="inlineStr">
        <is>
          <t>4G BVLOS options; public safety and defense variants</t>
        </is>
      </c>
      <c r="BW296" s="149" t="inlineStr">
        <is>
          <t>Origin &amp; status — France · 2021 | Flight — Flight time Up to ≈ 32 min class · Range Not disclosed · Payload Not disclosed | Sensing — 32× zoom class; 4K | Buying notes — 4,000–16,000+ · 12 months (reseller-defined; typically 1 year) · Best fit: 4G BVLOS options; public safety and defense variants</t>
        </is>
      </c>
      <c r="BX296" s="149" t="inlineStr">
        <is>
          <t>as_shipped|ANAFI Ai|4000|As shipped</t>
        </is>
      </c>
      <c r="BY296" s="145" t="inlineStr">
        <is>
          <t>anafi_ai|Manufacturer finish|#e2e8f0|0</t>
        </is>
      </c>
      <c r="BZ296" s="145" t="inlineStr"/>
      <c r="CA296" s="149" t="inlineStr">
        <is>
          <t>Add-ons: case; 2 color options; Multi-year extended warranty available</t>
        </is>
      </c>
      <c r="CB296" s="149" t="inlineStr">
        <is>
          <t>12 months (reseller-defined; typically 1 year)</t>
        </is>
      </c>
      <c r="CC296" s="147" t="n">
        <v>12</v>
      </c>
      <c r="CD296" s="149" t="inlineStr">
        <is>
          <t>+3 Year Extended ≈24% of configuration (default in configurator)</t>
        </is>
      </c>
      <c r="CE296" s="145" t="inlineStr">
        <is>
          <t>Parrot FAQ + Crutchfield ANAFI USA listing</t>
        </is>
      </c>
      <c r="CF296" s="145" t="inlineStr">
        <is>
          <t>High</t>
        </is>
      </c>
      <c r="CG296" s="149" t="inlineStr">
        <is>
          <t>Parrot states period is defined by reseller; US retail commonly 1 year parts/labor.</t>
        </is>
      </c>
      <c r="CH296" s="145" t="inlineStr">
        <is>
          <t>10%</t>
        </is>
      </c>
      <c r="CI296" s="145" t="inlineStr">
        <is>
          <t>17%</t>
        </is>
      </c>
      <c r="CJ296" s="145" t="inlineStr">
        <is>
          <t>24%</t>
        </is>
      </c>
      <c r="CK296"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96"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96" s="145" t="inlineStr">
        <is>
          <t>12 months (reseller-defined; typically 1 year)</t>
        </is>
      </c>
    </row>
    <row r="297" ht="31.5" customHeight="1" s="102">
      <c r="A297" s="143" t="inlineStr">
        <is>
          <t>parrot_anafi_ai_ukr_series_anafi_ukr</t>
        </is>
      </c>
      <c r="B297" s="160" t="inlineStr">
        <is>
          <t>Website</t>
        </is>
      </c>
      <c r="C297" s="145" t="inlineStr">
        <is>
          <t>Parrot</t>
        </is>
      </c>
      <c r="D297" s="145" t="inlineStr">
        <is>
          <t>ANAFI UKR</t>
        </is>
      </c>
      <c r="E297" s="145" t="inlineStr">
        <is>
          <t>[Parrot] ANAFI UKR (2021)</t>
        </is>
      </c>
      <c r="F297" s="164" t="inlineStr">
        <is>
          <t>aerial</t>
        </is>
      </c>
      <c r="G297" s="145" t="inlineStr">
        <is>
          <t>France</t>
        </is>
      </c>
      <c r="H297" s="147" t="n">
        <v>2021</v>
      </c>
      <c r="I297" s="148" t="n">
        <v>4000</v>
      </c>
      <c r="J297" s="145" t="inlineStr">
        <is>
          <t>Website store</t>
        </is>
      </c>
      <c r="K297" s="149" t="inlineStr">
        <is>
          <t>[Parrot] ANAFI UKR (2021) is a aerial platform from Parrot (France, 2021), positioned for enterprise.</t>
        </is>
      </c>
      <c r="L297" s="101" t="inlineStr">
        <is>
          <t>[Parrot] ANAFI UKR (2021) is a aerial platform from Parrot (France, 2021), positioned for enterprise.</t>
        </is>
      </c>
      <c r="M297" s="101" t="inlineStr">
        <is>
          <t>ANAFI UKR is Parrot's aerial robot, introduced around 2021 in France. [Parrot] ANAFI UKR (2021) is a aerial platform from Parrot (France, 2021), positioned for enterprise. It is positioned for enterprise / ISR.</t>
        </is>
      </c>
      <c r="N297" s="145" t="n"/>
      <c r="O297" s="145" t="inlineStr">
        <is>
          <t>https://www.parrot.com</t>
        </is>
      </c>
      <c r="P297" s="145" t="n"/>
      <c r="Q297" s="145" t="n"/>
      <c r="R297" s="145" t="inlineStr">
        <is>
          <t>≈ 1.4 lb class</t>
        </is>
      </c>
      <c r="S297" s="145" t="n"/>
      <c r="T297" s="149" t="inlineStr">
        <is>
          <t>Not disclosed</t>
        </is>
      </c>
      <c r="U297" s="145" t="n"/>
      <c r="V297" s="145" t="n"/>
      <c r="W297" s="149" t="n"/>
      <c r="X297" s="145" t="inlineStr">
        <is>
          <t>Not disclosed</t>
        </is>
      </c>
      <c r="Y297" s="145" t="n"/>
      <c r="Z297" s="145" t="inlineStr">
        <is>
          <t>Not disclosed</t>
        </is>
      </c>
      <c r="AA297" s="145" t="n"/>
      <c r="AB297" s="145" t="n"/>
      <c r="AC297" s="149" t="inlineStr">
        <is>
          <t>Not disclosed</t>
        </is>
      </c>
      <c r="AD297" s="149" t="n"/>
      <c r="AE297" s="145" t="inlineStr">
        <is>
          <t>Up to ≈ 32 min class</t>
        </is>
      </c>
      <c r="AF297" s="145" t="inlineStr">
        <is>
          <t>Not disclosed</t>
        </is>
      </c>
      <c r="AG297" s="149" t="n"/>
      <c r="AH297" s="145" t="n"/>
      <c r="AI297" s="145" t="n"/>
      <c r="AJ297" s="149" t="inlineStr">
        <is>
          <t>32× zoom class; 4K</t>
        </is>
      </c>
      <c r="AK297" s="149" t="n"/>
      <c r="AL297" s="145" t="inlineStr">
        <is>
          <t>4K; secure enterprise transmission options</t>
        </is>
      </c>
      <c r="AM297" s="145" t="inlineStr">
        <is>
          <t>Not disclosed</t>
        </is>
      </c>
      <c r="AN297" s="145" t="n"/>
      <c r="AO297" s="145" t="n"/>
      <c r="AP297" s="145" t="n"/>
      <c r="AQ297" s="145" t="n"/>
      <c r="AR297" s="145" t="inlineStr">
        <is>
          <t>4K stereoscopic obstacle sensing</t>
        </is>
      </c>
      <c r="AS297" s="145" t="inlineStr">
        <is>
          <t>Not disclosed</t>
        </is>
      </c>
      <c r="AT297" s="149" t="n"/>
      <c r="AU297" s="149" t="inlineStr">
        <is>
          <t>Not disclosed</t>
        </is>
      </c>
      <c r="AV297" s="145" t="inlineStr">
        <is>
          <t>FreeFlight 7 / enterprise tools</t>
        </is>
      </c>
      <c r="AW297" s="149" t="n"/>
      <c r="AX297" s="145" t="n"/>
      <c r="AY297" s="149" t="n"/>
      <c r="AZ297" s="149" t="n"/>
      <c r="BA297" s="149" t="n"/>
      <c r="BB297" s="149" t="n"/>
      <c r="BC297" s="149" t="n"/>
      <c r="BD297" s="145" t="n"/>
      <c r="BE297" s="145" t="inlineStr">
        <is>
          <t>Not disclosed</t>
        </is>
      </c>
      <c r="BF297" s="145" t="n"/>
      <c r="BG297" s="145" t="n"/>
      <c r="BH297" s="145" t="inlineStr">
        <is>
          <t>Not disclosed</t>
        </is>
      </c>
      <c r="BI297" s="145" t="n"/>
      <c r="BJ297" s="145" t="n"/>
      <c r="BK297" s="145" t="n"/>
      <c r="BL297" s="145" t="n"/>
      <c r="BM297" s="145" t="n"/>
      <c r="BN297" s="145" t="n"/>
      <c r="BO297" s="149" t="n"/>
      <c r="BP297" s="145" t="inlineStr">
        <is>
          <t>Not disclosed</t>
        </is>
      </c>
      <c r="BQ297" s="149" t="inlineStr">
        <is>
          <t>Enterprise / ISR</t>
        </is>
      </c>
      <c r="BR297" s="149" t="inlineStr">
        <is>
          <t>Not disclosed</t>
        </is>
      </c>
      <c r="BS297" s="149" t="n"/>
      <c r="BT297" s="145" t="n"/>
      <c r="BU297" s="145" t="n"/>
      <c r="BV297" s="149" t="inlineStr">
        <is>
          <t>4G BVLOS options; public safety and defense variants</t>
        </is>
      </c>
      <c r="BW297" s="149" t="inlineStr">
        <is>
          <t>Origin &amp; status — France · 2021 | Flight — Flight time Up to ≈ 32 min class · Range Not disclosed · Payload Not disclosed | Sensing — 32× zoom class; 4K | Buying notes — 4,000–16,000+ · 12 months (reseller-defined; typically 1 year) · Best fit: 4G BVLOS options; public safety and defense variants</t>
        </is>
      </c>
      <c r="BX297" s="149" t="inlineStr">
        <is>
          <t>as_shipped|ANAFI UKR|4000|As shipped</t>
        </is>
      </c>
      <c r="BY297" s="145" t="inlineStr">
        <is>
          <t>anafi_ukr|Manufacturer finish|#e2e8f0|0</t>
        </is>
      </c>
      <c r="BZ297" s="145" t="inlineStr"/>
      <c r="CA297" s="149" t="inlineStr">
        <is>
          <t>Add-ons: case; 2 color options; Multi-year extended warranty available</t>
        </is>
      </c>
      <c r="CB297" s="149" t="inlineStr">
        <is>
          <t>12 months (reseller-defined; typically 1 year)</t>
        </is>
      </c>
      <c r="CC297" s="147" t="n">
        <v>12</v>
      </c>
      <c r="CD297" s="149" t="inlineStr">
        <is>
          <t>+3 Year Extended ≈24% of configuration (default in configurator)</t>
        </is>
      </c>
      <c r="CE297" s="145" t="inlineStr">
        <is>
          <t>Parrot FAQ + Crutchfield ANAFI USA listing</t>
        </is>
      </c>
      <c r="CF297" s="145" t="inlineStr">
        <is>
          <t>High</t>
        </is>
      </c>
      <c r="CG297" s="149" t="inlineStr">
        <is>
          <t>Parrot states period is defined by reseller; US retail commonly 1 year parts/labor.</t>
        </is>
      </c>
      <c r="CH297" s="145" t="inlineStr">
        <is>
          <t>10%</t>
        </is>
      </c>
      <c r="CI297" s="145" t="inlineStr">
        <is>
          <t>17%</t>
        </is>
      </c>
      <c r="CJ297" s="145" t="inlineStr">
        <is>
          <t>24%</t>
        </is>
      </c>
      <c r="CK297"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97"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97" s="145" t="inlineStr">
        <is>
          <t>12 months (reseller-defined; typically 1 year)</t>
        </is>
      </c>
    </row>
    <row r="298" ht="31.5" customHeight="1" s="102">
      <c r="A298" s="143" t="inlineStr">
        <is>
          <t>quantum_systems_vector</t>
        </is>
      </c>
      <c r="B298" s="160" t="inlineStr">
        <is>
          <t>Website</t>
        </is>
      </c>
      <c r="C298" s="145" t="inlineStr">
        <is>
          <t>Quantum Systems</t>
        </is>
      </c>
      <c r="D298" s="145" t="inlineStr">
        <is>
          <t>Vector</t>
        </is>
      </c>
      <c r="E298" s="145" t="inlineStr">
        <is>
          <t>[Quantum Systems] Vector (2019)</t>
        </is>
      </c>
      <c r="F298" s="164" t="inlineStr">
        <is>
          <t>aerial</t>
        </is>
      </c>
      <c r="G298" s="145" t="inlineStr">
        <is>
          <t>Germany</t>
        </is>
      </c>
      <c r="H298" s="147" t="n">
        <v>2019</v>
      </c>
      <c r="I298" s="148" t="n">
        <v>120000</v>
      </c>
      <c r="J298" s="145" t="inlineStr">
        <is>
          <t>Military VTOL UAS class estimate</t>
        </is>
      </c>
      <c r="K298" s="149" t="inlineStr">
        <is>
          <t>Vector is Quantum Systems's aerial robot — camera-centric. Modular ISR / mapping payloads; aimed at vTOL Dual-Use.</t>
        </is>
      </c>
      <c r="L298" s="101" t="inlineStr">
        <is>
          <t>Vector is Quantum Systems's aerial robot — camera-centric. Modular ISR / mapping payloads; aimed at vTOL Dual-Use.</t>
        </is>
      </c>
      <c r="M298" s="101" t="inlineStr">
        <is>
          <t>Vector is Quantum Systems's aerial robot — camera-centric. Modular ISR / mapping payloads; aimed at vTOL Dual-Use.</t>
        </is>
      </c>
      <c r="N298" s="145" t="n"/>
      <c r="O298" s="145" t="inlineStr">
        <is>
          <t>https://quantum-systems.com</t>
        </is>
      </c>
      <c r="P298" s="145" t="n"/>
      <c r="Q298" s="145" t="n"/>
      <c r="R298" s="145" t="inlineStr">
        <is>
          <t>Not disclosed</t>
        </is>
      </c>
      <c r="S298" s="145" t="n"/>
      <c r="T298" s="149" t="inlineStr">
        <is>
          <t>Not disclosed</t>
        </is>
      </c>
      <c r="U298" s="145" t="n"/>
      <c r="V298" s="145" t="n"/>
      <c r="W298" s="149" t="n"/>
      <c r="X298" s="145" t="inlineStr">
        <is>
          <t>Not disclosed</t>
        </is>
      </c>
      <c r="Y298" s="145" t="n"/>
      <c r="Z298" s="145" t="inlineStr">
        <is>
          <t>Not disclosed</t>
        </is>
      </c>
      <c r="AA298" s="145" t="n"/>
      <c r="AB298" s="145" t="n"/>
      <c r="AC298" s="149" t="inlineStr">
        <is>
          <t>Not disclosed</t>
        </is>
      </c>
      <c r="AD298" s="149" t="n"/>
      <c r="AE298" s="145" t="inlineStr">
        <is>
          <t>Not disclosed</t>
        </is>
      </c>
      <c r="AF298" s="145" t="inlineStr">
        <is>
          <t>Not disclosed</t>
        </is>
      </c>
      <c r="AG298" s="149" t="n"/>
      <c r="AH298" s="145" t="n"/>
      <c r="AI298" s="145" t="n"/>
      <c r="AJ298" s="149" t="inlineStr">
        <is>
          <t>Modular ISR / mapping payloads</t>
        </is>
      </c>
      <c r="AK298" s="149" t="n"/>
      <c r="AL298" s="145" t="inlineStr">
        <is>
          <t>Payload-dependent ISR video</t>
        </is>
      </c>
      <c r="AM298" s="145" t="inlineStr">
        <is>
          <t>Not disclosed</t>
        </is>
      </c>
      <c r="AN298" s="145" t="n"/>
      <c r="AO298" s="145" t="n"/>
      <c r="AP298" s="145" t="n"/>
      <c r="AQ298" s="145" t="n"/>
      <c r="AR298" s="145" t="inlineStr">
        <is>
          <t>Not disclosed</t>
        </is>
      </c>
      <c r="AS298" s="145" t="inlineStr">
        <is>
          <t>Not disclosed</t>
        </is>
      </c>
      <c r="AT298" s="149" t="n"/>
      <c r="AU298" s="149" t="inlineStr">
        <is>
          <t>Not disclosed</t>
        </is>
      </c>
      <c r="AV298" s="145" t="inlineStr">
        <is>
          <t>Quantum-Skies / military-oriented GCS options</t>
        </is>
      </c>
      <c r="AW298" s="149" t="n"/>
      <c r="AX298" s="145" t="n"/>
      <c r="AY298" s="149" t="n"/>
      <c r="AZ298" s="149" t="n"/>
      <c r="BA298" s="149" t="n"/>
      <c r="BB298" s="149" t="n"/>
      <c r="BC298" s="149" t="n"/>
      <c r="BD298" s="145" t="n"/>
      <c r="BE298" s="145" t="inlineStr">
        <is>
          <t>Not disclosed</t>
        </is>
      </c>
      <c r="BF298" s="145" t="n"/>
      <c r="BG298" s="145" t="n"/>
      <c r="BH298" s="145" t="inlineStr">
        <is>
          <t>Not disclosed</t>
        </is>
      </c>
      <c r="BI298" s="145" t="n"/>
      <c r="BJ298" s="145" t="n"/>
      <c r="BK298" s="145" t="n"/>
      <c r="BL298" s="145" t="n"/>
      <c r="BM298" s="145" t="n"/>
      <c r="BN298" s="145" t="n"/>
      <c r="BO298" s="149" t="n"/>
      <c r="BP298" s="145" t="inlineStr">
        <is>
          <t>Not disclosed</t>
        </is>
      </c>
      <c r="BQ298" s="149" t="inlineStr">
        <is>
          <t>VTOL Dual-Use</t>
        </is>
      </c>
      <c r="BR298" s="149" t="inlineStr">
        <is>
          <t>Not disclosed</t>
        </is>
      </c>
      <c r="BS298" s="149" t="n"/>
      <c r="BT298" s="145" t="n"/>
      <c r="BU298" s="145" t="n"/>
      <c r="BV298" s="149" t="inlineStr">
        <is>
          <t>Fixed-wing VTOL; AI focus; European commercial + defense</t>
        </is>
      </c>
      <c r="BW298" s="149" t="inlineStr">
        <is>
          <t>Origin &amp; status — Germany · 2019 | Flight — Flight time Not disclosed · Range Not disclosed · Payload Not disclosed | Sensing — Modular ISR / mapping payloads | Buying notes — 15,000+ · 12 months limited / contract-dependent · Best fit: Fixed-wing VTOL; AI focus; European commercial + defense</t>
        </is>
      </c>
      <c r="BX298" s="149" t="inlineStr">
        <is>
          <t>as_shipped|Vector|120000|As shipped</t>
        </is>
      </c>
      <c r="BY298" s="145" t="inlineStr">
        <is>
          <t>vector|Manufacturer finish|#e2e8f0|0</t>
        </is>
      </c>
      <c r="BZ298" s="145" t="inlineStr"/>
      <c r="CA298" s="149" t="inlineStr">
        <is>
          <t>Add-ons: case; 2 color options; Multi-year extended warranty available</t>
        </is>
      </c>
      <c r="CB298" s="149" t="inlineStr">
        <is>
          <t>12 months limited / contract-dependent</t>
        </is>
      </c>
      <c r="CC298" s="147" t="n">
        <v>12</v>
      </c>
      <c r="CD298" s="149" t="inlineStr">
        <is>
          <t>+3 Year Extended ≈24% of configuration (default in configurator)</t>
        </is>
      </c>
      <c r="CE298" s="145" t="inlineStr">
        <is>
          <t>Enterprise &amp; OEM UAV norms</t>
        </is>
      </c>
      <c r="CF298" s="145" t="inlineStr">
        <is>
          <t>Estimated</t>
        </is>
      </c>
      <c r="CG298" s="149" t="inlineStr">
        <is>
          <t>Military/industrial UAVs often under program SLA rather than retail warranty.</t>
        </is>
      </c>
      <c r="CH298" s="145" t="inlineStr">
        <is>
          <t>10%</t>
        </is>
      </c>
      <c r="CI298" s="145" t="inlineStr">
        <is>
          <t>17%</t>
        </is>
      </c>
      <c r="CJ298" s="145" t="inlineStr">
        <is>
          <t>24%</t>
        </is>
      </c>
      <c r="CK298"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98"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98" s="145" t="inlineStr">
        <is>
          <t>12 months limited / contract-dependent</t>
        </is>
      </c>
    </row>
    <row r="299" ht="31.5" customHeight="1" s="102">
      <c r="A299" s="159" t="inlineStr">
        <is>
          <t>sensefly_ageagle_ebee_x</t>
        </is>
      </c>
      <c r="B299" s="160" t="inlineStr">
        <is>
          <t>Website</t>
        </is>
      </c>
      <c r="C299" s="152" t="inlineStr">
        <is>
          <t>senseFly</t>
        </is>
      </c>
      <c r="D299" s="152" t="inlineStr">
        <is>
          <t>eBee X</t>
        </is>
      </c>
      <c r="E299" s="152" t="inlineStr">
        <is>
          <t>[senseFly] eBee X (2018)</t>
        </is>
      </c>
      <c r="F299" s="164" t="inlineStr">
        <is>
          <t>aerial</t>
        </is>
      </c>
      <c r="G299" s="152" t="inlineStr">
        <is>
          <t>USA</t>
        </is>
      </c>
      <c r="H299" s="154" t="n">
        <v>2018</v>
      </c>
      <c r="I299" s="155" t="n">
        <v>18000</v>
      </c>
      <c r="J299" s="152" t="inlineStr">
        <is>
          <t>eBee X mapping kit class estimate</t>
        </is>
      </c>
      <c r="K299" s="156" t="inlineStr">
        <is>
          <t>EBee X is senseFly's aerial robot — camera-centric. Swappable RGB, multispectral, thermal mapping cameras; aimed at fixed-Wing Survey.</t>
        </is>
      </c>
      <c r="L299" s="101" t="inlineStr">
        <is>
          <t>EBee X is senseFly's aerial robot — camera-centric. Swappable RGB, multispectral, thermal mapping cameras; aimed at fixed-Wing Survey.</t>
        </is>
      </c>
      <c r="M299" s="101" t="inlineStr">
        <is>
          <t>EBee X is senseFly's aerial robot — camera-centric. Swappable RGB, multispectral, thermal mapping cameras; aimed at fixed-Wing Survey.</t>
        </is>
      </c>
      <c r="N299" s="152" t="n"/>
      <c r="O299" s="152" t="inlineStr">
        <is>
          <t>https://www.sensefly.com</t>
        </is>
      </c>
      <c r="P299" s="152" t="n"/>
      <c r="Q299" s="152" t="n"/>
      <c r="R299" s="152" t="inlineStr">
        <is>
          <t>≈ 2.4–3.5 lb class depending on camera</t>
        </is>
      </c>
      <c r="S299" s="152" t="n"/>
      <c r="T299" s="156" t="inlineStr">
        <is>
          <t>Not disclosed</t>
        </is>
      </c>
      <c r="U299" s="152" t="n"/>
      <c r="V299" s="152" t="n"/>
      <c r="W299" s="156" t="n"/>
      <c r="X299" s="152" t="inlineStr">
        <is>
          <t>Not disclosed</t>
        </is>
      </c>
      <c r="Y299" s="152" t="n"/>
      <c r="Z299" s="152" t="inlineStr">
        <is>
          <t>Not disclosed</t>
        </is>
      </c>
      <c r="AA299" s="152" t="n"/>
      <c r="AB299" s="152" t="n"/>
      <c r="AC299" s="156" t="inlineStr">
        <is>
          <t>Not disclosed</t>
        </is>
      </c>
      <c r="AD299" s="156" t="n"/>
      <c r="AE299" s="152" t="inlineStr">
        <is>
          <t>Not disclosed</t>
        </is>
      </c>
      <c r="AF299" s="152" t="inlineStr">
        <is>
          <t>Not disclosed</t>
        </is>
      </c>
      <c r="AG299" s="156" t="n"/>
      <c r="AH299" s="152" t="n"/>
      <c r="AI299" s="152" t="n"/>
      <c r="AJ299" s="156" t="inlineStr">
        <is>
          <t>Swappable RGB, multispectral, thermal mapping cameras</t>
        </is>
      </c>
      <c r="AK299" s="156" t="n"/>
      <c r="AL299" s="152" t="inlineStr">
        <is>
          <t>Survey stills primary</t>
        </is>
      </c>
      <c r="AM299" s="152" t="inlineStr">
        <is>
          <t>Not disclosed</t>
        </is>
      </c>
      <c r="AN299" s="152" t="n"/>
      <c r="AO299" s="152" t="n"/>
      <c r="AP299" s="152" t="n"/>
      <c r="AQ299" s="152" t="n"/>
      <c r="AR299" s="152" t="inlineStr">
        <is>
          <t>Not disclosed</t>
        </is>
      </c>
      <c r="AS299" s="152" t="inlineStr">
        <is>
          <t>Not disclosed</t>
        </is>
      </c>
      <c r="AT299" s="156" t="n"/>
      <c r="AU299" s="156" t="inlineStr">
        <is>
          <t>Not disclosed</t>
        </is>
      </c>
      <c r="AV299" s="152" t="inlineStr">
        <is>
          <t>eMotion flight planning</t>
        </is>
      </c>
      <c r="AW299" s="156" t="n"/>
      <c r="AX299" s="152" t="n"/>
      <c r="AY299" s="156" t="n"/>
      <c r="AZ299" s="156" t="n"/>
      <c r="BA299" s="156" t="n"/>
      <c r="BB299" s="156" t="n"/>
      <c r="BC299" s="156" t="n"/>
      <c r="BD299" s="152" t="n"/>
      <c r="BE299" s="152" t="inlineStr">
        <is>
          <t>Not disclosed</t>
        </is>
      </c>
      <c r="BF299" s="152" t="n"/>
      <c r="BG299" s="152" t="n"/>
      <c r="BH299" s="152" t="inlineStr">
        <is>
          <t>Not disclosed</t>
        </is>
      </c>
      <c r="BI299" s="152" t="n"/>
      <c r="BJ299" s="152" t="n"/>
      <c r="BK299" s="152" t="n"/>
      <c r="BL299" s="152" t="n"/>
      <c r="BM299" s="152" t="n"/>
      <c r="BN299" s="152" t="n"/>
      <c r="BO299" s="156" t="n"/>
      <c r="BP299" s="152" t="inlineStr">
        <is>
          <t>Not disclosed</t>
        </is>
      </c>
      <c r="BQ299" s="156" t="inlineStr">
        <is>
          <t>Fixed-Wing Survey</t>
        </is>
      </c>
      <c r="BR299" s="156" t="inlineStr">
        <is>
          <t>Not disclosed</t>
        </is>
      </c>
      <c r="BS299" s="156" t="n"/>
      <c r="BT299" s="152" t="n"/>
      <c r="BU299" s="152" t="n"/>
      <c r="BV299" s="156" t="inlineStr">
        <is>
          <t>Efficient fixed-wing mapping platform; high coverage</t>
        </is>
      </c>
      <c r="BW299" s="156" t="inlineStr">
        <is>
          <t>Origin &amp; status — USA · 2018 | Flight — Flight time Not disclosed · Range Not disclosed · Payload Not disclosed | Sensing — Swappable RGB, multispectral, thermal mapping cameras | Buying notes — ~10,000+ · 12 months limited / contract-dependent · Best fit: Efficient fixed-wing mapping platform; high coverage</t>
        </is>
      </c>
      <c r="BX299" s="156" t="inlineStr">
        <is>
          <t>as_shipped|eBee X|18000|As shipped</t>
        </is>
      </c>
      <c r="BY299" s="152" t="inlineStr">
        <is>
          <t>ebee_x|Manufacturer finish|#e2e8f0|0</t>
        </is>
      </c>
      <c r="BZ299" s="152" t="inlineStr"/>
      <c r="CA299" s="156" t="inlineStr">
        <is>
          <t>Add-ons: case; 2 color options; Multi-year extended warranty available</t>
        </is>
      </c>
      <c r="CB299" s="156" t="inlineStr">
        <is>
          <t>12 months limited / contract-dependent</t>
        </is>
      </c>
      <c r="CC299" s="154" t="n">
        <v>12</v>
      </c>
      <c r="CD299" s="156" t="inlineStr">
        <is>
          <t>+3 Year Extended ≈24% of configuration (default in configurator)</t>
        </is>
      </c>
      <c r="CE299" s="152" t="inlineStr">
        <is>
          <t>Enterprise &amp; OEM UAV norms</t>
        </is>
      </c>
      <c r="CF299" s="152" t="inlineStr">
        <is>
          <t>Estimated</t>
        </is>
      </c>
      <c r="CG299" s="156" t="inlineStr">
        <is>
          <t>Military/industrial UAVs often under program SLA rather than retail warranty.</t>
        </is>
      </c>
      <c r="CH299" s="152" t="inlineStr">
        <is>
          <t>10%</t>
        </is>
      </c>
      <c r="CI299" s="152" t="inlineStr">
        <is>
          <t>17%</t>
        </is>
      </c>
      <c r="CJ299" s="152" t="inlineStr">
        <is>
          <t>24%</t>
        </is>
      </c>
      <c r="CK299"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99"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99" s="152" t="inlineStr">
        <is>
          <t>12 months limited / contract-dependent</t>
        </is>
      </c>
    </row>
    <row r="300" ht="31.5" customHeight="1" s="102">
      <c r="A300" s="143" t="inlineStr">
        <is>
          <t>skydio_skydio_2_2</t>
        </is>
      </c>
      <c r="B300" s="160" t="inlineStr">
        <is>
          <t>Website</t>
        </is>
      </c>
      <c r="C300" s="145" t="inlineStr">
        <is>
          <t>Skydio</t>
        </is>
      </c>
      <c r="D300" s="145" t="inlineStr">
        <is>
          <t>Skydio 2</t>
        </is>
      </c>
      <c r="E300" s="145" t="inlineStr">
        <is>
          <t>[Skydio] Skydio 2 (2019)</t>
        </is>
      </c>
      <c r="F300" s="164" t="inlineStr">
        <is>
          <t>aerial</t>
        </is>
      </c>
      <c r="G300" s="145" t="inlineStr">
        <is>
          <t>USA</t>
        </is>
      </c>
      <c r="H300" s="147" t="n">
        <v>2019</v>
      </c>
      <c r="I300" s="148" t="n">
        <v>999</v>
      </c>
      <c r="J300" s="145" t="inlineStr">
        <is>
          <t>Website store</t>
        </is>
      </c>
      <c r="K300" s="149" t="inlineStr">
        <is>
          <t>[Skydio] Skydio 2 (2019) is a aerial platform from Skydio (USA, 2019), positioned for consumer autonomous.</t>
        </is>
      </c>
      <c r="L300" s="101" t="inlineStr">
        <is>
          <t>[Skydio] Skydio 2 (2019) is a aerial platform from Skydio (USA, 2019), positioned for consumer autonomous.</t>
        </is>
      </c>
      <c r="M300" s="101" t="inlineStr">
        <is>
          <t>Skydio 2 is Skydio's aerial robot, introduced around 2019 in USA. [Skydio] Skydio 2 (2019) is a aerial platform from Skydio (USA, 2019), positioned for consumer autonomous.</t>
        </is>
      </c>
      <c r="N300" s="145" t="n"/>
      <c r="O300" s="145" t="inlineStr">
        <is>
          <t>https://www.skydio.com</t>
        </is>
      </c>
      <c r="P300" s="145" t="n"/>
      <c r="Q300" s="145" t="n"/>
      <c r="R300" s="145" t="inlineStr">
        <is>
          <t>≈ 1.7 lb class</t>
        </is>
      </c>
      <c r="S300" s="145" t="n"/>
      <c r="T300" s="149" t="inlineStr">
        <is>
          <t>Not disclosed</t>
        </is>
      </c>
      <c r="U300" s="145" t="n"/>
      <c r="V300" s="145" t="n"/>
      <c r="W300" s="149" t="n"/>
      <c r="X300" s="145" t="inlineStr">
        <is>
          <t>Not disclosed</t>
        </is>
      </c>
      <c r="Y300" s="145" t="n"/>
      <c r="Z300" s="145" t="inlineStr">
        <is>
          <t>Not disclosed</t>
        </is>
      </c>
      <c r="AA300" s="145" t="n"/>
      <c r="AB300" s="145" t="n"/>
      <c r="AC300" s="149" t="inlineStr">
        <is>
          <t>Not disclosed</t>
        </is>
      </c>
      <c r="AD300" s="149" t="n"/>
      <c r="AE300" s="145" t="inlineStr">
        <is>
          <t>Up to ≈ 27 min class</t>
        </is>
      </c>
      <c r="AF300" s="145" t="inlineStr">
        <is>
          <t>Not disclosed</t>
        </is>
      </c>
      <c r="AG300" s="149" t="n"/>
      <c r="AH300" s="145" t="n"/>
      <c r="AI300" s="145" t="n"/>
      <c r="AJ300" s="149" t="inlineStr">
        <is>
          <t>Primary camera + obstacle cameras</t>
        </is>
      </c>
      <c r="AK300" s="149" t="n"/>
      <c r="AL300" s="145" t="inlineStr">
        <is>
          <t>4K-class recording on supported firmware</t>
        </is>
      </c>
      <c r="AM300" s="145" t="inlineStr">
        <is>
          <t>Not disclosed</t>
        </is>
      </c>
      <c r="AN300" s="145" t="n"/>
      <c r="AO300" s="145" t="n"/>
      <c r="AP300" s="145" t="n"/>
      <c r="AQ300" s="145" t="n"/>
      <c r="AR300" s="145" t="inlineStr">
        <is>
          <t>360° obstacle avoidance class</t>
        </is>
      </c>
      <c r="AS300" s="145" t="inlineStr">
        <is>
          <t>Not disclosed</t>
        </is>
      </c>
      <c r="AT300" s="149" t="n"/>
      <c r="AU300" s="149" t="inlineStr">
        <is>
          <t>Not disclosed</t>
        </is>
      </c>
      <c r="AV300" s="145" t="inlineStr">
        <is>
          <t>Skydio app and Beacon</t>
        </is>
      </c>
      <c r="AW300" s="149" t="n"/>
      <c r="AX300" s="145" t="n"/>
      <c r="AY300" s="149" t="n"/>
      <c r="AZ300" s="149" t="n"/>
      <c r="BA300" s="149" t="n"/>
      <c r="BB300" s="149" t="n"/>
      <c r="BC300" s="149" t="n"/>
      <c r="BD300" s="145" t="n"/>
      <c r="BE300" s="145" t="inlineStr">
        <is>
          <t>Not disclosed</t>
        </is>
      </c>
      <c r="BF300" s="145" t="n"/>
      <c r="BG300" s="145" t="n"/>
      <c r="BH300" s="145" t="inlineStr">
        <is>
          <t>Not disclosed</t>
        </is>
      </c>
      <c r="BI300" s="145" t="n"/>
      <c r="BJ300" s="145" t="n"/>
      <c r="BK300" s="145" t="n"/>
      <c r="BL300" s="145" t="n"/>
      <c r="BM300" s="145" t="n"/>
      <c r="BN300" s="145" t="n"/>
      <c r="BO300" s="149" t="n"/>
      <c r="BP300" s="145" t="inlineStr">
        <is>
          <t>Not disclosed</t>
        </is>
      </c>
      <c r="BQ300" s="149" t="inlineStr">
        <is>
          <t>Consumer Autonomous</t>
        </is>
      </c>
      <c r="BR300" s="149" t="inlineStr">
        <is>
          <t>Not disclosed</t>
        </is>
      </c>
      <c r="BS300" s="149" t="n"/>
      <c r="BT300" s="145" t="n"/>
      <c r="BU300" s="145" t="n"/>
      <c r="BV300" s="149" t="inlineStr">
        <is>
          <t>Compact form factor; six navigation cameras; excellent obstacle avoidance</t>
        </is>
      </c>
      <c r="BW300" s="149" t="inlineStr">
        <is>
          <t>Origin &amp; status — USA · 2019 | Flight — Flight time Up to ≈ 27 min class · Range Not disclosed · Payload Not disclosed | Sensing — Primary camera + obstacle cameras | Buying notes — $999 · 12 months limited warranty from delivery · Best fit: Compact form factor; six navigation cameras; excellent obstacle avoidance</t>
        </is>
      </c>
      <c r="BX300" s="149" t="inlineStr">
        <is>
          <t>as_shipped|Skydio 2|999|As shipped</t>
        </is>
      </c>
      <c r="BY300" s="145" t="inlineStr">
        <is>
          <t>skydio_2|Manufacturer finish|#e2e8f0|0</t>
        </is>
      </c>
      <c r="BZ300" s="145" t="inlineStr"/>
      <c r="CA300" s="149" t="inlineStr">
        <is>
          <t>Add-ons: case; 2 color options; Multi-year extended warranty available</t>
        </is>
      </c>
      <c r="CB300" s="149" t="inlineStr">
        <is>
          <t>12 months limited warranty from delivery</t>
        </is>
      </c>
      <c r="CC300" s="147" t="n">
        <v>12</v>
      </c>
      <c r="CD300" s="149" t="inlineStr">
        <is>
          <t>+3 Year Extended ≈24% of configuration (default in configurator)</t>
        </is>
      </c>
      <c r="CE300" s="145" t="inlineStr">
        <is>
          <t>Skydio Limited Warranty / Enterprise Warranty Terms</t>
        </is>
      </c>
      <c r="CF300" s="145" t="inlineStr">
        <is>
          <t>Documented</t>
        </is>
      </c>
      <c r="CG300" s="149" t="inlineStr">
        <is>
          <t>Batteries: earlier of 1 year or 200 cycles. Propellers: no warranty. Skydio Care is optional add-on.</t>
        </is>
      </c>
      <c r="CH300" s="145" t="inlineStr">
        <is>
          <t>10%</t>
        </is>
      </c>
      <c r="CI300" s="145" t="inlineStr">
        <is>
          <t>17%</t>
        </is>
      </c>
      <c r="CJ300" s="145" t="inlineStr">
        <is>
          <t>24%</t>
        </is>
      </c>
      <c r="CK300"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300"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00" s="145" t="inlineStr">
        <is>
          <t>12 months limited warranty from delivery</t>
        </is>
      </c>
    </row>
    <row r="301" ht="31.5" customHeight="1" s="102">
      <c r="A301" s="159" t="inlineStr">
        <is>
          <t>skydio_r1</t>
        </is>
      </c>
      <c r="B301" s="160" t="inlineStr">
        <is>
          <t>Website</t>
        </is>
      </c>
      <c r="C301" s="152" t="inlineStr">
        <is>
          <t>Skydio</t>
        </is>
      </c>
      <c r="D301" s="152" t="inlineStr">
        <is>
          <t>R1</t>
        </is>
      </c>
      <c r="E301" s="152" t="inlineStr">
        <is>
          <t>[Skydio] R1 (2018)</t>
        </is>
      </c>
      <c r="F301" s="164" t="inlineStr">
        <is>
          <t>aerial</t>
        </is>
      </c>
      <c r="G301" s="152" t="inlineStr">
        <is>
          <t>USA</t>
        </is>
      </c>
      <c r="H301" s="154" t="n">
        <v>2018</v>
      </c>
      <c r="I301" s="155" t="n">
        <v>1999</v>
      </c>
      <c r="J301" s="152" t="inlineStr">
        <is>
          <t>Website store</t>
        </is>
      </c>
      <c r="K301" s="156" t="inlineStr">
        <is>
          <t>R1 is Skydio's aerial robot — camera-centric. Primary + navigation cameras; aimed at consumer Autonomous.</t>
        </is>
      </c>
      <c r="L301" s="101" t="inlineStr">
        <is>
          <t>R1 is Skydio's aerial robot — camera-centric. Primary + navigation cameras; aimed at consumer Autonomous.</t>
        </is>
      </c>
      <c r="M301" s="101" t="inlineStr">
        <is>
          <t>R1 is Skydio's aerial robot — camera-centric. Primary + navigation cameras; aimed at consumer Autonomous.</t>
        </is>
      </c>
      <c r="N301" s="152" t="n"/>
      <c r="O301" s="152" t="inlineStr">
        <is>
          <t>https://www.skydio.com</t>
        </is>
      </c>
      <c r="P301" s="152" t="n"/>
      <c r="Q301" s="152" t="n"/>
      <c r="R301" s="152" t="inlineStr">
        <is>
          <t>≈ 2.2 lb class</t>
        </is>
      </c>
      <c r="S301" s="152" t="n"/>
      <c r="T301" s="156" t="inlineStr">
        <is>
          <t>Not disclosed</t>
        </is>
      </c>
      <c r="U301" s="152" t="n"/>
      <c r="V301" s="152" t="n"/>
      <c r="W301" s="156" t="n"/>
      <c r="X301" s="152" t="inlineStr">
        <is>
          <t>Not disclosed</t>
        </is>
      </c>
      <c r="Y301" s="152" t="n"/>
      <c r="Z301" s="152" t="inlineStr">
        <is>
          <t>Not disclosed</t>
        </is>
      </c>
      <c r="AA301" s="152" t="n"/>
      <c r="AB301" s="152" t="n"/>
      <c r="AC301" s="156" t="inlineStr">
        <is>
          <t>Not disclosed</t>
        </is>
      </c>
      <c r="AD301" s="156" t="n"/>
      <c r="AE301" s="152" t="inlineStr">
        <is>
          <t>Not disclosed</t>
        </is>
      </c>
      <c r="AF301" s="152" t="inlineStr">
        <is>
          <t>Not disclosed</t>
        </is>
      </c>
      <c r="AG301" s="156" t="n"/>
      <c r="AH301" s="152" t="n"/>
      <c r="AI301" s="152" t="n"/>
      <c r="AJ301" s="156" t="inlineStr">
        <is>
          <t>Primary + navigation cameras</t>
        </is>
      </c>
      <c r="AK301" s="156" t="n"/>
      <c r="AL301" s="152" t="inlineStr">
        <is>
          <t>Early autonomous cinematic capture</t>
        </is>
      </c>
      <c r="AM301" s="152" t="inlineStr">
        <is>
          <t>Not disclosed</t>
        </is>
      </c>
      <c r="AN301" s="152" t="n"/>
      <c r="AO301" s="152" t="n"/>
      <c r="AP301" s="152" t="n"/>
      <c r="AQ301" s="152" t="n"/>
      <c r="AR301" s="152" t="inlineStr">
        <is>
          <t>Autonomous obstacle avoidance (first-gen Skydio)</t>
        </is>
      </c>
      <c r="AS301" s="152" t="inlineStr">
        <is>
          <t>Not disclosed</t>
        </is>
      </c>
      <c r="AT301" s="156" t="n"/>
      <c r="AU301" s="156" t="inlineStr">
        <is>
          <t>Not disclosed</t>
        </is>
      </c>
      <c r="AV301" s="152" t="inlineStr">
        <is>
          <t>Not disclosed</t>
        </is>
      </c>
      <c r="AW301" s="156" t="n"/>
      <c r="AX301" s="152" t="n"/>
      <c r="AY301" s="156" t="n"/>
      <c r="AZ301" s="156" t="n"/>
      <c r="BA301" s="156" t="n"/>
      <c r="BB301" s="156" t="n"/>
      <c r="BC301" s="156" t="n"/>
      <c r="BD301" s="152" t="n"/>
      <c r="BE301" s="152" t="inlineStr">
        <is>
          <t>Not disclosed</t>
        </is>
      </c>
      <c r="BF301" s="152" t="n"/>
      <c r="BG301" s="152" t="n"/>
      <c r="BH301" s="152" t="inlineStr">
        <is>
          <t>Not disclosed</t>
        </is>
      </c>
      <c r="BI301" s="152" t="n"/>
      <c r="BJ301" s="152" t="n"/>
      <c r="BK301" s="152" t="n"/>
      <c r="BL301" s="152" t="n"/>
      <c r="BM301" s="152" t="n"/>
      <c r="BN301" s="152" t="n"/>
      <c r="BO301" s="156" t="n"/>
      <c r="BP301" s="152" t="inlineStr">
        <is>
          <t>Not disclosed</t>
        </is>
      </c>
      <c r="BQ301" s="156" t="inlineStr">
        <is>
          <t>Consumer Autonomous</t>
        </is>
      </c>
      <c r="BR301" s="156" t="inlineStr">
        <is>
          <t>Not disclosed</t>
        </is>
      </c>
      <c r="BS301" s="156" t="n"/>
      <c r="BT301" s="152" t="n"/>
      <c r="BU301" s="152" t="n"/>
      <c r="BV301" s="156" t="inlineStr">
        <is>
          <t>AI subject tracking + 360° obstacle avoidance (Nvidia-powered)</t>
        </is>
      </c>
      <c r="BW301" s="156" t="inlineStr">
        <is>
          <t>Origin &amp; status — USA · 2018 | Flight — Flight time Not disclosed · Range Not disclosed · Payload Not disclosed | Sensing — Primary + navigation cameras | Buying notes — 1,999–2,499 · 12 months limited warranty from delivery · Best fit: AI subject tracking + 360° obstacle avoidance (Nvidia-powered)</t>
        </is>
      </c>
      <c r="BX301" s="156" t="inlineStr">
        <is>
          <t>as_shipped|R1|1999|As shipped</t>
        </is>
      </c>
      <c r="BY301" s="152" t="inlineStr">
        <is>
          <t>r1|Manufacturer finish|#e2e8f0|0</t>
        </is>
      </c>
      <c r="BZ301" s="152" t="inlineStr"/>
      <c r="CA301" s="156" t="inlineStr">
        <is>
          <t>Add-ons: case; 2 color options; Multi-year extended warranty available</t>
        </is>
      </c>
      <c r="CB301" s="156" t="inlineStr">
        <is>
          <t>12 months limited warranty from delivery</t>
        </is>
      </c>
      <c r="CC301" s="154" t="n">
        <v>12</v>
      </c>
      <c r="CD301" s="156" t="inlineStr">
        <is>
          <t>+3 Year Extended ≈24% of configuration (default in configurator)</t>
        </is>
      </c>
      <c r="CE301" s="152" t="inlineStr">
        <is>
          <t>Skydio Limited Warranty / Enterprise Warranty Terms</t>
        </is>
      </c>
      <c r="CF301" s="152" t="inlineStr">
        <is>
          <t>Documented</t>
        </is>
      </c>
      <c r="CG301" s="156" t="inlineStr">
        <is>
          <t>Batteries: earlier of 1 year or 200 cycles. Propellers: no warranty. Skydio Care is optional add-on.</t>
        </is>
      </c>
      <c r="CH301" s="152" t="inlineStr">
        <is>
          <t>10%</t>
        </is>
      </c>
      <c r="CI301" s="152" t="inlineStr">
        <is>
          <t>17%</t>
        </is>
      </c>
      <c r="CJ301" s="152" t="inlineStr">
        <is>
          <t>24%</t>
        </is>
      </c>
      <c r="CK301"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301"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01" s="152" t="inlineStr">
        <is>
          <t>12 months limited warranty from delivery</t>
        </is>
      </c>
      <c r="CN301" s="203" t="inlineStr">
        <is>
          <t>https://aixzd.com/robot/r1</t>
        </is>
      </c>
    </row>
    <row r="302" ht="31.5" customHeight="1" s="102">
      <c r="A302" s="143" t="inlineStr">
        <is>
          <t>skydio_x10</t>
        </is>
      </c>
      <c r="B302" s="160" t="inlineStr">
        <is>
          <t>Website</t>
        </is>
      </c>
      <c r="C302" s="145" t="inlineStr">
        <is>
          <t>Skydio</t>
        </is>
      </c>
      <c r="D302" s="145" t="inlineStr">
        <is>
          <t>X10</t>
        </is>
      </c>
      <c r="E302" s="145" t="inlineStr">
        <is>
          <t>[Skydio] X10 (2023)</t>
        </is>
      </c>
      <c r="F302" s="164" t="inlineStr">
        <is>
          <t>aerial</t>
        </is>
      </c>
      <c r="G302" s="145" t="inlineStr">
        <is>
          <t>USA</t>
        </is>
      </c>
      <c r="H302" s="147" t="n">
        <v>2023</v>
      </c>
      <c r="I302" s="148" t="n">
        <v>9999</v>
      </c>
      <c r="J302" s="145" t="inlineStr">
        <is>
          <t>Website store</t>
        </is>
      </c>
      <c r="K302" s="149" t="inlineStr">
        <is>
          <t>X10 is Skydio's aerial robot — Up to ≈ 40 min max · hover ≈ 35 min flight time, camera-centric. Modular VT300 payloads: 1" 50.3 MP wide and/or 48 MP tele + 64 MP narrow + optional 640×512 radiometric thermal; aimed at enterprise.</t>
        </is>
      </c>
      <c r="L302" s="101" t="inlineStr">
        <is>
          <t>X10 is Skydio's aerial robot — Up to ≈ 40 min max · hover ≈ 35 min flight time, camera-centric. Modular VT300 payloads: 1" 50.3 MP wide and/or 48 MP tele + 64 MP narrow + optional 640×512 radiometric thermal; aimed at enterprise.</t>
        </is>
      </c>
      <c r="M302" s="101" t="inlineStr">
        <is>
          <t>X10 is Skydio's aerial robot — Up to ≈ 40 min max · hover ≈ 35 min flight time, camera-centric. Modular VT300 payloads: 1" 50.3 MP wide and/or 48 MP tele + 64 MP narrow + optional 640×512 radiometric thermal; aimed at enterprise. It is positioned for enterprise / Public Safety.</t>
        </is>
      </c>
      <c r="N302" s="145" t="n"/>
      <c r="O302" s="145" t="inlineStr">
        <is>
          <t>https://www.skydio.com</t>
        </is>
      </c>
      <c r="P302" s="145" t="n"/>
      <c r="Q302" s="145" t="n"/>
      <c r="R302" s="145" t="inlineStr">
        <is>
          <t>≈ 4.65 lb with battery (Connect SL) · max takeoff ≈ 5.49 lb</t>
        </is>
      </c>
      <c r="S302" s="145" t="n"/>
      <c r="T302" s="149" t="inlineStr">
        <is>
          <t>Unfolded ≈ 31.1 × 25.6 × 5.7 in · Folded ≈ 13.8 × 6.5 × 4.7 in</t>
        </is>
      </c>
      <c r="U302" s="145" t="n"/>
      <c r="V302" s="145" t="n"/>
      <c r="W302" s="149" t="n"/>
      <c r="X302" s="145" t="inlineStr">
        <is>
          <t>Not disclosed</t>
        </is>
      </c>
      <c r="Y302" s="145" t="n"/>
      <c r="Z302" s="145" t="inlineStr">
        <is>
          <t>≈ 45 mph horizontal</t>
        </is>
      </c>
      <c r="AA302" s="145" t="n"/>
      <c r="AB302" s="145" t="n"/>
      <c r="AC302" s="149" t="inlineStr">
        <is>
          <t>Not disclosed</t>
        </is>
      </c>
      <c r="AD302" s="149" t="n"/>
      <c r="AE302" s="145" t="inlineStr">
        <is>
          <t>Up to ≈ 40 min max · hover ≈ 35 min</t>
        </is>
      </c>
      <c r="AF302" s="145" t="inlineStr">
        <is>
          <t>Not disclosed</t>
        </is>
      </c>
      <c r="AG302" s="149" t="n"/>
      <c r="AH302" s="145" t="n"/>
      <c r="AI302" s="145" t="n"/>
      <c r="AJ302" s="149" t="inlineStr">
        <is>
          <t>Modular VT300 payloads: 1" 50.3 MP wide and/or 48 MP tele + 64 MP narrow + optional 640×512 radiometric thermal</t>
        </is>
      </c>
      <c r="AK302" s="149" t="n"/>
      <c r="AL302" s="145" t="inlineStr">
        <is>
          <t>Up to 3840×2880 class video; multi-sensor visible + thermal</t>
        </is>
      </c>
      <c r="AM302" s="145" t="inlineStr">
        <is>
          <t>Stabilized imaging payload options</t>
        </is>
      </c>
      <c r="AN302" s="145" t="n"/>
      <c r="AO302" s="145" t="n"/>
      <c r="AP302" s="145" t="n"/>
      <c r="AQ302" s="145" t="n"/>
      <c r="AR302" s="145" t="inlineStr">
        <is>
          <t>True 360° autonomous obstacle avoidance (6 navigation cameras)</t>
        </is>
      </c>
      <c r="AS302" s="145" t="inlineStr">
        <is>
          <t>NVIDIA Jetson Orin + Qualcomm Snapdragon class</t>
        </is>
      </c>
      <c r="AT302" s="149" t="n"/>
      <c r="AU302" s="149" t="inlineStr">
        <is>
          <t>Not disclosed</t>
        </is>
      </c>
      <c r="AV302" s="145" t="inlineStr">
        <is>
          <t>Skydio Enterprise software, Autonomy, Dock integration</t>
        </is>
      </c>
      <c r="AW302" s="149" t="n"/>
      <c r="AX302" s="145" t="n"/>
      <c r="AY302" s="149" t="n"/>
      <c r="AZ302" s="149" t="n"/>
      <c r="BA302" s="149" t="n"/>
      <c r="BB302" s="149" t="n"/>
      <c r="BC302" s="149" t="n"/>
      <c r="BD302" s="145" t="n"/>
      <c r="BE302" s="145" t="inlineStr">
        <is>
          <t>IP55</t>
        </is>
      </c>
      <c r="BF302" s="145" t="n"/>
      <c r="BG302" s="145" t="n"/>
      <c r="BH302" s="145" t="inlineStr">
        <is>
          <t>Connect SL up to ≈ 7.5 mi class · Connect 5G cellular option</t>
        </is>
      </c>
      <c r="BI302" s="145" t="n"/>
      <c r="BJ302" s="145" t="n"/>
      <c r="BK302" s="145" t="n"/>
      <c r="BL302" s="145" t="n"/>
      <c r="BM302" s="145" t="n"/>
      <c r="BN302" s="145" t="n"/>
      <c r="BO302" s="149" t="n"/>
      <c r="BP302" s="145" t="inlineStr">
        <is>
          <t>−4°F to 113°F · service ceiling ≈ 15,000 ft</t>
        </is>
      </c>
      <c r="BQ302" s="149" t="inlineStr">
        <is>
          <t>Enterprise / Public Safety</t>
        </is>
      </c>
      <c r="BR302" s="149" t="inlineStr">
        <is>
          <t>Not disclosed</t>
        </is>
      </c>
      <c r="BS302" s="149" t="n"/>
      <c r="BT302" s="145" t="n"/>
      <c r="BU302" s="145" t="n"/>
      <c r="BV302" s="149" t="inlineStr">
        <is>
          <t>Autonomy features and optional dock system for persistent operations</t>
        </is>
      </c>
      <c r="BW302" s="149" t="inlineStr">
        <is>
          <t>Origin &amp; status — USA · 2023 | Flight — Flight time Up to ≈ 40 min max · hover ≈ 35 min · Range Connect SL up to ≈ 7.5 mi class · Connect 5G cellular option · Payload Not disclosed | Sensing — Modular VT300 payloads: 1" 50.3 MP wide and/or 48 MP tele + 64 MP narrow + optional 640×512 radiometric thermal | Buying notes — $9,999 · 12 months limited warranty from delivery · Best fit: Autonomy features and optional dock system for persistent operations</t>
        </is>
      </c>
      <c r="BX302" s="149" t="inlineStr">
        <is>
          <t>x10|X10|9999|Enterprise VTOL || x10d|X10D|0|Defense config</t>
        </is>
      </c>
      <c r="BY302" s="145" t="inlineStr">
        <is>
          <t>black|Skydio Black|#111111|0</t>
        </is>
      </c>
      <c r="BZ302" s="145" t="inlineStr">
        <is>
          <t>battery, charger, controller</t>
        </is>
      </c>
      <c r="CA302" s="149" t="inlineStr">
        <is>
          <t>Add-ons: case; 2 color options; Multi-year extended warranty available</t>
        </is>
      </c>
      <c r="CB302" s="149" t="inlineStr">
        <is>
          <t>12 months limited warranty from delivery</t>
        </is>
      </c>
      <c r="CC302" s="147" t="n">
        <v>12</v>
      </c>
      <c r="CD302" s="149" t="inlineStr">
        <is>
          <t>+3 Year Extended ≈24% of configuration (default in configurator)</t>
        </is>
      </c>
      <c r="CE302" s="145" t="inlineStr">
        <is>
          <t>Skydio Limited Warranty / Enterprise Warranty Terms</t>
        </is>
      </c>
      <c r="CF302" s="145" t="inlineStr">
        <is>
          <t>Documented</t>
        </is>
      </c>
      <c r="CG302" s="149" t="inlineStr">
        <is>
          <t>Batteries: earlier of 1 year or 200 cycles. Propellers: no warranty. Skydio Care is optional add-on.</t>
        </is>
      </c>
      <c r="CH302" s="145" t="inlineStr">
        <is>
          <t>10%</t>
        </is>
      </c>
      <c r="CI302" s="145" t="inlineStr">
        <is>
          <t>17%</t>
        </is>
      </c>
      <c r="CJ302" s="145" t="inlineStr">
        <is>
          <t>24%</t>
        </is>
      </c>
      <c r="CK302"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302"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02" s="145" t="inlineStr">
        <is>
          <t>12 months limited warranty from delivery</t>
        </is>
      </c>
    </row>
    <row r="303" ht="31.5" customHeight="1" s="102">
      <c r="A303" s="159" t="inlineStr">
        <is>
          <t>skydio_x2</t>
        </is>
      </c>
      <c r="B303" s="160" t="inlineStr">
        <is>
          <t>Website</t>
        </is>
      </c>
      <c r="C303" s="152" t="inlineStr">
        <is>
          <t>Skydio</t>
        </is>
      </c>
      <c r="D303" s="152" t="inlineStr">
        <is>
          <t>X2</t>
        </is>
      </c>
      <c r="E303" s="152" t="inlineStr">
        <is>
          <t>[Skydio] X2 (2021)</t>
        </is>
      </c>
      <c r="F303" s="164" t="inlineStr">
        <is>
          <t>aerial</t>
        </is>
      </c>
      <c r="G303" s="152" t="inlineStr">
        <is>
          <t>USA</t>
        </is>
      </c>
      <c r="H303" s="154" t="n">
        <v>2021</v>
      </c>
      <c r="I303" s="155" t="n">
        <v>10999</v>
      </c>
      <c r="J303" s="152" t="inlineStr">
        <is>
          <t>Website store</t>
        </is>
      </c>
      <c r="K303" s="156" t="inlineStr">
        <is>
          <t>X2 is Skydio's aerial robot — Up to ≈ 35 min class flight time, camera-centric. RGB + optional thermal; aimed at enterprise.</t>
        </is>
      </c>
      <c r="L303" s="101" t="inlineStr">
        <is>
          <t>X2 is Skydio's aerial robot — Up to ≈ 35 min class flight time, camera-centric. RGB + optional thermal; aimed at enterprise.</t>
        </is>
      </c>
      <c r="M303" s="101" t="inlineStr">
        <is>
          <t>X2 is Skydio's aerial robot — Up to ≈ 35 min class flight time, camera-centric. RGB + optional thermal; aimed at enterprise. It is positioned for enterprise / Defense.</t>
        </is>
      </c>
      <c r="N303" s="152" t="n"/>
      <c r="O303" s="152" t="inlineStr">
        <is>
          <t>https://www.skydio.com</t>
        </is>
      </c>
      <c r="P303" s="152" t="n"/>
      <c r="Q303" s="152" t="n"/>
      <c r="R303" s="152" t="inlineStr">
        <is>
          <t>≈ 1.8 lb class</t>
        </is>
      </c>
      <c r="S303" s="152" t="n"/>
      <c r="T303" s="156" t="inlineStr">
        <is>
          <t>Not disclosed</t>
        </is>
      </c>
      <c r="U303" s="152" t="n"/>
      <c r="V303" s="152" t="n"/>
      <c r="W303" s="156" t="n"/>
      <c r="X303" s="152" t="inlineStr">
        <is>
          <t>Not disclosed</t>
        </is>
      </c>
      <c r="Y303" s="152" t="n"/>
      <c r="Z303" s="152" t="inlineStr">
        <is>
          <t>Not disclosed</t>
        </is>
      </c>
      <c r="AA303" s="152" t="n"/>
      <c r="AB303" s="152" t="n"/>
      <c r="AC303" s="156" t="inlineStr">
        <is>
          <t>Not disclosed</t>
        </is>
      </c>
      <c r="AD303" s="156" t="n"/>
      <c r="AE303" s="152" t="inlineStr">
        <is>
          <t>Up to ≈ 35 min class</t>
        </is>
      </c>
      <c r="AF303" s="152" t="inlineStr">
        <is>
          <t>Not disclosed</t>
        </is>
      </c>
      <c r="AG303" s="156" t="n"/>
      <c r="AH303" s="152" t="n"/>
      <c r="AI303" s="152" t="n"/>
      <c r="AJ303" s="156" t="inlineStr">
        <is>
          <t>RGB + optional thermal</t>
        </is>
      </c>
      <c r="AK303" s="156" t="n"/>
      <c r="AL303" s="152" t="inlineStr">
        <is>
          <t>Record and livestream for public safety / inspection</t>
        </is>
      </c>
      <c r="AM303" s="152" t="inlineStr">
        <is>
          <t>Not disclosed</t>
        </is>
      </c>
      <c r="AN303" s="152" t="n"/>
      <c r="AO303" s="152" t="n"/>
      <c r="AP303" s="152" t="n"/>
      <c r="AQ303" s="152" t="n"/>
      <c r="AR303" s="152" t="inlineStr">
        <is>
          <t>Autonomous obstacle avoidance</t>
        </is>
      </c>
      <c r="AS303" s="152" t="inlineStr">
        <is>
          <t>Not disclosed</t>
        </is>
      </c>
      <c r="AT303" s="156" t="n"/>
      <c r="AU303" s="156" t="inlineStr">
        <is>
          <t>Not disclosed</t>
        </is>
      </c>
      <c r="AV303" s="152" t="inlineStr">
        <is>
          <t>Skydio enterprise control apps</t>
        </is>
      </c>
      <c r="AW303" s="156" t="n"/>
      <c r="AX303" s="152" t="n"/>
      <c r="AY303" s="156" t="n"/>
      <c r="AZ303" s="156" t="n"/>
      <c r="BA303" s="156" t="n"/>
      <c r="BB303" s="156" t="n"/>
      <c r="BC303" s="156" t="n"/>
      <c r="BD303" s="152" t="n"/>
      <c r="BE303" s="152" t="inlineStr">
        <is>
          <t>Not disclosed</t>
        </is>
      </c>
      <c r="BF303" s="152" t="n"/>
      <c r="BG303" s="152" t="n"/>
      <c r="BH303" s="152" t="inlineStr">
        <is>
          <t>Not disclosed</t>
        </is>
      </c>
      <c r="BI303" s="152" t="n"/>
      <c r="BJ303" s="152" t="n"/>
      <c r="BK303" s="152" t="n"/>
      <c r="BL303" s="152" t="n"/>
      <c r="BM303" s="152" t="n"/>
      <c r="BN303" s="152" t="n"/>
      <c r="BO303" s="156" t="n"/>
      <c r="BP303" s="152" t="inlineStr">
        <is>
          <t>Not disclosed</t>
        </is>
      </c>
      <c r="BQ303" s="156" t="inlineStr">
        <is>
          <t>Enterprise / Defense</t>
        </is>
      </c>
      <c r="BR303" s="156" t="inlineStr">
        <is>
          <t>Not disclosed</t>
        </is>
      </c>
      <c r="BS303" s="156" t="n"/>
      <c r="BT303" s="152" t="n"/>
      <c r="BU303" s="152" t="n"/>
      <c r="BV303" s="156" t="inlineStr">
        <is>
          <t>Thermal options; NDAA-oriented; public safety and enterprise focus</t>
        </is>
      </c>
      <c r="BW303" s="156" t="inlineStr">
        <is>
          <t>Origin &amp; status — USA · 2021 | Flight — Flight time Up to ≈ 35 min class · Range Not disclosed · Payload Not disclosed | Sensing — RGB + optional thermal | Buying notes — $10,999 · 12 months limited warranty from delivery · Best fit: Thermal options; NDAA-oriented; public safety and enterprise focus</t>
        </is>
      </c>
      <c r="BX303" s="156" t="inlineStr">
        <is>
          <t>as_shipped|X2|10999|As shipped</t>
        </is>
      </c>
      <c r="BY303" s="152" t="inlineStr">
        <is>
          <t>x2|Manufacturer finish|#e2e8f0|0</t>
        </is>
      </c>
      <c r="BZ303" s="152" t="inlineStr"/>
      <c r="CA303" s="156" t="inlineStr">
        <is>
          <t>Add-ons: case; 2 color options; Multi-year extended warranty available</t>
        </is>
      </c>
      <c r="CB303" s="156" t="inlineStr">
        <is>
          <t>12 months limited warranty from delivery</t>
        </is>
      </c>
      <c r="CC303" s="154" t="n">
        <v>12</v>
      </c>
      <c r="CD303" s="156" t="inlineStr">
        <is>
          <t>+3 Year Extended ≈24% of configuration (default in configurator)</t>
        </is>
      </c>
      <c r="CE303" s="152" t="inlineStr">
        <is>
          <t>Skydio Limited Warranty / Enterprise Warranty Terms</t>
        </is>
      </c>
      <c r="CF303" s="152" t="inlineStr">
        <is>
          <t>Documented</t>
        </is>
      </c>
      <c r="CG303" s="156" t="inlineStr">
        <is>
          <t>Batteries: earlier of 1 year or 200 cycles. Propellers: no warranty. Skydio Care is optional add-on.</t>
        </is>
      </c>
      <c r="CH303" s="152" t="inlineStr">
        <is>
          <t>10%</t>
        </is>
      </c>
      <c r="CI303" s="152" t="inlineStr">
        <is>
          <t>17%</t>
        </is>
      </c>
      <c r="CJ303" s="152" t="inlineStr">
        <is>
          <t>24%</t>
        </is>
      </c>
      <c r="CK303"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303"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03" s="152" t="inlineStr">
        <is>
          <t>12 months limited warranty from delivery</t>
        </is>
      </c>
      <c r="CN303" s="203" t="inlineStr">
        <is>
          <t>https://aixzd.com/robot/x2</t>
        </is>
      </c>
    </row>
    <row r="304" ht="31.5" customHeight="1" s="102">
      <c r="A304" s="143" t="inlineStr">
        <is>
          <t>teal_drones_teal_2_golden_eagle</t>
        </is>
      </c>
      <c r="B304" s="160" t="inlineStr">
        <is>
          <t>Website</t>
        </is>
      </c>
      <c r="C304" s="145" t="inlineStr">
        <is>
          <t>Teal Drones</t>
        </is>
      </c>
      <c r="D304" s="145" t="inlineStr">
        <is>
          <t>Teal 2</t>
        </is>
      </c>
      <c r="E304" s="145" t="inlineStr">
        <is>
          <t>[Teal] Teal 2 (2020)</t>
        </is>
      </c>
      <c r="F304" s="164" t="inlineStr">
        <is>
          <t>aerial</t>
        </is>
      </c>
      <c r="G304" s="145" t="inlineStr">
        <is>
          <t>USA</t>
        </is>
      </c>
      <c r="H304" s="147" t="n">
        <v>2020</v>
      </c>
      <c r="I304" s="148" t="n">
        <v>20000</v>
      </c>
      <c r="J304" s="145" t="inlineStr">
        <is>
          <t>US small-UAS class estimate</t>
        </is>
      </c>
      <c r="K304" s="149" t="inlineStr">
        <is>
          <t>[Teal] Teal 2 (2020) is a aerial platform from Teal Drones (USA, 2020), positioned for enterprise.</t>
        </is>
      </c>
      <c r="L304" s="101" t="inlineStr">
        <is>
          <t>[Teal] Teal 2 (2020) is a aerial platform from Teal Drones (USA, 2020), positioned for enterprise.</t>
        </is>
      </c>
      <c r="M304" s="101" t="inlineStr">
        <is>
          <t>[Teal] Teal 2 (2020) is a aerial platform from Teal Drones (USA, 2020), positioned for enterprise. It is positioned for enterprise / Defense.</t>
        </is>
      </c>
      <c r="N304" s="145" t="n"/>
      <c r="O304" s="145" t="inlineStr">
        <is>
          <t>https://tealdrones.com</t>
        </is>
      </c>
      <c r="P304" s="145" t="n"/>
      <c r="Q304" s="145" t="n"/>
      <c r="R304" s="145" t="inlineStr">
        <is>
          <t>Not disclosed</t>
        </is>
      </c>
      <c r="S304" s="145" t="n"/>
      <c r="T304" s="149" t="inlineStr">
        <is>
          <t>Not disclosed</t>
        </is>
      </c>
      <c r="U304" s="145" t="n"/>
      <c r="V304" s="145" t="n"/>
      <c r="W304" s="149" t="n"/>
      <c r="X304" s="145" t="inlineStr">
        <is>
          <t>Not disclosed</t>
        </is>
      </c>
      <c r="Y304" s="145" t="n"/>
      <c r="Z304" s="145" t="inlineStr">
        <is>
          <t>Not disclosed</t>
        </is>
      </c>
      <c r="AA304" s="145" t="n"/>
      <c r="AB304" s="145" t="n"/>
      <c r="AC304" s="149" t="inlineStr">
        <is>
          <t>Not disclosed</t>
        </is>
      </c>
      <c r="AD304" s="149" t="n"/>
      <c r="AE304" s="145" t="inlineStr">
        <is>
          <t>Not disclosed</t>
        </is>
      </c>
      <c r="AF304" s="145" t="inlineStr">
        <is>
          <t>Not disclosed</t>
        </is>
      </c>
      <c r="AG304" s="149" t="n"/>
      <c r="AH304" s="145" t="n"/>
      <c r="AI304" s="145" t="n"/>
      <c r="AJ304" s="149" t="inlineStr">
        <is>
          <t>EO/IR options on military small-UAS configurations</t>
        </is>
      </c>
      <c r="AK304" s="149" t="n"/>
      <c r="AL304" s="145" t="inlineStr">
        <is>
          <t>ISR video streams</t>
        </is>
      </c>
      <c r="AM304" s="145" t="inlineStr">
        <is>
          <t>Not disclosed</t>
        </is>
      </c>
      <c r="AN304" s="145" t="n"/>
      <c r="AO304" s="145" t="n"/>
      <c r="AP304" s="145" t="n"/>
      <c r="AQ304" s="145" t="n"/>
      <c r="AR304" s="145" t="inlineStr">
        <is>
          <t>Not disclosed</t>
        </is>
      </c>
      <c r="AS304" s="145" t="inlineStr">
        <is>
          <t>Not disclosed</t>
        </is>
      </c>
      <c r="AT304" s="149" t="n"/>
      <c r="AU304" s="149" t="inlineStr">
        <is>
          <t>Not disclosed</t>
        </is>
      </c>
      <c r="AV304" s="145" t="inlineStr">
        <is>
          <t>Blue UAS aligned control ecosystems</t>
        </is>
      </c>
      <c r="AW304" s="149" t="n"/>
      <c r="AX304" s="145" t="n"/>
      <c r="AY304" s="149" t="n"/>
      <c r="AZ304" s="149" t="n"/>
      <c r="BA304" s="149" t="n"/>
      <c r="BB304" s="149" t="n"/>
      <c r="BC304" s="149" t="n"/>
      <c r="BD304" s="145" t="n"/>
      <c r="BE304" s="145" t="inlineStr">
        <is>
          <t>Not disclosed</t>
        </is>
      </c>
      <c r="BF304" s="145" t="n"/>
      <c r="BG304" s="145" t="n"/>
      <c r="BH304" s="145" t="inlineStr">
        <is>
          <t>Not disclosed</t>
        </is>
      </c>
      <c r="BI304" s="145" t="n"/>
      <c r="BJ304" s="145" t="n"/>
      <c r="BK304" s="145" t="n"/>
      <c r="BL304" s="145" t="n"/>
      <c r="BM304" s="145" t="n"/>
      <c r="BN304" s="145" t="n"/>
      <c r="BO304" s="149" t="n"/>
      <c r="BP304" s="145" t="inlineStr">
        <is>
          <t>Not disclosed</t>
        </is>
      </c>
      <c r="BQ304" s="149" t="inlineStr">
        <is>
          <t>Enterprise / Defense</t>
        </is>
      </c>
      <c r="BR304" s="149" t="inlineStr">
        <is>
          <t>Not disclosed</t>
        </is>
      </c>
      <c r="BS304" s="149" t="n"/>
      <c r="BT304" s="145" t="n"/>
      <c r="BU304" s="145" t="n"/>
      <c r="BV304" s="149" t="inlineStr">
        <is>
          <t>NDAA-compliant American tactical / public-safety platform</t>
        </is>
      </c>
      <c r="BW304" s="149" t="inlineStr">
        <is>
          <t>Origin &amp; status — USA · 2020 | Flight — Flight time Not disclosed · Range Not disclosed · Payload Not disclosed | Sensing — EO/IR options on military small-UAS configurations | Buying notes — $20,000 · 12 months manufacturer standard (typical) · Best fit: NDAA-compliant American tactical / public-safety platform</t>
        </is>
      </c>
      <c r="BX304" s="149" t="inlineStr">
        <is>
          <t>as_shipped|Teal 2|20000|As shipped</t>
        </is>
      </c>
      <c r="BY304" s="145" t="inlineStr">
        <is>
          <t>teal_2|Manufacturer finish|#e2e8f0|0</t>
        </is>
      </c>
      <c r="BZ304" s="145" t="inlineStr"/>
      <c r="CA304" s="149" t="inlineStr">
        <is>
          <t>Add-ons: case; 2 color options; Multi-year extended warranty available</t>
        </is>
      </c>
      <c r="CB304" s="149" t="inlineStr">
        <is>
          <t>12 months manufacturer standard (typical)</t>
        </is>
      </c>
      <c r="CC304" s="147" t="n">
        <v>12</v>
      </c>
      <c r="CD304" s="149" t="inlineStr">
        <is>
          <t>+3 Year Extended ≈24% of configuration (default in configurator)</t>
        </is>
      </c>
      <c r="CE304" s="145" t="inlineStr">
        <is>
          <t>Industry default when OEM sheet not public</t>
        </is>
      </c>
      <c r="CF304" s="145" t="inlineStr">
        <is>
          <t>Estimated</t>
        </is>
      </c>
      <c r="CG304" s="149" t="inlineStr">
        <is>
          <t>Always confirm exact warranty on formal quote before purchase.</t>
        </is>
      </c>
      <c r="CH304" s="145" t="inlineStr">
        <is>
          <t>10%</t>
        </is>
      </c>
      <c r="CI304" s="145" t="inlineStr">
        <is>
          <t>17%</t>
        </is>
      </c>
      <c r="CJ304" s="145" t="inlineStr">
        <is>
          <t>24%</t>
        </is>
      </c>
      <c r="CK304"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304"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04" s="145" t="inlineStr">
        <is>
          <t>12 months manufacturer standard (typical)</t>
        </is>
      </c>
    </row>
    <row r="305" ht="31.5" customHeight="1" s="102">
      <c r="A305" s="143" t="inlineStr">
        <is>
          <t>teal_drones_teal_2_golden_eagle_golden_eagle</t>
        </is>
      </c>
      <c r="B305" s="160" t="inlineStr">
        <is>
          <t>Website</t>
        </is>
      </c>
      <c r="C305" s="145" t="inlineStr">
        <is>
          <t>Teal Drones</t>
        </is>
      </c>
      <c r="D305" s="145" t="inlineStr">
        <is>
          <t>Golden Eagle</t>
        </is>
      </c>
      <c r="E305" s="145" t="inlineStr">
        <is>
          <t>[Teal] Golden Eagle (2020)</t>
        </is>
      </c>
      <c r="F305" s="164" t="inlineStr">
        <is>
          <t>aerial</t>
        </is>
      </c>
      <c r="G305" s="145" t="inlineStr">
        <is>
          <t>USA</t>
        </is>
      </c>
      <c r="H305" s="147" t="n">
        <v>2020</v>
      </c>
      <c r="I305" s="148" t="n">
        <v>35000</v>
      </c>
      <c r="J305" s="145" t="inlineStr">
        <is>
          <t>Golden Eagle UAS class estimate</t>
        </is>
      </c>
      <c r="K305" s="149" t="inlineStr">
        <is>
          <t>[Teal] Golden Eagle (2020) is a aerial platform from Teal Drones (USA, 2020), positioned for enterprise.</t>
        </is>
      </c>
      <c r="L305" s="101" t="inlineStr">
        <is>
          <t>[Teal] Golden Eagle (2020) is a aerial platform from Teal Drones (USA, 2020), positioned for enterprise.</t>
        </is>
      </c>
      <c r="M305" s="101" t="inlineStr">
        <is>
          <t>[Teal] Golden Eagle (2020) is a aerial platform from Teal Drones (USA, 2020), positioned for enterprise. It is positioned for enterprise / Defense.</t>
        </is>
      </c>
      <c r="N305" s="145" t="n"/>
      <c r="O305" s="145" t="inlineStr">
        <is>
          <t>https://tealdrones.com</t>
        </is>
      </c>
      <c r="P305" s="145" t="n"/>
      <c r="Q305" s="145" t="n"/>
      <c r="R305" s="145" t="inlineStr">
        <is>
          <t>Not disclosed</t>
        </is>
      </c>
      <c r="S305" s="145" t="n"/>
      <c r="T305" s="149" t="inlineStr">
        <is>
          <t>Not disclosed</t>
        </is>
      </c>
      <c r="U305" s="145" t="n"/>
      <c r="V305" s="145" t="n"/>
      <c r="W305" s="149" t="n"/>
      <c r="X305" s="145" t="inlineStr">
        <is>
          <t>Not disclosed</t>
        </is>
      </c>
      <c r="Y305" s="145" t="n"/>
      <c r="Z305" s="145" t="inlineStr">
        <is>
          <t>Not disclosed</t>
        </is>
      </c>
      <c r="AA305" s="145" t="n"/>
      <c r="AB305" s="145" t="n"/>
      <c r="AC305" s="149" t="inlineStr">
        <is>
          <t>Not disclosed</t>
        </is>
      </c>
      <c r="AD305" s="149" t="n"/>
      <c r="AE305" s="145" t="inlineStr">
        <is>
          <t>Not disclosed</t>
        </is>
      </c>
      <c r="AF305" s="145" t="inlineStr">
        <is>
          <t>Not disclosed</t>
        </is>
      </c>
      <c r="AG305" s="149" t="n"/>
      <c r="AH305" s="145" t="n"/>
      <c r="AI305" s="145" t="n"/>
      <c r="AJ305" s="149" t="inlineStr">
        <is>
          <t>EO/IR options on military small-UAS configurations</t>
        </is>
      </c>
      <c r="AK305" s="149" t="n"/>
      <c r="AL305" s="145" t="inlineStr">
        <is>
          <t>ISR video streams</t>
        </is>
      </c>
      <c r="AM305" s="145" t="inlineStr">
        <is>
          <t>Not disclosed</t>
        </is>
      </c>
      <c r="AN305" s="145" t="n"/>
      <c r="AO305" s="145" t="n"/>
      <c r="AP305" s="145" t="n"/>
      <c r="AQ305" s="145" t="n"/>
      <c r="AR305" s="145" t="inlineStr">
        <is>
          <t>Not disclosed</t>
        </is>
      </c>
      <c r="AS305" s="145" t="inlineStr">
        <is>
          <t>Not disclosed</t>
        </is>
      </c>
      <c r="AT305" s="149" t="n"/>
      <c r="AU305" s="149" t="inlineStr">
        <is>
          <t>Not disclosed</t>
        </is>
      </c>
      <c r="AV305" s="145" t="inlineStr">
        <is>
          <t>Blue UAS aligned control ecosystems</t>
        </is>
      </c>
      <c r="AW305" s="149" t="n"/>
      <c r="AX305" s="145" t="n"/>
      <c r="AY305" s="149" t="n"/>
      <c r="AZ305" s="149" t="n"/>
      <c r="BA305" s="149" t="n"/>
      <c r="BB305" s="149" t="n"/>
      <c r="BC305" s="149" t="n"/>
      <c r="BD305" s="145" t="n"/>
      <c r="BE305" s="145" t="inlineStr">
        <is>
          <t>Not disclosed</t>
        </is>
      </c>
      <c r="BF305" s="145" t="n"/>
      <c r="BG305" s="145" t="n"/>
      <c r="BH305" s="145" t="inlineStr">
        <is>
          <t>Not disclosed</t>
        </is>
      </c>
      <c r="BI305" s="145" t="n"/>
      <c r="BJ305" s="145" t="n"/>
      <c r="BK305" s="145" t="n"/>
      <c r="BL305" s="145" t="n"/>
      <c r="BM305" s="145" t="n"/>
      <c r="BN305" s="145" t="n"/>
      <c r="BO305" s="149" t="n"/>
      <c r="BP305" s="145" t="inlineStr">
        <is>
          <t>Not disclosed</t>
        </is>
      </c>
      <c r="BQ305" s="149" t="inlineStr">
        <is>
          <t>Enterprise / Defense</t>
        </is>
      </c>
      <c r="BR305" s="149" t="inlineStr">
        <is>
          <t>Not disclosed</t>
        </is>
      </c>
      <c r="BS305" s="149" t="n"/>
      <c r="BT305" s="145" t="n"/>
      <c r="BU305" s="145" t="n"/>
      <c r="BV305" s="149" t="inlineStr">
        <is>
          <t>NDAA-compliant American tactical / public-safety platform</t>
        </is>
      </c>
      <c r="BW305" s="149" t="inlineStr">
        <is>
          <t>Origin &amp; status — USA · 2020 | Flight — Flight time Not disclosed · Range Not disclosed · Payload Not disclosed | Sensing — EO/IR options on military small-UAS configurations | Buying notes — $35,000 · 12 months manufacturer standard (typical) · Best fit: NDAA-compliant American tactical / public-safety platform</t>
        </is>
      </c>
      <c r="BX305" s="149" t="inlineStr">
        <is>
          <t>as_shipped|Golden Eagle|35000|As shipped</t>
        </is>
      </c>
      <c r="BY305" s="145" t="inlineStr">
        <is>
          <t>golden_eagle|Manufacturer finish|#e2e8f0|0</t>
        </is>
      </c>
      <c r="BZ305" s="145" t="inlineStr"/>
      <c r="CA305" s="149" t="inlineStr">
        <is>
          <t>Add-ons: case; 2 color options; Multi-year extended warranty available</t>
        </is>
      </c>
      <c r="CB305" s="149" t="inlineStr">
        <is>
          <t>12 months manufacturer standard (typical)</t>
        </is>
      </c>
      <c r="CC305" s="147" t="n">
        <v>12</v>
      </c>
      <c r="CD305" s="149" t="inlineStr">
        <is>
          <t>+3 Year Extended ≈24% of configuration (default in configurator)</t>
        </is>
      </c>
      <c r="CE305" s="145" t="inlineStr">
        <is>
          <t>Industry default when OEM sheet not public</t>
        </is>
      </c>
      <c r="CF305" s="145" t="inlineStr">
        <is>
          <t>Estimated</t>
        </is>
      </c>
      <c r="CG305" s="149" t="inlineStr">
        <is>
          <t>Always confirm exact warranty on formal quote before purchase.</t>
        </is>
      </c>
      <c r="CH305" s="145" t="inlineStr">
        <is>
          <t>10%</t>
        </is>
      </c>
      <c r="CI305" s="145" t="inlineStr">
        <is>
          <t>17%</t>
        </is>
      </c>
      <c r="CJ305" s="145" t="inlineStr">
        <is>
          <t>24%</t>
        </is>
      </c>
      <c r="CK30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30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05" s="145" t="inlineStr">
        <is>
          <t>12 months manufacturer standard (typical)</t>
        </is>
      </c>
    </row>
    <row r="306" ht="31.5" customHeight="1" s="102">
      <c r="A306" s="143" t="inlineStr">
        <is>
          <t>wingtra_wingtraone</t>
        </is>
      </c>
      <c r="B306" s="160" t="inlineStr">
        <is>
          <t>Website</t>
        </is>
      </c>
      <c r="C306" s="145" t="inlineStr">
        <is>
          <t>Wingtra</t>
        </is>
      </c>
      <c r="D306" s="145" t="inlineStr">
        <is>
          <t>WingtraOne</t>
        </is>
      </c>
      <c r="E306" s="145" t="inlineStr">
        <is>
          <t>[Wingtra] WingtraOne (2017)</t>
        </is>
      </c>
      <c r="F306" s="164" t="inlineStr">
        <is>
          <t>aerial</t>
        </is>
      </c>
      <c r="G306" s="145" t="inlineStr">
        <is>
          <t>Switzerland</t>
        </is>
      </c>
      <c r="H306" s="147" t="n">
        <v>2017</v>
      </c>
      <c r="I306" s="148" t="n">
        <v>20000</v>
      </c>
      <c r="J306" s="145" t="inlineStr">
        <is>
          <t>Website store</t>
        </is>
      </c>
      <c r="K306" s="149" t="inlineStr">
        <is>
          <t>WingtraOne is Wingtra's aerial robot — camera-centric. Survey-grade mapping cameras; aimed at vTOL Survey.</t>
        </is>
      </c>
      <c r="L306" s="101" t="inlineStr">
        <is>
          <t>WingtraOne is Wingtra's aerial robot — camera-centric. Survey-grade mapping cameras; aimed at vTOL Survey.</t>
        </is>
      </c>
      <c r="M306" s="101" t="inlineStr">
        <is>
          <t>WingtraOne is Wingtra's aerial robot — camera-centric. Survey-grade mapping cameras; aimed at vTOL Survey. It is positioned for vTOL Survey / Mapping.</t>
        </is>
      </c>
      <c r="N306" s="145" t="n"/>
      <c r="O306" s="145" t="inlineStr">
        <is>
          <t>https://wingtra.com</t>
        </is>
      </c>
      <c r="P306" s="145" t="n"/>
      <c r="Q306" s="145" t="n"/>
      <c r="R306" s="145" t="inlineStr">
        <is>
          <t>≈ 7.5–11 lb class depending on camera</t>
        </is>
      </c>
      <c r="S306" s="145" t="n"/>
      <c r="T306" s="149" t="inlineStr">
        <is>
          <t>Not disclosed</t>
        </is>
      </c>
      <c r="U306" s="145" t="n"/>
      <c r="V306" s="145" t="n"/>
      <c r="W306" s="149" t="n"/>
      <c r="X306" s="145" t="inlineStr">
        <is>
          <t>Not disclosed</t>
        </is>
      </c>
      <c r="Y306" s="145" t="n"/>
      <c r="Z306" s="145" t="inlineStr">
        <is>
          <t>Not disclosed</t>
        </is>
      </c>
      <c r="AA306" s="145" t="n"/>
      <c r="AB306" s="145" t="n"/>
      <c r="AC306" s="149" t="inlineStr">
        <is>
          <t>Not disclosed</t>
        </is>
      </c>
      <c r="AD306" s="149" t="n"/>
      <c r="AE306" s="145" t="inlineStr">
        <is>
          <t>Not disclosed</t>
        </is>
      </c>
      <c r="AF306" s="145" t="inlineStr">
        <is>
          <t>Not disclosed</t>
        </is>
      </c>
      <c r="AG306" s="149" t="n"/>
      <c r="AH306" s="145" t="n"/>
      <c r="AI306" s="145" t="n"/>
      <c r="AJ306" s="149" t="inlineStr">
        <is>
          <t>Survey-grade mapping cameras</t>
        </is>
      </c>
      <c r="AK306" s="149" t="n"/>
      <c r="AL306" s="145" t="inlineStr">
        <is>
          <t>Photogrammetry still capture primary</t>
        </is>
      </c>
      <c r="AM306" s="145" t="inlineStr">
        <is>
          <t>Nadir mapping mount</t>
        </is>
      </c>
      <c r="AN306" s="145" t="n"/>
      <c r="AO306" s="145" t="n"/>
      <c r="AP306" s="145" t="n"/>
      <c r="AQ306" s="145" t="n"/>
      <c r="AR306" s="145" t="inlineStr">
        <is>
          <t>Not disclosed</t>
        </is>
      </c>
      <c r="AS306" s="145" t="inlineStr">
        <is>
          <t>Not disclosed</t>
        </is>
      </c>
      <c r="AT306" s="149" t="n"/>
      <c r="AU306" s="149" t="inlineStr">
        <is>
          <t>Not disclosed</t>
        </is>
      </c>
      <c r="AV306" s="145" t="inlineStr">
        <is>
          <t>WingtraPilot</t>
        </is>
      </c>
      <c r="AW306" s="149" t="n"/>
      <c r="AX306" s="145" t="n"/>
      <c r="AY306" s="149" t="n"/>
      <c r="AZ306" s="149" t="n"/>
      <c r="BA306" s="149" t="n"/>
      <c r="BB306" s="149" t="n"/>
      <c r="BC306" s="149" t="n"/>
      <c r="BD306" s="145" t="n"/>
      <c r="BE306" s="145" t="inlineStr">
        <is>
          <t>Not disclosed</t>
        </is>
      </c>
      <c r="BF306" s="145" t="n"/>
      <c r="BG306" s="145" t="n"/>
      <c r="BH306" s="145" t="inlineStr">
        <is>
          <t>Not disclosed</t>
        </is>
      </c>
      <c r="BI306" s="145" t="n"/>
      <c r="BJ306" s="145" t="n"/>
      <c r="BK306" s="145" t="n"/>
      <c r="BL306" s="145" t="n"/>
      <c r="BM306" s="145" t="n"/>
      <c r="BN306" s="145" t="n"/>
      <c r="BO306" s="149" t="n"/>
      <c r="BP306" s="145" t="inlineStr">
        <is>
          <t>Not disclosed</t>
        </is>
      </c>
      <c r="BQ306" s="149" t="inlineStr">
        <is>
          <t>VTOL Survey / Mapping</t>
        </is>
      </c>
      <c r="BR306" s="149" t="inlineStr">
        <is>
          <t>Not disclosed</t>
        </is>
      </c>
      <c r="BS306" s="149" t="n"/>
      <c r="BT306" s="145" t="n"/>
      <c r="BU306" s="145" t="n"/>
      <c r="BV306" s="149" t="inlineStr">
        <is>
          <t>Tailsitter VTOL fixed-wing; high-accuracy PPK; long endurance mapping</t>
        </is>
      </c>
      <c r="BW306" s="149" t="inlineStr">
        <is>
          <t>Origin &amp; status — Switzerland · 2017 | Flight — Flight time Not disclosed · Range Not disclosed · Payload Not disclosed | Sensing — Survey-grade mapping cameras | Buying notes — ~20,000 · 12 months manufacturer standard (typical) · Best fit: Tailsitter VTOL fixed-wing; high-accuracy PPK; long endurance mapping</t>
        </is>
      </c>
      <c r="BX306" s="149" t="inlineStr">
        <is>
          <t>as_shipped|WingtraOne|20000|As shipped</t>
        </is>
      </c>
      <c r="BY306" s="145" t="inlineStr">
        <is>
          <t>wingtraone|Manufacturer finish|#e2e8f0|0</t>
        </is>
      </c>
      <c r="BZ306" s="145" t="inlineStr"/>
      <c r="CA306" s="149" t="inlineStr">
        <is>
          <t>Add-ons: case; 2 color options; Multi-year extended warranty available</t>
        </is>
      </c>
      <c r="CB306" s="149" t="inlineStr">
        <is>
          <t>12 months manufacturer standard (typical)</t>
        </is>
      </c>
      <c r="CC306" s="147" t="n">
        <v>12</v>
      </c>
      <c r="CD306" s="149" t="inlineStr">
        <is>
          <t>+3 Year Extended ≈24% of configuration (default in configurator)</t>
        </is>
      </c>
      <c r="CE306" s="145" t="inlineStr">
        <is>
          <t>Industry default when OEM sheet not public</t>
        </is>
      </c>
      <c r="CF306" s="145" t="inlineStr">
        <is>
          <t>Estimated</t>
        </is>
      </c>
      <c r="CG306" s="149" t="inlineStr">
        <is>
          <t>Always confirm exact warranty on formal quote before purchase.</t>
        </is>
      </c>
      <c r="CH306" s="145" t="inlineStr">
        <is>
          <t>10%</t>
        </is>
      </c>
      <c r="CI306" s="145" t="inlineStr">
        <is>
          <t>17%</t>
        </is>
      </c>
      <c r="CJ306" s="145" t="inlineStr">
        <is>
          <t>24%</t>
        </is>
      </c>
      <c r="CK306"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306"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06" s="145" t="inlineStr">
        <is>
          <t>12 months manufacturer standard (typical)</t>
        </is>
      </c>
    </row>
    <row r="307" ht="31.5" customHeight="1" s="102">
      <c r="A307" s="159" t="inlineStr">
        <is>
          <t>wingtra_wingtraone_gen_ii</t>
        </is>
      </c>
      <c r="B307" s="160" t="inlineStr">
        <is>
          <t>Website</t>
        </is>
      </c>
      <c r="C307" s="152" t="inlineStr">
        <is>
          <t>Wingtra</t>
        </is>
      </c>
      <c r="D307" s="152" t="inlineStr">
        <is>
          <t>WingtraOne GEN II</t>
        </is>
      </c>
      <c r="E307" s="152" t="inlineStr">
        <is>
          <t>[Wingtra] WingtraOne GEN II (2021)</t>
        </is>
      </c>
      <c r="F307" s="164" t="inlineStr">
        <is>
          <t>aerial</t>
        </is>
      </c>
      <c r="G307" s="152" t="inlineStr">
        <is>
          <t>Switzerland</t>
        </is>
      </c>
      <c r="H307" s="154" t="n">
        <v>2021</v>
      </c>
      <c r="I307" s="155" t="n">
        <v>19900</v>
      </c>
      <c r="J307" s="152" t="inlineStr">
        <is>
          <t>Website store</t>
        </is>
      </c>
      <c r="K307" s="156" t="inlineStr">
        <is>
          <t>WingtraOne GEN II is Wingtra's aerial robot — camera-centric. Survey cameras including 61 MP class options; aimed at vTOL Survey.</t>
        </is>
      </c>
      <c r="L307" s="101" t="inlineStr">
        <is>
          <t>WingtraOne GEN II is Wingtra's aerial robot — camera-centric. Survey cameras including 61 MP class options; aimed at vTOL Survey.</t>
        </is>
      </c>
      <c r="M307" s="101" t="inlineStr">
        <is>
          <t>WingtraOne GEN II is Wingtra's aerial robot — camera-centric. Survey cameras including 61 MP class options; aimed at vTOL Survey.</t>
        </is>
      </c>
      <c r="N307" s="152" t="n"/>
      <c r="O307" s="152" t="inlineStr">
        <is>
          <t>https://wingtra.com</t>
        </is>
      </c>
      <c r="P307" s="152" t="n"/>
      <c r="Q307" s="152" t="n"/>
      <c r="R307" s="152" t="inlineStr">
        <is>
          <t>≈ 7.5–11 lb class</t>
        </is>
      </c>
      <c r="S307" s="152" t="n"/>
      <c r="T307" s="156" t="inlineStr">
        <is>
          <t>Not disclosed</t>
        </is>
      </c>
      <c r="U307" s="152" t="n"/>
      <c r="V307" s="152" t="n"/>
      <c r="W307" s="156" t="n"/>
      <c r="X307" s="152" t="inlineStr">
        <is>
          <t>Not disclosed</t>
        </is>
      </c>
      <c r="Y307" s="152" t="n"/>
      <c r="Z307" s="152" t="inlineStr">
        <is>
          <t>Not disclosed</t>
        </is>
      </c>
      <c r="AA307" s="152" t="n"/>
      <c r="AB307" s="152" t="n"/>
      <c r="AC307" s="156" t="inlineStr">
        <is>
          <t>Not disclosed</t>
        </is>
      </c>
      <c r="AD307" s="156" t="n"/>
      <c r="AE307" s="152" t="inlineStr">
        <is>
          <t>Not disclosed</t>
        </is>
      </c>
      <c r="AF307" s="152" t="inlineStr">
        <is>
          <t>Not disclosed</t>
        </is>
      </c>
      <c r="AG307" s="156" t="n"/>
      <c r="AH307" s="152" t="n"/>
      <c r="AI307" s="152" t="n"/>
      <c r="AJ307" s="156" t="inlineStr">
        <is>
          <t>Survey cameras including 61 MP class options</t>
        </is>
      </c>
      <c r="AK307" s="156" t="n"/>
      <c r="AL307" s="152" t="inlineStr">
        <is>
          <t>Mapping stills primary; PPK/RTK workflows</t>
        </is>
      </c>
      <c r="AM307" s="152" t="inlineStr">
        <is>
          <t>Not disclosed</t>
        </is>
      </c>
      <c r="AN307" s="152" t="n"/>
      <c r="AO307" s="152" t="n"/>
      <c r="AP307" s="152" t="n"/>
      <c r="AQ307" s="152" t="n"/>
      <c r="AR307" s="152" t="inlineStr">
        <is>
          <t>Not disclosed</t>
        </is>
      </c>
      <c r="AS307" s="152" t="inlineStr">
        <is>
          <t>Not disclosed</t>
        </is>
      </c>
      <c r="AT307" s="156" t="n"/>
      <c r="AU307" s="156" t="inlineStr">
        <is>
          <t>Not disclosed</t>
        </is>
      </c>
      <c r="AV307" s="152" t="inlineStr">
        <is>
          <t>WingtraPilot Gen II workflow</t>
        </is>
      </c>
      <c r="AW307" s="156" t="n"/>
      <c r="AX307" s="152" t="n"/>
      <c r="AY307" s="156" t="n"/>
      <c r="AZ307" s="156" t="n"/>
      <c r="BA307" s="156" t="n"/>
      <c r="BB307" s="156" t="n"/>
      <c r="BC307" s="156" t="n"/>
      <c r="BD307" s="152" t="n"/>
      <c r="BE307" s="152" t="inlineStr">
        <is>
          <t>Not disclosed</t>
        </is>
      </c>
      <c r="BF307" s="152" t="n"/>
      <c r="BG307" s="152" t="n"/>
      <c r="BH307" s="152" t="inlineStr">
        <is>
          <t>Not disclosed</t>
        </is>
      </c>
      <c r="BI307" s="152" t="n"/>
      <c r="BJ307" s="152" t="n"/>
      <c r="BK307" s="152" t="n"/>
      <c r="BL307" s="152" t="n"/>
      <c r="BM307" s="152" t="n"/>
      <c r="BN307" s="152" t="n"/>
      <c r="BO307" s="156" t="n"/>
      <c r="BP307" s="152" t="inlineStr">
        <is>
          <t>Not disclosed</t>
        </is>
      </c>
      <c r="BQ307" s="156" t="inlineStr">
        <is>
          <t>VTOL Survey</t>
        </is>
      </c>
      <c r="BR307" s="156" t="inlineStr">
        <is>
          <t>Not disclosed</t>
        </is>
      </c>
      <c r="BS307" s="156" t="n"/>
      <c r="BT307" s="152" t="n"/>
      <c r="BU307" s="152" t="n"/>
      <c r="BV307" s="156" t="inlineStr">
        <is>
          <t>Improved reliability; oblique camera options; cm-level accuracy</t>
        </is>
      </c>
      <c r="BW307" s="156" t="inlineStr">
        <is>
          <t>Origin &amp; status — Switzerland · 2021 | Flight — Flight time Not disclosed · Range Not disclosed · Payload Not disclosed | Sensing — Survey cameras including 61 MP class options | Buying notes — 19,900–29,000 · 12 months manufacturer standard (typical) · Best fit: Improved reliability; oblique camera options; cm-level accuracy</t>
        </is>
      </c>
      <c r="BX307" s="156" t="inlineStr">
        <is>
          <t>as_shipped|WingtraOne GEN II|19900|As shipped</t>
        </is>
      </c>
      <c r="BY307" s="152" t="inlineStr">
        <is>
          <t>wingtraone_gen_ii|Manufacturer finish|#e2e8f0|0</t>
        </is>
      </c>
      <c r="BZ307" s="152" t="inlineStr"/>
      <c r="CA307" s="156" t="inlineStr">
        <is>
          <t>Add-ons: case; 2 color options; Multi-year extended warranty available</t>
        </is>
      </c>
      <c r="CB307" s="156" t="inlineStr">
        <is>
          <t>12 months manufacturer standard (typical)</t>
        </is>
      </c>
      <c r="CC307" s="154" t="n">
        <v>12</v>
      </c>
      <c r="CD307" s="156" t="inlineStr">
        <is>
          <t>+3 Year Extended ≈24% of configuration (default in configurator)</t>
        </is>
      </c>
      <c r="CE307" s="152" t="inlineStr">
        <is>
          <t>Industry default when OEM sheet not public</t>
        </is>
      </c>
      <c r="CF307" s="152" t="inlineStr">
        <is>
          <t>Estimated</t>
        </is>
      </c>
      <c r="CG307" s="156" t="inlineStr">
        <is>
          <t>Always confirm exact warranty on formal quote before purchase.</t>
        </is>
      </c>
      <c r="CH307" s="152" t="inlineStr">
        <is>
          <t>10%</t>
        </is>
      </c>
      <c r="CI307" s="152" t="inlineStr">
        <is>
          <t>17%</t>
        </is>
      </c>
      <c r="CJ307" s="152" t="inlineStr">
        <is>
          <t>24%</t>
        </is>
      </c>
      <c r="CK307"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307"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07" s="152" t="inlineStr">
        <is>
          <t>12 months manufacturer standard (typical)</t>
        </is>
      </c>
    </row>
    <row r="308" ht="31.5" customHeight="1" s="102">
      <c r="A308" s="143" t="inlineStr">
        <is>
          <t>xag_p_series_agricultural</t>
        </is>
      </c>
      <c r="B308" s="160" t="inlineStr">
        <is>
          <t>Website</t>
        </is>
      </c>
      <c r="C308" s="145" t="inlineStr">
        <is>
          <t>XAG</t>
        </is>
      </c>
      <c r="D308" s="145" t="inlineStr">
        <is>
          <t>P-Series Agricultural</t>
        </is>
      </c>
      <c r="E308" s="145" t="inlineStr">
        <is>
          <t>[XAG] P-Series Agricultural (2010)</t>
        </is>
      </c>
      <c r="F308" s="164" t="inlineStr">
        <is>
          <t>aerial</t>
        </is>
      </c>
      <c r="G308" s="145" t="inlineStr">
        <is>
          <t>China</t>
        </is>
      </c>
      <c r="H308" s="147" t="n">
        <v>2010</v>
      </c>
      <c r="I308" s="148" t="n">
        <v>18000</v>
      </c>
      <c r="J308" s="145" t="inlineStr">
        <is>
          <t>Agricultural drone kit class estimate</t>
        </is>
      </c>
      <c r="K308" s="149" t="inlineStr">
        <is>
          <t>P-Series Agricultural is XAG's aerial robot — camera-centric. Agricultural sensing and terrain following sensors; aimed at agricultural.</t>
        </is>
      </c>
      <c r="L308" s="101" t="inlineStr">
        <is>
          <t>P-Series Agricultural is XAG's aerial robot — camera-centric. Agricultural sensing and terrain following sensors; aimed at agricultural.</t>
        </is>
      </c>
      <c r="M308" s="101" t="inlineStr">
        <is>
          <t>P-Series Agricultural is XAG's aerial robot — camera-centric. Agricultural sensing and terrain following sensors; aimed at agricultural.</t>
        </is>
      </c>
      <c r="N308" s="145" t="n"/>
      <c r="O308" s="145" t="inlineStr">
        <is>
          <t>https://www.xa.com</t>
        </is>
      </c>
      <c r="P308" s="145" t="n"/>
      <c r="Q308" s="145" t="n"/>
      <c r="R308" s="145" t="inlineStr">
        <is>
          <t>Not disclosed</t>
        </is>
      </c>
      <c r="S308" s="145" t="n"/>
      <c r="T308" s="149" t="inlineStr">
        <is>
          <t>Not disclosed</t>
        </is>
      </c>
      <c r="U308" s="145" t="n"/>
      <c r="V308" s="145" t="n"/>
      <c r="W308" s="149" t="n"/>
      <c r="X308" s="145" t="inlineStr">
        <is>
          <t>Not disclosed</t>
        </is>
      </c>
      <c r="Y308" s="145" t="n"/>
      <c r="Z308" s="145" t="inlineStr">
        <is>
          <t>Not disclosed</t>
        </is>
      </c>
      <c r="AA308" s="145" t="n"/>
      <c r="AB308" s="145" t="n"/>
      <c r="AC308" s="149" t="inlineStr">
        <is>
          <t>Not disclosed</t>
        </is>
      </c>
      <c r="AD308" s="149" t="n"/>
      <c r="AE308" s="145" t="inlineStr">
        <is>
          <t>Not disclosed</t>
        </is>
      </c>
      <c r="AF308" s="145" t="inlineStr">
        <is>
          <t>Not disclosed</t>
        </is>
      </c>
      <c r="AG308" s="149" t="n"/>
      <c r="AH308" s="145" t="n"/>
      <c r="AI308" s="145" t="n"/>
      <c r="AJ308" s="149" t="inlineStr">
        <is>
          <t>Agricultural sensing and terrain following sensors</t>
        </is>
      </c>
      <c r="AK308" s="149" t="n"/>
      <c r="AL308" s="145" t="inlineStr">
        <is>
          <t>Operational monitoring</t>
        </is>
      </c>
      <c r="AM308" s="145" t="inlineStr">
        <is>
          <t>Not disclosed</t>
        </is>
      </c>
      <c r="AN308" s="145" t="n"/>
      <c r="AO308" s="145" t="n"/>
      <c r="AP308" s="145" t="n"/>
      <c r="AQ308" s="145" t="n"/>
      <c r="AR308" s="145" t="inlineStr">
        <is>
          <t>Not disclosed</t>
        </is>
      </c>
      <c r="AS308" s="145" t="inlineStr">
        <is>
          <t>Not disclosed</t>
        </is>
      </c>
      <c r="AT308" s="149" t="n"/>
      <c r="AU308" s="149" t="inlineStr">
        <is>
          <t>Not disclosed</t>
        </is>
      </c>
      <c r="AV308" s="145" t="inlineStr">
        <is>
          <t>XAG agricultural mission software</t>
        </is>
      </c>
      <c r="AW308" s="149" t="n"/>
      <c r="AX308" s="145" t="n"/>
      <c r="AY308" s="149" t="n"/>
      <c r="AZ308" s="149" t="n"/>
      <c r="BA308" s="149" t="n"/>
      <c r="BB308" s="149" t="n"/>
      <c r="BC308" s="149" t="n"/>
      <c r="BD308" s="145" t="n"/>
      <c r="BE308" s="145" t="inlineStr">
        <is>
          <t>Not disclosed</t>
        </is>
      </c>
      <c r="BF308" s="145" t="n"/>
      <c r="BG308" s="145" t="n"/>
      <c r="BH308" s="145" t="inlineStr">
        <is>
          <t>Not disclosed</t>
        </is>
      </c>
      <c r="BI308" s="145" t="n"/>
      <c r="BJ308" s="145" t="n"/>
      <c r="BK308" s="145" t="n"/>
      <c r="BL308" s="145" t="n"/>
      <c r="BM308" s="145" t="n"/>
      <c r="BN308" s="145" t="n"/>
      <c r="BO308" s="149" t="n"/>
      <c r="BP308" s="145" t="inlineStr">
        <is>
          <t>Not disclosed</t>
        </is>
      </c>
      <c r="BQ308" s="149" t="inlineStr">
        <is>
          <t>Agricultural</t>
        </is>
      </c>
      <c r="BR308" s="149" t="inlineStr">
        <is>
          <t>Not disclosed</t>
        </is>
      </c>
      <c r="BS308" s="149" t="n"/>
      <c r="BT308" s="145" t="n"/>
      <c r="BU308" s="145" t="n"/>
      <c r="BV308" s="149" t="inlineStr">
        <is>
          <t>High-volume spraying and mapping drones; strong Asia presence</t>
        </is>
      </c>
      <c r="BW308" s="149" t="inlineStr">
        <is>
          <t>Origin &amp; status — China · 2010 | Flight — Flight time Not disclosed · Range Not disclosed · Payload Not disclosed | Sensing — Agricultural sensing and terrain following sensors | Buying notes — 5,000–15,000 · 12 months limited / contract-dependent · Best fit: High-volume spraying and mapping drones; strong Asia presence</t>
        </is>
      </c>
      <c r="BX308" s="149" t="inlineStr">
        <is>
          <t>as_shipped|P-Series Agricultural|18000|As shipped</t>
        </is>
      </c>
      <c r="BY308" s="145" t="inlineStr">
        <is>
          <t>p_series_agricultura|Manufacturer finish|#e2e8f0|0</t>
        </is>
      </c>
      <c r="BZ308" s="145" t="inlineStr"/>
      <c r="CA308" s="149" t="inlineStr">
        <is>
          <t>Add-ons: case; 2 color options; Multi-year extended warranty available</t>
        </is>
      </c>
      <c r="CB308" s="149" t="inlineStr">
        <is>
          <t>12 months limited / contract-dependent</t>
        </is>
      </c>
      <c r="CC308" s="147" t="n">
        <v>12</v>
      </c>
      <c r="CD308" s="149" t="inlineStr">
        <is>
          <t>+3 Year Extended ≈24% of configuration (default in configurator)</t>
        </is>
      </c>
      <c r="CE308" s="145" t="inlineStr">
        <is>
          <t>Enterprise &amp; OEM UAV norms</t>
        </is>
      </c>
      <c r="CF308" s="145" t="inlineStr">
        <is>
          <t>Estimated</t>
        </is>
      </c>
      <c r="CG308" s="149" t="inlineStr">
        <is>
          <t>Military/industrial UAVs often under program SLA rather than retail warranty.</t>
        </is>
      </c>
      <c r="CH308" s="145" t="inlineStr">
        <is>
          <t>10%</t>
        </is>
      </c>
      <c r="CI308" s="145" t="inlineStr">
        <is>
          <t>17%</t>
        </is>
      </c>
      <c r="CJ308" s="145" t="inlineStr">
        <is>
          <t>24%</t>
        </is>
      </c>
      <c r="CK308"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308"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08" s="145" t="inlineStr">
        <is>
          <t>12 months limited / contract-dependent</t>
        </is>
      </c>
    </row>
    <row r="309" ht="31.5" customHeight="1" s="102">
      <c r="A309" s="159" t="inlineStr">
        <is>
          <t>yuneec_typhoon_h_h520</t>
        </is>
      </c>
      <c r="B309" s="160" t="inlineStr">
        <is>
          <t>Website</t>
        </is>
      </c>
      <c r="C309" s="152" t="inlineStr">
        <is>
          <t>Yuneec</t>
        </is>
      </c>
      <c r="D309" s="152" t="inlineStr">
        <is>
          <t>Typhoon H</t>
        </is>
      </c>
      <c r="E309" s="152" t="inlineStr">
        <is>
          <t>[Yuneec] Typhoon H (2016)</t>
        </is>
      </c>
      <c r="F309" s="164" t="inlineStr">
        <is>
          <t>aerial</t>
        </is>
      </c>
      <c r="G309" s="152" t="inlineStr">
        <is>
          <t>China</t>
        </is>
      </c>
      <c r="H309" s="154" t="n">
        <v>2016</v>
      </c>
      <c r="I309" s="155" t="n">
        <v>1299</v>
      </c>
      <c r="J309" s="152" t="inlineStr">
        <is>
          <t>Website store</t>
        </is>
      </c>
      <c r="K309" s="156" t="inlineStr">
        <is>
          <t>[Yuneec] Typhoon H (2016) is a aerial platform from Yuneec (China, 2016), positioned for consumer.</t>
        </is>
      </c>
      <c r="L309" s="101" t="inlineStr">
        <is>
          <t>[Yuneec] Typhoon H (2016) is a aerial platform from Yuneec (China, 2016), positioned for consumer.</t>
        </is>
      </c>
      <c r="M309" s="101" t="inlineStr">
        <is>
          <t>Typhoon H is Yuneec's aerial robot, introduced around 2016 in China. [Yuneec] Typhoon H (2016) is a aerial platform from Yuneec (China, 2016), positioned for consumer. It is positioned for consumer / Light Enterprise.</t>
        </is>
      </c>
      <c r="N309" s="152" t="n"/>
      <c r="O309" s="152" t="inlineStr">
        <is>
          <t>https://us.yuneec.com</t>
        </is>
      </c>
      <c r="P309" s="152" t="n"/>
      <c r="Q309" s="152" t="n"/>
      <c r="R309" s="152" t="inlineStr">
        <is>
          <t>≈ 4.4–5.5 lb class</t>
        </is>
      </c>
      <c r="S309" s="152" t="n"/>
      <c r="T309" s="156" t="inlineStr">
        <is>
          <t>Not disclosed</t>
        </is>
      </c>
      <c r="U309" s="152" t="n"/>
      <c r="V309" s="152" t="n"/>
      <c r="W309" s="156" t="n"/>
      <c r="X309" s="152" t="inlineStr">
        <is>
          <t>Not disclosed</t>
        </is>
      </c>
      <c r="Y309" s="152" t="n"/>
      <c r="Z309" s="152" t="inlineStr">
        <is>
          <t>Not disclosed</t>
        </is>
      </c>
      <c r="AA309" s="152" t="n"/>
      <c r="AB309" s="152" t="n"/>
      <c r="AC309" s="156" t="inlineStr">
        <is>
          <t>Not disclosed</t>
        </is>
      </c>
      <c r="AD309" s="156" t="n"/>
      <c r="AE309" s="152" t="inlineStr">
        <is>
          <t>Up to ≈ 25–30 min class</t>
        </is>
      </c>
      <c r="AF309" s="152" t="inlineStr">
        <is>
          <t>Not disclosed</t>
        </is>
      </c>
      <c r="AG309" s="156" t="n"/>
      <c r="AH309" s="152" t="n"/>
      <c r="AI309" s="152" t="n"/>
      <c r="AJ309" s="156" t="inlineStr">
        <is>
          <t>Cumulonimbus / E90 class options</t>
        </is>
      </c>
      <c r="AK309" s="156" t="n"/>
      <c r="AL309" s="152" t="inlineStr">
        <is>
          <t>Up to 4K class</t>
        </is>
      </c>
      <c r="AM309" s="152" t="inlineStr">
        <is>
          <t>3-axis</t>
        </is>
      </c>
      <c r="AN309" s="152" t="n"/>
      <c r="AO309" s="152" t="n"/>
      <c r="AP309" s="152" t="n"/>
      <c r="AQ309" s="152" t="n"/>
      <c r="AR309" s="152" t="inlineStr">
        <is>
          <t>Not disclosed</t>
        </is>
      </c>
      <c r="AS309" s="152" t="inlineStr">
        <is>
          <t>Not disclosed</t>
        </is>
      </c>
      <c r="AT309" s="156" t="n"/>
      <c r="AU309" s="156" t="inlineStr">
        <is>
          <t>Not disclosed</t>
        </is>
      </c>
      <c r="AV309" s="152" t="inlineStr">
        <is>
          <t>ST16/ST16S class transmitters</t>
        </is>
      </c>
      <c r="AW309" s="156" t="n"/>
      <c r="AX309" s="152" t="n"/>
      <c r="AY309" s="156" t="n"/>
      <c r="AZ309" s="156" t="n"/>
      <c r="BA309" s="156" t="n"/>
      <c r="BB309" s="156" t="n"/>
      <c r="BC309" s="156" t="n"/>
      <c r="BD309" s="152" t="n"/>
      <c r="BE309" s="152" t="inlineStr">
        <is>
          <t>Not disclosed</t>
        </is>
      </c>
      <c r="BF309" s="152" t="n"/>
      <c r="BG309" s="152" t="n"/>
      <c r="BH309" s="152" t="inlineStr">
        <is>
          <t>Not disclosed</t>
        </is>
      </c>
      <c r="BI309" s="152" t="n"/>
      <c r="BJ309" s="152" t="n"/>
      <c r="BK309" s="152" t="n"/>
      <c r="BL309" s="152" t="n"/>
      <c r="BM309" s="152" t="n"/>
      <c r="BN309" s="152" t="n"/>
      <c r="BO309" s="156" t="n"/>
      <c r="BP309" s="152" t="inlineStr">
        <is>
          <t>Not disclosed</t>
        </is>
      </c>
      <c r="BQ309" s="156" t="inlineStr">
        <is>
          <t>Consumer / Light Enterprise</t>
        </is>
      </c>
      <c r="BR309" s="156" t="inlineStr">
        <is>
          <t>Not disclosed</t>
        </is>
      </c>
      <c r="BS309" s="156" t="n"/>
      <c r="BT309" s="152" t="n"/>
      <c r="BU309" s="152" t="n"/>
      <c r="BV309" s="156" t="inlineStr">
        <is>
          <t>Hexacopter layout; Intel RealSense obstacle sensing</t>
        </is>
      </c>
      <c r="BW309" s="156" t="inlineStr">
        <is>
          <t>Origin &amp; status — China · 2016 | Flight — Flight time Up to ≈ 25–30 min class · Range Not disclosed · Payload Not disclosed | Sensing — Cumulonimbus / E90 class options | Buying notes — ~1,299 · 12 months limited manufacturer warranty (typical consumer UAV) · Best fit: Hexacopter layout; Intel RealSense obstacle sensing</t>
        </is>
      </c>
      <c r="BX309" s="156" t="inlineStr">
        <is>
          <t>as_shipped|Typhoon H|1299|As shipped</t>
        </is>
      </c>
      <c r="BY309" s="152" t="inlineStr">
        <is>
          <t>typhoon_h|Manufacturer finish|#e2e8f0|0</t>
        </is>
      </c>
      <c r="BZ309" s="152" t="inlineStr"/>
      <c r="CA309" s="156" t="inlineStr">
        <is>
          <t>Add-ons: case; 2 color options; Multi-year extended warranty available</t>
        </is>
      </c>
      <c r="CB309" s="156" t="inlineStr">
        <is>
          <t>12 months limited manufacturer warranty (typical consumer UAV)</t>
        </is>
      </c>
      <c r="CC309" s="154" t="n">
        <v>12</v>
      </c>
      <c r="CD309" s="156" t="inlineStr">
        <is>
          <t>+3 Year Extended ≈24% of configuration (default in configurator)</t>
        </is>
      </c>
      <c r="CE309" s="152" t="inlineStr">
        <is>
          <t>Consumer drone category standard</t>
        </is>
      </c>
      <c r="CF309" s="152" t="inlineStr">
        <is>
          <t>Estimated</t>
        </is>
      </c>
      <c r="CG309" s="156" t="inlineStr">
        <is>
          <t>Batteries/propellers often shorter or excluded.</t>
        </is>
      </c>
      <c r="CH309" s="152" t="inlineStr">
        <is>
          <t>10%</t>
        </is>
      </c>
      <c r="CI309" s="152" t="inlineStr">
        <is>
          <t>17%</t>
        </is>
      </c>
      <c r="CJ309" s="152" t="inlineStr">
        <is>
          <t>24%</t>
        </is>
      </c>
      <c r="CK309"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309"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09" s="152" t="inlineStr">
        <is>
          <t>12 months limited manufacturer warranty (typical consumer UAV)</t>
        </is>
      </c>
    </row>
    <row r="310" ht="31.5" customHeight="1" s="102">
      <c r="A310" s="159" t="inlineStr">
        <is>
          <t>yuneec_typhoon_h_h520_typhoon_h520</t>
        </is>
      </c>
      <c r="B310" s="160" t="inlineStr">
        <is>
          <t>Website</t>
        </is>
      </c>
      <c r="C310" s="152" t="inlineStr">
        <is>
          <t>Yuneec</t>
        </is>
      </c>
      <c r="D310" s="152" t="inlineStr">
        <is>
          <t>Typhoon H520</t>
        </is>
      </c>
      <c r="E310" s="152" t="inlineStr">
        <is>
          <t>[Yuneec] Typhoon H520 (2016)</t>
        </is>
      </c>
      <c r="F310" s="164" t="inlineStr">
        <is>
          <t>aerial</t>
        </is>
      </c>
      <c r="G310" s="152" t="inlineStr">
        <is>
          <t>China</t>
        </is>
      </c>
      <c r="H310" s="154" t="n">
        <v>2016</v>
      </c>
      <c r="I310" s="155" t="n">
        <v>1299</v>
      </c>
      <c r="J310" s="152" t="inlineStr">
        <is>
          <t>Website store</t>
        </is>
      </c>
      <c r="K310" s="156" t="inlineStr">
        <is>
          <t>[Yuneec] Typhoon H520 (2016) is a aerial platform from Yuneec (China, 2016), positioned for consumer.</t>
        </is>
      </c>
      <c r="L310" s="101" t="inlineStr">
        <is>
          <t>[Yuneec] Typhoon H520 (2016) is a aerial platform from Yuneec (China, 2016), positioned for consumer.</t>
        </is>
      </c>
      <c r="M310" s="101" t="inlineStr">
        <is>
          <t>Typhoon H520 is Yuneec's aerial robot, introduced around 2016 in China. [Yuneec] Typhoon H520 (2016) is a aerial platform from Yuneec (China, 2016), positioned for consumer. It is positioned for consumer / Light Enterprise.</t>
        </is>
      </c>
      <c r="N310" s="152" t="n"/>
      <c r="O310" s="152" t="inlineStr">
        <is>
          <t>https://us.yuneec.com</t>
        </is>
      </c>
      <c r="P310" s="152" t="n"/>
      <c r="Q310" s="152" t="n"/>
      <c r="R310" s="152" t="inlineStr">
        <is>
          <t>≈ 4.4–5.5 lb class</t>
        </is>
      </c>
      <c r="S310" s="152" t="n"/>
      <c r="T310" s="156" t="inlineStr">
        <is>
          <t>Not disclosed</t>
        </is>
      </c>
      <c r="U310" s="152" t="n"/>
      <c r="V310" s="152" t="n"/>
      <c r="W310" s="156" t="n"/>
      <c r="X310" s="152" t="inlineStr">
        <is>
          <t>Not disclosed</t>
        </is>
      </c>
      <c r="Y310" s="152" t="n"/>
      <c r="Z310" s="152" t="inlineStr">
        <is>
          <t>Not disclosed</t>
        </is>
      </c>
      <c r="AA310" s="152" t="n"/>
      <c r="AB310" s="152" t="n"/>
      <c r="AC310" s="156" t="inlineStr">
        <is>
          <t>Not disclosed</t>
        </is>
      </c>
      <c r="AD310" s="156" t="n"/>
      <c r="AE310" s="152" t="inlineStr">
        <is>
          <t>Up to ≈ 25–30 min class</t>
        </is>
      </c>
      <c r="AF310" s="152" t="inlineStr">
        <is>
          <t>Not disclosed</t>
        </is>
      </c>
      <c r="AG310" s="156" t="n"/>
      <c r="AH310" s="152" t="n"/>
      <c r="AI310" s="152" t="n"/>
      <c r="AJ310" s="156" t="inlineStr">
        <is>
          <t>Cumulonimbus / E90 class options</t>
        </is>
      </c>
      <c r="AK310" s="156" t="n"/>
      <c r="AL310" s="152" t="inlineStr">
        <is>
          <t>Up to 4K class</t>
        </is>
      </c>
      <c r="AM310" s="152" t="inlineStr">
        <is>
          <t>3-axis</t>
        </is>
      </c>
      <c r="AN310" s="152" t="n"/>
      <c r="AO310" s="152" t="n"/>
      <c r="AP310" s="152" t="n"/>
      <c r="AQ310" s="152" t="n"/>
      <c r="AR310" s="152" t="inlineStr">
        <is>
          <t>Not disclosed</t>
        </is>
      </c>
      <c r="AS310" s="152" t="inlineStr">
        <is>
          <t>Not disclosed</t>
        </is>
      </c>
      <c r="AT310" s="156" t="n"/>
      <c r="AU310" s="156" t="inlineStr">
        <is>
          <t>Not disclosed</t>
        </is>
      </c>
      <c r="AV310" s="152" t="inlineStr">
        <is>
          <t>ST16/ST16S class transmitters</t>
        </is>
      </c>
      <c r="AW310" s="156" t="n"/>
      <c r="AX310" s="152" t="n"/>
      <c r="AY310" s="156" t="n"/>
      <c r="AZ310" s="156" t="n"/>
      <c r="BA310" s="156" t="n"/>
      <c r="BB310" s="156" t="n"/>
      <c r="BC310" s="156" t="n"/>
      <c r="BD310" s="152" t="n"/>
      <c r="BE310" s="152" t="inlineStr">
        <is>
          <t>Not disclosed</t>
        </is>
      </c>
      <c r="BF310" s="152" t="n"/>
      <c r="BG310" s="152" t="n"/>
      <c r="BH310" s="152" t="inlineStr">
        <is>
          <t>Not disclosed</t>
        </is>
      </c>
      <c r="BI310" s="152" t="n"/>
      <c r="BJ310" s="152" t="n"/>
      <c r="BK310" s="152" t="n"/>
      <c r="BL310" s="152" t="n"/>
      <c r="BM310" s="152" t="n"/>
      <c r="BN310" s="152" t="n"/>
      <c r="BO310" s="156" t="n"/>
      <c r="BP310" s="152" t="inlineStr">
        <is>
          <t>Not disclosed</t>
        </is>
      </c>
      <c r="BQ310" s="156" t="inlineStr">
        <is>
          <t>Consumer / Light Enterprise</t>
        </is>
      </c>
      <c r="BR310" s="156" t="inlineStr">
        <is>
          <t>Not disclosed</t>
        </is>
      </c>
      <c r="BS310" s="156" t="n"/>
      <c r="BT310" s="152" t="n"/>
      <c r="BU310" s="152" t="n"/>
      <c r="BV310" s="156" t="inlineStr">
        <is>
          <t>Hexacopter layout; Intel RealSense obstacle sensing</t>
        </is>
      </c>
      <c r="BW310" s="156" t="inlineStr">
        <is>
          <t>Origin &amp; status — China · 2016 | Flight — Flight time Up to ≈ 25–30 min class · Range Not disclosed · Payload Not disclosed | Sensing — Cumulonimbus / E90 class options | Buying notes — ~1,299 · 12 months limited manufacturer warranty (typical consumer UAV) · Best fit: Hexacopter layout; Intel RealSense obstacle sensing</t>
        </is>
      </c>
      <c r="BX310" s="156" t="inlineStr">
        <is>
          <t>as_shipped|Typhoon H520|1299|As shipped</t>
        </is>
      </c>
      <c r="BY310" s="152" t="inlineStr">
        <is>
          <t>typhoon_h520|Manufacturer finish|#e2e8f0|0</t>
        </is>
      </c>
      <c r="BZ310" s="152" t="inlineStr"/>
      <c r="CA310" s="156" t="inlineStr">
        <is>
          <t>Add-ons: case; 2 color options; Multi-year extended warranty available</t>
        </is>
      </c>
      <c r="CB310" s="156" t="inlineStr">
        <is>
          <t>12 months limited manufacturer warranty (typical consumer UAV)</t>
        </is>
      </c>
      <c r="CC310" s="154" t="n">
        <v>12</v>
      </c>
      <c r="CD310" s="156" t="inlineStr">
        <is>
          <t>+3 Year Extended ≈24% of configuration (default in configurator)</t>
        </is>
      </c>
      <c r="CE310" s="152" t="inlineStr">
        <is>
          <t>Consumer drone category standard</t>
        </is>
      </c>
      <c r="CF310" s="152" t="inlineStr">
        <is>
          <t>Estimated</t>
        </is>
      </c>
      <c r="CG310" s="156" t="inlineStr">
        <is>
          <t>Batteries/propellers often shorter or excluded.</t>
        </is>
      </c>
      <c r="CH310" s="152" t="inlineStr">
        <is>
          <t>10%</t>
        </is>
      </c>
      <c r="CI310" s="152" t="inlineStr">
        <is>
          <t>17%</t>
        </is>
      </c>
      <c r="CJ310" s="152" t="inlineStr">
        <is>
          <t>24%</t>
        </is>
      </c>
      <c r="CK310"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310"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10" s="152" t="inlineStr">
        <is>
          <t>12 months limited manufacturer warranty (typical consumer UAV)</t>
        </is>
      </c>
    </row>
    <row r="311" ht="31.5" customHeight="1" s="102">
      <c r="A311" s="143" t="inlineStr">
        <is>
          <t>skydio_skydio_2_2_skydio_2</t>
        </is>
      </c>
      <c r="B311" s="160" t="inlineStr">
        <is>
          <t>Website</t>
        </is>
      </c>
      <c r="C311" s="145" t="inlineStr">
        <is>
          <t>Skydio</t>
        </is>
      </c>
      <c r="D311" s="145" t="inlineStr">
        <is>
          <t>Skydio 2+</t>
        </is>
      </c>
      <c r="E311" s="145" t="inlineStr">
        <is>
          <t>[Skydio] Skydio 2+ (2019)</t>
        </is>
      </c>
      <c r="F311" s="164" t="inlineStr">
        <is>
          <t>aerial</t>
        </is>
      </c>
      <c r="G311" s="145" t="inlineStr">
        <is>
          <t>Japan</t>
        </is>
      </c>
      <c r="H311" s="147" t="n">
        <v>2019</v>
      </c>
      <c r="I311" s="148" t="n">
        <v>999</v>
      </c>
      <c r="J311" s="145" t="inlineStr">
        <is>
          <t>Website store</t>
        </is>
      </c>
      <c r="K311" s="149" t="inlineStr">
        <is>
          <t>[Skydio] Skydio 2+ (2019) is a aerial platform from Skydio (USA, 2019), positioned for consumer autonomous.</t>
        </is>
      </c>
      <c r="L311" s="101" t="inlineStr">
        <is>
          <t>[Skydio] Skydio 2+ (2019) is a aerial platform from Skydio (USA, 2019), positioned for consumer autonomous.</t>
        </is>
      </c>
      <c r="M311" s="101" t="inlineStr">
        <is>
          <t>Skydio 2+ is Skydio's aerial robot, introduced around 2019 in USA. [Skydio] Skydio 2+ (2019) is a aerial platform from Skydio (USA, 2019), positioned for consumer autonomous.</t>
        </is>
      </c>
      <c r="N311" s="145" t="n"/>
      <c r="O311" s="145" t="inlineStr">
        <is>
          <t>https://www.skydio.com</t>
        </is>
      </c>
      <c r="P311" s="145" t="n"/>
      <c r="Q311" s="145" t="n"/>
      <c r="R311" s="145" t="inlineStr">
        <is>
          <t>≈ 1.7 lb class</t>
        </is>
      </c>
      <c r="S311" s="145" t="n"/>
      <c r="T311" s="149" t="inlineStr">
        <is>
          <t>Not disclosed</t>
        </is>
      </c>
      <c r="U311" s="145" t="n"/>
      <c r="V311" s="145" t="n"/>
      <c r="W311" s="149" t="n"/>
      <c r="X311" s="145" t="inlineStr">
        <is>
          <t>Not disclosed</t>
        </is>
      </c>
      <c r="Y311" s="145" t="n"/>
      <c r="Z311" s="145" t="inlineStr">
        <is>
          <t>Not disclosed</t>
        </is>
      </c>
      <c r="AA311" s="145" t="n"/>
      <c r="AB311" s="145" t="n"/>
      <c r="AC311" s="149" t="inlineStr">
        <is>
          <t>Not disclosed</t>
        </is>
      </c>
      <c r="AD311" s="149" t="n"/>
      <c r="AE311" s="145" t="inlineStr">
        <is>
          <t>Up to ≈ 27 min class</t>
        </is>
      </c>
      <c r="AF311" s="145" t="inlineStr">
        <is>
          <t>Not disclosed</t>
        </is>
      </c>
      <c r="AG311" s="149" t="n"/>
      <c r="AH311" s="145" t="n"/>
      <c r="AI311" s="145" t="n"/>
      <c r="AJ311" s="149" t="inlineStr">
        <is>
          <t>Industrial inspection cameras</t>
        </is>
      </c>
      <c r="AK311" s="149" t="n"/>
      <c r="AL311" s="145" t="inlineStr">
        <is>
          <t>Secure industrial video paths</t>
        </is>
      </c>
      <c r="AM311" s="145" t="inlineStr">
        <is>
          <t>Not disclosed</t>
        </is>
      </c>
      <c r="AN311" s="145" t="n"/>
      <c r="AO311" s="145" t="n"/>
      <c r="AP311" s="145" t="n"/>
      <c r="AQ311" s="145" t="n"/>
      <c r="AR311" s="145" t="inlineStr">
        <is>
          <t>360° obstacle avoidance class</t>
        </is>
      </c>
      <c r="AS311" s="145" t="inlineStr">
        <is>
          <t>Not disclosed</t>
        </is>
      </c>
      <c r="AT311" s="149" t="n"/>
      <c r="AU311" s="149" t="inlineStr">
        <is>
          <t>Not disclosed</t>
        </is>
      </c>
      <c r="AV311" s="145" t="inlineStr">
        <is>
          <t>ACSL industrial flight software</t>
        </is>
      </c>
      <c r="AW311" s="149" t="n"/>
      <c r="AX311" s="145" t="n"/>
      <c r="AY311" s="149" t="n"/>
      <c r="AZ311" s="149" t="n"/>
      <c r="BA311" s="149" t="n"/>
      <c r="BB311" s="149" t="n"/>
      <c r="BC311" s="149" t="n"/>
      <c r="BD311" s="145" t="n"/>
      <c r="BE311" s="145" t="inlineStr">
        <is>
          <t>Not disclosed</t>
        </is>
      </c>
      <c r="BF311" s="145" t="n"/>
      <c r="BG311" s="145" t="n"/>
      <c r="BH311" s="145" t="inlineStr">
        <is>
          <t>Not disclosed</t>
        </is>
      </c>
      <c r="BI311" s="145" t="n"/>
      <c r="BJ311" s="145" t="n"/>
      <c r="BK311" s="145" t="n"/>
      <c r="BL311" s="145" t="n"/>
      <c r="BM311" s="145" t="n"/>
      <c r="BN311" s="145" t="n"/>
      <c r="BO311" s="149" t="n"/>
      <c r="BP311" s="145" t="inlineStr">
        <is>
          <t>Not disclosed</t>
        </is>
      </c>
      <c r="BQ311" s="149" t="inlineStr">
        <is>
          <t>Industrial / Survey / Inspection</t>
        </is>
      </c>
      <c r="BR311" s="149" t="inlineStr">
        <is>
          <t>Not disclosed</t>
        </is>
      </c>
      <c r="BS311" s="149" t="n"/>
      <c r="BT311" s="145" t="n"/>
      <c r="BU311" s="145" t="n"/>
      <c r="BV311" s="149" t="inlineStr">
        <is>
          <t>Japanese NDAA-friendly industrial multirotor; strong enterprise &amp; infrastructure focus</t>
        </is>
      </c>
      <c r="BW311" s="149" t="inlineStr">
        <is>
          <t>Origin &amp; status — USA · 2019 | Flight — Flight time Up to ≈ 27 min class · Range Not disclosed · Payload Not disclosed | Sensing — Primary camera + obstacle cameras | Buying notes — $999 · 12 months manufacturer standard (typical) · Best fit: Compact form factor; six navigation cameras; excellent obstacle avoidance</t>
        </is>
      </c>
      <c r="BX311" s="149" t="inlineStr">
        <is>
          <t>as_shipped|Skydio 2+|999|As shipped</t>
        </is>
      </c>
      <c r="BY311" s="145" t="inlineStr">
        <is>
          <t>skydio_2|Manufacturer finish|#e2e8f0|0</t>
        </is>
      </c>
      <c r="BZ311" s="145" t="inlineStr"/>
      <c r="CA311" s="149" t="inlineStr">
        <is>
          <t>Add-ons: case; 2 color options; Multi-year extended warranty available</t>
        </is>
      </c>
      <c r="CB311" s="149" t="inlineStr">
        <is>
          <t>12 months manufacturer standard (typical)</t>
        </is>
      </c>
      <c r="CC311" s="147" t="n">
        <v>12</v>
      </c>
      <c r="CD311" s="149" t="inlineStr">
        <is>
          <t>+3 Year Extended ≈24% of configuration (default in configurator)</t>
        </is>
      </c>
      <c r="CE311" s="145" t="inlineStr">
        <is>
          <t>Industry default when OEM sheet not public</t>
        </is>
      </c>
      <c r="CF311" s="145" t="inlineStr">
        <is>
          <t>Estimated</t>
        </is>
      </c>
      <c r="CG311" s="149" t="inlineStr">
        <is>
          <t>Always confirm exact warranty on formal quote before purchase.</t>
        </is>
      </c>
      <c r="CH311" s="145" t="inlineStr">
        <is>
          <t>10%</t>
        </is>
      </c>
      <c r="CI311" s="145" t="inlineStr">
        <is>
          <t>17%</t>
        </is>
      </c>
      <c r="CJ311" s="145" t="inlineStr">
        <is>
          <t>24%</t>
        </is>
      </c>
      <c r="CK31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31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11" s="145" t="inlineStr">
        <is>
          <t>12 months manufacturer standard (typical)</t>
        </is>
      </c>
    </row>
    <row r="312" ht="31.5" customHeight="1" s="102">
      <c r="A312" s="143" t="inlineStr">
        <is>
          <t>dji_inspire_3</t>
        </is>
      </c>
      <c r="B312" s="160" t="inlineStr">
        <is>
          <t>Website</t>
        </is>
      </c>
      <c r="C312" s="145" t="inlineStr">
        <is>
          <t>DJI</t>
        </is>
      </c>
      <c r="D312" s="145" t="inlineStr">
        <is>
          <t>Inspire 3</t>
        </is>
      </c>
      <c r="E312" s="145" t="inlineStr">
        <is>
          <t>[DJI] Inspire 3 (2023)</t>
        </is>
      </c>
      <c r="F312" s="164" t="inlineStr">
        <is>
          <t>aerial</t>
        </is>
      </c>
      <c r="G312" s="145" t="inlineStr">
        <is>
          <t>Japan</t>
        </is>
      </c>
      <c r="H312" s="147" t="n">
        <v>2023</v>
      </c>
      <c r="I312" s="148" t="n">
        <v>16499</v>
      </c>
      <c r="J312" s="145" t="inlineStr">
        <is>
          <t>Website store</t>
        </is>
      </c>
      <c r="K312" s="149" t="inlineStr">
        <is>
          <t>Inspire 3 is DJI's aerial robot — Up to ≈ 28 min flight time, camera-centric. Cinema camera platform with DL mount full-frame ecosystem; aimed at cinema.</t>
        </is>
      </c>
      <c r="L312" s="101" t="inlineStr">
        <is>
          <t>Inspire 3 is DJI's aerial robot — Up to ≈ 28 min flight time, camera-centric. Cinema camera platform with DL mount full-frame ecosystem; aimed at cinema.</t>
        </is>
      </c>
      <c r="M312" s="101" t="inlineStr">
        <is>
          <t>Inspire 3 is DJI's aerial robot — Up to ≈ 28 min flight time, camera-centric. Cinema camera platform with DL mount full-frame ecosystem; aimed at cinema. It is positioned for cinema / Professional.</t>
        </is>
      </c>
      <c r="N312" s="145" t="n"/>
      <c r="O312" s="145" t="inlineStr">
        <is>
          <t>https://www.dji.com</t>
        </is>
      </c>
      <c r="P312" s="145" t="n"/>
      <c r="Q312" s="145" t="n"/>
      <c r="R312" s="145" t="inlineStr">
        <is>
          <t>≈ 8.8 lb takeoff class</t>
        </is>
      </c>
      <c r="S312" s="145" t="n"/>
      <c r="T312" s="149" t="inlineStr">
        <is>
          <t>Not disclosed</t>
        </is>
      </c>
      <c r="U312" s="145" t="n"/>
      <c r="V312" s="145" t="n"/>
      <c r="W312" s="149" t="n"/>
      <c r="X312" s="145" t="inlineStr">
        <is>
          <t>Not disclosed</t>
        </is>
      </c>
      <c r="Y312" s="145" t="n"/>
      <c r="Z312" s="145" t="inlineStr">
        <is>
          <t>≈ 58 mph class</t>
        </is>
      </c>
      <c r="AA312" s="145" t="n"/>
      <c r="AB312" s="145" t="n"/>
      <c r="AC312" s="149" t="inlineStr">
        <is>
          <t>Not disclosed</t>
        </is>
      </c>
      <c r="AD312" s="149" t="n"/>
      <c r="AE312" s="145" t="inlineStr">
        <is>
          <t>Up to ≈ 28 min</t>
        </is>
      </c>
      <c r="AF312" s="145" t="inlineStr">
        <is>
          <t>Not disclosed</t>
        </is>
      </c>
      <c r="AG312" s="149" t="n"/>
      <c r="AH312" s="145" t="n"/>
      <c r="AI312" s="145" t="n"/>
      <c r="AJ312" s="149" t="inlineStr">
        <is>
          <t>Industrial inspection cameras</t>
        </is>
      </c>
      <c r="AK312" s="149" t="n"/>
      <c r="AL312" s="145" t="inlineStr">
        <is>
          <t>Secure industrial video paths</t>
        </is>
      </c>
      <c r="AM312" s="145" t="inlineStr">
        <is>
          <t>3-axis dual-gimbal capable</t>
        </is>
      </c>
      <c r="AN312" s="145" t="n"/>
      <c r="AO312" s="145" t="n"/>
      <c r="AP312" s="145" t="n"/>
      <c r="AQ312" s="145" t="n"/>
      <c r="AR312" s="145" t="inlineStr">
        <is>
          <t>Omnidirectional multi-sensor</t>
        </is>
      </c>
      <c r="AS312" s="145" t="inlineStr">
        <is>
          <t>Not disclosed</t>
        </is>
      </c>
      <c r="AT312" s="149" t="n"/>
      <c r="AU312" s="149" t="inlineStr">
        <is>
          <t>Not disclosed</t>
        </is>
      </c>
      <c r="AV312" s="145" t="inlineStr">
        <is>
          <t>ACSL industrial flight software</t>
        </is>
      </c>
      <c r="AW312" s="149" t="n"/>
      <c r="AX312" s="145" t="n"/>
      <c r="AY312" s="149" t="n"/>
      <c r="AZ312" s="149" t="n"/>
      <c r="BA312" s="149" t="n"/>
      <c r="BB312" s="149" t="n"/>
      <c r="BC312" s="149" t="n"/>
      <c r="BD312" s="145" t="n"/>
      <c r="BE312" s="145" t="inlineStr">
        <is>
          <t>Not disclosed</t>
        </is>
      </c>
      <c r="BF312" s="145" t="n"/>
      <c r="BG312" s="145" t="n"/>
      <c r="BH312" s="145" t="inlineStr">
        <is>
          <t>Not disclosed</t>
        </is>
      </c>
      <c r="BI312" s="145" t="n"/>
      <c r="BJ312" s="145" t="n"/>
      <c r="BK312" s="145" t="n"/>
      <c r="BL312" s="145" t="n"/>
      <c r="BM312" s="145" t="n"/>
      <c r="BN312" s="145" t="n"/>
      <c r="BO312" s="149" t="n"/>
      <c r="BP312" s="145" t="inlineStr">
        <is>
          <t>Not disclosed</t>
        </is>
      </c>
      <c r="BQ312" s="149" t="inlineStr">
        <is>
          <t>Industrial / Survey / Inspection</t>
        </is>
      </c>
      <c r="BR312" s="149" t="inlineStr">
        <is>
          <t>Not disclosed</t>
        </is>
      </c>
      <c r="BS312" s="149" t="n"/>
      <c r="BT312" s="145" t="n"/>
      <c r="BU312" s="145" t="n"/>
      <c r="BV312" s="149" t="inlineStr">
        <is>
          <t>Japanese NDAA-friendly industrial multirotor; strong enterprise &amp; infrastructure focus</t>
        </is>
      </c>
      <c r="BW312" s="149" t="inlineStr">
        <is>
          <t>Origin &amp; status — China · 2023 | Flight — Flight time Up to ≈ 28 min · Range Not disclosed · Payload Not disclosed | Sensing — Cinema camera platform with DL mount full-frame ecosystem | Buying notes — 16,499 · 12 months manufacturer standard (typical) · Best fit: Full-frame 8K cinema capability; dual-operator workflow; high-end production</t>
        </is>
      </c>
      <c r="BX312" s="149" t="inlineStr">
        <is>
          <t>aircraft|Inspire 3 Aircraft|16499|Cinema airframe || combo|Inspire 3 Combo|21498|Pro combo</t>
        </is>
      </c>
      <c r="BY312" s="145" t="inlineStr">
        <is>
          <t>gray|Inspire Gray|#3f3f46|0</t>
        </is>
      </c>
      <c r="BZ312" s="145" t="inlineStr">
        <is>
          <t>battery, charger</t>
        </is>
      </c>
      <c r="CA312" s="149" t="inlineStr">
        <is>
          <t>Add-ons: case; 2 color options; Multi-year extended warranty available</t>
        </is>
      </c>
      <c r="CB312" s="149" t="inlineStr">
        <is>
          <t>12 months manufacturer standard (typical)</t>
        </is>
      </c>
      <c r="CC312" s="147" t="n">
        <v>12</v>
      </c>
      <c r="CD312" s="149" t="inlineStr">
        <is>
          <t>+3 Year Extended ≈24% of configuration (default in configurator)</t>
        </is>
      </c>
      <c r="CE312" s="145" t="inlineStr">
        <is>
          <t>Industry default when OEM sheet not public</t>
        </is>
      </c>
      <c r="CF312" s="145" t="inlineStr">
        <is>
          <t>Estimated</t>
        </is>
      </c>
      <c r="CG312" s="149" t="inlineStr">
        <is>
          <t>Always confirm exact warranty on formal quote before purchase.</t>
        </is>
      </c>
      <c r="CH312" s="145" t="inlineStr">
        <is>
          <t>10%</t>
        </is>
      </c>
      <c r="CI312" s="145" t="inlineStr">
        <is>
          <t>17%</t>
        </is>
      </c>
      <c r="CJ312" s="145" t="inlineStr">
        <is>
          <t>24%</t>
        </is>
      </c>
      <c r="CK312"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312"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12" s="145" t="inlineStr">
        <is>
          <t>12 months manufacturer standard (typical)</t>
        </is>
      </c>
    </row>
    <row r="313" ht="31.5" customHeight="1" s="102">
      <c r="A313" s="143" t="inlineStr">
        <is>
          <t>parrot_anafi_usa</t>
        </is>
      </c>
      <c r="B313" s="160" t="inlineStr">
        <is>
          <t>Website</t>
        </is>
      </c>
      <c r="C313" s="145" t="inlineStr">
        <is>
          <t>Parrot</t>
        </is>
      </c>
      <c r="D313" s="145" t="inlineStr">
        <is>
          <t>ANAFI USA</t>
        </is>
      </c>
      <c r="E313" s="145" t="inlineStr">
        <is>
          <t>[Parrot] ANAFI USA (2020)</t>
        </is>
      </c>
      <c r="F313" s="164" t="inlineStr">
        <is>
          <t>aerial</t>
        </is>
      </c>
      <c r="G313" s="145" t="inlineStr">
        <is>
          <t>Japan</t>
        </is>
      </c>
      <c r="H313" s="147" t="n">
        <v>2020</v>
      </c>
      <c r="I313" s="148" t="n">
        <v>7000</v>
      </c>
      <c r="J313" s="145" t="inlineStr">
        <is>
          <t>Website store</t>
        </is>
      </c>
      <c r="K313" s="149" t="inlineStr">
        <is>
          <t>ANAFI USA is Parrot's aerial robot — camera-centric. 32× zoom class; NDAA-oriented configuration lineage; aimed at enterprise.</t>
        </is>
      </c>
      <c r="L313" s="101" t="inlineStr">
        <is>
          <t>ANAFI USA is Parrot's aerial robot — camera-centric. 32× zoom class; NDAA-oriented configuration lineage; aimed at enterprise.</t>
        </is>
      </c>
      <c r="M313" s="101" t="inlineStr">
        <is>
          <t>ANAFI USA is Parrot's aerial robot — camera-centric. 32× zoom class; NDAA-oriented configuration lineage; aimed at enterprise. It is positioned for enterprise / Government.</t>
        </is>
      </c>
      <c r="N313" s="145" t="n"/>
      <c r="O313" s="145" t="inlineStr">
        <is>
          <t>https://www.parrot.com</t>
        </is>
      </c>
      <c r="P313" s="145" t="n"/>
      <c r="Q313" s="145" t="n"/>
      <c r="R313" s="145" t="inlineStr">
        <is>
          <t>≈ 1.4 lb class</t>
        </is>
      </c>
      <c r="S313" s="145" t="n"/>
      <c r="T313" s="149" t="inlineStr">
        <is>
          <t>Not disclosed</t>
        </is>
      </c>
      <c r="U313" s="145" t="n"/>
      <c r="V313" s="145" t="n"/>
      <c r="W313" s="149" t="n"/>
      <c r="X313" s="145" t="inlineStr">
        <is>
          <t>Not disclosed</t>
        </is>
      </c>
      <c r="Y313" s="145" t="n"/>
      <c r="Z313" s="145" t="inlineStr">
        <is>
          <t>Not disclosed</t>
        </is>
      </c>
      <c r="AA313" s="145" t="n"/>
      <c r="AB313" s="145" t="n"/>
      <c r="AC313" s="149" t="inlineStr">
        <is>
          <t>Not disclosed</t>
        </is>
      </c>
      <c r="AD313" s="149" t="n"/>
      <c r="AE313" s="145" t="inlineStr">
        <is>
          <t>Not disclosed</t>
        </is>
      </c>
      <c r="AF313" s="145" t="inlineStr">
        <is>
          <t>Not disclosed</t>
        </is>
      </c>
      <c r="AG313" s="149" t="n"/>
      <c r="AH313" s="145" t="n"/>
      <c r="AI313" s="145" t="n"/>
      <c r="AJ313" s="149" t="inlineStr">
        <is>
          <t>Industrial inspection cameras</t>
        </is>
      </c>
      <c r="AK313" s="149" t="n"/>
      <c r="AL313" s="145" t="inlineStr">
        <is>
          <t>Secure industrial video paths</t>
        </is>
      </c>
      <c r="AM313" s="145" t="inlineStr">
        <is>
          <t>Not disclosed</t>
        </is>
      </c>
      <c r="AN313" s="145" t="n"/>
      <c r="AO313" s="145" t="n"/>
      <c r="AP313" s="145" t="n"/>
      <c r="AQ313" s="145" t="n"/>
      <c r="AR313" s="145" t="inlineStr">
        <is>
          <t>Not disclosed</t>
        </is>
      </c>
      <c r="AS313" s="145" t="inlineStr">
        <is>
          <t>Not disclosed</t>
        </is>
      </c>
      <c r="AT313" s="149" t="n"/>
      <c r="AU313" s="149" t="inlineStr">
        <is>
          <t>Not disclosed</t>
        </is>
      </c>
      <c r="AV313" s="145" t="inlineStr">
        <is>
          <t>ACSL industrial flight software</t>
        </is>
      </c>
      <c r="AW313" s="149" t="n"/>
      <c r="AX313" s="145" t="n"/>
      <c r="AY313" s="149" t="n"/>
      <c r="AZ313" s="149" t="n"/>
      <c r="BA313" s="149" t="n"/>
      <c r="BB313" s="149" t="n"/>
      <c r="BC313" s="149" t="n"/>
      <c r="BD313" s="145" t="n"/>
      <c r="BE313" s="145" t="inlineStr">
        <is>
          <t>Not disclosed</t>
        </is>
      </c>
      <c r="BF313" s="145" t="n"/>
      <c r="BG313" s="145" t="n"/>
      <c r="BH313" s="145" t="inlineStr">
        <is>
          <t>Not disclosed</t>
        </is>
      </c>
      <c r="BI313" s="145" t="n"/>
      <c r="BJ313" s="145" t="n"/>
      <c r="BK313" s="145" t="n"/>
      <c r="BL313" s="145" t="n"/>
      <c r="BM313" s="145" t="n"/>
      <c r="BN313" s="145" t="n"/>
      <c r="BO313" s="149" t="n"/>
      <c r="BP313" s="145" t="inlineStr">
        <is>
          <t>Not disclosed</t>
        </is>
      </c>
      <c r="BQ313" s="149" t="inlineStr">
        <is>
          <t>Industrial / Survey / Inspection</t>
        </is>
      </c>
      <c r="BR313" s="149" t="inlineStr">
        <is>
          <t>Not disclosed</t>
        </is>
      </c>
      <c r="BS313" s="149" t="n"/>
      <c r="BT313" s="145" t="n"/>
      <c r="BU313" s="145" t="n"/>
      <c r="BV313" s="149" t="inlineStr">
        <is>
          <t>Japanese NDAA-friendly industrial multirotor; strong enterprise &amp; infrastructure focus</t>
        </is>
      </c>
      <c r="BW313" s="149" t="inlineStr">
        <is>
          <t>Origin &amp; status — France · 2020 | Flight — Flight time Not disclosed · Range Not disclosed · Payload Not disclosed | Sensing — 32× zoom class; NDAA-oriented configuration lineage | Buying notes — ~7,000 · 12 months manufacturer standard (typical) · Best fit: First-responder oriented; 32× zoom + thermal; Blue UAS pathway</t>
        </is>
      </c>
      <c r="BX313" s="149" t="inlineStr">
        <is>
          <t>as_shipped|ANAFI USA|7000|As shipped</t>
        </is>
      </c>
      <c r="BY313" s="145" t="inlineStr">
        <is>
          <t>anafi_usa|Manufacturer finish|#e2e8f0|0</t>
        </is>
      </c>
      <c r="BZ313" s="145" t="inlineStr"/>
      <c r="CA313" s="149" t="inlineStr">
        <is>
          <t>Add-ons: case; 2 color options; Multi-year extended warranty available</t>
        </is>
      </c>
      <c r="CB313" s="149" t="inlineStr">
        <is>
          <t>12 months manufacturer standard (typical)</t>
        </is>
      </c>
      <c r="CC313" s="147" t="n">
        <v>12</v>
      </c>
      <c r="CD313" s="149" t="inlineStr">
        <is>
          <t>+3 Year Extended ≈24% of configuration (default in configurator)</t>
        </is>
      </c>
      <c r="CE313" s="145" t="inlineStr">
        <is>
          <t>Industry default when OEM sheet not public</t>
        </is>
      </c>
      <c r="CF313" s="145" t="inlineStr">
        <is>
          <t>Estimated</t>
        </is>
      </c>
      <c r="CG313" s="149" t="inlineStr">
        <is>
          <t>Always confirm exact warranty on formal quote before purchase.</t>
        </is>
      </c>
      <c r="CH313" s="145" t="inlineStr">
        <is>
          <t>10%</t>
        </is>
      </c>
      <c r="CI313" s="145" t="inlineStr">
        <is>
          <t>17%</t>
        </is>
      </c>
      <c r="CJ313" s="145" t="inlineStr">
        <is>
          <t>24%</t>
        </is>
      </c>
      <c r="CK313"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313"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13" s="145" t="inlineStr">
        <is>
          <t>12 months manufacturer standard (typical)</t>
        </is>
      </c>
    </row>
    <row r="314" ht="31.5" customHeight="1" s="102">
      <c r="A314" s="143" t="inlineStr">
        <is>
          <t>teledyne_flir_black_hornet_black_hornet_</t>
        </is>
      </c>
      <c r="B314" s="160" t="inlineStr">
        <is>
          <t>Website</t>
        </is>
      </c>
      <c r="C314" s="145" t="inlineStr">
        <is>
          <t>Teledyne FLIR / Black Hornet</t>
        </is>
      </c>
      <c r="D314" s="145" t="inlineStr">
        <is>
          <t>Black Hornet 4</t>
        </is>
      </c>
      <c r="E314" s="145" t="inlineStr">
        <is>
          <t>[Teledyne FLIR] Black Hornet 4 (2020)</t>
        </is>
      </c>
      <c r="F314" s="164" t="inlineStr">
        <is>
          <t>aerial</t>
        </is>
      </c>
      <c r="G314" s="145" t="inlineStr">
        <is>
          <t>Japan</t>
        </is>
      </c>
      <c r="H314" s="147" t="n">
        <v>2020</v>
      </c>
      <c r="I314" s="148" t="n">
        <v>195000</v>
      </c>
      <c r="J314" s="145" t="inlineStr">
        <is>
          <t>Black Hornet 4 system class estimate</t>
        </is>
      </c>
      <c r="K314" s="149" t="inlineStr">
        <is>
          <t>Black Hornet 4 is Teledyne FLIR / Black Hornet's aerial robot — camera-centric. Primary imaging sensor and/or modular payload cameras; aimed at nano reconnaissance.</t>
        </is>
      </c>
      <c r="L314" s="101" t="inlineStr">
        <is>
          <t>Black Hornet 4 is Teledyne FLIR / Black Hornet's aerial robot — camera-centric. Primary imaging sensor and/or modular payload cameras; aimed at nano reconnaissance.</t>
        </is>
      </c>
      <c r="M314" s="101" t="inlineStr">
        <is>
          <t>Black Hornet 4 is Teledyne FLIR / Black Hornet's aerial robot — camera-centric. Primary imaging sensor and/or modular payload cameras; aimed at nano reconnaissance. It is positioned for nano reconnaissance; personal ISR for squad-level use.</t>
        </is>
      </c>
      <c r="N314" s="145" t="n"/>
      <c r="O314" s="145" t="inlineStr">
        <is>
          <t>https://www.flir.com</t>
        </is>
      </c>
      <c r="P314" s="145" t="n"/>
      <c r="Q314" s="145" t="n"/>
      <c r="R314" s="145" t="inlineStr">
        <is>
          <t>Not disclosed</t>
        </is>
      </c>
      <c r="S314" s="145" t="n"/>
      <c r="T314" s="149" t="inlineStr">
        <is>
          <t>Not disclosed</t>
        </is>
      </c>
      <c r="U314" s="145" t="n"/>
      <c r="V314" s="145" t="n"/>
      <c r="W314" s="149" t="n"/>
      <c r="X314" s="145" t="inlineStr">
        <is>
          <t>Not disclosed</t>
        </is>
      </c>
      <c r="Y314" s="145" t="n"/>
      <c r="Z314" s="145" t="inlineStr">
        <is>
          <t>Not disclosed</t>
        </is>
      </c>
      <c r="AA314" s="145" t="n"/>
      <c r="AB314" s="145" t="n"/>
      <c r="AC314" s="149" t="inlineStr">
        <is>
          <t>Not disclosed</t>
        </is>
      </c>
      <c r="AD314" s="149" t="n"/>
      <c r="AE314" s="145" t="inlineStr">
        <is>
          <t>Not disclosed</t>
        </is>
      </c>
      <c r="AF314" s="145" t="inlineStr">
        <is>
          <t>Not disclosed</t>
        </is>
      </c>
      <c r="AG314" s="149" t="n"/>
      <c r="AH314" s="145" t="n"/>
      <c r="AI314" s="145" t="n"/>
      <c r="AJ314" s="149" t="inlineStr">
        <is>
          <t>Industrial inspection cameras</t>
        </is>
      </c>
      <c r="AK314" s="149" t="n"/>
      <c r="AL314" s="145" t="inlineStr">
        <is>
          <t>Secure industrial video paths</t>
        </is>
      </c>
      <c r="AM314" s="145" t="inlineStr">
        <is>
          <t>Stabilized mount when equipped</t>
        </is>
      </c>
      <c r="AN314" s="145" t="n"/>
      <c r="AO314" s="145" t="n"/>
      <c r="AP314" s="145" t="n"/>
      <c r="AQ314" s="145" t="n"/>
      <c r="AR314" s="145" t="inlineStr">
        <is>
          <t>Vision or multi-sensor obstacle avoidance on modern platforms</t>
        </is>
      </c>
      <c r="AS314" s="145" t="inlineStr">
        <is>
          <t>Not disclosed</t>
        </is>
      </c>
      <c r="AT314" s="149" t="n"/>
      <c r="AU314" s="149" t="inlineStr">
        <is>
          <t>Not disclosed</t>
        </is>
      </c>
      <c r="AV314" s="145" t="inlineStr">
        <is>
          <t>ACSL industrial flight software</t>
        </is>
      </c>
      <c r="AW314" s="149" t="n"/>
      <c r="AX314" s="145" t="n"/>
      <c r="AY314" s="149" t="n"/>
      <c r="AZ314" s="149" t="n"/>
      <c r="BA314" s="149" t="n"/>
      <c r="BB314" s="149" t="n"/>
      <c r="BC314" s="149" t="n"/>
      <c r="BD314" s="145" t="n"/>
      <c r="BE314" s="145" t="inlineStr">
        <is>
          <t>Not disclosed</t>
        </is>
      </c>
      <c r="BF314" s="145" t="n"/>
      <c r="BG314" s="145" t="n"/>
      <c r="BH314" s="145" t="inlineStr">
        <is>
          <t>Not disclosed</t>
        </is>
      </c>
      <c r="BI314" s="145" t="n"/>
      <c r="BJ314" s="145" t="n"/>
      <c r="BK314" s="145" t="n"/>
      <c r="BL314" s="145" t="n"/>
      <c r="BM314" s="145" t="n"/>
      <c r="BN314" s="145" t="n"/>
      <c r="BO314" s="149" t="n"/>
      <c r="BP314" s="145" t="inlineStr">
        <is>
          <t>Not disclosed</t>
        </is>
      </c>
      <c r="BQ314" s="149" t="inlineStr">
        <is>
          <t>Industrial / Survey / Inspection</t>
        </is>
      </c>
      <c r="BR314" s="149" t="inlineStr">
        <is>
          <t>Not disclosed</t>
        </is>
      </c>
      <c r="BS314" s="149" t="n"/>
      <c r="BT314" s="145" t="n"/>
      <c r="BU314" s="145" t="n"/>
      <c r="BV314" s="149" t="inlineStr">
        <is>
          <t>Japanese NDAA-friendly industrial multirotor; strong enterprise &amp; infrastructure focus</t>
        </is>
      </c>
      <c r="BW314" s="149" t="inlineStr">
        <is>
          <t>Origin &amp; status — USA · 2020 | Flight — Flight time Not disclosed · Range Not disclosed · Payload Not disclosed | Sensing — Primary imaging sensor and/or modular payload cameras | Buying notes — Inquiry · 12 months manufacturer standard (typical) · Best fit: Nano reconnaissance; personal ISR for squad-level use</t>
        </is>
      </c>
      <c r="BX314" s="149" t="inlineStr">
        <is>
          <t>as_shipped|Black Hornet 4|195000|As shipped</t>
        </is>
      </c>
      <c r="BY314" s="145" t="inlineStr">
        <is>
          <t>black_hornet_4|Manufacturer finish|#e2e8f0|0</t>
        </is>
      </c>
      <c r="BZ314" s="145" t="inlineStr"/>
      <c r="CA314" s="149" t="inlineStr">
        <is>
          <t>Add-ons: case; 2 color options; Multi-year extended warranty available</t>
        </is>
      </c>
      <c r="CB314" s="149" t="inlineStr">
        <is>
          <t>12 months manufacturer standard (typical)</t>
        </is>
      </c>
      <c r="CC314" s="147" t="n">
        <v>12</v>
      </c>
      <c r="CD314" s="149" t="inlineStr">
        <is>
          <t>+3 Year Extended ≈24% of configuration (default in configurator)</t>
        </is>
      </c>
      <c r="CE314" s="145" t="inlineStr">
        <is>
          <t>Industry default when OEM sheet not public</t>
        </is>
      </c>
      <c r="CF314" s="145" t="inlineStr">
        <is>
          <t>Estimated</t>
        </is>
      </c>
      <c r="CG314" s="149" t="inlineStr">
        <is>
          <t>Always confirm exact warranty on formal quote before purchase.</t>
        </is>
      </c>
      <c r="CH314" s="145" t="inlineStr">
        <is>
          <t>10%</t>
        </is>
      </c>
      <c r="CI314" s="145" t="inlineStr">
        <is>
          <t>17%</t>
        </is>
      </c>
      <c r="CJ314" s="145" t="inlineStr">
        <is>
          <t>24%</t>
        </is>
      </c>
      <c r="CK314"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314"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14" s="145" t="inlineStr">
        <is>
          <t>12 months manufacturer standard (typical)</t>
        </is>
      </c>
    </row>
    <row r="315" ht="31.5" customHeight="1" s="102">
      <c r="A315" s="143" t="inlineStr">
        <is>
          <t>anduril_industries_dive_ld_dive_xl_ghost</t>
        </is>
      </c>
      <c r="B315" s="160" t="inlineStr">
        <is>
          <t>Website</t>
        </is>
      </c>
      <c r="C315" s="145" t="inlineStr">
        <is>
          <t>Anduril Industries</t>
        </is>
      </c>
      <c r="D315" s="145" t="inlineStr">
        <is>
          <t>Dive-LD</t>
        </is>
      </c>
      <c r="E315" s="145" t="inlineStr">
        <is>
          <t>[Anduril] Dive-LD (2020)</t>
        </is>
      </c>
      <c r="F315" s="165" t="inlineStr">
        <is>
          <t>water</t>
        </is>
      </c>
      <c r="G315" s="145" t="inlineStr">
        <is>
          <t>USA</t>
        </is>
      </c>
      <c r="H315" s="147" t="n">
        <v>2020</v>
      </c>
      <c r="I315" s="148" t="n">
        <v>8000000</v>
      </c>
      <c r="J315" s="145" t="inlineStr">
        <is>
          <t>Extra-large AUV class estimate · quote-only</t>
        </is>
      </c>
      <c r="K315" s="149" t="inlineStr">
        <is>
          <t>[Anduril] Dive-LD (2020) is a marine platform from Anduril Industries (USA, 2020), positioned for auv.</t>
        </is>
      </c>
      <c r="L315" s="101" t="inlineStr">
        <is>
          <t>[Anduril] Dive-LD (2020) is a marine platform from Anduril Industries (USA, 2020), positioned for auv.</t>
        </is>
      </c>
      <c r="M315" s="101" t="inlineStr">
        <is>
          <t>Dive-LD is Anduril Industries's marine robot, introduced around 2020 in USA. [Anduril] Dive-LD (2020) is a marine platform from Anduril Industries (USA, 2020), positioned for auv.</t>
        </is>
      </c>
      <c r="N315" s="145" t="n"/>
      <c r="O315" s="145" t="inlineStr">
        <is>
          <t>https://www.anduril.com</t>
        </is>
      </c>
      <c r="P315" s="145" t="n"/>
      <c r="Q315" s="145" t="n"/>
      <c r="R315" s="145" t="inlineStr">
        <is>
          <t>Not disclosed</t>
        </is>
      </c>
      <c r="S315" s="145" t="n"/>
      <c r="T315" s="149" t="inlineStr">
        <is>
          <t>Not disclosed</t>
        </is>
      </c>
      <c r="U315" s="145" t="n"/>
      <c r="V315" s="145" t="n"/>
      <c r="W315" s="149" t="n"/>
      <c r="X315" s="145" t="inlineStr">
        <is>
          <t>Not disclosed</t>
        </is>
      </c>
      <c r="Y315" s="145" t="n"/>
      <c r="Z315" s="145" t="inlineStr">
        <is>
          <t>Not disclosed</t>
        </is>
      </c>
      <c r="AA315" s="145" t="n"/>
      <c r="AB315" s="145" t="n"/>
      <c r="AC315" s="149" t="inlineStr">
        <is>
          <t>Not disclosed</t>
        </is>
      </c>
      <c r="AD315" s="149" t="n"/>
      <c r="AE315" s="145" t="n"/>
      <c r="AF315" s="145" t="inlineStr">
        <is>
          <t>Not disclosed</t>
        </is>
      </c>
      <c r="AG315" s="149" t="n"/>
      <c r="AH315" s="145" t="n"/>
      <c r="AI315" s="145" t="n"/>
      <c r="AJ315" s="149" t="inlineStr">
        <is>
          <t>Autonomous underwater perception suites (configuration specific)</t>
        </is>
      </c>
      <c r="AK315" s="149" t="n"/>
      <c r="AL315" s="145" t="inlineStr">
        <is>
          <t>Mission and autonomy sensing data</t>
        </is>
      </c>
      <c r="AM315" s="145" t="n"/>
      <c r="AN315" s="145" t="n"/>
      <c r="AO315" s="145" t="n"/>
      <c r="AP315" s="145" t="inlineStr">
        <is>
          <t>Not disclosed</t>
        </is>
      </c>
      <c r="AQ315" s="145" t="n"/>
      <c r="AR315" s="145" t="n"/>
      <c r="AS315" s="145" t="n"/>
      <c r="AT315" s="149" t="n"/>
      <c r="AU315" s="149" t="inlineStr">
        <is>
          <t>Not disclosed</t>
        </is>
      </c>
      <c r="AV315" s="145" t="inlineStr">
        <is>
          <t>Anduril Lattice-oriented autonomy command</t>
        </is>
      </c>
      <c r="AW315" s="149" t="inlineStr">
        <is>
          <t>Not disclosed</t>
        </is>
      </c>
      <c r="AX315" s="145" t="n"/>
      <c r="AY315" s="149" t="n"/>
      <c r="AZ315" s="149" t="n"/>
      <c r="BA315" s="149" t="n"/>
      <c r="BB315" s="149" t="n"/>
      <c r="BC315" s="149" t="n"/>
      <c r="BD315" s="145" t="n"/>
      <c r="BE315" s="145" t="inlineStr">
        <is>
          <t>Not disclosed</t>
        </is>
      </c>
      <c r="BF315" s="145" t="n"/>
      <c r="BG315" s="145" t="inlineStr">
        <is>
          <t>Not disclosed</t>
        </is>
      </c>
      <c r="BH315" s="145" t="inlineStr">
        <is>
          <t>Not disclosed</t>
        </is>
      </c>
      <c r="BI315" s="145" t="inlineStr">
        <is>
          <t>Not disclosed</t>
        </is>
      </c>
      <c r="BJ315" s="145" t="inlineStr">
        <is>
          <t>Not disclosed</t>
        </is>
      </c>
      <c r="BK315" s="145" t="inlineStr">
        <is>
          <t>Not disclosed</t>
        </is>
      </c>
      <c r="BL315" s="145" t="n"/>
      <c r="BM315" s="145" t="n"/>
      <c r="BN315" s="145" t="n"/>
      <c r="BO315" s="149" t="n"/>
      <c r="BP315" s="145" t="inlineStr">
        <is>
          <t>Not disclosed</t>
        </is>
      </c>
      <c r="BQ315" s="149" t="inlineStr">
        <is>
          <t>AUV</t>
        </is>
      </c>
      <c r="BR315" s="149" t="inlineStr">
        <is>
          <t>Not disclosed</t>
        </is>
      </c>
      <c r="BS315" s="149" t="n"/>
      <c r="BT315" s="145" t="n"/>
      <c r="BU315" s="145" t="n"/>
      <c r="BV315" s="149" t="inlineStr">
        <is>
          <t>Extra-large AUVs; mass production focus; Lattice AI</t>
        </is>
      </c>
      <c r="BW315" s="149" t="inlineStr">
        <is>
          <t>Origin &amp; status — USA · 2020 | Mission — Depth Not disclosed · Payload Not disclosed | Sensing — Autonomous underwater perception suites (configuration specific) | Buying notes — Enterprise / Defense contracts · 12 months limited / contract-dependent · Best fit: Extra-large AUVs; mass production focus; Lattice AI</t>
        </is>
      </c>
      <c r="BX315" s="149" t="inlineStr">
        <is>
          <t>as_shipped|Dive-LD|8000000|As shipped</t>
        </is>
      </c>
      <c r="BY315" s="145" t="inlineStr">
        <is>
          <t>dive_ld|Manufacturer finish|#e2e8f0|0</t>
        </is>
      </c>
      <c r="BZ315" s="145" t="inlineStr"/>
      <c r="CA315" s="149" t="inlineStr">
        <is>
          <t>Add-ons: case; 2 color options; Multi-year extended warranty available</t>
        </is>
      </c>
      <c r="CB315" s="149" t="inlineStr">
        <is>
          <t>12 months limited / contract-dependent</t>
        </is>
      </c>
      <c r="CC315" s="147" t="n">
        <v>12</v>
      </c>
      <c r="CD315" s="149" t="inlineStr">
        <is>
          <t>+3 Year Extended ≈24% of configuration (default in configurator)</t>
        </is>
      </c>
      <c r="CE315" s="145" t="inlineStr">
        <is>
          <t>Enterprise marine robotics norms</t>
        </is>
      </c>
      <c r="CF315" s="145" t="inlineStr">
        <is>
          <t>Estimated</t>
        </is>
      </c>
      <c r="CG315" s="149" t="inlineStr">
        <is>
          <t>Confirm inclusions and sea-trial terms on quote.</t>
        </is>
      </c>
      <c r="CH315" s="145" t="inlineStr">
        <is>
          <t>10%</t>
        </is>
      </c>
      <c r="CI315" s="145" t="inlineStr">
        <is>
          <t>17%</t>
        </is>
      </c>
      <c r="CJ315" s="145" t="inlineStr">
        <is>
          <t>24%</t>
        </is>
      </c>
      <c r="CK31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31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15" s="145" t="inlineStr">
        <is>
          <t>12 months limited / contract-dependent</t>
        </is>
      </c>
    </row>
    <row r="316" ht="31.5" customHeight="1" s="102">
      <c r="A316" s="143" t="inlineStr">
        <is>
          <t>anduril_industries_dive_ld_dive_xl_ghost_dive_xl</t>
        </is>
      </c>
      <c r="B316" s="160" t="inlineStr">
        <is>
          <t>Website</t>
        </is>
      </c>
      <c r="C316" s="145" t="inlineStr">
        <is>
          <t>Anduril Industries</t>
        </is>
      </c>
      <c r="D316" s="145" t="inlineStr">
        <is>
          <t>Dive-XL</t>
        </is>
      </c>
      <c r="E316" s="145" t="inlineStr">
        <is>
          <t>[Anduril] Dive-XL (2020)</t>
        </is>
      </c>
      <c r="F316" s="165" t="inlineStr">
        <is>
          <t>water</t>
        </is>
      </c>
      <c r="G316" s="145" t="inlineStr">
        <is>
          <t>USA</t>
        </is>
      </c>
      <c r="H316" s="147" t="n">
        <v>2020</v>
      </c>
      <c r="I316" s="148" t="n">
        <v>15000000</v>
      </c>
      <c r="J316" s="145" t="inlineStr">
        <is>
          <t>XL AUV class estimate · quote-only</t>
        </is>
      </c>
      <c r="K316" s="149" t="inlineStr">
        <is>
          <t>[Anduril] Dive-XL (2020) is a marine platform from Anduril Industries (USA, 2020), positioned for auv.</t>
        </is>
      </c>
      <c r="L316" s="101" t="inlineStr">
        <is>
          <t>[Anduril] Dive-XL (2020) is a marine platform from Anduril Industries (USA, 2020), positioned for auv.</t>
        </is>
      </c>
      <c r="M316" s="101" t="inlineStr">
        <is>
          <t>Dive-XL is Anduril Industries's marine robot, introduced around 2020 in USA. [Anduril] Dive-XL (2020) is a marine platform from Anduril Industries (USA, 2020), positioned for auv.</t>
        </is>
      </c>
      <c r="N316" s="145" t="n"/>
      <c r="O316" s="145" t="inlineStr">
        <is>
          <t>https://www.anduril.com</t>
        </is>
      </c>
      <c r="P316" s="145" t="n"/>
      <c r="Q316" s="145" t="n"/>
      <c r="R316" s="145" t="inlineStr">
        <is>
          <t>Not disclosed</t>
        </is>
      </c>
      <c r="S316" s="145" t="n"/>
      <c r="T316" s="149" t="inlineStr">
        <is>
          <t>Not disclosed</t>
        </is>
      </c>
      <c r="U316" s="145" t="n"/>
      <c r="V316" s="145" t="n"/>
      <c r="W316" s="149" t="n"/>
      <c r="X316" s="145" t="inlineStr">
        <is>
          <t>Not disclosed</t>
        </is>
      </c>
      <c r="Y316" s="145" t="n"/>
      <c r="Z316" s="145" t="inlineStr">
        <is>
          <t>Not disclosed</t>
        </is>
      </c>
      <c r="AA316" s="145" t="n"/>
      <c r="AB316" s="145" t="n"/>
      <c r="AC316" s="149" t="inlineStr">
        <is>
          <t>Not disclosed</t>
        </is>
      </c>
      <c r="AD316" s="149" t="n"/>
      <c r="AE316" s="145" t="n"/>
      <c r="AF316" s="145" t="inlineStr">
        <is>
          <t>Not disclosed</t>
        </is>
      </c>
      <c r="AG316" s="149" t="n"/>
      <c r="AH316" s="145" t="n"/>
      <c r="AI316" s="145" t="n"/>
      <c r="AJ316" s="149" t="inlineStr">
        <is>
          <t>Autonomous underwater perception suites (configuration specific)</t>
        </is>
      </c>
      <c r="AK316" s="149" t="n"/>
      <c r="AL316" s="145" t="inlineStr">
        <is>
          <t>Mission and autonomy sensing data</t>
        </is>
      </c>
      <c r="AM316" s="145" t="n"/>
      <c r="AN316" s="145" t="n"/>
      <c r="AO316" s="145" t="n"/>
      <c r="AP316" s="145" t="inlineStr">
        <is>
          <t>Not disclosed</t>
        </is>
      </c>
      <c r="AQ316" s="145" t="n"/>
      <c r="AR316" s="145" t="n"/>
      <c r="AS316" s="145" t="n"/>
      <c r="AT316" s="149" t="n"/>
      <c r="AU316" s="149" t="inlineStr">
        <is>
          <t>Not disclosed</t>
        </is>
      </c>
      <c r="AV316" s="145" t="inlineStr">
        <is>
          <t>Anduril Lattice-oriented autonomy command</t>
        </is>
      </c>
      <c r="AW316" s="149" t="inlineStr">
        <is>
          <t>Not disclosed</t>
        </is>
      </c>
      <c r="AX316" s="145" t="n"/>
      <c r="AY316" s="149" t="n"/>
      <c r="AZ316" s="149" t="n"/>
      <c r="BA316" s="149" t="n"/>
      <c r="BB316" s="149" t="n"/>
      <c r="BC316" s="149" t="n"/>
      <c r="BD316" s="145" t="n"/>
      <c r="BE316" s="145" t="inlineStr">
        <is>
          <t>Not disclosed</t>
        </is>
      </c>
      <c r="BF316" s="145" t="n"/>
      <c r="BG316" s="145" t="inlineStr">
        <is>
          <t>Not disclosed</t>
        </is>
      </c>
      <c r="BH316" s="145" t="inlineStr">
        <is>
          <t>Not disclosed</t>
        </is>
      </c>
      <c r="BI316" s="145" t="inlineStr">
        <is>
          <t>Not disclosed</t>
        </is>
      </c>
      <c r="BJ316" s="145" t="inlineStr">
        <is>
          <t>Not disclosed</t>
        </is>
      </c>
      <c r="BK316" s="145" t="inlineStr">
        <is>
          <t>Not disclosed</t>
        </is>
      </c>
      <c r="BL316" s="145" t="n"/>
      <c r="BM316" s="145" t="n"/>
      <c r="BN316" s="145" t="n"/>
      <c r="BO316" s="149" t="n"/>
      <c r="BP316" s="145" t="inlineStr">
        <is>
          <t>Not disclosed</t>
        </is>
      </c>
      <c r="BQ316" s="149" t="inlineStr">
        <is>
          <t>AUV</t>
        </is>
      </c>
      <c r="BR316" s="149" t="inlineStr">
        <is>
          <t>Not disclosed</t>
        </is>
      </c>
      <c r="BS316" s="149" t="n"/>
      <c r="BT316" s="145" t="n"/>
      <c r="BU316" s="145" t="n"/>
      <c r="BV316" s="149" t="inlineStr">
        <is>
          <t>Extra-large AUVs; mass production focus; Lattice AI</t>
        </is>
      </c>
      <c r="BW316" s="149" t="inlineStr">
        <is>
          <t>Origin &amp; status — USA · 2020 | Mission — Depth Not disclosed · Payload Not disclosed | Sensing — Autonomous underwater perception suites (configuration specific) | Buying notes — Enterprise / Defense contracts · 12 months limited / contract-dependent · Best fit: Extra-large AUVs; mass production focus; Lattice AI</t>
        </is>
      </c>
      <c r="BX316" s="149" t="inlineStr">
        <is>
          <t>as_shipped|Dive-XL|15000000|As shipped</t>
        </is>
      </c>
      <c r="BY316" s="145" t="inlineStr">
        <is>
          <t>dive_xl|Manufacturer finish|#e2e8f0|0</t>
        </is>
      </c>
      <c r="BZ316" s="145" t="inlineStr"/>
      <c r="CA316" s="149" t="inlineStr">
        <is>
          <t>Add-ons: case; 2 color options; Multi-year extended warranty available</t>
        </is>
      </c>
      <c r="CB316" s="149" t="inlineStr">
        <is>
          <t>12 months limited / contract-dependent</t>
        </is>
      </c>
      <c r="CC316" s="147" t="n">
        <v>12</v>
      </c>
      <c r="CD316" s="149" t="inlineStr">
        <is>
          <t>+3 Year Extended ≈24% of configuration (default in configurator)</t>
        </is>
      </c>
      <c r="CE316" s="145" t="inlineStr">
        <is>
          <t>Enterprise marine robotics norms</t>
        </is>
      </c>
      <c r="CF316" s="145" t="inlineStr">
        <is>
          <t>Estimated</t>
        </is>
      </c>
      <c r="CG316" s="149" t="inlineStr">
        <is>
          <t>Confirm inclusions and sea-trial terms on quote.</t>
        </is>
      </c>
      <c r="CH316" s="145" t="inlineStr">
        <is>
          <t>10%</t>
        </is>
      </c>
      <c r="CI316" s="145" t="inlineStr">
        <is>
          <t>17%</t>
        </is>
      </c>
      <c r="CJ316" s="145" t="inlineStr">
        <is>
          <t>24%</t>
        </is>
      </c>
      <c r="CK316"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316"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16" s="145" t="inlineStr">
        <is>
          <t>12 months limited / contract-dependent</t>
        </is>
      </c>
    </row>
    <row r="317" ht="31.5" customHeight="1" s="102">
      <c r="A317" s="143" t="inlineStr">
        <is>
          <t>anduril_industries_dive_ld_dive_xl_ghost_ghost_s</t>
        </is>
      </c>
      <c r="B317" s="160" t="inlineStr">
        <is>
          <t>Website</t>
        </is>
      </c>
      <c r="C317" s="145" t="inlineStr">
        <is>
          <t>Anduril Industries</t>
        </is>
      </c>
      <c r="D317" s="145" t="inlineStr">
        <is>
          <t>Ghost Shark</t>
        </is>
      </c>
      <c r="E317" s="145" t="inlineStr">
        <is>
          <t>[Anduril] Ghost Shark (2020)</t>
        </is>
      </c>
      <c r="F317" s="165" t="inlineStr">
        <is>
          <t>water</t>
        </is>
      </c>
      <c r="G317" s="145" t="inlineStr">
        <is>
          <t>USA</t>
        </is>
      </c>
      <c r="H317" s="147" t="n">
        <v>2020</v>
      </c>
      <c r="I317" s="148" t="n">
        <v>12000000</v>
      </c>
      <c r="J317" s="145" t="inlineStr">
        <is>
          <t>Ghost Shark program unit-class estimate</t>
        </is>
      </c>
      <c r="K317" s="149" t="inlineStr">
        <is>
          <t>[Anduril] Ghost Shark (2020) is a marine platform from Anduril Industries (USA, 2020), positioned for auv.</t>
        </is>
      </c>
      <c r="L317" s="101" t="inlineStr">
        <is>
          <t>[Anduril] Ghost Shark (2020) is a marine platform from Anduril Industries (USA, 2020), positioned for auv.</t>
        </is>
      </c>
      <c r="M317" s="101" t="inlineStr">
        <is>
          <t>Ghost Shark is Anduril Industries's marine robot, introduced around 2020 in USA. [Anduril] Ghost Shark (2020) is a marine platform from Anduril Industries (USA, 2020), positioned for auv.</t>
        </is>
      </c>
      <c r="N317" s="145" t="n"/>
      <c r="O317" s="145" t="inlineStr">
        <is>
          <t>https://www.anduril.com</t>
        </is>
      </c>
      <c r="P317" s="145" t="n"/>
      <c r="Q317" s="145" t="n"/>
      <c r="R317" s="145" t="inlineStr">
        <is>
          <t>Not disclosed</t>
        </is>
      </c>
      <c r="S317" s="145" t="n"/>
      <c r="T317" s="149" t="inlineStr">
        <is>
          <t>Not disclosed</t>
        </is>
      </c>
      <c r="U317" s="145" t="n"/>
      <c r="V317" s="145" t="n"/>
      <c r="W317" s="149" t="n"/>
      <c r="X317" s="145" t="inlineStr">
        <is>
          <t>Not disclosed</t>
        </is>
      </c>
      <c r="Y317" s="145" t="n"/>
      <c r="Z317" s="145" t="inlineStr">
        <is>
          <t>Not disclosed</t>
        </is>
      </c>
      <c r="AA317" s="145" t="n"/>
      <c r="AB317" s="145" t="n"/>
      <c r="AC317" s="149" t="inlineStr">
        <is>
          <t>Not disclosed</t>
        </is>
      </c>
      <c r="AD317" s="149" t="n"/>
      <c r="AE317" s="145" t="n"/>
      <c r="AF317" s="145" t="inlineStr">
        <is>
          <t>Not disclosed</t>
        </is>
      </c>
      <c r="AG317" s="149" t="n"/>
      <c r="AH317" s="145" t="n"/>
      <c r="AI317" s="145" t="n"/>
      <c r="AJ317" s="149" t="inlineStr">
        <is>
          <t>Autonomous underwater perception suites (configuration specific)</t>
        </is>
      </c>
      <c r="AK317" s="149" t="n"/>
      <c r="AL317" s="145" t="inlineStr">
        <is>
          <t>Mission and autonomy sensing data</t>
        </is>
      </c>
      <c r="AM317" s="145" t="n"/>
      <c r="AN317" s="145" t="n"/>
      <c r="AO317" s="145" t="n"/>
      <c r="AP317" s="145" t="inlineStr">
        <is>
          <t>Not disclosed</t>
        </is>
      </c>
      <c r="AQ317" s="145" t="n"/>
      <c r="AR317" s="145" t="n"/>
      <c r="AS317" s="145" t="n"/>
      <c r="AT317" s="149" t="n"/>
      <c r="AU317" s="149" t="inlineStr">
        <is>
          <t>Not disclosed</t>
        </is>
      </c>
      <c r="AV317" s="145" t="inlineStr">
        <is>
          <t>Anduril Lattice-oriented autonomy command</t>
        </is>
      </c>
      <c r="AW317" s="149" t="inlineStr">
        <is>
          <t>Not disclosed</t>
        </is>
      </c>
      <c r="AX317" s="145" t="n"/>
      <c r="AY317" s="149" t="n"/>
      <c r="AZ317" s="149" t="n"/>
      <c r="BA317" s="149" t="n"/>
      <c r="BB317" s="149" t="n"/>
      <c r="BC317" s="149" t="n"/>
      <c r="BD317" s="145" t="n"/>
      <c r="BE317" s="145" t="inlineStr">
        <is>
          <t>Not disclosed</t>
        </is>
      </c>
      <c r="BF317" s="145" t="n"/>
      <c r="BG317" s="145" t="inlineStr">
        <is>
          <t>Not disclosed</t>
        </is>
      </c>
      <c r="BH317" s="145" t="inlineStr">
        <is>
          <t>Not disclosed</t>
        </is>
      </c>
      <c r="BI317" s="145" t="inlineStr">
        <is>
          <t>Not disclosed</t>
        </is>
      </c>
      <c r="BJ317" s="145" t="inlineStr">
        <is>
          <t>Not disclosed</t>
        </is>
      </c>
      <c r="BK317" s="145" t="inlineStr">
        <is>
          <t>Not disclosed</t>
        </is>
      </c>
      <c r="BL317" s="145" t="n"/>
      <c r="BM317" s="145" t="n"/>
      <c r="BN317" s="145" t="n"/>
      <c r="BO317" s="149" t="n"/>
      <c r="BP317" s="145" t="inlineStr">
        <is>
          <t>Not disclosed</t>
        </is>
      </c>
      <c r="BQ317" s="149" t="inlineStr">
        <is>
          <t>AUV</t>
        </is>
      </c>
      <c r="BR317" s="149" t="inlineStr">
        <is>
          <t>Not disclosed</t>
        </is>
      </c>
      <c r="BS317" s="149" t="n"/>
      <c r="BT317" s="145" t="n"/>
      <c r="BU317" s="145" t="n"/>
      <c r="BV317" s="149" t="inlineStr">
        <is>
          <t>Extra-large AUVs; mass production focus; Lattice AI</t>
        </is>
      </c>
      <c r="BW317" s="149" t="inlineStr">
        <is>
          <t>Origin &amp; status — USA · 2020 | Mission — Depth Not disclosed · Payload Not disclosed | Sensing — Autonomous underwater perception suites (configuration specific) | Buying notes — Enterprise / Defense contracts · 12 months limited / contract-dependent · Best fit: Extra-large AUVs; mass production focus; Lattice AI</t>
        </is>
      </c>
      <c r="BX317" s="149" t="inlineStr">
        <is>
          <t>as_shipped|Ghost Shark|12000000|As shipped</t>
        </is>
      </c>
      <c r="BY317" s="145" t="inlineStr">
        <is>
          <t>ghost_shark|Manufacturer finish|#e2e8f0|0</t>
        </is>
      </c>
      <c r="BZ317" s="145" t="inlineStr"/>
      <c r="CA317" s="149" t="inlineStr">
        <is>
          <t>Add-ons: case; 2 color options; Multi-year extended warranty available</t>
        </is>
      </c>
      <c r="CB317" s="149" t="inlineStr">
        <is>
          <t>12 months limited / contract-dependent</t>
        </is>
      </c>
      <c r="CC317" s="147" t="n">
        <v>12</v>
      </c>
      <c r="CD317" s="149" t="inlineStr">
        <is>
          <t>+3 Year Extended ≈24% of configuration (default in configurator)</t>
        </is>
      </c>
      <c r="CE317" s="145" t="inlineStr">
        <is>
          <t>Enterprise marine robotics norms</t>
        </is>
      </c>
      <c r="CF317" s="145" t="inlineStr">
        <is>
          <t>Estimated</t>
        </is>
      </c>
      <c r="CG317" s="149" t="inlineStr">
        <is>
          <t>Confirm inclusions and sea-trial terms on quote.</t>
        </is>
      </c>
      <c r="CH317" s="145" t="inlineStr">
        <is>
          <t>10%</t>
        </is>
      </c>
      <c r="CI317" s="145" t="inlineStr">
        <is>
          <t>17%</t>
        </is>
      </c>
      <c r="CJ317" s="145" t="inlineStr">
        <is>
          <t>24%</t>
        </is>
      </c>
      <c r="CK317"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317"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17" s="145" t="inlineStr">
        <is>
          <t>12 months limited / contract-dependent</t>
        </is>
      </c>
    </row>
    <row r="318" ht="31.5" customHeight="1" s="102">
      <c r="A318" s="159" t="inlineStr">
        <is>
          <t>chasing_innovation_dory</t>
        </is>
      </c>
      <c r="B318" s="160" t="inlineStr">
        <is>
          <t>Website</t>
        </is>
      </c>
      <c r="C318" s="152" t="inlineStr">
        <is>
          <t>Chasing Innovation</t>
        </is>
      </c>
      <c r="D318" s="152" t="inlineStr">
        <is>
          <t>Dory</t>
        </is>
      </c>
      <c r="E318" s="152" t="inlineStr">
        <is>
          <t>[Chasing] Dory (2020)</t>
        </is>
      </c>
      <c r="F318" s="165" t="inlineStr">
        <is>
          <t>water</t>
        </is>
      </c>
      <c r="G318" s="152" t="inlineStr">
        <is>
          <t>China</t>
        </is>
      </c>
      <c r="H318" s="154" t="n">
        <v>2020</v>
      </c>
      <c r="I318" s="155" t="n">
        <v>600</v>
      </c>
      <c r="J318" s="152" t="inlineStr">
        <is>
          <t>Website store</t>
        </is>
      </c>
      <c r="K318" s="156" t="inlineStr">
        <is>
          <t>Dory is Chasing Innovation's marine robot — ≈ 330 ft class depth. HD underwater camera; aimed at rOV.</t>
        </is>
      </c>
      <c r="L318" s="101" t="inlineStr">
        <is>
          <t>Dory is Chasing Innovation's marine robot — ≈ 330 ft class depth. HD underwater camera; aimed at rOV.</t>
        </is>
      </c>
      <c r="M318" s="101" t="inlineStr">
        <is>
          <t>Dory is Chasing Innovation's marine robot — ≈ 330 ft class depth. HD underwater camera; aimed at rOV.</t>
        </is>
      </c>
      <c r="N318" s="152" t="n"/>
      <c r="O318" s="152" t="inlineStr">
        <is>
          <t>https://www.chasing.com</t>
        </is>
      </c>
      <c r="P318" s="152" t="n"/>
      <c r="Q318" s="152" t="n"/>
      <c r="R318" s="152" t="inlineStr">
        <is>
          <t>≈ 2.5–3.5 lb class</t>
        </is>
      </c>
      <c r="S318" s="152" t="n"/>
      <c r="T318" s="156" t="inlineStr">
        <is>
          <t>Not disclosed</t>
        </is>
      </c>
      <c r="U318" s="152" t="n"/>
      <c r="V318" s="152" t="n"/>
      <c r="W318" s="156" t="n"/>
      <c r="X318" s="152" t="inlineStr">
        <is>
          <t>Not disclosed</t>
        </is>
      </c>
      <c r="Y318" s="152" t="n"/>
      <c r="Z318" s="152" t="inlineStr">
        <is>
          <t>Not disclosed</t>
        </is>
      </c>
      <c r="AA318" s="152" t="n"/>
      <c r="AB318" s="152" t="n"/>
      <c r="AC318" s="156" t="inlineStr">
        <is>
          <t>Not disclosed</t>
        </is>
      </c>
      <c r="AD318" s="156" t="n"/>
      <c r="AE318" s="152" t="n"/>
      <c r="AF318" s="152" t="inlineStr">
        <is>
          <t>Not disclosed</t>
        </is>
      </c>
      <c r="AG318" s="156" t="n"/>
      <c r="AH318" s="152" t="n"/>
      <c r="AI318" s="152" t="n"/>
      <c r="AJ318" s="156" t="inlineStr">
        <is>
          <t>HD underwater camera</t>
        </is>
      </c>
      <c r="AK318" s="156" t="n"/>
      <c r="AL318" s="152" t="inlineStr">
        <is>
          <t>HD capture</t>
        </is>
      </c>
      <c r="AM318" s="152" t="n"/>
      <c r="AN318" s="152" t="n"/>
      <c r="AO318" s="152" t="n"/>
      <c r="AP318" s="152" t="inlineStr">
        <is>
          <t>Not disclosed</t>
        </is>
      </c>
      <c r="AQ318" s="152" t="n"/>
      <c r="AR318" s="152" t="n"/>
      <c r="AS318" s="152" t="n"/>
      <c r="AT318" s="156" t="n"/>
      <c r="AU318" s="156" t="inlineStr">
        <is>
          <t>Not disclosed</t>
        </is>
      </c>
      <c r="AV318" s="152" t="inlineStr">
        <is>
          <t>Simple consumer controller</t>
        </is>
      </c>
      <c r="AW318" s="156" t="inlineStr">
        <is>
          <t>Not disclosed</t>
        </is>
      </c>
      <c r="AX318" s="152" t="n"/>
      <c r="AY318" s="156" t="n"/>
      <c r="AZ318" s="156" t="n"/>
      <c r="BA318" s="156" t="n"/>
      <c r="BB318" s="156" t="n"/>
      <c r="BC318" s="156" t="n"/>
      <c r="BD318" s="152" t="n"/>
      <c r="BE318" s="152" t="inlineStr">
        <is>
          <t>Not disclosed</t>
        </is>
      </c>
      <c r="BF318" s="152" t="n"/>
      <c r="BG318" s="152" t="inlineStr">
        <is>
          <t>≈ 330 ft class</t>
        </is>
      </c>
      <c r="BH318" s="152" t="inlineStr">
        <is>
          <t>Not disclosed</t>
        </is>
      </c>
      <c r="BI318" s="152" t="inlineStr">
        <is>
          <t>Not disclosed</t>
        </is>
      </c>
      <c r="BJ318" s="152" t="inlineStr">
        <is>
          <t>Not disclosed</t>
        </is>
      </c>
      <c r="BK318" s="152" t="inlineStr">
        <is>
          <t>Not disclosed</t>
        </is>
      </c>
      <c r="BL318" s="152" t="n"/>
      <c r="BM318" s="152" t="n"/>
      <c r="BN318" s="152" t="n"/>
      <c r="BO318" s="156" t="n"/>
      <c r="BP318" s="152" t="inlineStr">
        <is>
          <t>Not disclosed</t>
        </is>
      </c>
      <c r="BQ318" s="156" t="inlineStr">
        <is>
          <t>ROV</t>
        </is>
      </c>
      <c r="BR318" s="156" t="inlineStr">
        <is>
          <t>Not disclosed</t>
        </is>
      </c>
      <c r="BS318" s="156" t="n"/>
      <c r="BT318" s="152" t="n"/>
      <c r="BU318" s="152" t="n"/>
      <c r="BV318" s="156" t="inlineStr">
        <is>
          <t>Palm-sized entry level; 15–328 ft variants; travel/fun</t>
        </is>
      </c>
      <c r="BW318" s="156" t="inlineStr">
        <is>
          <t>Origin &amp; status — China · 2020 | Mission — Depth ≈ 330 ft class · Payload Not disclosed | Sensing — HD underwater camera | Buying notes — $600 – $1,299 · 12 months on main ROV / camera / electronics (batteries/thrusters often 6 months) · Best fit: Palm-sized entry level; 15–328 ft variants; travel/fun</t>
        </is>
      </c>
      <c r="BX318" s="156" t="inlineStr">
        <is>
          <t>as_shipped|Dory|600|As shipped</t>
        </is>
      </c>
      <c r="BY318" s="152" t="inlineStr">
        <is>
          <t>dory|Manufacturer finish|#e2e8f0|0</t>
        </is>
      </c>
      <c r="BZ318" s="152" t="inlineStr"/>
      <c r="CA318" s="156" t="inlineStr">
        <is>
          <t>Add-ons: case; 2 color options; Multi-year extended warranty available</t>
        </is>
      </c>
      <c r="CB318" s="156" t="inlineStr">
        <is>
          <t>12 months on main ROV / camera / electronics (batteries/thrusters often 6 months)</t>
        </is>
      </c>
      <c r="CC318" s="154" t="n">
        <v>12</v>
      </c>
      <c r="CD318" s="156" t="inlineStr">
        <is>
          <t>+3 Year Extended ≈24% of configuration (default in configurator)</t>
        </is>
      </c>
      <c r="CE318" s="152" t="inlineStr">
        <is>
          <t>Chasing Innovation Warranty Policy</t>
        </is>
      </c>
      <c r="CF318" s="152" t="inlineStr">
        <is>
          <t>Documented</t>
        </is>
      </c>
      <c r="CG318" s="156" t="inlineStr">
        <is>
          <t>Propellers/tether wear items often no warranty. Period starts at end-user sale date.</t>
        </is>
      </c>
      <c r="CH318" s="152" t="inlineStr">
        <is>
          <t>10%</t>
        </is>
      </c>
      <c r="CI318" s="152" t="inlineStr">
        <is>
          <t>17%</t>
        </is>
      </c>
      <c r="CJ318" s="152" t="inlineStr">
        <is>
          <t>24%</t>
        </is>
      </c>
      <c r="CK318"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318"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18" s="152" t="inlineStr">
        <is>
          <t>12 months on main ROV / camera / electronics (batteries/thrusters often 6 months)</t>
        </is>
      </c>
    </row>
    <row r="319" ht="31.5" customHeight="1" s="102">
      <c r="A319" s="143" t="inlineStr">
        <is>
          <t>chasing_innovation_gladius_mini_s</t>
        </is>
      </c>
      <c r="B319" s="160" t="inlineStr">
        <is>
          <t>Website</t>
        </is>
      </c>
      <c r="C319" s="145" t="inlineStr">
        <is>
          <t>Chasing Innovation</t>
        </is>
      </c>
      <c r="D319" s="145" t="inlineStr">
        <is>
          <t>Gladius Mini S</t>
        </is>
      </c>
      <c r="E319" s="145" t="inlineStr">
        <is>
          <t>[Chasing] Gladius Mini S (2020)</t>
        </is>
      </c>
      <c r="F319" s="165" t="inlineStr">
        <is>
          <t>water</t>
        </is>
      </c>
      <c r="G319" s="145" t="inlineStr">
        <is>
          <t>China</t>
        </is>
      </c>
      <c r="H319" s="147" t="n">
        <v>2020</v>
      </c>
      <c r="I319" s="148" t="n">
        <v>1199</v>
      </c>
      <c r="J319" s="145" t="inlineStr">
        <is>
          <t>Website store</t>
        </is>
      </c>
      <c r="K319" s="149" t="inlineStr">
        <is>
          <t>Gladius Mini S is Chasing Innovation's marine robot — ≈ 330 ft class depth. 4K underwater camera; aimed at rOV.</t>
        </is>
      </c>
      <c r="L319" s="101" t="inlineStr">
        <is>
          <t>Gladius Mini S is Chasing Innovation's marine robot — ≈ 330 ft class depth. 4K underwater camera; aimed at rOV.</t>
        </is>
      </c>
      <c r="M319" s="101" t="inlineStr">
        <is>
          <t>Gladius Mini S is Chasing Innovation's marine robot — ≈ 330 ft class depth. 4K underwater camera; aimed at rOV.</t>
        </is>
      </c>
      <c r="N319" s="145" t="n"/>
      <c r="O319" s="145" t="inlineStr">
        <is>
          <t>https://www.chasing.com</t>
        </is>
      </c>
      <c r="P319" s="145" t="n"/>
      <c r="Q319" s="145" t="n"/>
      <c r="R319" s="145" t="inlineStr">
        <is>
          <t>≈ 5–7 lb class</t>
        </is>
      </c>
      <c r="S319" s="145" t="n"/>
      <c r="T319" s="149" t="inlineStr">
        <is>
          <t>Not disclosed</t>
        </is>
      </c>
      <c r="U319" s="145" t="n"/>
      <c r="V319" s="145" t="n"/>
      <c r="W319" s="149" t="n"/>
      <c r="X319" s="145" t="inlineStr">
        <is>
          <t>Not disclosed</t>
        </is>
      </c>
      <c r="Y319" s="145" t="n"/>
      <c r="Z319" s="145" t="inlineStr">
        <is>
          <t>Not disclosed</t>
        </is>
      </c>
      <c r="AA319" s="145" t="n"/>
      <c r="AB319" s="145" t="n"/>
      <c r="AC319" s="149" t="inlineStr">
        <is>
          <t>Not disclosed</t>
        </is>
      </c>
      <c r="AD319" s="149" t="n"/>
      <c r="AE319" s="145" t="n"/>
      <c r="AF319" s="145" t="inlineStr">
        <is>
          <t>Not disclosed</t>
        </is>
      </c>
      <c r="AG319" s="149" t="n"/>
      <c r="AH319" s="145" t="n"/>
      <c r="AI319" s="145" t="n"/>
      <c r="AJ319" s="149" t="inlineStr">
        <is>
          <t>4K underwater camera</t>
        </is>
      </c>
      <c r="AK319" s="149" t="n"/>
      <c r="AL319" s="145" t="inlineStr">
        <is>
          <t>4K recording</t>
        </is>
      </c>
      <c r="AM319" s="145" t="n"/>
      <c r="AN319" s="145" t="n"/>
      <c r="AO319" s="145" t="n"/>
      <c r="AP319" s="145" t="inlineStr">
        <is>
          <t>Not disclosed</t>
        </is>
      </c>
      <c r="AQ319" s="145" t="n"/>
      <c r="AR319" s="145" t="n"/>
      <c r="AS319" s="145" t="n"/>
      <c r="AT319" s="149" t="n"/>
      <c r="AU319" s="149" t="inlineStr">
        <is>
          <t>Not disclosed</t>
        </is>
      </c>
      <c r="AV319" s="145" t="inlineStr">
        <is>
          <t>Handheld controller + app</t>
        </is>
      </c>
      <c r="AW319" s="149" t="inlineStr">
        <is>
          <t>Not disclosed</t>
        </is>
      </c>
      <c r="AX319" s="145" t="n"/>
      <c r="AY319" s="149" t="n"/>
      <c r="AZ319" s="149" t="n"/>
      <c r="BA319" s="149" t="n"/>
      <c r="BB319" s="149" t="n"/>
      <c r="BC319" s="149" t="n"/>
      <c r="BD319" s="145" t="n"/>
      <c r="BE319" s="145" t="inlineStr">
        <is>
          <t>Not disclosed</t>
        </is>
      </c>
      <c r="BF319" s="145" t="n"/>
      <c r="BG319" s="145" t="inlineStr">
        <is>
          <t>≈ 330 ft class</t>
        </is>
      </c>
      <c r="BH319" s="145" t="inlineStr">
        <is>
          <t>Not disclosed</t>
        </is>
      </c>
      <c r="BI319" s="145" t="inlineStr">
        <is>
          <t>Not disclosed</t>
        </is>
      </c>
      <c r="BJ319" s="145" t="inlineStr">
        <is>
          <t>Not disclosed</t>
        </is>
      </c>
      <c r="BK319" s="145" t="inlineStr">
        <is>
          <t>Not disclosed</t>
        </is>
      </c>
      <c r="BL319" s="145" t="n"/>
      <c r="BM319" s="145" t="n"/>
      <c r="BN319" s="145" t="n"/>
      <c r="BO319" s="149" t="n"/>
      <c r="BP319" s="145" t="inlineStr">
        <is>
          <t>Not disclosed</t>
        </is>
      </c>
      <c r="BQ319" s="149" t="inlineStr">
        <is>
          <t>ROV</t>
        </is>
      </c>
      <c r="BR319" s="149" t="inlineStr">
        <is>
          <t>Not disclosed</t>
        </is>
      </c>
      <c r="BS319" s="149" t="n"/>
      <c r="BT319" s="145" t="n"/>
      <c r="BU319" s="145" t="n"/>
      <c r="BV319" s="149" t="inlineStr">
        <is>
          <t>Consumer/prosumer; 328 ft depth; 4K; 5 thrusters</t>
        </is>
      </c>
      <c r="BW319" s="149" t="inlineStr">
        <is>
          <t>Origin &amp; status — China · 2020 | Mission — Depth ≈ 330 ft class · Payload Not disclosed | Sensing — 4K underwater camera | Buying notes — $1,199 · 12 months on main ROV / camera / electronics (batteries/thrusters often 6 months) · Best fit: Consumer/prosumer; 328 ft depth; 4K; 5 thrusters</t>
        </is>
      </c>
      <c r="BX319" s="149" t="inlineStr">
        <is>
          <t>as_shipped|Gladius Mini S|1199|As shipped</t>
        </is>
      </c>
      <c r="BY319" s="145" t="inlineStr">
        <is>
          <t>gladius_mini_s|Manufacturer finish|#e2e8f0|0</t>
        </is>
      </c>
      <c r="BZ319" s="145" t="inlineStr"/>
      <c r="CA319" s="149" t="inlineStr">
        <is>
          <t>Add-ons: case; 2 color options; Multi-year extended warranty available</t>
        </is>
      </c>
      <c r="CB319" s="149" t="inlineStr">
        <is>
          <t>12 months on main ROV / camera / electronics (batteries/thrusters often 6 months)</t>
        </is>
      </c>
      <c r="CC319" s="147" t="n">
        <v>12</v>
      </c>
      <c r="CD319" s="149" t="inlineStr">
        <is>
          <t>+3 Year Extended ≈24% of configuration (default in configurator)</t>
        </is>
      </c>
      <c r="CE319" s="145" t="inlineStr">
        <is>
          <t>Chasing Innovation Warranty Policy</t>
        </is>
      </c>
      <c r="CF319" s="145" t="inlineStr">
        <is>
          <t>Documented</t>
        </is>
      </c>
      <c r="CG319" s="149" t="inlineStr">
        <is>
          <t>Propellers/tether wear items often no warranty. Period starts at end-user sale date.</t>
        </is>
      </c>
      <c r="CH319" s="145" t="inlineStr">
        <is>
          <t>10%</t>
        </is>
      </c>
      <c r="CI319" s="145" t="inlineStr">
        <is>
          <t>17%</t>
        </is>
      </c>
      <c r="CJ319" s="145" t="inlineStr">
        <is>
          <t>24%</t>
        </is>
      </c>
      <c r="CK31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31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19" s="145" t="inlineStr">
        <is>
          <t>12 months on main ROV / camera / electronics (batteries/thrusters often 6 months)</t>
        </is>
      </c>
    </row>
    <row r="320" ht="31.5" customHeight="1" s="102">
      <c r="A320" s="159" t="inlineStr">
        <is>
          <t>chasing_innovation_m2_pro_max</t>
        </is>
      </c>
      <c r="B320" s="160" t="inlineStr">
        <is>
          <t>Website</t>
        </is>
      </c>
      <c r="C320" s="152" t="inlineStr">
        <is>
          <t>Chasing Innovation</t>
        </is>
      </c>
      <c r="D320" s="152" t="inlineStr">
        <is>
          <t>M2 Pro Max</t>
        </is>
      </c>
      <c r="E320" s="152" t="inlineStr">
        <is>
          <t>[Chasing] M2 Pro Max (2022)</t>
        </is>
      </c>
      <c r="F320" s="165" t="inlineStr">
        <is>
          <t>water</t>
        </is>
      </c>
      <c r="G320" s="152" t="inlineStr">
        <is>
          <t>China</t>
        </is>
      </c>
      <c r="H320" s="154" t="n">
        <v>2022</v>
      </c>
      <c r="I320" s="155" t="n">
        <v>6999</v>
      </c>
      <c r="J320" s="152" t="inlineStr">
        <is>
          <t>Website store</t>
        </is>
      </c>
      <c r="K320" s="156" t="inlineStr">
        <is>
          <t>M2 Pro Max is Chasing Innovation's marine robot — ≈ 656 ft (200 m) depth. 4K UHD underwater camera; secondary low-light camera options; aimed at rOV.</t>
        </is>
      </c>
      <c r="L320" s="101" t="inlineStr">
        <is>
          <t>M2 Pro Max is Chasing Innovation's marine robot — ≈ 656 ft (200 m) depth. 4K UHD underwater camera; secondary low-light camera options; aimed at rOV.</t>
        </is>
      </c>
      <c r="M320" s="101" t="inlineStr">
        <is>
          <t>M2 Pro Max is Chasing Innovation's marine robot — ≈ 656 ft (200 m) depth. 4K UHD underwater camera; secondary low-light camera options; aimed at rOV.</t>
        </is>
      </c>
      <c r="N320" s="152" t="n"/>
      <c r="O320" s="152" t="inlineStr">
        <is>
          <t>https://www.chasing.com</t>
        </is>
      </c>
      <c r="P320" s="152" t="n"/>
      <c r="Q320" s="152" t="n"/>
      <c r="R320" s="152" t="inlineStr">
        <is>
          <t>≈ 12–15 lb class (ROV body; varies with ballast/tether)</t>
        </is>
      </c>
      <c r="S320" s="152" t="n"/>
      <c r="T320" s="156" t="inlineStr">
        <is>
          <t>Not disclosed</t>
        </is>
      </c>
      <c r="U320" s="152" t="n"/>
      <c r="V320" s="152" t="n"/>
      <c r="W320" s="156" t="n"/>
      <c r="X320" s="152" t="inlineStr">
        <is>
          <t>Not disclosed</t>
        </is>
      </c>
      <c r="Y320" s="152" t="n"/>
      <c r="Z320" s="152" t="inlineStr">
        <is>
          <t>Not disclosed</t>
        </is>
      </c>
      <c r="AA320" s="152" t="n"/>
      <c r="AB320" s="152" t="n"/>
      <c r="AC320" s="156" t="inlineStr">
        <is>
          <t>Not disclosed</t>
        </is>
      </c>
      <c r="AD320" s="156" t="n"/>
      <c r="AE320" s="152" t="n"/>
      <c r="AF320" s="152" t="inlineStr">
        <is>
          <t>Not disclosed</t>
        </is>
      </c>
      <c r="AG320" s="156" t="n"/>
      <c r="AH320" s="152" t="n"/>
      <c r="AI320" s="152" t="n"/>
      <c r="AJ320" s="156" t="inlineStr">
        <is>
          <t>4K UHD underwater camera; secondary low-light camera options</t>
        </is>
      </c>
      <c r="AK320" s="156" t="n"/>
      <c r="AL320" s="152" t="inlineStr">
        <is>
          <t>4K recording; livestream over tether</t>
        </is>
      </c>
      <c r="AM320" s="152" t="n"/>
      <c r="AN320" s="152" t="n"/>
      <c r="AO320" s="152" t="n"/>
      <c r="AP320" s="152" t="inlineStr">
        <is>
          <t>Not disclosed</t>
        </is>
      </c>
      <c r="AQ320" s="152" t="n"/>
      <c r="AR320" s="152" t="n"/>
      <c r="AS320" s="152" t="n"/>
      <c r="AT320" s="156" t="n"/>
      <c r="AU320" s="156" t="inlineStr">
        <is>
          <t>Not disclosed</t>
        </is>
      </c>
      <c r="AV320" s="152" t="inlineStr">
        <is>
          <t>Chasing app / controller; VR options on some kits</t>
        </is>
      </c>
      <c r="AW320" s="156" t="inlineStr">
        <is>
          <t>Not disclosed</t>
        </is>
      </c>
      <c r="AX320" s="152" t="n"/>
      <c r="AY320" s="156" t="n"/>
      <c r="AZ320" s="156" t="n"/>
      <c r="BA320" s="156" t="n"/>
      <c r="BB320" s="156" t="n"/>
      <c r="BC320" s="156" t="n"/>
      <c r="BD320" s="152" t="n"/>
      <c r="BE320" s="152" t="inlineStr">
        <is>
          <t>Not disclosed</t>
        </is>
      </c>
      <c r="BF320" s="152" t="n"/>
      <c r="BG320" s="152" t="inlineStr">
        <is>
          <t>≈ 656 ft (200 m)</t>
        </is>
      </c>
      <c r="BH320" s="152" t="inlineStr">
        <is>
          <t>Not disclosed</t>
        </is>
      </c>
      <c r="BI320" s="152" t="inlineStr">
        <is>
          <t>High-power LED lighting modules</t>
        </is>
      </c>
      <c r="BJ320" s="152" t="inlineStr">
        <is>
          <t>Multi-vector thruster layout for 360° maneuvering</t>
        </is>
      </c>
      <c r="BK320" s="152" t="inlineStr">
        <is>
          <t>Optional tether lengths for real-time control and power/data</t>
        </is>
      </c>
      <c r="BL320" s="152" t="n"/>
      <c r="BM320" s="152" t="n"/>
      <c r="BN320" s="152" t="n"/>
      <c r="BO320" s="156" t="n"/>
      <c r="BP320" s="152" t="inlineStr">
        <is>
          <t>Not disclosed</t>
        </is>
      </c>
      <c r="BQ320" s="156" t="inlineStr">
        <is>
          <t>ROV</t>
        </is>
      </c>
      <c r="BR320" s="156" t="inlineStr">
        <is>
          <t>Not disclosed</t>
        </is>
      </c>
      <c r="BS320" s="156" t="n"/>
      <c r="BT320" s="152" t="n"/>
      <c r="BU320" s="152" t="n"/>
      <c r="BV320" s="156" t="inlineStr">
        <is>
          <t>Deep industrial; 656 ft; high power; extensive modularity</t>
        </is>
      </c>
      <c r="BW320" s="156" t="inlineStr">
        <is>
          <t>Origin &amp; status — China · 2022 | Mission — Depth ≈ 656 ft (200 m) · Multi-vector thruster layout for 360° maneuvering · Optional tether lengths for real-time control and power/data · Payload Not disclosed | Sensing — 4K UHD underwater camera; secondary low-light camera options | Buying notes — $6,999 · 12 months on main ROV / camera / electronics (batteries/thrusters often 6 months) · Best fit: Deep industrial; 656 ft; high power; extensive modularity</t>
        </is>
      </c>
      <c r="BX320" s="156" t="inlineStr">
        <is>
          <t>as_shipped|M2 Pro Max|6999|As shipped</t>
        </is>
      </c>
      <c r="BY320" s="152" t="inlineStr">
        <is>
          <t>m2_pro_max|Manufacturer finish|#e2e8f0|0</t>
        </is>
      </c>
      <c r="BZ320" s="152" t="inlineStr"/>
      <c r="CA320" s="156" t="inlineStr">
        <is>
          <t>Add-ons: case; 2 color options; Multi-year extended warranty available</t>
        </is>
      </c>
      <c r="CB320" s="156" t="inlineStr">
        <is>
          <t>12 months on main ROV / camera / electronics (batteries/thrusters often 6 months)</t>
        </is>
      </c>
      <c r="CC320" s="154" t="n">
        <v>12</v>
      </c>
      <c r="CD320" s="156" t="inlineStr">
        <is>
          <t>+3 Year Extended ≈24% of configuration (default in configurator)</t>
        </is>
      </c>
      <c r="CE320" s="152" t="inlineStr">
        <is>
          <t>Chasing Innovation Warranty Policy</t>
        </is>
      </c>
      <c r="CF320" s="152" t="inlineStr">
        <is>
          <t>Documented</t>
        </is>
      </c>
      <c r="CG320" s="156" t="inlineStr">
        <is>
          <t>Propellers/tether wear items often no warranty. Period starts at end-user sale date.</t>
        </is>
      </c>
      <c r="CH320" s="152" t="inlineStr">
        <is>
          <t>10%</t>
        </is>
      </c>
      <c r="CI320" s="152" t="inlineStr">
        <is>
          <t>17%</t>
        </is>
      </c>
      <c r="CJ320" s="152" t="inlineStr">
        <is>
          <t>24%</t>
        </is>
      </c>
      <c r="CK320"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320"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20" s="152" t="inlineStr">
        <is>
          <t>12 months on main ROV / camera / electronics (batteries/thrusters often 6 months)</t>
        </is>
      </c>
    </row>
    <row r="321" ht="31.5" customHeight="1" s="102">
      <c r="A321" s="143" t="inlineStr">
        <is>
          <t>chasing_innovation_m2_s</t>
        </is>
      </c>
      <c r="B321" s="160" t="inlineStr">
        <is>
          <t>Website</t>
        </is>
      </c>
      <c r="C321" s="145" t="inlineStr">
        <is>
          <t>Chasing Innovation</t>
        </is>
      </c>
      <c r="D321" s="145" t="inlineStr">
        <is>
          <t>M2 S</t>
        </is>
      </c>
      <c r="E321" s="145" t="inlineStr">
        <is>
          <t>[Chasing] M2 S (2023)</t>
        </is>
      </c>
      <c r="F321" s="165" t="inlineStr">
        <is>
          <t>water</t>
        </is>
      </c>
      <c r="G321" s="145" t="inlineStr">
        <is>
          <t>China</t>
        </is>
      </c>
      <c r="H321" s="147" t="n">
        <v>2023</v>
      </c>
      <c r="I321" s="148" t="n">
        <v>2269</v>
      </c>
      <c r="J321" s="145" t="inlineStr">
        <is>
          <t>Website store</t>
        </is>
      </c>
      <c r="K321" s="149" t="inlineStr">
        <is>
          <t>M2 S is Chasing Innovation's marine robot — ≈ 328–656 ft class depending on configuration depth. 4K-class ROV camera; aimed at rOV.</t>
        </is>
      </c>
      <c r="L321" s="101" t="inlineStr">
        <is>
          <t>M2 S is Chasing Innovation's marine robot — ≈ 328–656 ft class depending on configuration depth. 4K-class ROV camera; aimed at rOV.</t>
        </is>
      </c>
      <c r="M321" s="101" t="inlineStr">
        <is>
          <t>M2 S is Chasing Innovation's marine robot — ≈ 328–656 ft class depending on configuration depth. 4K-class ROV camera; aimed at rOV.</t>
        </is>
      </c>
      <c r="N321" s="145" t="n"/>
      <c r="O321" s="145" t="inlineStr">
        <is>
          <t>https://www.chasing.com</t>
        </is>
      </c>
      <c r="P321" s="145" t="n"/>
      <c r="Q321" s="145" t="n"/>
      <c r="R321" s="145" t="inlineStr">
        <is>
          <t>≈ 10–13 lb class</t>
        </is>
      </c>
      <c r="S321" s="145" t="n"/>
      <c r="T321" s="149" t="inlineStr">
        <is>
          <t>Not disclosed</t>
        </is>
      </c>
      <c r="U321" s="145" t="n"/>
      <c r="V321" s="145" t="n"/>
      <c r="W321" s="149" t="n"/>
      <c r="X321" s="145" t="inlineStr">
        <is>
          <t>Not disclosed</t>
        </is>
      </c>
      <c r="Y321" s="145" t="n"/>
      <c r="Z321" s="145" t="inlineStr">
        <is>
          <t>Not disclosed</t>
        </is>
      </c>
      <c r="AA321" s="145" t="n"/>
      <c r="AB321" s="145" t="n"/>
      <c r="AC321" s="149" t="inlineStr">
        <is>
          <t>Not disclosed</t>
        </is>
      </c>
      <c r="AD321" s="149" t="n"/>
      <c r="AE321" s="145" t="n"/>
      <c r="AF321" s="145" t="inlineStr">
        <is>
          <t>Not disclosed</t>
        </is>
      </c>
      <c r="AG321" s="149" t="n"/>
      <c r="AH321" s="145" t="n"/>
      <c r="AI321" s="145" t="n"/>
      <c r="AJ321" s="149" t="inlineStr">
        <is>
          <t>4K-class ROV camera</t>
        </is>
      </c>
      <c r="AK321" s="149" t="n"/>
      <c r="AL321" s="145" t="inlineStr">
        <is>
          <t>4K capture and livestream</t>
        </is>
      </c>
      <c r="AM321" s="145" t="n"/>
      <c r="AN321" s="145" t="n"/>
      <c r="AO321" s="145" t="n"/>
      <c r="AP321" s="145" t="inlineStr">
        <is>
          <t>Not disclosed</t>
        </is>
      </c>
      <c r="AQ321" s="145" t="n"/>
      <c r="AR321" s="145" t="n"/>
      <c r="AS321" s="145" t="n"/>
      <c r="AT321" s="149" t="n"/>
      <c r="AU321" s="149" t="inlineStr">
        <is>
          <t>Not disclosed</t>
        </is>
      </c>
      <c r="AV321" s="145" t="inlineStr">
        <is>
          <t>Chasing control app</t>
        </is>
      </c>
      <c r="AW321" s="149" t="inlineStr">
        <is>
          <t>Not disclosed</t>
        </is>
      </c>
      <c r="AX321" s="145" t="n"/>
      <c r="AY321" s="149" t="n"/>
      <c r="AZ321" s="149" t="n"/>
      <c r="BA321" s="149" t="n"/>
      <c r="BB321" s="149" t="n"/>
      <c r="BC321" s="149" t="n"/>
      <c r="BD321" s="145" t="n"/>
      <c r="BE321" s="145" t="inlineStr">
        <is>
          <t>Not disclosed</t>
        </is>
      </c>
      <c r="BF321" s="145" t="n"/>
      <c r="BG321" s="145" t="inlineStr">
        <is>
          <t>≈ 328–656 ft class depending on configuration</t>
        </is>
      </c>
      <c r="BH321" s="145" t="inlineStr">
        <is>
          <t>Not disclosed</t>
        </is>
      </c>
      <c r="BI321" s="145" t="inlineStr">
        <is>
          <t>LED illumination</t>
        </is>
      </c>
      <c r="BJ321" s="145" t="inlineStr">
        <is>
          <t>Not disclosed</t>
        </is>
      </c>
      <c r="BK321" s="145" t="inlineStr">
        <is>
          <t>Not disclosed</t>
        </is>
      </c>
      <c r="BL321" s="145" t="n"/>
      <c r="BM321" s="145" t="n"/>
      <c r="BN321" s="145" t="n"/>
      <c r="BO321" s="149" t="n"/>
      <c r="BP321" s="145" t="inlineStr">
        <is>
          <t>Not disclosed</t>
        </is>
      </c>
      <c r="BQ321" s="149" t="inlineStr">
        <is>
          <t>ROV</t>
        </is>
      </c>
      <c r="BR321" s="149" t="inlineStr">
        <is>
          <t>Not disclosed</t>
        </is>
      </c>
      <c r="BS321" s="149" t="n"/>
      <c r="BT321" s="145" t="n"/>
      <c r="BU321" s="145" t="n"/>
      <c r="BV321" s="149" t="inlineStr">
        <is>
          <t>Light industrial; 328 ft; 8 thrusters; portable</t>
        </is>
      </c>
      <c r="BW321" s="149" t="inlineStr">
        <is>
          <t>Origin &amp; status — China · 2023 | Mission — Depth ≈ 328–656 ft class depending on configuration · Payload Not disclosed | Sensing — 4K-class ROV camera | Buying notes — $2,269 · 12 months on main ROV / camera / electronics (batteries/thrusters often 6 months) · Best fit: Light industrial; 328 ft; 8 thrusters; portable</t>
        </is>
      </c>
      <c r="BX321" s="149" t="inlineStr">
        <is>
          <t>as_shipped|M2 S|2269|As shipped</t>
        </is>
      </c>
      <c r="BY321" s="145" t="inlineStr">
        <is>
          <t>m2_s|Manufacturer finish|#e2e8f0|0</t>
        </is>
      </c>
      <c r="BZ321" s="145" t="inlineStr"/>
      <c r="CA321" s="149" t="inlineStr">
        <is>
          <t>Add-ons: case; 2 color options; Multi-year extended warranty available</t>
        </is>
      </c>
      <c r="CB321" s="149" t="inlineStr">
        <is>
          <t>12 months on main ROV / camera / electronics (batteries/thrusters often 6 months)</t>
        </is>
      </c>
      <c r="CC321" s="147" t="n">
        <v>12</v>
      </c>
      <c r="CD321" s="149" t="inlineStr">
        <is>
          <t>+3 Year Extended ≈24% of configuration (default in configurator)</t>
        </is>
      </c>
      <c r="CE321" s="145" t="inlineStr">
        <is>
          <t>Chasing Innovation Warranty Policy</t>
        </is>
      </c>
      <c r="CF321" s="145" t="inlineStr">
        <is>
          <t>Documented</t>
        </is>
      </c>
      <c r="CG321" s="149" t="inlineStr">
        <is>
          <t>Propellers/tether wear items often no warranty. Period starts at end-user sale date.</t>
        </is>
      </c>
      <c r="CH321" s="145" t="inlineStr">
        <is>
          <t>10%</t>
        </is>
      </c>
      <c r="CI321" s="145" t="inlineStr">
        <is>
          <t>17%</t>
        </is>
      </c>
      <c r="CJ321" s="145" t="inlineStr">
        <is>
          <t>24%</t>
        </is>
      </c>
      <c r="CK32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32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21" s="145" t="inlineStr">
        <is>
          <t>12 months on main ROV / camera / electronics (batteries/thrusters often 6 months)</t>
        </is>
      </c>
    </row>
    <row r="322" ht="31.5" customHeight="1" s="102">
      <c r="A322" s="159" t="inlineStr">
        <is>
          <t>deep_trekker_dtg3</t>
        </is>
      </c>
      <c r="B322" s="160" t="inlineStr">
        <is>
          <t>Website</t>
        </is>
      </c>
      <c r="C322" s="152" t="inlineStr">
        <is>
          <t>Deep Trekker</t>
        </is>
      </c>
      <c r="D322" s="152" t="inlineStr">
        <is>
          <t>DTG3</t>
        </is>
      </c>
      <c r="E322" s="152" t="inlineStr">
        <is>
          <t>[Deep Trekker] DTG3 (2019)</t>
        </is>
      </c>
      <c r="F322" s="165" t="inlineStr">
        <is>
          <t>water</t>
        </is>
      </c>
      <c r="G322" s="152" t="inlineStr">
        <is>
          <t>Canada</t>
        </is>
      </c>
      <c r="H322" s="154" t="n">
        <v>2019</v>
      </c>
      <c r="I322" s="155" t="n">
        <v>12000</v>
      </c>
      <c r="J322" s="152" t="inlineStr">
        <is>
          <t>DTG3 professional kit estimate</t>
        </is>
      </c>
      <c r="K322" s="156" t="inlineStr">
        <is>
          <t>DTG3 is Deep Trekker's marine robot — ≈ 500–660 ft class depth. HD camera with continuous 360° rotation options; aimed at rOV.</t>
        </is>
      </c>
      <c r="L322" s="101" t="inlineStr">
        <is>
          <t>DTG3 is Deep Trekker's marine robot — ≈ 500–660 ft class depth. HD camera with continuous 360° rotation options; aimed at rOV.</t>
        </is>
      </c>
      <c r="M322" s="101" t="inlineStr">
        <is>
          <t>DTG3 is Deep Trekker's marine robot — ≈ 500–660 ft class depth. HD camera with continuous 360° rotation options; aimed at rOV.</t>
        </is>
      </c>
      <c r="N322" s="152" t="n"/>
      <c r="O322" s="152" t="inlineStr">
        <is>
          <t>https://www.deeptrekker.com</t>
        </is>
      </c>
      <c r="P322" s="152" t="n"/>
      <c r="Q322" s="152" t="n"/>
      <c r="R322" s="152" t="inlineStr">
        <is>
          <t>≈ 18–25 lb class</t>
        </is>
      </c>
      <c r="S322" s="152" t="n"/>
      <c r="T322" s="156" t="inlineStr">
        <is>
          <t>Not disclosed</t>
        </is>
      </c>
      <c r="U322" s="152" t="n"/>
      <c r="V322" s="152" t="n"/>
      <c r="W322" s="156" t="n"/>
      <c r="X322" s="152" t="inlineStr">
        <is>
          <t>Not disclosed</t>
        </is>
      </c>
      <c r="Y322" s="152" t="n"/>
      <c r="Z322" s="152" t="inlineStr">
        <is>
          <t>Not disclosed</t>
        </is>
      </c>
      <c r="AA322" s="152" t="n"/>
      <c r="AB322" s="152" t="n"/>
      <c r="AC322" s="156" t="inlineStr">
        <is>
          <t>Not disclosed</t>
        </is>
      </c>
      <c r="AD322" s="156" t="n"/>
      <c r="AE322" s="152" t="n"/>
      <c r="AF322" s="152" t="inlineStr">
        <is>
          <t>Not disclosed</t>
        </is>
      </c>
      <c r="AG322" s="156" t="n"/>
      <c r="AH322" s="152" t="n"/>
      <c r="AI322" s="152" t="n"/>
      <c r="AJ322" s="156" t="inlineStr">
        <is>
          <t>HD camera with continuous 360° rotation options</t>
        </is>
      </c>
      <c r="AK322" s="156" t="n"/>
      <c r="AL322" s="152" t="inlineStr">
        <is>
          <t>HD video over tether</t>
        </is>
      </c>
      <c r="AM322" s="152" t="n"/>
      <c r="AN322" s="152" t="n"/>
      <c r="AO322" s="152" t="n"/>
      <c r="AP322" s="152" t="inlineStr">
        <is>
          <t>Not disclosed</t>
        </is>
      </c>
      <c r="AQ322" s="152" t="n"/>
      <c r="AR322" s="152" t="n"/>
      <c r="AS322" s="152" t="n"/>
      <c r="AT322" s="156" t="n"/>
      <c r="AU322" s="156" t="inlineStr">
        <is>
          <t>Not disclosed</t>
        </is>
      </c>
      <c r="AV322" s="152" t="inlineStr">
        <is>
          <t>Deep Trekker controller</t>
        </is>
      </c>
      <c r="AW322" s="156" t="inlineStr">
        <is>
          <t>Not disclosed</t>
        </is>
      </c>
      <c r="AX322" s="152" t="n"/>
      <c r="AY322" s="156" t="n"/>
      <c r="AZ322" s="156" t="n"/>
      <c r="BA322" s="156" t="n"/>
      <c r="BB322" s="156" t="n"/>
      <c r="BC322" s="156" t="n"/>
      <c r="BD322" s="152" t="n"/>
      <c r="BE322" s="152" t="inlineStr">
        <is>
          <t>Not disclosed</t>
        </is>
      </c>
      <c r="BF322" s="152" t="n"/>
      <c r="BG322" s="152" t="inlineStr">
        <is>
          <t>≈ 500–660 ft class</t>
        </is>
      </c>
      <c r="BH322" s="152" t="inlineStr">
        <is>
          <t>Not disclosed</t>
        </is>
      </c>
      <c r="BI322" s="152" t="inlineStr">
        <is>
          <t>Not disclosed</t>
        </is>
      </c>
      <c r="BJ322" s="152" t="inlineStr">
        <is>
          <t>Not disclosed</t>
        </is>
      </c>
      <c r="BK322" s="152" t="inlineStr">
        <is>
          <t>Not disclosed</t>
        </is>
      </c>
      <c r="BL322" s="152" t="n"/>
      <c r="BM322" s="152" t="n"/>
      <c r="BN322" s="152" t="n"/>
      <c r="BO322" s="156" t="n"/>
      <c r="BP322" s="152" t="inlineStr">
        <is>
          <t>Not disclosed</t>
        </is>
      </c>
      <c r="BQ322" s="156" t="inlineStr">
        <is>
          <t>ROV</t>
        </is>
      </c>
      <c r="BR322" s="156" t="inlineStr">
        <is>
          <t>Not disclosed</t>
        </is>
      </c>
      <c r="BS322" s="156" t="n"/>
      <c r="BT322" s="152" t="n"/>
      <c r="BU322" s="152" t="n"/>
      <c r="BV322" s="156" t="inlineStr">
        <is>
          <t>656 ft depth; portable commercial; BRIDGE tech; 4K; Canadian made</t>
        </is>
      </c>
      <c r="BW322" s="156" t="inlineStr">
        <is>
          <t>Origin &amp; status — Canada · 2019 | Mission — Depth ≈ 500–660 ft class · Payload Not disclosed | Sensing — HD camera with continuous 360° rotation options | Buying notes — $12,000 · 12 months manufacturer standard (typical) · Best fit: 656 ft depth; portable commercial; BRIDGE tech; 4K; Canadian made</t>
        </is>
      </c>
      <c r="BX322" s="156" t="inlineStr">
        <is>
          <t>as_shipped|DTG3|12000|As shipped</t>
        </is>
      </c>
      <c r="BY322" s="152" t="inlineStr">
        <is>
          <t>dtg3|Manufacturer finish|#e2e8f0|0</t>
        </is>
      </c>
      <c r="BZ322" s="152" t="inlineStr"/>
      <c r="CA322" s="156" t="inlineStr">
        <is>
          <t>Add-ons: case; 2 color options; Multi-year extended warranty available</t>
        </is>
      </c>
      <c r="CB322" s="156" t="inlineStr">
        <is>
          <t>12 months manufacturer standard (typical)</t>
        </is>
      </c>
      <c r="CC322" s="154" t="n">
        <v>12</v>
      </c>
      <c r="CD322" s="156" t="inlineStr">
        <is>
          <t>+3 Year Extended ≈24% of configuration (default in configurator)</t>
        </is>
      </c>
      <c r="CE322" s="152" t="inlineStr">
        <is>
          <t>Industry default when OEM sheet not public</t>
        </is>
      </c>
      <c r="CF322" s="152" t="inlineStr">
        <is>
          <t>Estimated</t>
        </is>
      </c>
      <c r="CG322" s="156" t="inlineStr">
        <is>
          <t>Always confirm exact warranty on formal quote before purchase.</t>
        </is>
      </c>
      <c r="CH322" s="152" t="inlineStr">
        <is>
          <t>10%</t>
        </is>
      </c>
      <c r="CI322" s="152" t="inlineStr">
        <is>
          <t>17%</t>
        </is>
      </c>
      <c r="CJ322" s="152" t="inlineStr">
        <is>
          <t>24%</t>
        </is>
      </c>
      <c r="CK322"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322"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22" s="152" t="inlineStr">
        <is>
          <t>12 months manufacturer standard (typical)</t>
        </is>
      </c>
    </row>
    <row r="323" ht="31.5" customHeight="1" s="102">
      <c r="A323" s="143" t="inlineStr">
        <is>
          <t>exail_formerly_eca_group_inspector_a18_r</t>
        </is>
      </c>
      <c r="B323" s="160" t="inlineStr">
        <is>
          <t>Website</t>
        </is>
      </c>
      <c r="C323" s="145" t="inlineStr">
        <is>
          <t>Exail</t>
        </is>
      </c>
      <c r="D323" s="145" t="inlineStr">
        <is>
          <t>Inspector</t>
        </is>
      </c>
      <c r="E323" s="145" t="inlineStr">
        <is>
          <t>[Exail] Inspector (2022)</t>
        </is>
      </c>
      <c r="F323" s="165" t="inlineStr">
        <is>
          <t>water</t>
        </is>
      </c>
      <c r="G323" s="145" t="inlineStr">
        <is>
          <t>France</t>
        </is>
      </c>
      <c r="H323" s="147" t="n">
        <v>2022</v>
      </c>
      <c r="I323" s="148" t="n">
        <v>120000</v>
      </c>
      <c r="J323" s="145" t="inlineStr">
        <is>
          <t>Inspector-class ROV/USV estimate</t>
        </is>
      </c>
      <c r="K323" s="149" t="inlineStr">
        <is>
          <t>[Exail] Inspector (2022) is a marine platform from Exail (France, 2022), positioned for usv.</t>
        </is>
      </c>
      <c r="L323" s="101" t="inlineStr">
        <is>
          <t>[Exail] Inspector (2022) is a marine platform from Exail (France, 2022), positioned for usv.</t>
        </is>
      </c>
      <c r="M323" s="101" t="inlineStr">
        <is>
          <t>[Exail] Inspector (2022) is a marine platform from Exail (France, 2022), positioned for usv. It is positioned for uSV / AUV / ROV.</t>
        </is>
      </c>
      <c r="N323" s="145" t="n"/>
      <c r="O323" s="145" t="inlineStr">
        <is>
          <t>https://www.exail.com</t>
        </is>
      </c>
      <c r="P323" s="145" t="n"/>
      <c r="Q323" s="145" t="n"/>
      <c r="R323" s="145" t="inlineStr">
        <is>
          <t>Not disclosed</t>
        </is>
      </c>
      <c r="S323" s="145" t="n"/>
      <c r="T323" s="149" t="inlineStr">
        <is>
          <t>Not disclosed</t>
        </is>
      </c>
      <c r="U323" s="145" t="n"/>
      <c r="V323" s="145" t="n"/>
      <c r="W323" s="149" t="n"/>
      <c r="X323" s="145" t="inlineStr">
        <is>
          <t>Not disclosed</t>
        </is>
      </c>
      <c r="Y323" s="145" t="n"/>
      <c r="Z323" s="145" t="inlineStr">
        <is>
          <t>Not disclosed</t>
        </is>
      </c>
      <c r="AA323" s="145" t="n"/>
      <c r="AB323" s="145" t="n"/>
      <c r="AC323" s="149" t="inlineStr">
        <is>
          <t>Not disclosed</t>
        </is>
      </c>
      <c r="AD323" s="149" t="n"/>
      <c r="AE323" s="145" t="n"/>
      <c r="AF323" s="145" t="inlineStr">
        <is>
          <t>Not disclosed</t>
        </is>
      </c>
      <c r="AG323" s="149" t="n"/>
      <c r="AH323" s="145" t="n"/>
      <c r="AI323" s="145" t="n"/>
      <c r="AJ323" s="149" t="inlineStr">
        <is>
          <t>Mine countermeasure and inspection cameras / sonar</t>
        </is>
      </c>
      <c r="AK323" s="149" t="n"/>
      <c r="AL323" s="145" t="inlineStr">
        <is>
          <t>Naval inspection and MCM video/sonar</t>
        </is>
      </c>
      <c r="AM323" s="145" t="n"/>
      <c r="AN323" s="145" t="n"/>
      <c r="AO323" s="145" t="n"/>
      <c r="AP323" s="145" t="inlineStr">
        <is>
          <t>Not disclosed</t>
        </is>
      </c>
      <c r="AQ323" s="145" t="n"/>
      <c r="AR323" s="145" t="n"/>
      <c r="AS323" s="145" t="n"/>
      <c r="AT323" s="149" t="n"/>
      <c r="AU323" s="149" t="inlineStr">
        <is>
          <t>Not disclosed</t>
        </is>
      </c>
      <c r="AV323" s="145" t="inlineStr">
        <is>
          <t>Naval GCS for USV/AUV/ROV family</t>
        </is>
      </c>
      <c r="AW323" s="149" t="inlineStr">
        <is>
          <t>Not disclosed</t>
        </is>
      </c>
      <c r="AX323" s="145" t="n"/>
      <c r="AY323" s="149" t="n"/>
      <c r="AZ323" s="149" t="n"/>
      <c r="BA323" s="149" t="n"/>
      <c r="BB323" s="149" t="n"/>
      <c r="BC323" s="149" t="n"/>
      <c r="BD323" s="145" t="n"/>
      <c r="BE323" s="145" t="inlineStr">
        <is>
          <t>Not disclosed</t>
        </is>
      </c>
      <c r="BF323" s="145" t="n"/>
      <c r="BG323" s="145" t="inlineStr">
        <is>
          <t>Not disclosed</t>
        </is>
      </c>
      <c r="BH323" s="145" t="inlineStr">
        <is>
          <t>Not disclosed</t>
        </is>
      </c>
      <c r="BI323" s="145" t="inlineStr">
        <is>
          <t>Not disclosed</t>
        </is>
      </c>
      <c r="BJ323" s="145" t="inlineStr">
        <is>
          <t>Not disclosed</t>
        </is>
      </c>
      <c r="BK323" s="145" t="inlineStr">
        <is>
          <t>Not disclosed</t>
        </is>
      </c>
      <c r="BL323" s="145" t="n"/>
      <c r="BM323" s="145" t="n"/>
      <c r="BN323" s="145" t="n"/>
      <c r="BO323" s="149" t="n"/>
      <c r="BP323" s="145" t="inlineStr">
        <is>
          <t>Not disclosed</t>
        </is>
      </c>
      <c r="BQ323" s="149" t="inlineStr">
        <is>
          <t>USV / AUV / ROV</t>
        </is>
      </c>
      <c r="BR323" s="149" t="inlineStr">
        <is>
          <t>Not disclosed</t>
        </is>
      </c>
      <c r="BS323" s="149" t="n"/>
      <c r="BT323" s="145" t="n"/>
      <c r="BU323" s="145" t="n"/>
      <c r="BV323" s="149" t="inlineStr">
        <is>
          <t>Mine countermeasures specialist; European naval programs</t>
        </is>
      </c>
      <c r="BW323" s="149" t="inlineStr">
        <is>
          <t>Origin &amp; status — France · 2022 | Mission — Depth Not disclosed · Payload Not disclosed | Sensing — Mine countermeasure and inspection cameras / sonar | Buying notes — Contact / multi-hundred k to millions · 12 months limited / contract-dependent · Best fit: Mine countermeasures specialist; European naval programs</t>
        </is>
      </c>
      <c r="BX323" s="149" t="inlineStr">
        <is>
          <t>as_shipped|Inspector|120000|As shipped</t>
        </is>
      </c>
      <c r="BY323" s="145" t="inlineStr">
        <is>
          <t>inspector|Manufacturer finish|#e2e8f0|0</t>
        </is>
      </c>
      <c r="BZ323" s="145" t="inlineStr"/>
      <c r="CA323" s="149" t="inlineStr">
        <is>
          <t>Add-ons: case; 2 color options; Multi-year extended warranty available</t>
        </is>
      </c>
      <c r="CB323" s="149" t="inlineStr">
        <is>
          <t>12 months limited / contract-dependent</t>
        </is>
      </c>
      <c r="CC323" s="147" t="n">
        <v>12</v>
      </c>
      <c r="CD323" s="149" t="inlineStr">
        <is>
          <t>+3 Year Extended ≈24% of configuration (default in configurator)</t>
        </is>
      </c>
      <c r="CE323" s="145" t="inlineStr">
        <is>
          <t>Enterprise marine robotics norms</t>
        </is>
      </c>
      <c r="CF323" s="145" t="inlineStr">
        <is>
          <t>Estimated</t>
        </is>
      </c>
      <c r="CG323" s="149" t="inlineStr">
        <is>
          <t>Confirm inclusions and sea-trial terms on quote.</t>
        </is>
      </c>
      <c r="CH323" s="145" t="inlineStr">
        <is>
          <t>10%</t>
        </is>
      </c>
      <c r="CI323" s="145" t="inlineStr">
        <is>
          <t>17%</t>
        </is>
      </c>
      <c r="CJ323" s="145" t="inlineStr">
        <is>
          <t>24%</t>
        </is>
      </c>
      <c r="CK323"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323"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23" s="145" t="inlineStr">
        <is>
          <t>12 months limited / contract-dependent</t>
        </is>
      </c>
    </row>
    <row r="324" ht="31.5" customHeight="1" s="102">
      <c r="A324" s="143" t="inlineStr">
        <is>
          <t>exail_formerly_eca_group_inspector_a18_r_a18</t>
        </is>
      </c>
      <c r="B324" s="160" t="inlineStr">
        <is>
          <t>Website</t>
        </is>
      </c>
      <c r="C324" s="145" t="inlineStr">
        <is>
          <t>Exail</t>
        </is>
      </c>
      <c r="D324" s="145" t="inlineStr">
        <is>
          <t>A18</t>
        </is>
      </c>
      <c r="E324" s="145" t="inlineStr">
        <is>
          <t>[Exail] A18 (2022)</t>
        </is>
      </c>
      <c r="F324" s="165" t="inlineStr">
        <is>
          <t>water</t>
        </is>
      </c>
      <c r="G324" s="145" t="inlineStr">
        <is>
          <t>France</t>
        </is>
      </c>
      <c r="H324" s="147" t="n">
        <v>2022</v>
      </c>
      <c r="I324" s="148" t="n">
        <v>1800000</v>
      </c>
      <c r="J324" s="145" t="inlineStr">
        <is>
          <t>A18 AUV class estimate</t>
        </is>
      </c>
      <c r="K324" s="149" t="inlineStr">
        <is>
          <t>A18 is Exail's marine robot. Mine countermeasure and inspection cameras / sonar; aimed at uSV.</t>
        </is>
      </c>
      <c r="L324" s="101" t="inlineStr">
        <is>
          <t>A18 is Exail's marine robot. Mine countermeasure and inspection cameras / sonar; aimed at uSV.</t>
        </is>
      </c>
      <c r="M324" s="101" t="inlineStr">
        <is>
          <t>A18 is Exail's marine robot. Mine countermeasure and inspection cameras / sonar; aimed at uSV. It is positioned for uSV / AUV / ROV.</t>
        </is>
      </c>
      <c r="N324" s="145" t="n"/>
      <c r="O324" s="145" t="inlineStr">
        <is>
          <t>https://www.exail.com</t>
        </is>
      </c>
      <c r="P324" s="145" t="n"/>
      <c r="Q324" s="145" t="n"/>
      <c r="R324" s="145" t="inlineStr">
        <is>
          <t>Not disclosed</t>
        </is>
      </c>
      <c r="S324" s="145" t="n"/>
      <c r="T324" s="149" t="inlineStr">
        <is>
          <t>Not disclosed</t>
        </is>
      </c>
      <c r="U324" s="145" t="n"/>
      <c r="V324" s="145" t="n"/>
      <c r="W324" s="149" t="n"/>
      <c r="X324" s="145" t="inlineStr">
        <is>
          <t>Not disclosed</t>
        </is>
      </c>
      <c r="Y324" s="145" t="n"/>
      <c r="Z324" s="145" t="inlineStr">
        <is>
          <t>Not disclosed</t>
        </is>
      </c>
      <c r="AA324" s="145" t="n"/>
      <c r="AB324" s="145" t="n"/>
      <c r="AC324" s="149" t="inlineStr">
        <is>
          <t>Not disclosed</t>
        </is>
      </c>
      <c r="AD324" s="149" t="n"/>
      <c r="AE324" s="145" t="n"/>
      <c r="AF324" s="145" t="inlineStr">
        <is>
          <t>Not disclosed</t>
        </is>
      </c>
      <c r="AG324" s="149" t="n"/>
      <c r="AH324" s="145" t="n"/>
      <c r="AI324" s="145" t="n"/>
      <c r="AJ324" s="149" t="inlineStr">
        <is>
          <t>Mine countermeasure and inspection cameras / sonar</t>
        </is>
      </c>
      <c r="AK324" s="149" t="n"/>
      <c r="AL324" s="145" t="inlineStr">
        <is>
          <t>Naval inspection and MCM video/sonar</t>
        </is>
      </c>
      <c r="AM324" s="145" t="n"/>
      <c r="AN324" s="145" t="n"/>
      <c r="AO324" s="145" t="n"/>
      <c r="AP324" s="145" t="inlineStr">
        <is>
          <t>Not disclosed</t>
        </is>
      </c>
      <c r="AQ324" s="145" t="n"/>
      <c r="AR324" s="145" t="n"/>
      <c r="AS324" s="145" t="n"/>
      <c r="AT324" s="149" t="n"/>
      <c r="AU324" s="149" t="inlineStr">
        <is>
          <t>Not disclosed</t>
        </is>
      </c>
      <c r="AV324" s="145" t="inlineStr">
        <is>
          <t>Naval GCS for USV/AUV/ROV family</t>
        </is>
      </c>
      <c r="AW324" s="149" t="inlineStr">
        <is>
          <t>Not disclosed</t>
        </is>
      </c>
      <c r="AX324" s="145" t="n"/>
      <c r="AY324" s="149" t="n"/>
      <c r="AZ324" s="149" t="n"/>
      <c r="BA324" s="149" t="n"/>
      <c r="BB324" s="149" t="n"/>
      <c r="BC324" s="149" t="n"/>
      <c r="BD324" s="145" t="n"/>
      <c r="BE324" s="145" t="inlineStr">
        <is>
          <t>Not disclosed</t>
        </is>
      </c>
      <c r="BF324" s="145" t="n"/>
      <c r="BG324" s="145" t="inlineStr">
        <is>
          <t>Not disclosed</t>
        </is>
      </c>
      <c r="BH324" s="145" t="inlineStr">
        <is>
          <t>Not disclosed</t>
        </is>
      </c>
      <c r="BI324" s="145" t="inlineStr">
        <is>
          <t>Not disclosed</t>
        </is>
      </c>
      <c r="BJ324" s="145" t="inlineStr">
        <is>
          <t>Not disclosed</t>
        </is>
      </c>
      <c r="BK324" s="145" t="inlineStr">
        <is>
          <t>Not disclosed</t>
        </is>
      </c>
      <c r="BL324" s="145" t="n"/>
      <c r="BM324" s="145" t="n"/>
      <c r="BN324" s="145" t="n"/>
      <c r="BO324" s="149" t="n"/>
      <c r="BP324" s="145" t="inlineStr">
        <is>
          <t>Not disclosed</t>
        </is>
      </c>
      <c r="BQ324" s="149" t="inlineStr">
        <is>
          <t>USV / AUV / ROV</t>
        </is>
      </c>
      <c r="BR324" s="149" t="inlineStr">
        <is>
          <t>Not disclosed</t>
        </is>
      </c>
      <c r="BS324" s="149" t="n"/>
      <c r="BT324" s="145" t="n"/>
      <c r="BU324" s="145" t="n"/>
      <c r="BV324" s="149" t="inlineStr">
        <is>
          <t>Mine countermeasures specialist; European naval programs</t>
        </is>
      </c>
      <c r="BW324" s="149" t="inlineStr">
        <is>
          <t>Origin &amp; status — France · 2022 | Mission — Depth Not disclosed · Payload Not disclosed | Sensing — Mine countermeasure and inspection cameras / sonar | Buying notes — Contact / multi-hundred k to millions · 12 months limited / contract-dependent · Best fit: Mine countermeasures specialist; European naval programs</t>
        </is>
      </c>
      <c r="BX324" s="149" t="inlineStr">
        <is>
          <t>as_shipped|A18|1800000|As shipped</t>
        </is>
      </c>
      <c r="BY324" s="145" t="inlineStr">
        <is>
          <t>a18|Manufacturer finish|#e2e8f0|0</t>
        </is>
      </c>
      <c r="BZ324" s="145" t="inlineStr"/>
      <c r="CA324" s="149" t="inlineStr">
        <is>
          <t>Add-ons: case; 2 color options; Multi-year extended warranty available</t>
        </is>
      </c>
      <c r="CB324" s="149" t="inlineStr">
        <is>
          <t>12 months limited / contract-dependent</t>
        </is>
      </c>
      <c r="CC324" s="147" t="n">
        <v>12</v>
      </c>
      <c r="CD324" s="149" t="inlineStr">
        <is>
          <t>+3 Year Extended ≈24% of configuration (default in configurator)</t>
        </is>
      </c>
      <c r="CE324" s="145" t="inlineStr">
        <is>
          <t>Enterprise marine robotics norms</t>
        </is>
      </c>
      <c r="CF324" s="145" t="inlineStr">
        <is>
          <t>Estimated</t>
        </is>
      </c>
      <c r="CG324" s="149" t="inlineStr">
        <is>
          <t>Confirm inclusions and sea-trial terms on quote.</t>
        </is>
      </c>
      <c r="CH324" s="145" t="inlineStr">
        <is>
          <t>10%</t>
        </is>
      </c>
      <c r="CI324" s="145" t="inlineStr">
        <is>
          <t>17%</t>
        </is>
      </c>
      <c r="CJ324" s="145" t="inlineStr">
        <is>
          <t>24%</t>
        </is>
      </c>
      <c r="CK324"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324"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24" s="145" t="inlineStr">
        <is>
          <t>12 months limited / contract-dependent</t>
        </is>
      </c>
    </row>
    <row r="325" ht="31.5" customHeight="1" s="102">
      <c r="A325" s="143" t="inlineStr">
        <is>
          <t>exail_formerly_eca_group_inspector_a18_r_r7</t>
        </is>
      </c>
      <c r="B325" s="160" t="inlineStr">
        <is>
          <t>Website</t>
        </is>
      </c>
      <c r="C325" s="145" t="inlineStr">
        <is>
          <t>Exail</t>
        </is>
      </c>
      <c r="D325" s="145" t="inlineStr">
        <is>
          <t>R7</t>
        </is>
      </c>
      <c r="E325" s="145" t="inlineStr">
        <is>
          <t>[Exail] R7 (2022)</t>
        </is>
      </c>
      <c r="F325" s="165" t="inlineStr">
        <is>
          <t>water</t>
        </is>
      </c>
      <c r="G325" s="145" t="inlineStr">
        <is>
          <t>France</t>
        </is>
      </c>
      <c r="H325" s="147" t="n">
        <v>2022</v>
      </c>
      <c r="I325" s="148" t="n">
        <v>450000</v>
      </c>
      <c r="J325" s="145" t="inlineStr">
        <is>
          <t>R7-class estimate</t>
        </is>
      </c>
      <c r="K325" s="149" t="inlineStr">
        <is>
          <t>R7 is Exail's marine robot. Mine countermeasure and inspection cameras / sonar; aimed at uSV.</t>
        </is>
      </c>
      <c r="L325" s="101" t="inlineStr">
        <is>
          <t>R7 is Exail's marine robot. Mine countermeasure and inspection cameras / sonar; aimed at uSV.</t>
        </is>
      </c>
      <c r="M325" s="101" t="inlineStr">
        <is>
          <t>R7 is Exail's marine robot. Mine countermeasure and inspection cameras / sonar; aimed at uSV. It is positioned for uSV / AUV / ROV.</t>
        </is>
      </c>
      <c r="N325" s="145" t="n"/>
      <c r="O325" s="145" t="inlineStr">
        <is>
          <t>https://www.exail.com</t>
        </is>
      </c>
      <c r="P325" s="145" t="n"/>
      <c r="Q325" s="145" t="n"/>
      <c r="R325" s="145" t="inlineStr">
        <is>
          <t>Not disclosed</t>
        </is>
      </c>
      <c r="S325" s="145" t="n"/>
      <c r="T325" s="149" t="inlineStr">
        <is>
          <t>Not disclosed</t>
        </is>
      </c>
      <c r="U325" s="145" t="n"/>
      <c r="V325" s="145" t="n"/>
      <c r="W325" s="149" t="n"/>
      <c r="X325" s="145" t="inlineStr">
        <is>
          <t>Not disclosed</t>
        </is>
      </c>
      <c r="Y325" s="145" t="n"/>
      <c r="Z325" s="145" t="inlineStr">
        <is>
          <t>Not disclosed</t>
        </is>
      </c>
      <c r="AA325" s="145" t="n"/>
      <c r="AB325" s="145" t="n"/>
      <c r="AC325" s="149" t="inlineStr">
        <is>
          <t>Not disclosed</t>
        </is>
      </c>
      <c r="AD325" s="149" t="n"/>
      <c r="AE325" s="145" t="n"/>
      <c r="AF325" s="145" t="inlineStr">
        <is>
          <t>Not disclosed</t>
        </is>
      </c>
      <c r="AG325" s="149" t="n"/>
      <c r="AH325" s="145" t="n"/>
      <c r="AI325" s="145" t="n"/>
      <c r="AJ325" s="149" t="inlineStr">
        <is>
          <t>Mine countermeasure and inspection cameras / sonar</t>
        </is>
      </c>
      <c r="AK325" s="149" t="n"/>
      <c r="AL325" s="145" t="inlineStr">
        <is>
          <t>Naval inspection and MCM video/sonar</t>
        </is>
      </c>
      <c r="AM325" s="145" t="n"/>
      <c r="AN325" s="145" t="n"/>
      <c r="AO325" s="145" t="n"/>
      <c r="AP325" s="145" t="inlineStr">
        <is>
          <t>Not disclosed</t>
        </is>
      </c>
      <c r="AQ325" s="145" t="n"/>
      <c r="AR325" s="145" t="n"/>
      <c r="AS325" s="145" t="n"/>
      <c r="AT325" s="149" t="n"/>
      <c r="AU325" s="149" t="inlineStr">
        <is>
          <t>Not disclosed</t>
        </is>
      </c>
      <c r="AV325" s="145" t="inlineStr">
        <is>
          <t>Naval GCS for USV/AUV/ROV family</t>
        </is>
      </c>
      <c r="AW325" s="149" t="inlineStr">
        <is>
          <t>Not disclosed</t>
        </is>
      </c>
      <c r="AX325" s="145" t="n"/>
      <c r="AY325" s="149" t="n"/>
      <c r="AZ325" s="149" t="n"/>
      <c r="BA325" s="149" t="n"/>
      <c r="BB325" s="149" t="n"/>
      <c r="BC325" s="149" t="n"/>
      <c r="BD325" s="145" t="n"/>
      <c r="BE325" s="145" t="inlineStr">
        <is>
          <t>Not disclosed</t>
        </is>
      </c>
      <c r="BF325" s="145" t="n"/>
      <c r="BG325" s="145" t="inlineStr">
        <is>
          <t>Not disclosed</t>
        </is>
      </c>
      <c r="BH325" s="145" t="inlineStr">
        <is>
          <t>Not disclosed</t>
        </is>
      </c>
      <c r="BI325" s="145" t="inlineStr">
        <is>
          <t>Not disclosed</t>
        </is>
      </c>
      <c r="BJ325" s="145" t="inlineStr">
        <is>
          <t>Not disclosed</t>
        </is>
      </c>
      <c r="BK325" s="145" t="inlineStr">
        <is>
          <t>Not disclosed</t>
        </is>
      </c>
      <c r="BL325" s="145" t="n"/>
      <c r="BM325" s="145" t="n"/>
      <c r="BN325" s="145" t="n"/>
      <c r="BO325" s="149" t="n"/>
      <c r="BP325" s="145" t="inlineStr">
        <is>
          <t>Not disclosed</t>
        </is>
      </c>
      <c r="BQ325" s="149" t="inlineStr">
        <is>
          <t>USV / AUV / ROV</t>
        </is>
      </c>
      <c r="BR325" s="149" t="inlineStr">
        <is>
          <t>Not disclosed</t>
        </is>
      </c>
      <c r="BS325" s="149" t="n"/>
      <c r="BT325" s="145" t="n"/>
      <c r="BU325" s="145" t="n"/>
      <c r="BV325" s="149" t="inlineStr">
        <is>
          <t>Mine countermeasures specialist; European naval programs</t>
        </is>
      </c>
      <c r="BW325" s="149" t="inlineStr">
        <is>
          <t>Origin &amp; status — France · 2022 | Mission — Depth Not disclosed · Payload Not disclosed | Sensing — Mine countermeasure and inspection cameras / sonar | Buying notes — Contact / multi-hundred k to millions · 12 months limited / contract-dependent · Best fit: Mine countermeasures specialist; European naval programs</t>
        </is>
      </c>
      <c r="BX325" s="149" t="inlineStr">
        <is>
          <t>as_shipped|R7|450000|As shipped</t>
        </is>
      </c>
      <c r="BY325" s="145" t="inlineStr">
        <is>
          <t>r7|Manufacturer finish|#e2e8f0|0</t>
        </is>
      </c>
      <c r="BZ325" s="145" t="inlineStr"/>
      <c r="CA325" s="149" t="inlineStr">
        <is>
          <t>Add-ons: case; 2 color options; Multi-year extended warranty available</t>
        </is>
      </c>
      <c r="CB325" s="149" t="inlineStr">
        <is>
          <t>12 months limited / contract-dependent</t>
        </is>
      </c>
      <c r="CC325" s="147" t="n">
        <v>12</v>
      </c>
      <c r="CD325" s="149" t="inlineStr">
        <is>
          <t>+3 Year Extended ≈24% of configuration (default in configurator)</t>
        </is>
      </c>
      <c r="CE325" s="145" t="inlineStr">
        <is>
          <t>Enterprise marine robotics norms</t>
        </is>
      </c>
      <c r="CF325" s="145" t="inlineStr">
        <is>
          <t>Estimated</t>
        </is>
      </c>
      <c r="CG325" s="149" t="inlineStr">
        <is>
          <t>Confirm inclusions and sea-trial terms on quote.</t>
        </is>
      </c>
      <c r="CH325" s="145" t="inlineStr">
        <is>
          <t>10%</t>
        </is>
      </c>
      <c r="CI325" s="145" t="inlineStr">
        <is>
          <t>17%</t>
        </is>
      </c>
      <c r="CJ325" s="145" t="inlineStr">
        <is>
          <t>24%</t>
        </is>
      </c>
      <c r="CK32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32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25" s="145" t="inlineStr">
        <is>
          <t>12 months limited / contract-dependent</t>
        </is>
      </c>
    </row>
    <row r="326" ht="31.5" customHeight="1" s="102">
      <c r="A326" s="159" t="inlineStr">
        <is>
          <t>kongsberg_maritime_hugin_series_incl_sup</t>
        </is>
      </c>
      <c r="B326" s="160" t="inlineStr">
        <is>
          <t>Website</t>
        </is>
      </c>
      <c r="C326" s="152" t="inlineStr">
        <is>
          <t>Kongsberg Maritime</t>
        </is>
      </c>
      <c r="D326" s="152" t="inlineStr">
        <is>
          <t>HUGIN Series</t>
        </is>
      </c>
      <c r="E326" s="152" t="inlineStr">
        <is>
          <t>[Kongsberg] HUGIN Series (2022)</t>
        </is>
      </c>
      <c r="F326" s="165" t="inlineStr">
        <is>
          <t>water</t>
        </is>
      </c>
      <c r="G326" s="152" t="inlineStr">
        <is>
          <t>Norway</t>
        </is>
      </c>
      <c r="H326" s="154" t="n">
        <v>2022</v>
      </c>
      <c r="I326" s="155" t="n">
        <v>4500000</v>
      </c>
      <c r="J326" s="152" t="inlineStr">
        <is>
          <t>HUGIN 3000-class documented awards ~$4.5–8M</t>
        </is>
      </c>
      <c r="K326" s="156" t="inlineStr">
        <is>
          <t>HUGIN Series is Kongsberg Maritime's marine robot. High-end survey sonar and optical payloads; aimed at aUV.</t>
        </is>
      </c>
      <c r="L326" s="101" t="inlineStr">
        <is>
          <t>HUGIN Series is Kongsberg Maritime's marine robot. High-end survey sonar and optical payloads; aimed at aUV.</t>
        </is>
      </c>
      <c r="M326" s="101" t="inlineStr">
        <is>
          <t>HUGIN Series is Kongsberg Maritime's marine robot. High-end survey sonar and optical payloads; aimed at aUV.</t>
        </is>
      </c>
      <c r="N326" s="152" t="n"/>
      <c r="O326" s="152" t="inlineStr">
        <is>
          <t>https://www.kongsberg.com/maritime</t>
        </is>
      </c>
      <c r="P326" s="152" t="n"/>
      <c r="Q326" s="152" t="n"/>
      <c r="R326" s="152" t="inlineStr">
        <is>
          <t>Not disclosed</t>
        </is>
      </c>
      <c r="S326" s="152" t="n"/>
      <c r="T326" s="156" t="inlineStr">
        <is>
          <t>Not disclosed</t>
        </is>
      </c>
      <c r="U326" s="152" t="n"/>
      <c r="V326" s="152" t="n"/>
      <c r="W326" s="156" t="n"/>
      <c r="X326" s="152" t="inlineStr">
        <is>
          <t>Not disclosed</t>
        </is>
      </c>
      <c r="Y326" s="152" t="n"/>
      <c r="Z326" s="152" t="inlineStr">
        <is>
          <t>Not disclosed</t>
        </is>
      </c>
      <c r="AA326" s="152" t="n"/>
      <c r="AB326" s="152" t="n"/>
      <c r="AC326" s="156" t="inlineStr">
        <is>
          <t>Not disclosed</t>
        </is>
      </c>
      <c r="AD326" s="156" t="n"/>
      <c r="AE326" s="152" t="n"/>
      <c r="AF326" s="152" t="inlineStr">
        <is>
          <t>Not disclosed</t>
        </is>
      </c>
      <c r="AG326" s="156" t="n"/>
      <c r="AH326" s="152" t="n"/>
      <c r="AI326" s="152" t="n"/>
      <c r="AJ326" s="156" t="inlineStr">
        <is>
          <t>High-end survey sonar and optical payloads</t>
        </is>
      </c>
      <c r="AK326" s="156" t="n"/>
      <c r="AL326" s="152" t="inlineStr">
        <is>
          <t>Oceanographic and seabed survey data products</t>
        </is>
      </c>
      <c r="AM326" s="152" t="n"/>
      <c r="AN326" s="152" t="n"/>
      <c r="AO326" s="152" t="n"/>
      <c r="AP326" s="152" t="inlineStr">
        <is>
          <t>Not disclosed</t>
        </is>
      </c>
      <c r="AQ326" s="152" t="n"/>
      <c r="AR326" s="152" t="n"/>
      <c r="AS326" s="152" t="n"/>
      <c r="AT326" s="156" t="n"/>
      <c r="AU326" s="156" t="inlineStr">
        <is>
          <t>Not disclosed</t>
        </is>
      </c>
      <c r="AV326" s="152" t="inlineStr">
        <is>
          <t>Kongsberg survey operations software</t>
        </is>
      </c>
      <c r="AW326" s="156" t="inlineStr">
        <is>
          <t>Not disclosed</t>
        </is>
      </c>
      <c r="AX326" s="152" t="n"/>
      <c r="AY326" s="156" t="n"/>
      <c r="AZ326" s="156" t="n"/>
      <c r="BA326" s="156" t="n"/>
      <c r="BB326" s="156" t="n"/>
      <c r="BC326" s="156" t="n"/>
      <c r="BD326" s="152" t="n"/>
      <c r="BE326" s="152" t="inlineStr">
        <is>
          <t>Not disclosed</t>
        </is>
      </c>
      <c r="BF326" s="152" t="n"/>
      <c r="BG326" s="152" t="inlineStr">
        <is>
          <t>Not disclosed</t>
        </is>
      </c>
      <c r="BH326" s="152" t="inlineStr">
        <is>
          <t>Not disclosed</t>
        </is>
      </c>
      <c r="BI326" s="152" t="inlineStr">
        <is>
          <t>Not disclosed</t>
        </is>
      </c>
      <c r="BJ326" s="152" t="inlineStr">
        <is>
          <t>Not disclosed</t>
        </is>
      </c>
      <c r="BK326" s="152" t="inlineStr">
        <is>
          <t>Not disclosed</t>
        </is>
      </c>
      <c r="BL326" s="152" t="n"/>
      <c r="BM326" s="152" t="n"/>
      <c r="BN326" s="152" t="n"/>
      <c r="BO326" s="156" t="n"/>
      <c r="BP326" s="152" t="inlineStr">
        <is>
          <t>Not disclosed</t>
        </is>
      </c>
      <c r="BQ326" s="156" t="inlineStr">
        <is>
          <t>AUV</t>
        </is>
      </c>
      <c r="BR326" s="156" t="inlineStr">
        <is>
          <t>Not disclosed</t>
        </is>
      </c>
      <c r="BS326" s="156" t="n"/>
      <c r="BT326" s="152" t="n"/>
      <c r="BU326" s="152" t="n"/>
      <c r="BV326" s="156" t="inlineStr">
        <is>
          <t>Leading commercial AUV; 3000–19685 ft depth; survey, MCM, HISAS sonar</t>
        </is>
      </c>
      <c r="BW326" s="156" t="inlineStr">
        <is>
          <t>Origin &amp; status — Norway · 2022 | Mission — Depth Not disclosed · Payload Not disclosed | Sensing — High-end survey sonar and optical payloads | Buying notes — Several million USD per system (e.g. multi-M contracts) · 12 months manufacturer standard (typical) · Best fit: Leading commercial AUV; 3000–19685 ft depth; surve…</t>
        </is>
      </c>
      <c r="BX326" s="156" t="inlineStr">
        <is>
          <t>as_shipped|HUGIN Series|4500000|As shipped</t>
        </is>
      </c>
      <c r="BY326" s="152" t="inlineStr">
        <is>
          <t>hugin_series|Manufacturer finish|#e2e8f0|0</t>
        </is>
      </c>
      <c r="BZ326" s="152" t="inlineStr"/>
      <c r="CA326" s="156" t="inlineStr">
        <is>
          <t>Add-ons: case; 2 color options; Multi-year extended warranty available</t>
        </is>
      </c>
      <c r="CB326" s="156" t="inlineStr">
        <is>
          <t>12 months manufacturer standard (typical)</t>
        </is>
      </c>
      <c r="CC326" s="154" t="n">
        <v>12</v>
      </c>
      <c r="CD326" s="156" t="inlineStr">
        <is>
          <t>+3 Year Extended ≈24% of configuration (default in configurator)</t>
        </is>
      </c>
      <c r="CE326" s="152" t="inlineStr">
        <is>
          <t>Industry default when OEM sheet not public</t>
        </is>
      </c>
      <c r="CF326" s="152" t="inlineStr">
        <is>
          <t>Estimated</t>
        </is>
      </c>
      <c r="CG326" s="156" t="inlineStr">
        <is>
          <t>Always confirm exact warranty on formal quote before purchase.</t>
        </is>
      </c>
      <c r="CH326" s="152" t="inlineStr">
        <is>
          <t>10%</t>
        </is>
      </c>
      <c r="CI326" s="152" t="inlineStr">
        <is>
          <t>17%</t>
        </is>
      </c>
      <c r="CJ326" s="152" t="inlineStr">
        <is>
          <t>24%</t>
        </is>
      </c>
      <c r="CK326"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326"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26" s="152" t="inlineStr">
        <is>
          <t>12 months manufacturer standard (typical)</t>
        </is>
      </c>
    </row>
    <row r="327" ht="31.5" customHeight="1" s="102">
      <c r="A327" s="143" t="inlineStr">
        <is>
          <t>martac_mantas_t_series_t12_t38_devil_ray</t>
        </is>
      </c>
      <c r="B327" s="160" t="inlineStr">
        <is>
          <t>Website</t>
        </is>
      </c>
      <c r="C327" s="145" t="inlineStr">
        <is>
          <t>MARTAC</t>
        </is>
      </c>
      <c r="D327" s="145" t="inlineStr">
        <is>
          <t>MANTAS T12</t>
        </is>
      </c>
      <c r="E327" s="145" t="inlineStr">
        <is>
          <t>[MARTAC] MANTAS T12 (2010)</t>
        </is>
      </c>
      <c r="F327" s="165" t="inlineStr">
        <is>
          <t>water</t>
        </is>
      </c>
      <c r="G327" s="145" t="inlineStr">
        <is>
          <t>USA</t>
        </is>
      </c>
      <c r="H327" s="147" t="n">
        <v>2010</v>
      </c>
      <c r="I327" s="148" t="n">
        <v>175000</v>
      </c>
      <c r="J327" s="145" t="inlineStr">
        <is>
          <t>MANTAS T12 USV class estimate</t>
        </is>
      </c>
      <c r="K327" s="149" t="inlineStr">
        <is>
          <t>[MARTAC] MANTAS T12 (2010) is a marine platform from MARTAC (USA, 2010), positioned for usv.</t>
        </is>
      </c>
      <c r="L327" s="101" t="inlineStr">
        <is>
          <t>[MARTAC] MANTAS T12 (2010) is a marine platform from MARTAC (USA, 2010), positioned for usv.</t>
        </is>
      </c>
      <c r="M327" s="101" t="inlineStr">
        <is>
          <t>MANTAS T12 is MARTAC's marine robot, introduced around 2010 in USA. [MARTAC] MANTAS T12 (2010) is a marine platform from MARTAC (USA, 2010), positioned for usv.</t>
        </is>
      </c>
      <c r="N327" s="145" t="n"/>
      <c r="O327" s="145" t="inlineStr">
        <is>
          <t>https://www.martacsystems.com</t>
        </is>
      </c>
      <c r="P327" s="145" t="n"/>
      <c r="Q327" s="145" t="n"/>
      <c r="R327" s="145" t="inlineStr">
        <is>
          <t>Not disclosed</t>
        </is>
      </c>
      <c r="S327" s="145" t="n"/>
      <c r="T327" s="149" t="inlineStr">
        <is>
          <t>Not disclosed</t>
        </is>
      </c>
      <c r="U327" s="145" t="n"/>
      <c r="V327" s="145" t="n"/>
      <c r="W327" s="149" t="n"/>
      <c r="X327" s="145" t="inlineStr">
        <is>
          <t>Not disclosed</t>
        </is>
      </c>
      <c r="Y327" s="145" t="n"/>
      <c r="Z327" s="145" t="inlineStr">
        <is>
          <t>Not disclosed</t>
        </is>
      </c>
      <c r="AA327" s="145" t="n"/>
      <c r="AB327" s="145" t="n"/>
      <c r="AC327" s="149" t="inlineStr">
        <is>
          <t>Not disclosed</t>
        </is>
      </c>
      <c r="AD327" s="149" t="n"/>
      <c r="AE327" s="145" t="n"/>
      <c r="AF327" s="145" t="inlineStr">
        <is>
          <t>Not disclosed</t>
        </is>
      </c>
      <c r="AG327" s="149" t="n"/>
      <c r="AH327" s="145" t="n"/>
      <c r="AI327" s="145" t="n"/>
      <c r="AJ327" s="149" t="inlineStr">
        <is>
          <t>Modular ISR / survey payloads</t>
        </is>
      </c>
      <c r="AK327" s="149" t="n"/>
      <c r="AL327" s="145" t="inlineStr">
        <is>
          <t>USV mission video</t>
        </is>
      </c>
      <c r="AM327" s="145" t="n"/>
      <c r="AN327" s="145" t="n"/>
      <c r="AO327" s="145" t="n"/>
      <c r="AP327" s="145" t="inlineStr">
        <is>
          <t>Not disclosed</t>
        </is>
      </c>
      <c r="AQ327" s="145" t="n"/>
      <c r="AR327" s="145" t="n"/>
      <c r="AS327" s="145" t="n"/>
      <c r="AT327" s="149" t="n"/>
      <c r="AU327" s="149" t="inlineStr">
        <is>
          <t>Not disclosed</t>
        </is>
      </c>
      <c r="AV327" s="145" t="inlineStr">
        <is>
          <t>MARTAC autonomous USV software</t>
        </is>
      </c>
      <c r="AW327" s="149" t="inlineStr">
        <is>
          <t>Not disclosed</t>
        </is>
      </c>
      <c r="AX327" s="145" t="n"/>
      <c r="AY327" s="149" t="n"/>
      <c r="AZ327" s="149" t="n"/>
      <c r="BA327" s="149" t="n"/>
      <c r="BB327" s="149" t="n"/>
      <c r="BC327" s="149" t="n"/>
      <c r="BD327" s="145" t="n"/>
      <c r="BE327" s="145" t="inlineStr">
        <is>
          <t>Not disclosed</t>
        </is>
      </c>
      <c r="BF327" s="145" t="n"/>
      <c r="BG327" s="145" t="inlineStr">
        <is>
          <t>Not disclosed</t>
        </is>
      </c>
      <c r="BH327" s="145" t="inlineStr">
        <is>
          <t>Not disclosed</t>
        </is>
      </c>
      <c r="BI327" s="145" t="inlineStr">
        <is>
          <t>Not disclosed</t>
        </is>
      </c>
      <c r="BJ327" s="145" t="inlineStr">
        <is>
          <t>Not disclosed</t>
        </is>
      </c>
      <c r="BK327" s="145" t="inlineStr">
        <is>
          <t>Not disclosed</t>
        </is>
      </c>
      <c r="BL327" s="145" t="n"/>
      <c r="BM327" s="145" t="n"/>
      <c r="BN327" s="145" t="n"/>
      <c r="BO327" s="149" t="n"/>
      <c r="BP327" s="145" t="inlineStr">
        <is>
          <t>Not disclosed</t>
        </is>
      </c>
      <c r="BQ327" s="149" t="inlineStr">
        <is>
          <t>USV</t>
        </is>
      </c>
      <c r="BR327" s="149" t="inlineStr">
        <is>
          <t>Not disclosed</t>
        </is>
      </c>
      <c r="BS327" s="149" t="n"/>
      <c r="BT327" s="145" t="n"/>
      <c r="BU327" s="145" t="n"/>
      <c r="BV327" s="149" t="inlineStr">
        <is>
          <t>12–38ft; maritime patrol, ISR, MCM</t>
        </is>
      </c>
      <c r="BW327" s="149" t="inlineStr">
        <is>
          <t>Origin &amp; status — USA · 2010 | Mission — Depth Not disclosed · Payload Not disclosed | Sensing — Modular ISR / survey payloads | Buying notes — Contact / Defense · 12 months limited / contract-dependent · Best fit: 12–38ft; maritime patrol, ISR, MCM</t>
        </is>
      </c>
      <c r="BX327" s="149" t="inlineStr">
        <is>
          <t>as_shipped|MANTAS T12|175000|As shipped</t>
        </is>
      </c>
      <c r="BY327" s="145" t="inlineStr">
        <is>
          <t>mantas_t12|Manufacturer finish|#e2e8f0|0</t>
        </is>
      </c>
      <c r="BZ327" s="145" t="inlineStr"/>
      <c r="CA327" s="149" t="inlineStr">
        <is>
          <t>Add-ons: case; 2 color options; Multi-year extended warranty available</t>
        </is>
      </c>
      <c r="CB327" s="149" t="inlineStr">
        <is>
          <t>12 months limited / contract-dependent</t>
        </is>
      </c>
      <c r="CC327" s="147" t="n">
        <v>12</v>
      </c>
      <c r="CD327" s="149" t="inlineStr">
        <is>
          <t>+3 Year Extended ≈24% of configuration (default in configurator)</t>
        </is>
      </c>
      <c r="CE327" s="145" t="inlineStr">
        <is>
          <t>Enterprise marine robotics norms</t>
        </is>
      </c>
      <c r="CF327" s="145" t="inlineStr">
        <is>
          <t>Estimated</t>
        </is>
      </c>
      <c r="CG327" s="149" t="inlineStr">
        <is>
          <t>Confirm inclusions and sea-trial terms on quote.</t>
        </is>
      </c>
      <c r="CH327" s="145" t="inlineStr">
        <is>
          <t>10%</t>
        </is>
      </c>
      <c r="CI327" s="145" t="inlineStr">
        <is>
          <t>17%</t>
        </is>
      </c>
      <c r="CJ327" s="145" t="inlineStr">
        <is>
          <t>24%</t>
        </is>
      </c>
      <c r="CK327"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327"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27" s="145" t="inlineStr">
        <is>
          <t>12 months limited / contract-dependent</t>
        </is>
      </c>
    </row>
    <row r="328" ht="31.5" customHeight="1" s="102">
      <c r="A328" s="143" t="inlineStr">
        <is>
          <t>martac_mantas_t_series_t12_t38_devil_ray_mantas_</t>
        </is>
      </c>
      <c r="B328" s="160" t="inlineStr">
        <is>
          <t>Website</t>
        </is>
      </c>
      <c r="C328" s="145" t="inlineStr">
        <is>
          <t>MARTAC</t>
        </is>
      </c>
      <c r="D328" s="145" t="inlineStr">
        <is>
          <t>MANTAS T38 Devil Ray</t>
        </is>
      </c>
      <c r="E328" s="145" t="inlineStr">
        <is>
          <t>[MARTAC] MANTAS T38 Devil Ray (2010)</t>
        </is>
      </c>
      <c r="F328" s="165" t="inlineStr">
        <is>
          <t>water</t>
        </is>
      </c>
      <c r="G328" s="145" t="inlineStr">
        <is>
          <t>USA</t>
        </is>
      </c>
      <c r="H328" s="147" t="n">
        <v>2010</v>
      </c>
      <c r="I328" s="148" t="n">
        <v>750000</v>
      </c>
      <c r="J328" s="145" t="inlineStr">
        <is>
          <t>MANTAS T38 Devil Ray class estimate</t>
        </is>
      </c>
      <c r="K328" s="149" t="inlineStr">
        <is>
          <t>[MARTAC] MANTAS T38 Devil Ray (2010) is a marine platform from MARTAC (USA, 2010), positioned for usv.</t>
        </is>
      </c>
      <c r="L328" s="101" t="inlineStr">
        <is>
          <t>[MARTAC] MANTAS T38 Devil Ray (2010) is a marine platform from MARTAC (USA, 2010), positioned for usv.</t>
        </is>
      </c>
      <c r="M328" s="101" t="inlineStr">
        <is>
          <t>MANTAS T38 Devil Ray is MARTAC's marine robot, introduced around 2010 in USA. [MARTAC] MANTAS T38 Devil Ray (2010) is a marine platform from MARTAC (USA, 2010), positioned for usv.</t>
        </is>
      </c>
      <c r="N328" s="145" t="n"/>
      <c r="O328" s="145" t="inlineStr">
        <is>
          <t>https://www.martacsystems.com</t>
        </is>
      </c>
      <c r="P328" s="145" t="n"/>
      <c r="Q328" s="145" t="n"/>
      <c r="R328" s="145" t="inlineStr">
        <is>
          <t>Not disclosed</t>
        </is>
      </c>
      <c r="S328" s="145" t="n"/>
      <c r="T328" s="149" t="inlineStr">
        <is>
          <t>Not disclosed</t>
        </is>
      </c>
      <c r="U328" s="145" t="n"/>
      <c r="V328" s="145" t="n"/>
      <c r="W328" s="149" t="n"/>
      <c r="X328" s="145" t="inlineStr">
        <is>
          <t>Not disclosed</t>
        </is>
      </c>
      <c r="Y328" s="145" t="n"/>
      <c r="Z328" s="145" t="inlineStr">
        <is>
          <t>Not disclosed</t>
        </is>
      </c>
      <c r="AA328" s="145" t="n"/>
      <c r="AB328" s="145" t="n"/>
      <c r="AC328" s="149" t="inlineStr">
        <is>
          <t>Not disclosed</t>
        </is>
      </c>
      <c r="AD328" s="149" t="n"/>
      <c r="AE328" s="145" t="n"/>
      <c r="AF328" s="145" t="inlineStr">
        <is>
          <t>Not disclosed</t>
        </is>
      </c>
      <c r="AG328" s="149" t="n"/>
      <c r="AH328" s="145" t="n"/>
      <c r="AI328" s="145" t="n"/>
      <c r="AJ328" s="149" t="inlineStr">
        <is>
          <t>Modular ISR / survey payloads</t>
        </is>
      </c>
      <c r="AK328" s="149" t="n"/>
      <c r="AL328" s="145" t="inlineStr">
        <is>
          <t>USV mission video</t>
        </is>
      </c>
      <c r="AM328" s="145" t="n"/>
      <c r="AN328" s="145" t="n"/>
      <c r="AO328" s="145" t="n"/>
      <c r="AP328" s="145" t="inlineStr">
        <is>
          <t>Not disclosed</t>
        </is>
      </c>
      <c r="AQ328" s="145" t="n"/>
      <c r="AR328" s="145" t="n"/>
      <c r="AS328" s="145" t="n"/>
      <c r="AT328" s="149" t="n"/>
      <c r="AU328" s="149" t="inlineStr">
        <is>
          <t>Not disclosed</t>
        </is>
      </c>
      <c r="AV328" s="145" t="inlineStr">
        <is>
          <t>MARTAC autonomous USV software</t>
        </is>
      </c>
      <c r="AW328" s="149" t="inlineStr">
        <is>
          <t>Not disclosed</t>
        </is>
      </c>
      <c r="AX328" s="145" t="n"/>
      <c r="AY328" s="149" t="n"/>
      <c r="AZ328" s="149" t="n"/>
      <c r="BA328" s="149" t="n"/>
      <c r="BB328" s="149" t="n"/>
      <c r="BC328" s="149" t="n"/>
      <c r="BD328" s="145" t="n"/>
      <c r="BE328" s="145" t="inlineStr">
        <is>
          <t>Not disclosed</t>
        </is>
      </c>
      <c r="BF328" s="145" t="n"/>
      <c r="BG328" s="145" t="inlineStr">
        <is>
          <t>Not disclosed</t>
        </is>
      </c>
      <c r="BH328" s="145" t="inlineStr">
        <is>
          <t>Not disclosed</t>
        </is>
      </c>
      <c r="BI328" s="145" t="inlineStr">
        <is>
          <t>Not disclosed</t>
        </is>
      </c>
      <c r="BJ328" s="145" t="inlineStr">
        <is>
          <t>Not disclosed</t>
        </is>
      </c>
      <c r="BK328" s="145" t="inlineStr">
        <is>
          <t>Not disclosed</t>
        </is>
      </c>
      <c r="BL328" s="145" t="n"/>
      <c r="BM328" s="145" t="n"/>
      <c r="BN328" s="145" t="n"/>
      <c r="BO328" s="149" t="n"/>
      <c r="BP328" s="145" t="inlineStr">
        <is>
          <t>Not disclosed</t>
        </is>
      </c>
      <c r="BQ328" s="149" t="inlineStr">
        <is>
          <t>USV</t>
        </is>
      </c>
      <c r="BR328" s="149" t="inlineStr">
        <is>
          <t>Not disclosed</t>
        </is>
      </c>
      <c r="BS328" s="149" t="n"/>
      <c r="BT328" s="145" t="n"/>
      <c r="BU328" s="145" t="n"/>
      <c r="BV328" s="149" t="inlineStr">
        <is>
          <t>12–38ft; maritime patrol, ISR, MCM</t>
        </is>
      </c>
      <c r="BW328" s="149" t="inlineStr">
        <is>
          <t>Origin &amp; status — USA · 2010 | Mission — Depth Not disclosed · Payload Not disclosed | Sensing — Modular ISR / survey payloads | Buying notes — Contact / Defense · 12 months limited / contract-dependent · Best fit: 12–38ft; maritime patrol, ISR, MCM</t>
        </is>
      </c>
      <c r="BX328" s="149" t="inlineStr">
        <is>
          <t>as_shipped|MANTAS T38 Devil Ray|750000|As shipped</t>
        </is>
      </c>
      <c r="BY328" s="145" t="inlineStr">
        <is>
          <t>mantas_t38_devil_ray|Manufacturer finish|#e2e8f0|0</t>
        </is>
      </c>
      <c r="BZ328" s="145" t="inlineStr"/>
      <c r="CA328" s="149" t="inlineStr">
        <is>
          <t>Add-ons: case; 2 color options; Multi-year extended warranty available</t>
        </is>
      </c>
      <c r="CB328" s="149" t="inlineStr">
        <is>
          <t>12 months limited / contract-dependent</t>
        </is>
      </c>
      <c r="CC328" s="147" t="n">
        <v>12</v>
      </c>
      <c r="CD328" s="149" t="inlineStr">
        <is>
          <t>+3 Year Extended ≈24% of configuration (default in configurator)</t>
        </is>
      </c>
      <c r="CE328" s="145" t="inlineStr">
        <is>
          <t>Enterprise marine robotics norms</t>
        </is>
      </c>
      <c r="CF328" s="145" t="inlineStr">
        <is>
          <t>Estimated</t>
        </is>
      </c>
      <c r="CG328" s="149" t="inlineStr">
        <is>
          <t>Confirm inclusions and sea-trial terms on quote.</t>
        </is>
      </c>
      <c r="CH328" s="145" t="inlineStr">
        <is>
          <t>10%</t>
        </is>
      </c>
      <c r="CI328" s="145" t="inlineStr">
        <is>
          <t>17%</t>
        </is>
      </c>
      <c r="CJ328" s="145" t="inlineStr">
        <is>
          <t>24%</t>
        </is>
      </c>
      <c r="CK328"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328"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28" s="145" t="inlineStr">
        <is>
          <t>12 months limited / contract-dependent</t>
        </is>
      </c>
    </row>
    <row r="329" ht="31.5" customHeight="1" s="102">
      <c r="A329" s="159" t="inlineStr">
        <is>
          <t>oceanalpha_l25_l42_series_l42</t>
        </is>
      </c>
      <c r="B329" s="160" t="inlineStr">
        <is>
          <t>Website</t>
        </is>
      </c>
      <c r="C329" s="152" t="inlineStr">
        <is>
          <t>OceanAlpha</t>
        </is>
      </c>
      <c r="D329" s="152" t="inlineStr">
        <is>
          <t>L42</t>
        </is>
      </c>
      <c r="E329" s="152" t="inlineStr">
        <is>
          <t>[OceanAlpha] L42 (2018)</t>
        </is>
      </c>
      <c r="F329" s="165" t="inlineStr">
        <is>
          <t>water</t>
        </is>
      </c>
      <c r="G329" s="152" t="inlineStr">
        <is>
          <t>China</t>
        </is>
      </c>
      <c r="H329" s="154" t="n">
        <v>2018</v>
      </c>
      <c r="I329" s="155" t="n">
        <v>220000</v>
      </c>
      <c r="J329" s="152" t="inlineStr">
        <is>
          <t>8.3 m / 3.5 t survey USV class estimate · quote-only OEM</t>
        </is>
      </c>
      <c r="K329" s="156" t="inlineStr">
        <is>
          <t>[OceanAlpha] L42 (2018) is a marine platform from OceanAlpha (China, 2018), positioned for usv.</t>
        </is>
      </c>
      <c r="L329" s="101" t="inlineStr">
        <is>
          <t>[OceanAlpha] L42 (2018) is a marine platform from OceanAlpha (China, 2018), positioned for usv.</t>
        </is>
      </c>
      <c r="M329" s="101" t="inlineStr">
        <is>
          <t>L42 is OceanAlpha's marine robot, introduced around 2018 in China. [OceanAlpha] L42 (2018) is a marine platform from OceanAlpha (China, 2018), positioned for usv.</t>
        </is>
      </c>
      <c r="N329" s="152" t="n"/>
      <c r="O329" s="152" t="inlineStr">
        <is>
          <t>https://www.oceanalpha.com</t>
        </is>
      </c>
      <c r="P329" s="152" t="n"/>
      <c r="Q329" s="152" t="n"/>
      <c r="R329" s="152" t="inlineStr">
        <is>
          <t>Not disclosed</t>
        </is>
      </c>
      <c r="S329" s="152" t="n"/>
      <c r="T329" s="156" t="inlineStr">
        <is>
          <t>Not disclosed</t>
        </is>
      </c>
      <c r="U329" s="152" t="n"/>
      <c r="V329" s="152" t="n"/>
      <c r="W329" s="156" t="n"/>
      <c r="X329" s="152" t="inlineStr">
        <is>
          <t>Not disclosed</t>
        </is>
      </c>
      <c r="Y329" s="152" t="n"/>
      <c r="Z329" s="152" t="inlineStr">
        <is>
          <t>Not disclosed</t>
        </is>
      </c>
      <c r="AA329" s="152" t="n"/>
      <c r="AB329" s="152" t="n"/>
      <c r="AC329" s="156" t="inlineStr">
        <is>
          <t>Not disclosed</t>
        </is>
      </c>
      <c r="AD329" s="156" t="n"/>
      <c r="AE329" s="152" t="n"/>
      <c r="AF329" s="152" t="inlineStr">
        <is>
          <t>Not disclosed</t>
        </is>
      </c>
      <c r="AG329" s="156" t="n"/>
      <c r="AH329" s="152" t="n"/>
      <c r="AI329" s="152" t="n"/>
      <c r="AJ329" s="156" t="inlineStr">
        <is>
          <t>Surface/USV cameras and optional payload sensors</t>
        </is>
      </c>
      <c r="AK329" s="156" t="n"/>
      <c r="AL329" s="152" t="inlineStr">
        <is>
          <t>Navigation and survey video</t>
        </is>
      </c>
      <c r="AM329" s="152" t="n"/>
      <c r="AN329" s="152" t="n"/>
      <c r="AO329" s="152" t="n"/>
      <c r="AP329" s="152" t="inlineStr">
        <is>
          <t>Not disclosed</t>
        </is>
      </c>
      <c r="AQ329" s="152" t="n"/>
      <c r="AR329" s="152" t="n"/>
      <c r="AS329" s="152" t="n"/>
      <c r="AT329" s="156" t="n"/>
      <c r="AU329" s="156" t="inlineStr">
        <is>
          <t>Not disclosed</t>
        </is>
      </c>
      <c r="AV329" s="152" t="inlineStr">
        <is>
          <t>OceanAlpha USV control systems</t>
        </is>
      </c>
      <c r="AW329" s="156" t="inlineStr">
        <is>
          <t>Not disclosed</t>
        </is>
      </c>
      <c r="AX329" s="152" t="n"/>
      <c r="AY329" s="156" t="n"/>
      <c r="AZ329" s="156" t="n"/>
      <c r="BA329" s="156" t="n"/>
      <c r="BB329" s="156" t="n"/>
      <c r="BC329" s="156" t="n"/>
      <c r="BD329" s="152" t="n"/>
      <c r="BE329" s="152" t="inlineStr">
        <is>
          <t>Not disclosed</t>
        </is>
      </c>
      <c r="BF329" s="152" t="n"/>
      <c r="BG329" s="152" t="inlineStr">
        <is>
          <t>Not disclosed</t>
        </is>
      </c>
      <c r="BH329" s="152" t="inlineStr">
        <is>
          <t>Not disclosed</t>
        </is>
      </c>
      <c r="BI329" s="152" t="inlineStr">
        <is>
          <t>Not disclosed</t>
        </is>
      </c>
      <c r="BJ329" s="152" t="inlineStr">
        <is>
          <t>Not disclosed</t>
        </is>
      </c>
      <c r="BK329" s="152" t="inlineStr">
        <is>
          <t>Not disclosed</t>
        </is>
      </c>
      <c r="BL329" s="152" t="n"/>
      <c r="BM329" s="152" t="n"/>
      <c r="BN329" s="152" t="n"/>
      <c r="BO329" s="156" t="n"/>
      <c r="BP329" s="152" t="inlineStr">
        <is>
          <t>Not disclosed</t>
        </is>
      </c>
      <c r="BQ329" s="156" t="inlineStr">
        <is>
          <t>USV</t>
        </is>
      </c>
      <c r="BR329" s="156" t="inlineStr">
        <is>
          <t>Not disclosed</t>
        </is>
      </c>
      <c r="BS329" s="156" t="n"/>
      <c r="BT329" s="152" t="n"/>
      <c r="BU329" s="152" t="n"/>
      <c r="BV329" s="156" t="inlineStr">
        <is>
          <t>Hydrographic survey; hybrid propulsion; L42 8+ days endurance</t>
        </is>
      </c>
      <c r="BW329" s="156" t="inlineStr">
        <is>
          <t>Origin &amp; status — China · 2018 | Mission — Depth Not disclosed · Payload Not disclosed | Sensing — Surface/USV cameras and optional payload sensors | Buying notes — Contact manufacturer (mid-size survey ~$100k–$500k+ est.) · 12 months limited / contract-dependent · Best fit: Hydrographic survey; hybrid propulsion; L42 8+ days…</t>
        </is>
      </c>
      <c r="BX329" s="156" t="inlineStr">
        <is>
          <t>as_shipped|L42|220000|As shipped</t>
        </is>
      </c>
      <c r="BY329" s="152" t="inlineStr">
        <is>
          <t>l42|Manufacturer finish|#e2e8f0|0</t>
        </is>
      </c>
      <c r="BZ329" s="152" t="inlineStr"/>
      <c r="CA329" s="156" t="inlineStr">
        <is>
          <t>Add-ons: case; 2 color options; Multi-year extended warranty available</t>
        </is>
      </c>
      <c r="CB329" s="156" t="inlineStr">
        <is>
          <t>12 months limited / contract-dependent</t>
        </is>
      </c>
      <c r="CC329" s="154" t="n">
        <v>12</v>
      </c>
      <c r="CD329" s="156" t="inlineStr">
        <is>
          <t>+3 Year Extended ≈24% of configuration (default in configurator)</t>
        </is>
      </c>
      <c r="CE329" s="152" t="inlineStr">
        <is>
          <t>Enterprise marine robotics norms</t>
        </is>
      </c>
      <c r="CF329" s="152" t="inlineStr">
        <is>
          <t>Estimated</t>
        </is>
      </c>
      <c r="CG329" s="156" t="inlineStr">
        <is>
          <t>Confirm inclusions and sea-trial terms on quote.</t>
        </is>
      </c>
      <c r="CH329" s="152" t="inlineStr">
        <is>
          <t>10%</t>
        </is>
      </c>
      <c r="CI329" s="152" t="inlineStr">
        <is>
          <t>17%</t>
        </is>
      </c>
      <c r="CJ329" s="152" t="inlineStr">
        <is>
          <t>24%</t>
        </is>
      </c>
      <c r="CK329"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329"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29" s="152" t="inlineStr">
        <is>
          <t>12 months limited / contract-dependent</t>
        </is>
      </c>
    </row>
    <row r="330" ht="31.5" customHeight="1" s="102">
      <c r="A330" s="143" t="inlineStr">
        <is>
          <t>oceanalpha_l30_m75_m75</t>
        </is>
      </c>
      <c r="B330" s="160" t="inlineStr">
        <is>
          <t>Website</t>
        </is>
      </c>
      <c r="C330" s="145" t="inlineStr">
        <is>
          <t>OceanAlpha</t>
        </is>
      </c>
      <c r="D330" s="145" t="inlineStr">
        <is>
          <t>M75</t>
        </is>
      </c>
      <c r="E330" s="145" t="inlineStr">
        <is>
          <t>[OceanAlpha] M75 (2018)</t>
        </is>
      </c>
      <c r="F330" s="165" t="inlineStr">
        <is>
          <t>water</t>
        </is>
      </c>
      <c r="G330" s="145" t="inlineStr">
        <is>
          <t>China</t>
        </is>
      </c>
      <c r="H330" s="147" t="n">
        <v>2018</v>
      </c>
      <c r="I330" s="148" t="n">
        <v>150000</v>
      </c>
      <c r="J330" s="145" t="inlineStr">
        <is>
          <t>5.5 m / 1.2 t patrol USV class estimate · quote-only OEM</t>
        </is>
      </c>
      <c r="K330" s="149" t="inlineStr">
        <is>
          <t>[OceanAlpha] M75 (2018) is a marine platform from OceanAlpha (China, 2018), positioned for usv.</t>
        </is>
      </c>
      <c r="L330" s="101" t="inlineStr">
        <is>
          <t>[OceanAlpha] M75 (2018) is a marine platform from OceanAlpha (China, 2018), positioned for usv.</t>
        </is>
      </c>
      <c r="M330" s="101" t="inlineStr">
        <is>
          <t>M75 is OceanAlpha's marine robot, introduced around 2018 in China. [OceanAlpha] M75 (2018) is a marine platform from OceanAlpha (China, 2018), positioned for usv.</t>
        </is>
      </c>
      <c r="N330" s="145" t="n"/>
      <c r="O330" s="145" t="inlineStr">
        <is>
          <t>https://www.oceanalpha.com</t>
        </is>
      </c>
      <c r="P330" s="145" t="n"/>
      <c r="Q330" s="145" t="n"/>
      <c r="R330" s="145" t="inlineStr">
        <is>
          <t>Not disclosed</t>
        </is>
      </c>
      <c r="S330" s="145" t="n"/>
      <c r="T330" s="149" t="inlineStr">
        <is>
          <t>Not disclosed</t>
        </is>
      </c>
      <c r="U330" s="145" t="n"/>
      <c r="V330" s="145" t="n"/>
      <c r="W330" s="149" t="n"/>
      <c r="X330" s="145" t="inlineStr">
        <is>
          <t>Not disclosed</t>
        </is>
      </c>
      <c r="Y330" s="145" t="n"/>
      <c r="Z330" s="145" t="inlineStr">
        <is>
          <t>Not disclosed</t>
        </is>
      </c>
      <c r="AA330" s="145" t="n"/>
      <c r="AB330" s="145" t="n"/>
      <c r="AC330" s="149" t="inlineStr">
        <is>
          <t>Not disclosed</t>
        </is>
      </c>
      <c r="AD330" s="149" t="n"/>
      <c r="AE330" s="145" t="n"/>
      <c r="AF330" s="145" t="inlineStr">
        <is>
          <t>Not disclosed</t>
        </is>
      </c>
      <c r="AG330" s="149" t="n"/>
      <c r="AH330" s="145" t="n"/>
      <c r="AI330" s="145" t="n"/>
      <c r="AJ330" s="149" t="inlineStr">
        <is>
          <t>USV navigation and payload cameras</t>
        </is>
      </c>
      <c r="AK330" s="149" t="n"/>
      <c r="AL330" s="145" t="inlineStr">
        <is>
          <t>Survey monitoring streams</t>
        </is>
      </c>
      <c r="AM330" s="145" t="n"/>
      <c r="AN330" s="145" t="n"/>
      <c r="AO330" s="145" t="n"/>
      <c r="AP330" s="145" t="inlineStr">
        <is>
          <t>Not disclosed</t>
        </is>
      </c>
      <c r="AQ330" s="145" t="n"/>
      <c r="AR330" s="145" t="n"/>
      <c r="AS330" s="145" t="n"/>
      <c r="AT330" s="149" t="n"/>
      <c r="AU330" s="149" t="inlineStr">
        <is>
          <t>Not disclosed</t>
        </is>
      </c>
      <c r="AV330" s="145" t="inlineStr">
        <is>
          <t>OceanAlpha GCS</t>
        </is>
      </c>
      <c r="AW330" s="149" t="inlineStr">
        <is>
          <t>Not disclosed</t>
        </is>
      </c>
      <c r="AX330" s="145" t="n"/>
      <c r="AY330" s="149" t="n"/>
      <c r="AZ330" s="149" t="n"/>
      <c r="BA330" s="149" t="n"/>
      <c r="BB330" s="149" t="n"/>
      <c r="BC330" s="149" t="n"/>
      <c r="BD330" s="145" t="n"/>
      <c r="BE330" s="145" t="inlineStr">
        <is>
          <t>Not disclosed</t>
        </is>
      </c>
      <c r="BF330" s="145" t="n"/>
      <c r="BG330" s="145" t="inlineStr">
        <is>
          <t>Not disclosed</t>
        </is>
      </c>
      <c r="BH330" s="145" t="inlineStr">
        <is>
          <t>Not disclosed</t>
        </is>
      </c>
      <c r="BI330" s="145" t="inlineStr">
        <is>
          <t>Not disclosed</t>
        </is>
      </c>
      <c r="BJ330" s="145" t="inlineStr">
        <is>
          <t>Not disclosed</t>
        </is>
      </c>
      <c r="BK330" s="145" t="inlineStr">
        <is>
          <t>Not disclosed</t>
        </is>
      </c>
      <c r="BL330" s="145" t="n"/>
      <c r="BM330" s="145" t="n"/>
      <c r="BN330" s="145" t="n"/>
      <c r="BO330" s="149" t="n"/>
      <c r="BP330" s="145" t="inlineStr">
        <is>
          <t>Not disclosed</t>
        </is>
      </c>
      <c r="BQ330" s="149" t="inlineStr">
        <is>
          <t>USV</t>
        </is>
      </c>
      <c r="BR330" s="149" t="inlineStr">
        <is>
          <t>Not disclosed</t>
        </is>
      </c>
      <c r="BS330" s="149" t="n"/>
      <c r="BT330" s="145" t="n"/>
      <c r="BU330" s="145" t="n"/>
      <c r="BV330" s="149" t="inlineStr">
        <is>
          <t>High-speed maritime safety/patrol USVs up to 36kn</t>
        </is>
      </c>
      <c r="BW330" s="149" t="inlineStr">
        <is>
          <t>Origin &amp; status — China · 2018 | Mission — Depth Not disclosed · Payload Not disclosed | Sensing — USV navigation and payload cameras | Buying notes — Contact (high-speed patrol models) · 12 months limited / contract-dependent · Best fit: High-speed maritime safety/patrol USVs up to 36kn</t>
        </is>
      </c>
      <c r="BX330" s="149" t="inlineStr">
        <is>
          <t>as_shipped|M75|150000|As shipped</t>
        </is>
      </c>
      <c r="BY330" s="145" t="inlineStr">
        <is>
          <t>m75|Manufacturer finish|#e2e8f0|0</t>
        </is>
      </c>
      <c r="BZ330" s="145" t="inlineStr"/>
      <c r="CA330" s="149" t="inlineStr">
        <is>
          <t>Add-ons: case; 2 color options; Multi-year extended warranty available</t>
        </is>
      </c>
      <c r="CB330" s="149" t="inlineStr">
        <is>
          <t>12 months limited / contract-dependent</t>
        </is>
      </c>
      <c r="CC330" s="147" t="n">
        <v>12</v>
      </c>
      <c r="CD330" s="149" t="inlineStr">
        <is>
          <t>+3 Year Extended ≈24% of configuration (default in configurator)</t>
        </is>
      </c>
      <c r="CE330" s="145" t="inlineStr">
        <is>
          <t>Enterprise marine robotics norms</t>
        </is>
      </c>
      <c r="CF330" s="145" t="inlineStr">
        <is>
          <t>Estimated</t>
        </is>
      </c>
      <c r="CG330" s="149" t="inlineStr">
        <is>
          <t>Confirm inclusions and sea-trial terms on quote.</t>
        </is>
      </c>
      <c r="CH330" s="145" t="inlineStr">
        <is>
          <t>10%</t>
        </is>
      </c>
      <c r="CI330" s="145" t="inlineStr">
        <is>
          <t>17%</t>
        </is>
      </c>
      <c r="CJ330" s="145" t="inlineStr">
        <is>
          <t>24%</t>
        </is>
      </c>
      <c r="CK330"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330"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30" s="145" t="inlineStr">
        <is>
          <t>12 months limited / contract-dependent</t>
        </is>
      </c>
    </row>
    <row r="331" ht="31.5" customHeight="1" s="102">
      <c r="A331" s="159" t="inlineStr">
        <is>
          <t>oceanalpha_m40p_sl_series_m40p_sl</t>
        </is>
      </c>
      <c r="B331" s="160" t="inlineStr">
        <is>
          <t>Website</t>
        </is>
      </c>
      <c r="C331" s="152" t="inlineStr">
        <is>
          <t>OceanAlpha</t>
        </is>
      </c>
      <c r="D331" s="152" t="inlineStr">
        <is>
          <t>M40P SL</t>
        </is>
      </c>
      <c r="E331" s="152" t="inlineStr">
        <is>
          <t>[OceanAlpha] M40P SL (2015)</t>
        </is>
      </c>
      <c r="F331" s="165" t="inlineStr">
        <is>
          <t>water</t>
        </is>
      </c>
      <c r="G331" s="152" t="inlineStr">
        <is>
          <t>China</t>
        </is>
      </c>
      <c r="H331" s="154" t="n">
        <v>2015</v>
      </c>
      <c r="I331" s="155" t="n">
        <v>85000</v>
      </c>
      <c r="J331" s="152" t="inlineStr">
        <is>
          <t>M40 compact survey USV class estimate · quote-only OEM</t>
        </is>
      </c>
      <c r="K331" s="156" t="inlineStr">
        <is>
          <t>[OceanAlpha] M40P SL (2015) is a marine platform from OceanAlpha (China, 2015), positioned for usv.</t>
        </is>
      </c>
      <c r="L331" s="101" t="inlineStr">
        <is>
          <t>[OceanAlpha] M40P SL (2015) is a marine platform from OceanAlpha (China, 2015), positioned for usv.</t>
        </is>
      </c>
      <c r="M331" s="101" t="inlineStr">
        <is>
          <t>M40P SL is OceanAlpha's marine robot, introduced around 2015 in China. [OceanAlpha] M40P SL (2015) is a marine platform from OceanAlpha (China, 2015), positioned for usv.</t>
        </is>
      </c>
      <c r="N331" s="152" t="n"/>
      <c r="O331" s="152" t="inlineStr">
        <is>
          <t>https://www.oceanalpha.com</t>
        </is>
      </c>
      <c r="P331" s="152" t="n"/>
      <c r="Q331" s="152" t="n"/>
      <c r="R331" s="152" t="inlineStr">
        <is>
          <t>Not disclosed</t>
        </is>
      </c>
      <c r="S331" s="152" t="n"/>
      <c r="T331" s="156" t="inlineStr">
        <is>
          <t>Not disclosed</t>
        </is>
      </c>
      <c r="U331" s="152" t="n"/>
      <c r="V331" s="152" t="n"/>
      <c r="W331" s="156" t="n"/>
      <c r="X331" s="152" t="inlineStr">
        <is>
          <t>Not disclosed</t>
        </is>
      </c>
      <c r="Y331" s="152" t="n"/>
      <c r="Z331" s="152" t="inlineStr">
        <is>
          <t>Not disclosed</t>
        </is>
      </c>
      <c r="AA331" s="152" t="n"/>
      <c r="AB331" s="152" t="n"/>
      <c r="AC331" s="156" t="inlineStr">
        <is>
          <t>Not disclosed</t>
        </is>
      </c>
      <c r="AD331" s="156" t="n"/>
      <c r="AE331" s="152" t="n"/>
      <c r="AF331" s="152" t="inlineStr">
        <is>
          <t>Not disclosed</t>
        </is>
      </c>
      <c r="AG331" s="156" t="n"/>
      <c r="AH331" s="152" t="n"/>
      <c r="AI331" s="152" t="n"/>
      <c r="AJ331" s="156" t="inlineStr">
        <is>
          <t>Survey USV sensor suites</t>
        </is>
      </c>
      <c r="AK331" s="156" t="n"/>
      <c r="AL331" s="152" t="inlineStr">
        <is>
          <t>Not disclosed</t>
        </is>
      </c>
      <c r="AM331" s="152" t="n"/>
      <c r="AN331" s="152" t="n"/>
      <c r="AO331" s="152" t="n"/>
      <c r="AP331" s="152" t="inlineStr">
        <is>
          <t>Not disclosed</t>
        </is>
      </c>
      <c r="AQ331" s="152" t="n"/>
      <c r="AR331" s="152" t="n"/>
      <c r="AS331" s="152" t="n"/>
      <c r="AT331" s="156" t="n"/>
      <c r="AU331" s="156" t="inlineStr">
        <is>
          <t>Not disclosed</t>
        </is>
      </c>
      <c r="AV331" s="152" t="inlineStr">
        <is>
          <t>OceanAlpha survey software</t>
        </is>
      </c>
      <c r="AW331" s="156" t="inlineStr">
        <is>
          <t>Not disclosed</t>
        </is>
      </c>
      <c r="AX331" s="152" t="n"/>
      <c r="AY331" s="156" t="n"/>
      <c r="AZ331" s="156" t="n"/>
      <c r="BA331" s="156" t="n"/>
      <c r="BB331" s="156" t="n"/>
      <c r="BC331" s="156" t="n"/>
      <c r="BD331" s="152" t="n"/>
      <c r="BE331" s="152" t="inlineStr">
        <is>
          <t>Not disclosed</t>
        </is>
      </c>
      <c r="BF331" s="152" t="n"/>
      <c r="BG331" s="152" t="inlineStr">
        <is>
          <t>Not disclosed</t>
        </is>
      </c>
      <c r="BH331" s="152" t="inlineStr">
        <is>
          <t>Not disclosed</t>
        </is>
      </c>
      <c r="BI331" s="152" t="inlineStr">
        <is>
          <t>Not disclosed</t>
        </is>
      </c>
      <c r="BJ331" s="152" t="inlineStr">
        <is>
          <t>Not disclosed</t>
        </is>
      </c>
      <c r="BK331" s="152" t="inlineStr">
        <is>
          <t>Not disclosed</t>
        </is>
      </c>
      <c r="BL331" s="152" t="n"/>
      <c r="BM331" s="152" t="n"/>
      <c r="BN331" s="152" t="n"/>
      <c r="BO331" s="156" t="n"/>
      <c r="BP331" s="152" t="inlineStr">
        <is>
          <t>Not disclosed</t>
        </is>
      </c>
      <c r="BQ331" s="156" t="inlineStr">
        <is>
          <t>USV</t>
        </is>
      </c>
      <c r="BR331" s="156" t="inlineStr">
        <is>
          <t>Not disclosed</t>
        </is>
      </c>
      <c r="BS331" s="156" t="n"/>
      <c r="BT331" s="152" t="n"/>
      <c r="BU331" s="152" t="n"/>
      <c r="BV331" s="156" t="inlineStr">
        <is>
          <t>Compact inland/coastal survey; water quality, bathymetry</t>
        </is>
      </c>
      <c r="BW331" s="156" t="inlineStr">
        <is>
          <t>Origin &amp; status — China · 2015 | Mission — Depth Not disclosed · Payload Not disclosed | Sensing — Survey USV sensor suites | Buying notes — Small models from ~$20k–$90k · 12 months limited / contract-dependent · Best fit: Compact inland/coastal survey; water quality, bathymetry</t>
        </is>
      </c>
      <c r="BX331" s="156" t="inlineStr">
        <is>
          <t>as_shipped|M40P SL|85000|As shipped</t>
        </is>
      </c>
      <c r="BY331" s="152" t="inlineStr">
        <is>
          <t>m40p_sl|Manufacturer finish|#e2e8f0|0</t>
        </is>
      </c>
      <c r="BZ331" s="152" t="inlineStr"/>
      <c r="CA331" s="156" t="inlineStr">
        <is>
          <t>Add-ons: case; 2 color options; Multi-year extended warranty available</t>
        </is>
      </c>
      <c r="CB331" s="156" t="inlineStr">
        <is>
          <t>12 months limited / contract-dependent</t>
        </is>
      </c>
      <c r="CC331" s="154" t="n">
        <v>12</v>
      </c>
      <c r="CD331" s="156" t="inlineStr">
        <is>
          <t>+3 Year Extended ≈24% of configuration (default in configurator)</t>
        </is>
      </c>
      <c r="CE331" s="152" t="inlineStr">
        <is>
          <t>Enterprise marine robotics norms</t>
        </is>
      </c>
      <c r="CF331" s="152" t="inlineStr">
        <is>
          <t>Estimated</t>
        </is>
      </c>
      <c r="CG331" s="156" t="inlineStr">
        <is>
          <t>Confirm inclusions and sea-trial terms on quote.</t>
        </is>
      </c>
      <c r="CH331" s="152" t="inlineStr">
        <is>
          <t>10%</t>
        </is>
      </c>
      <c r="CI331" s="152" t="inlineStr">
        <is>
          <t>17%</t>
        </is>
      </c>
      <c r="CJ331" s="152" t="inlineStr">
        <is>
          <t>24%</t>
        </is>
      </c>
      <c r="CK331"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331"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31" s="152" t="inlineStr">
        <is>
          <t>12 months limited / contract-dependent</t>
        </is>
      </c>
    </row>
    <row r="332" ht="31.5" customHeight="1" s="102">
      <c r="A332" s="143" t="inlineStr">
        <is>
          <t>qysea_fifish_e_go_pro_series_fifish_pro</t>
        </is>
      </c>
      <c r="B332" s="160" t="inlineStr">
        <is>
          <t>Website</t>
        </is>
      </c>
      <c r="C332" s="145" t="inlineStr">
        <is>
          <t>QYSEA</t>
        </is>
      </c>
      <c r="D332" s="145" t="inlineStr">
        <is>
          <t>FIFISH Pro</t>
        </is>
      </c>
      <c r="E332" s="145" t="inlineStr">
        <is>
          <t>[QYSEA] FIFISH Pro (2020)</t>
        </is>
      </c>
      <c r="F332" s="165" t="inlineStr">
        <is>
          <t>water</t>
        </is>
      </c>
      <c r="G332" s="145" t="inlineStr">
        <is>
          <t>China</t>
        </is>
      </c>
      <c r="H332" s="147" t="n">
        <v>2020</v>
      </c>
      <c r="I332" s="148" t="n">
        <v>3000</v>
      </c>
      <c r="J332" s="145" t="inlineStr">
        <is>
          <t>Website store</t>
        </is>
      </c>
      <c r="K332" s="149" t="inlineStr">
        <is>
          <t>[QYSEA] FIFISH Pro (2020) is a marine platform from QYSEA (China, 2020), positioned for rov.</t>
        </is>
      </c>
      <c r="L332" s="101" t="inlineStr">
        <is>
          <t>[QYSEA] FIFISH Pro (2020) is a marine platform from QYSEA (China, 2020), positioned for rov.</t>
        </is>
      </c>
      <c r="M332" s="101" t="inlineStr">
        <is>
          <t>[QYSEA] FIFISH Pro (2020) is a marine platform from QYSEA (China, 2020), positioned for rov.</t>
        </is>
      </c>
      <c r="N332" s="145" t="n"/>
      <c r="O332" s="145" t="inlineStr">
        <is>
          <t>https://www.qysea.com</t>
        </is>
      </c>
      <c r="P332" s="145" t="n"/>
      <c r="Q332" s="145" t="n"/>
      <c r="R332" s="145" t="inlineStr">
        <is>
          <t>≈ 8–12 lb class depending on model</t>
        </is>
      </c>
      <c r="S332" s="145" t="n"/>
      <c r="T332" s="149" t="inlineStr">
        <is>
          <t>Not disclosed</t>
        </is>
      </c>
      <c r="U332" s="145" t="n"/>
      <c r="V332" s="145" t="n"/>
      <c r="W332" s="149" t="n"/>
      <c r="X332" s="145" t="inlineStr">
        <is>
          <t>Not disclosed</t>
        </is>
      </c>
      <c r="Y332" s="145" t="n"/>
      <c r="Z332" s="145" t="inlineStr">
        <is>
          <t>Not disclosed</t>
        </is>
      </c>
      <c r="AA332" s="145" t="n"/>
      <c r="AB332" s="145" t="n"/>
      <c r="AC332" s="149" t="inlineStr">
        <is>
          <t>Not disclosed</t>
        </is>
      </c>
      <c r="AD332" s="149" t="n"/>
      <c r="AE332" s="145" t="n"/>
      <c r="AF332" s="145" t="inlineStr">
        <is>
          <t>Not disclosed</t>
        </is>
      </c>
      <c r="AG332" s="149" t="n"/>
      <c r="AH332" s="145" t="n"/>
      <c r="AI332" s="145" t="n"/>
      <c r="AJ332" s="149" t="inlineStr">
        <is>
          <t>4K UHD + AI tracking on Pro lines</t>
        </is>
      </c>
      <c r="AK332" s="149" t="n"/>
      <c r="AL332" s="145" t="inlineStr">
        <is>
          <t>4K; livestream</t>
        </is>
      </c>
      <c r="AM332" s="145" t="n"/>
      <c r="AN332" s="145" t="n"/>
      <c r="AO332" s="145" t="n"/>
      <c r="AP332" s="145" t="inlineStr">
        <is>
          <t>Not disclosed</t>
        </is>
      </c>
      <c r="AQ332" s="145" t="n"/>
      <c r="AR332" s="145" t="n"/>
      <c r="AS332" s="145" t="n"/>
      <c r="AT332" s="149" t="n"/>
      <c r="AU332" s="149" t="inlineStr">
        <is>
          <t>Not disclosed</t>
        </is>
      </c>
      <c r="AV332" s="145" t="inlineStr">
        <is>
          <t>QYSEA app and controllers; modular add-ons</t>
        </is>
      </c>
      <c r="AW332" s="149" t="inlineStr">
        <is>
          <t>Not disclosed</t>
        </is>
      </c>
      <c r="AX332" s="145" t="n"/>
      <c r="AY332" s="149" t="n"/>
      <c r="AZ332" s="149" t="n"/>
      <c r="BA332" s="149" t="n"/>
      <c r="BB332" s="149" t="n"/>
      <c r="BC332" s="149" t="n"/>
      <c r="BD332" s="145" t="n"/>
      <c r="BE332" s="145" t="inlineStr">
        <is>
          <t>Not disclosed</t>
        </is>
      </c>
      <c r="BF332" s="145" t="n"/>
      <c r="BG332" s="145" t="inlineStr">
        <is>
          <t>Professional depths (model-dependent; often 330–660 ft class)</t>
        </is>
      </c>
      <c r="BH332" s="145" t="inlineStr">
        <is>
          <t>Not disclosed</t>
        </is>
      </c>
      <c r="BI332" s="145" t="inlineStr">
        <is>
          <t>Multi-thousand lumen LED options</t>
        </is>
      </c>
      <c r="BJ332" s="145" t="inlineStr">
        <is>
          <t>Not disclosed</t>
        </is>
      </c>
      <c r="BK332" s="145" t="inlineStr">
        <is>
          <t>Not disclosed</t>
        </is>
      </c>
      <c r="BL332" s="145" t="n"/>
      <c r="BM332" s="145" t="n"/>
      <c r="BN332" s="145" t="n"/>
      <c r="BO332" s="149" t="n"/>
      <c r="BP332" s="145" t="inlineStr">
        <is>
          <t>Not disclosed</t>
        </is>
      </c>
      <c r="BQ332" s="149" t="inlineStr">
        <is>
          <t>ROV</t>
        </is>
      </c>
      <c r="BR332" s="149" t="inlineStr">
        <is>
          <t>Not disclosed</t>
        </is>
      </c>
      <c r="BS332" s="149" t="n"/>
      <c r="BT332" s="145" t="n"/>
      <c r="BU332" s="145" t="n"/>
      <c r="BV332" s="149" t="inlineStr">
        <is>
          <t>Modular industrial ROVs; 656 ft</t>
        </is>
      </c>
      <c r="BW332" s="149" t="inlineStr">
        <is>
          <t>Origin &amp; status — China · 2020 | Mission — Depth Professional depths (model-dependent; often 330–660 ft class) · Payload Not disclosed | Sensing — 4K UHD + AI tracking on Pro lines | Buying notes — $3,000 – $7,500+ · 12 months manufacturer standard (typical) · Best fit: Modular industrial ROVs; 656 ft</t>
        </is>
      </c>
      <c r="BX332" s="149" t="inlineStr">
        <is>
          <t>as_shipped|FIFISH Pro|3000|As shipped</t>
        </is>
      </c>
      <c r="BY332" s="145" t="inlineStr">
        <is>
          <t>fifish_pro|Manufacturer finish|#e2e8f0|0</t>
        </is>
      </c>
      <c r="BZ332" s="145" t="inlineStr"/>
      <c r="CA332" s="149" t="inlineStr">
        <is>
          <t>Add-ons: case; 2 color options; Multi-year extended warranty available</t>
        </is>
      </c>
      <c r="CB332" s="149" t="inlineStr">
        <is>
          <t>12 months manufacturer standard (typical)</t>
        </is>
      </c>
      <c r="CC332" s="147" t="n">
        <v>12</v>
      </c>
      <c r="CD332" s="149" t="inlineStr">
        <is>
          <t>+3 Year Extended ≈24% of configuration (default in configurator)</t>
        </is>
      </c>
      <c r="CE332" s="145" t="inlineStr">
        <is>
          <t>Industry default when OEM sheet not public</t>
        </is>
      </c>
      <c r="CF332" s="145" t="inlineStr">
        <is>
          <t>Estimated</t>
        </is>
      </c>
      <c r="CG332" s="149" t="inlineStr">
        <is>
          <t>Always confirm exact warranty on formal quote before purchase.</t>
        </is>
      </c>
      <c r="CH332" s="145" t="inlineStr">
        <is>
          <t>10%</t>
        </is>
      </c>
      <c r="CI332" s="145" t="inlineStr">
        <is>
          <t>17%</t>
        </is>
      </c>
      <c r="CJ332" s="145" t="inlineStr">
        <is>
          <t>24%</t>
        </is>
      </c>
      <c r="CK332"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332"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32" s="145" t="inlineStr">
        <is>
          <t>12 months manufacturer standard (typical)</t>
        </is>
      </c>
    </row>
    <row r="333" ht="31.5" customHeight="1" s="102">
      <c r="A333" s="159" t="inlineStr">
        <is>
          <t>qysea_fifish_v6_v_evo_fifish_v_evo</t>
        </is>
      </c>
      <c r="B333" s="160" t="inlineStr">
        <is>
          <t>Website</t>
        </is>
      </c>
      <c r="C333" s="152" t="inlineStr">
        <is>
          <t>QYSEA</t>
        </is>
      </c>
      <c r="D333" s="152" t="inlineStr">
        <is>
          <t>FIFISH V-EVO</t>
        </is>
      </c>
      <c r="E333" s="152" t="inlineStr">
        <is>
          <t>[QYSEA] FIFISH V-EVO (2018)</t>
        </is>
      </c>
      <c r="F333" s="165" t="inlineStr">
        <is>
          <t>water</t>
        </is>
      </c>
      <c r="G333" s="152" t="inlineStr">
        <is>
          <t>China</t>
        </is>
      </c>
      <c r="H333" s="154" t="n">
        <v>2018</v>
      </c>
      <c r="I333" s="155" t="n">
        <v>1299</v>
      </c>
      <c r="J333" s="152" t="inlineStr">
        <is>
          <t>Website store</t>
        </is>
      </c>
      <c r="K333" s="156" t="inlineStr">
        <is>
          <t>[QYSEA] FIFISH V-EVO (2018) is a marine platform from QYSEA (China, 2018), positioned for rov.</t>
        </is>
      </c>
      <c r="L333" s="101" t="inlineStr">
        <is>
          <t>[QYSEA] FIFISH V-EVO (2018) is a marine platform from QYSEA (China, 2018), positioned for rov.</t>
        </is>
      </c>
      <c r="M333" s="101" t="inlineStr">
        <is>
          <t>[QYSEA] FIFISH V-EVO (2018) is a marine platform from QYSEA (China, 2018), positioned for rov.</t>
        </is>
      </c>
      <c r="N333" s="152" t="n"/>
      <c r="O333" s="152" t="inlineStr">
        <is>
          <t>https://www.qysea.com</t>
        </is>
      </c>
      <c r="P333" s="152" t="n"/>
      <c r="Q333" s="152" t="n"/>
      <c r="R333" s="152" t="inlineStr">
        <is>
          <t>≈ 10–14 lb class</t>
        </is>
      </c>
      <c r="S333" s="152" t="n"/>
      <c r="T333" s="156" t="inlineStr">
        <is>
          <t>Not disclosed</t>
        </is>
      </c>
      <c r="U333" s="152" t="n"/>
      <c r="V333" s="152" t="n"/>
      <c r="W333" s="156" t="n"/>
      <c r="X333" s="152" t="inlineStr">
        <is>
          <t>Not disclosed</t>
        </is>
      </c>
      <c r="Y333" s="152" t="n"/>
      <c r="Z333" s="152" t="inlineStr">
        <is>
          <t>Not disclosed</t>
        </is>
      </c>
      <c r="AA333" s="152" t="n"/>
      <c r="AB333" s="152" t="n"/>
      <c r="AC333" s="156" t="inlineStr">
        <is>
          <t>Not disclosed</t>
        </is>
      </c>
      <c r="AD333" s="156" t="n"/>
      <c r="AE333" s="152" t="n"/>
      <c r="AF333" s="152" t="inlineStr">
        <is>
          <t>Not disclosed</t>
        </is>
      </c>
      <c r="AG333" s="156" t="n"/>
      <c r="AH333" s="152" t="n"/>
      <c r="AI333" s="152" t="n"/>
      <c r="AJ333" s="156" t="inlineStr">
        <is>
          <t>4K camera modules</t>
        </is>
      </c>
      <c r="AK333" s="156" t="n"/>
      <c r="AL333" s="152" t="inlineStr">
        <is>
          <t>4K recording</t>
        </is>
      </c>
      <c r="AM333" s="152" t="n"/>
      <c r="AN333" s="152" t="n"/>
      <c r="AO333" s="152" t="n"/>
      <c r="AP333" s="152" t="inlineStr">
        <is>
          <t>Not disclosed</t>
        </is>
      </c>
      <c r="AQ333" s="152" t="n"/>
      <c r="AR333" s="152" t="n"/>
      <c r="AS333" s="152" t="n"/>
      <c r="AT333" s="156" t="n"/>
      <c r="AU333" s="156" t="inlineStr">
        <is>
          <t>Not disclosed</t>
        </is>
      </c>
      <c r="AV333" s="152" t="inlineStr">
        <is>
          <t>FIFISH control software</t>
        </is>
      </c>
      <c r="AW333" s="156" t="inlineStr">
        <is>
          <t>Not disclosed</t>
        </is>
      </c>
      <c r="AX333" s="152" t="n"/>
      <c r="AY333" s="156" t="n"/>
      <c r="AZ333" s="156" t="n"/>
      <c r="BA333" s="156" t="n"/>
      <c r="BB333" s="156" t="n"/>
      <c r="BC333" s="156" t="n"/>
      <c r="BD333" s="152" t="n"/>
      <c r="BE333" s="152" t="inlineStr">
        <is>
          <t>Not disclosed</t>
        </is>
      </c>
      <c r="BF333" s="152" t="n"/>
      <c r="BG333" s="152" t="inlineStr">
        <is>
          <t>Professional ROV depth class</t>
        </is>
      </c>
      <c r="BH333" s="152" t="inlineStr">
        <is>
          <t>Not disclosed</t>
        </is>
      </c>
      <c r="BI333" s="152" t="inlineStr">
        <is>
          <t>Not disclosed</t>
        </is>
      </c>
      <c r="BJ333" s="152" t="inlineStr">
        <is>
          <t>Not disclosed</t>
        </is>
      </c>
      <c r="BK333" s="152" t="inlineStr">
        <is>
          <t>Not disclosed</t>
        </is>
      </c>
      <c r="BL333" s="152" t="n"/>
      <c r="BM333" s="152" t="n"/>
      <c r="BN333" s="152" t="n"/>
      <c r="BO333" s="156" t="n"/>
      <c r="BP333" s="152" t="inlineStr">
        <is>
          <t>Not disclosed</t>
        </is>
      </c>
      <c r="BQ333" s="156" t="inlineStr">
        <is>
          <t>ROV</t>
        </is>
      </c>
      <c r="BR333" s="156" t="inlineStr">
        <is>
          <t>Not disclosed</t>
        </is>
      </c>
      <c r="BS333" s="156" t="n"/>
      <c r="BT333" s="152" t="n"/>
      <c r="BU333" s="152" t="n"/>
      <c r="BV333" s="156" t="inlineStr">
        <is>
          <t>6DOF control; 4K; popular consumer/prosumer</t>
        </is>
      </c>
      <c r="BW333" s="156" t="inlineStr">
        <is>
          <t>Origin &amp; status — China · 2018 | Mission — Depth Professional ROV depth class · Payload Not disclosed | Sensing — 4K camera modules | Buying notes — $1,299 · 12 months manufacturer standard (typical) · Best fit: 6DOF control; 4K; popular consumer/prosumer</t>
        </is>
      </c>
      <c r="BX333" s="156" t="inlineStr">
        <is>
          <t>as_shipped|FIFISH V-EVO|1299|As shipped</t>
        </is>
      </c>
      <c r="BY333" s="152" t="inlineStr">
        <is>
          <t>fifish_v_evo|Manufacturer finish|#e2e8f0|0</t>
        </is>
      </c>
      <c r="BZ333" s="152" t="inlineStr"/>
      <c r="CA333" s="156" t="inlineStr">
        <is>
          <t>Add-ons: case; 2 color options; Multi-year extended warranty available</t>
        </is>
      </c>
      <c r="CB333" s="156" t="inlineStr">
        <is>
          <t>12 months manufacturer standard (typical)</t>
        </is>
      </c>
      <c r="CC333" s="154" t="n">
        <v>12</v>
      </c>
      <c r="CD333" s="156" t="inlineStr">
        <is>
          <t>+3 Year Extended ≈24% of configuration (default in configurator)</t>
        </is>
      </c>
      <c r="CE333" s="152" t="inlineStr">
        <is>
          <t>Industry default when OEM sheet not public</t>
        </is>
      </c>
      <c r="CF333" s="152" t="inlineStr">
        <is>
          <t>Estimated</t>
        </is>
      </c>
      <c r="CG333" s="156" t="inlineStr">
        <is>
          <t>Always confirm exact warranty on formal quote before purchase.</t>
        </is>
      </c>
      <c r="CH333" s="152" t="inlineStr">
        <is>
          <t>10%</t>
        </is>
      </c>
      <c r="CI333" s="152" t="inlineStr">
        <is>
          <t>17%</t>
        </is>
      </c>
      <c r="CJ333" s="152" t="inlineStr">
        <is>
          <t>24%</t>
        </is>
      </c>
      <c r="CK333"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333"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33" s="152" t="inlineStr">
        <is>
          <t>12 months manufacturer standard (typical)</t>
        </is>
      </c>
    </row>
    <row r="334" ht="31.5" customHeight="1" s="102">
      <c r="A334" s="159" t="inlineStr">
        <is>
          <t>saildrone_surveyor</t>
        </is>
      </c>
      <c r="B334" s="160" t="inlineStr">
        <is>
          <t>Website</t>
        </is>
      </c>
      <c r="C334" s="152" t="inlineStr">
        <is>
          <t>Saildrone</t>
        </is>
      </c>
      <c r="D334" s="152" t="inlineStr">
        <is>
          <t>Surveyor</t>
        </is>
      </c>
      <c r="E334" s="152" t="inlineStr">
        <is>
          <t>[Saildrone] Surveyor (2021)</t>
        </is>
      </c>
      <c r="F334" s="165" t="inlineStr">
        <is>
          <t>water</t>
        </is>
      </c>
      <c r="G334" s="152" t="inlineStr">
        <is>
          <t>USA</t>
        </is>
      </c>
      <c r="H334" s="154" t="n">
        <v>2021</v>
      </c>
      <c r="I334" s="155" t="n">
        <v>850000</v>
      </c>
      <c r="J334" s="152" t="inlineStr">
        <is>
          <t>Ocean Surveyor-class estimate</t>
        </is>
      </c>
      <c r="K334" s="156" t="inlineStr">
        <is>
          <t>Surveyor is Saildrone's marine robot. Survey and situational sensors; aimed at uSV.</t>
        </is>
      </c>
      <c r="L334" s="101" t="inlineStr">
        <is>
          <t>Surveyor is Saildrone's marine robot. Survey and situational sensors; aimed at uSV.</t>
        </is>
      </c>
      <c r="M334" s="101" t="inlineStr">
        <is>
          <t>Surveyor is Saildrone's marine robot. Survey and situational sensors; aimed at uSV.</t>
        </is>
      </c>
      <c r="N334" s="152" t="n"/>
      <c r="O334" s="152" t="inlineStr">
        <is>
          <t>https://www.saildrone.com</t>
        </is>
      </c>
      <c r="P334" s="152" t="n"/>
      <c r="Q334" s="152" t="n"/>
      <c r="R334" s="152" t="inlineStr">
        <is>
          <t>Not disclosed</t>
        </is>
      </c>
      <c r="S334" s="152" t="n"/>
      <c r="T334" s="156" t="inlineStr">
        <is>
          <t>Not disclosed</t>
        </is>
      </c>
      <c r="U334" s="152" t="n"/>
      <c r="V334" s="152" t="n"/>
      <c r="W334" s="156" t="n"/>
      <c r="X334" s="152" t="inlineStr">
        <is>
          <t>Not disclosed</t>
        </is>
      </c>
      <c r="Y334" s="152" t="n"/>
      <c r="Z334" s="152" t="inlineStr">
        <is>
          <t>Not disclosed</t>
        </is>
      </c>
      <c r="AA334" s="152" t="n"/>
      <c r="AB334" s="152" t="n"/>
      <c r="AC334" s="156" t="inlineStr">
        <is>
          <t>Not disclosed</t>
        </is>
      </c>
      <c r="AD334" s="156" t="n"/>
      <c r="AE334" s="152" t="n"/>
      <c r="AF334" s="152" t="inlineStr">
        <is>
          <t>Not disclosed</t>
        </is>
      </c>
      <c r="AG334" s="156" t="n"/>
      <c r="AH334" s="152" t="n"/>
      <c r="AI334" s="152" t="n"/>
      <c r="AJ334" s="156" t="inlineStr">
        <is>
          <t>Survey and situational sensors</t>
        </is>
      </c>
      <c r="AK334" s="156" t="n"/>
      <c r="AL334" s="152" t="inlineStr">
        <is>
          <t>Not disclosed</t>
        </is>
      </c>
      <c r="AM334" s="152" t="n"/>
      <c r="AN334" s="152" t="n"/>
      <c r="AO334" s="152" t="n"/>
      <c r="AP334" s="152" t="inlineStr">
        <is>
          <t>Not disclosed</t>
        </is>
      </c>
      <c r="AQ334" s="152" t="n"/>
      <c r="AR334" s="152" t="n"/>
      <c r="AS334" s="152" t="n"/>
      <c r="AT334" s="156" t="n"/>
      <c r="AU334" s="156" t="inlineStr">
        <is>
          <t>Not disclosed</t>
        </is>
      </c>
      <c r="AV334" s="152" t="inlineStr">
        <is>
          <t>Saildrone long-endurance mission control</t>
        </is>
      </c>
      <c r="AW334" s="156" t="inlineStr">
        <is>
          <t>Not disclosed</t>
        </is>
      </c>
      <c r="AX334" s="152" t="n"/>
      <c r="AY334" s="156" t="n"/>
      <c r="AZ334" s="156" t="n"/>
      <c r="BA334" s="156" t="n"/>
      <c r="BB334" s="156" t="n"/>
      <c r="BC334" s="156" t="n"/>
      <c r="BD334" s="152" t="n"/>
      <c r="BE334" s="152" t="inlineStr">
        <is>
          <t>Not disclosed</t>
        </is>
      </c>
      <c r="BF334" s="152" t="n"/>
      <c r="BG334" s="152" t="inlineStr">
        <is>
          <t>Not disclosed</t>
        </is>
      </c>
      <c r="BH334" s="152" t="inlineStr">
        <is>
          <t>Not disclosed</t>
        </is>
      </c>
      <c r="BI334" s="152" t="inlineStr">
        <is>
          <t>Not disclosed</t>
        </is>
      </c>
      <c r="BJ334" s="152" t="inlineStr">
        <is>
          <t>Not disclosed</t>
        </is>
      </c>
      <c r="BK334" s="152" t="inlineStr">
        <is>
          <t>Not disclosed</t>
        </is>
      </c>
      <c r="BL334" s="152" t="n"/>
      <c r="BM334" s="152" t="n"/>
      <c r="BN334" s="152" t="n"/>
      <c r="BO334" s="156" t="n"/>
      <c r="BP334" s="152" t="inlineStr">
        <is>
          <t>Not disclosed</t>
        </is>
      </c>
      <c r="BQ334" s="156" t="inlineStr">
        <is>
          <t>USV</t>
        </is>
      </c>
      <c r="BR334" s="156" t="inlineStr">
        <is>
          <t>Not disclosed</t>
        </is>
      </c>
      <c r="BS334" s="156" t="n"/>
      <c r="BT334" s="152" t="n"/>
      <c r="BU334" s="152" t="n"/>
      <c r="BV334" s="156" t="inlineStr">
        <is>
          <t>66 ft (65ft); bathymetry, larger payload, multi-month missions</t>
        </is>
      </c>
      <c r="BW334" s="156" t="inlineStr">
        <is>
          <t>Origin &amp; status — USA · 2021 | Mission — Depth Not disclosed · Payload Not disclosed | Sensing — Survey and situational sensors | Buying notes — ~$7.5M · 12 months / contract-dependent (enterprise USV programs) · Best fit: 66 ft (65ft); bathymetry, larger payload, multi-month missions</t>
        </is>
      </c>
      <c r="BX334" s="156" t="inlineStr">
        <is>
          <t>as_shipped|Surveyor|850000|As shipped</t>
        </is>
      </c>
      <c r="BY334" s="152" t="inlineStr">
        <is>
          <t>surveyor|Manufacturer finish|#e2e8f0|0</t>
        </is>
      </c>
      <c r="BZ334" s="152" t="inlineStr"/>
      <c r="CA334" s="156" t="inlineStr">
        <is>
          <t>Add-ons: case; 2 color options; Multi-year extended warranty available</t>
        </is>
      </c>
      <c r="CB334" s="156" t="inlineStr">
        <is>
          <t>12 months / contract-dependent (enterprise USV programs)</t>
        </is>
      </c>
      <c r="CC334" s="154" t="n">
        <v>12</v>
      </c>
      <c r="CD334" s="156" t="inlineStr">
        <is>
          <t>+3 Year Extended ≈24% of configuration (default in configurator)</t>
        </is>
      </c>
      <c r="CE334" s="152" t="inlineStr">
        <is>
          <t>Enterprise maritime autonomy programs</t>
        </is>
      </c>
      <c r="CF334" s="152" t="inlineStr">
        <is>
          <t>Estimated</t>
        </is>
      </c>
      <c r="CG334" s="156" t="inlineStr">
        <is>
          <t>Coverage typically defined in program or sales contract.</t>
        </is>
      </c>
      <c r="CH334" s="152" t="inlineStr">
        <is>
          <t>10%</t>
        </is>
      </c>
      <c r="CI334" s="152" t="inlineStr">
        <is>
          <t>17%</t>
        </is>
      </c>
      <c r="CJ334" s="152" t="inlineStr">
        <is>
          <t>24%</t>
        </is>
      </c>
      <c r="CK334"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334"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34" s="152" t="inlineStr">
        <is>
          <t>12 months / contract-dependent (enterprise USV programs)</t>
        </is>
      </c>
    </row>
    <row r="335" ht="31.5" customHeight="1" s="102">
      <c r="A335" s="143" t="inlineStr">
        <is>
          <t>saildrone_voyager</t>
        </is>
      </c>
      <c r="B335" s="160" t="inlineStr">
        <is>
          <t>Website</t>
        </is>
      </c>
      <c r="C335" s="145" t="inlineStr">
        <is>
          <t>Saildrone</t>
        </is>
      </c>
      <c r="D335" s="145" t="inlineStr">
        <is>
          <t>Voyager</t>
        </is>
      </c>
      <c r="E335" s="145" t="inlineStr">
        <is>
          <t>[Saildrone] Voyager (2023)</t>
        </is>
      </c>
      <c r="F335" s="165" t="inlineStr">
        <is>
          <t>water</t>
        </is>
      </c>
      <c r="G335" s="145" t="inlineStr">
        <is>
          <t>USA</t>
        </is>
      </c>
      <c r="H335" s="147" t="n">
        <v>2023</v>
      </c>
      <c r="I335" s="148" t="n">
        <v>400000</v>
      </c>
      <c r="J335" s="145" t="inlineStr">
        <is>
          <t>Voyager-class estimate</t>
        </is>
      </c>
      <c r="K335" s="149" t="inlineStr">
        <is>
          <t>Voyager is Saildrone's marine robot. Ocean data collection sensor suite; aimed at uSV.</t>
        </is>
      </c>
      <c r="L335" s="101" t="inlineStr">
        <is>
          <t>Voyager is Saildrone's marine robot. Ocean data collection sensor suite; aimed at uSV.</t>
        </is>
      </c>
      <c r="M335" s="101" t="inlineStr">
        <is>
          <t>Voyager is Saildrone's marine robot. Ocean data collection sensor suite; aimed at uSV.</t>
        </is>
      </c>
      <c r="N335" s="145" t="n"/>
      <c r="O335" s="145" t="inlineStr">
        <is>
          <t>https://www.saildrone.com</t>
        </is>
      </c>
      <c r="P335" s="145" t="n"/>
      <c r="Q335" s="145" t="n"/>
      <c r="R335" s="145" t="inlineStr">
        <is>
          <t>Not disclosed</t>
        </is>
      </c>
      <c r="S335" s="145" t="n"/>
      <c r="T335" s="149" t="inlineStr">
        <is>
          <t>Not disclosed</t>
        </is>
      </c>
      <c r="U335" s="145" t="n"/>
      <c r="V335" s="145" t="n"/>
      <c r="W335" s="149" t="n"/>
      <c r="X335" s="145" t="inlineStr">
        <is>
          <t>Not disclosed</t>
        </is>
      </c>
      <c r="Y335" s="145" t="n"/>
      <c r="Z335" s="145" t="inlineStr">
        <is>
          <t>Not disclosed</t>
        </is>
      </c>
      <c r="AA335" s="145" t="n"/>
      <c r="AB335" s="145" t="n"/>
      <c r="AC335" s="149" t="inlineStr">
        <is>
          <t>Not disclosed</t>
        </is>
      </c>
      <c r="AD335" s="149" t="n"/>
      <c r="AE335" s="145" t="n"/>
      <c r="AF335" s="145" t="inlineStr">
        <is>
          <t>Not disclosed</t>
        </is>
      </c>
      <c r="AG335" s="149" t="n"/>
      <c r="AH335" s="145" t="n"/>
      <c r="AI335" s="145" t="n"/>
      <c r="AJ335" s="149" t="inlineStr">
        <is>
          <t>Ocean data collection sensor suite</t>
        </is>
      </c>
      <c r="AK335" s="149" t="n"/>
      <c r="AL335" s="145" t="inlineStr">
        <is>
          <t>Not disclosed</t>
        </is>
      </c>
      <c r="AM335" s="145" t="n"/>
      <c r="AN335" s="145" t="n"/>
      <c r="AO335" s="145" t="n"/>
      <c r="AP335" s="145" t="inlineStr">
        <is>
          <t>Not disclosed</t>
        </is>
      </c>
      <c r="AQ335" s="145" t="n"/>
      <c r="AR335" s="145" t="n"/>
      <c r="AS335" s="145" t="n"/>
      <c r="AT335" s="149" t="n"/>
      <c r="AU335" s="149" t="inlineStr">
        <is>
          <t>Not disclosed</t>
        </is>
      </c>
      <c r="AV335" s="145" t="inlineStr">
        <is>
          <t>Saildrone operations</t>
        </is>
      </c>
      <c r="AW335" s="149" t="inlineStr">
        <is>
          <t>Not disclosed</t>
        </is>
      </c>
      <c r="AX335" s="145" t="n"/>
      <c r="AY335" s="149" t="n"/>
      <c r="AZ335" s="149" t="n"/>
      <c r="BA335" s="149" t="n"/>
      <c r="BB335" s="149" t="n"/>
      <c r="BC335" s="149" t="n"/>
      <c r="BD335" s="145" t="n"/>
      <c r="BE335" s="145" t="inlineStr">
        <is>
          <t>Not disclosed</t>
        </is>
      </c>
      <c r="BF335" s="145" t="n"/>
      <c r="BG335" s="145" t="inlineStr">
        <is>
          <t>Not disclosed</t>
        </is>
      </c>
      <c r="BH335" s="145" t="inlineStr">
        <is>
          <t>Not disclosed</t>
        </is>
      </c>
      <c r="BI335" s="145" t="inlineStr">
        <is>
          <t>Not disclosed</t>
        </is>
      </c>
      <c r="BJ335" s="145" t="inlineStr">
        <is>
          <t>Not disclosed</t>
        </is>
      </c>
      <c r="BK335" s="145" t="inlineStr">
        <is>
          <t>Not disclosed</t>
        </is>
      </c>
      <c r="BL335" s="145" t="n"/>
      <c r="BM335" s="145" t="n"/>
      <c r="BN335" s="145" t="n"/>
      <c r="BO335" s="149" t="n"/>
      <c r="BP335" s="145" t="inlineStr">
        <is>
          <t>Not disclosed</t>
        </is>
      </c>
      <c r="BQ335" s="149" t="inlineStr">
        <is>
          <t>USV</t>
        </is>
      </c>
      <c r="BR335" s="149" t="inlineStr">
        <is>
          <t>Not disclosed</t>
        </is>
      </c>
      <c r="BS335" s="149" t="n"/>
      <c r="BT335" s="145" t="n"/>
      <c r="BU335" s="145" t="n"/>
      <c r="BV335" s="149" t="inlineStr">
        <is>
          <t>33 ft (33ft); wind + electric; ISR, coastal mapping, 100 days endurance</t>
        </is>
      </c>
      <c r="BW335" s="149" t="inlineStr">
        <is>
          <t>Origin &amp; status — USA · 2023 | Mission — Depth Not disclosed · Payload Not disclosed | Sensing — Ocean data collection sensor suite | Buying notes — ~$1.5M purchase; ~$5,000+/day mission rate · 12 months / contract-dependent (enterprise USV programs) · Best fit: 33 ft (33ft); wind + electric; ISR, coastal mapp…</t>
        </is>
      </c>
      <c r="BX335" s="149" t="inlineStr">
        <is>
          <t>as_shipped|Voyager|400000|As shipped</t>
        </is>
      </c>
      <c r="BY335" s="145" t="inlineStr">
        <is>
          <t>voyager|Manufacturer finish|#e2e8f0|0</t>
        </is>
      </c>
      <c r="BZ335" s="145" t="inlineStr"/>
      <c r="CA335" s="149" t="inlineStr">
        <is>
          <t>Add-ons: case; 2 color options; Multi-year extended warranty available</t>
        </is>
      </c>
      <c r="CB335" s="149" t="inlineStr">
        <is>
          <t>12 months / contract-dependent (enterprise USV programs)</t>
        </is>
      </c>
      <c r="CC335" s="147" t="n">
        <v>12</v>
      </c>
      <c r="CD335" s="149" t="inlineStr">
        <is>
          <t>+3 Year Extended ≈24% of configuration (default in configurator)</t>
        </is>
      </c>
      <c r="CE335" s="145" t="inlineStr">
        <is>
          <t>Enterprise maritime autonomy programs</t>
        </is>
      </c>
      <c r="CF335" s="145" t="inlineStr">
        <is>
          <t>Estimated</t>
        </is>
      </c>
      <c r="CG335" s="149" t="inlineStr">
        <is>
          <t>Coverage typically defined in program or sales contract.</t>
        </is>
      </c>
      <c r="CH335" s="145" t="inlineStr">
        <is>
          <t>10%</t>
        </is>
      </c>
      <c r="CI335" s="145" t="inlineStr">
        <is>
          <t>17%</t>
        </is>
      </c>
      <c r="CJ335" s="145" t="inlineStr">
        <is>
          <t>24%</t>
        </is>
      </c>
      <c r="CK33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33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35" s="145" t="inlineStr">
        <is>
          <t>12 months / contract-dependent (enterprise USV programs)</t>
        </is>
      </c>
    </row>
    <row r="336" ht="31.5" customHeight="1" s="102">
      <c r="A336" s="159" t="inlineStr">
        <is>
          <t>saronic_technologies_corsair_mirage_mara</t>
        </is>
      </c>
      <c r="B336" s="160" t="inlineStr">
        <is>
          <t>Website</t>
        </is>
      </c>
      <c r="C336" s="152" t="inlineStr">
        <is>
          <t>Saronic Technologies</t>
        </is>
      </c>
      <c r="D336" s="152" t="inlineStr">
        <is>
          <t>Corsair</t>
        </is>
      </c>
      <c r="E336" s="152" t="inlineStr">
        <is>
          <t>[Saronic] Corsair (2020)</t>
        </is>
      </c>
      <c r="F336" s="165" t="inlineStr">
        <is>
          <t>water</t>
        </is>
      </c>
      <c r="G336" s="152" t="inlineStr">
        <is>
          <t>USA</t>
        </is>
      </c>
      <c r="H336" s="154" t="n">
        <v>2020</v>
      </c>
      <c r="I336" s="155" t="n">
        <v>500000</v>
      </c>
      <c r="J336" s="152" t="inlineStr">
        <is>
          <t>Defense USV class estimate · quote-only</t>
        </is>
      </c>
      <c r="K336" s="156" t="inlineStr">
        <is>
          <t>[Saronic] Corsair (2020) is a marine platform from Saronic Technologies (USA, 2020), positioned for usv.</t>
        </is>
      </c>
      <c r="L336" s="101" t="inlineStr">
        <is>
          <t>[Saronic] Corsair (2020) is a marine platform from Saronic Technologies (USA, 2020), positioned for usv.</t>
        </is>
      </c>
      <c r="M336" s="101" t="inlineStr">
        <is>
          <t>Corsair is Saronic Technologies's marine robot, introduced around 2020 in USA. [Saronic] Corsair (2020) is a marine platform from Saronic Technologies (USA, 2020), positioned for usv.</t>
        </is>
      </c>
      <c r="N336" s="152" t="n"/>
      <c r="O336" s="152" t="inlineStr">
        <is>
          <t>https://www.saronic.com</t>
        </is>
      </c>
      <c r="P336" s="152" t="n"/>
      <c r="Q336" s="152" t="n"/>
      <c r="R336" s="152" t="inlineStr">
        <is>
          <t>Not disclosed</t>
        </is>
      </c>
      <c r="S336" s="152" t="n"/>
      <c r="T336" s="156" t="inlineStr">
        <is>
          <t>Not disclosed</t>
        </is>
      </c>
      <c r="U336" s="152" t="n"/>
      <c r="V336" s="152" t="n"/>
      <c r="W336" s="156" t="n"/>
      <c r="X336" s="152" t="inlineStr">
        <is>
          <t>Not disclosed</t>
        </is>
      </c>
      <c r="Y336" s="152" t="n"/>
      <c r="Z336" s="152" t="inlineStr">
        <is>
          <t>Not disclosed</t>
        </is>
      </c>
      <c r="AA336" s="152" t="n"/>
      <c r="AB336" s="152" t="n"/>
      <c r="AC336" s="156" t="inlineStr">
        <is>
          <t>Not disclosed</t>
        </is>
      </c>
      <c r="AD336" s="156" t="n"/>
      <c r="AE336" s="152" t="n"/>
      <c r="AF336" s="152" t="inlineStr">
        <is>
          <t>Not disclosed</t>
        </is>
      </c>
      <c r="AG336" s="156" t="n"/>
      <c r="AH336" s="152" t="n"/>
      <c r="AI336" s="152" t="n"/>
      <c r="AJ336" s="156" t="inlineStr">
        <is>
          <t>Autonomous surface vessel sensor suites</t>
        </is>
      </c>
      <c r="AK336" s="156" t="n"/>
      <c r="AL336" s="152" t="inlineStr">
        <is>
          <t>Maritime autonomy and ISR video</t>
        </is>
      </c>
      <c r="AM336" s="152" t="n"/>
      <c r="AN336" s="152" t="n"/>
      <c r="AO336" s="152" t="n"/>
      <c r="AP336" s="152" t="inlineStr">
        <is>
          <t>Not disclosed</t>
        </is>
      </c>
      <c r="AQ336" s="152" t="n"/>
      <c r="AR336" s="152" t="n"/>
      <c r="AS336" s="152" t="n"/>
      <c r="AT336" s="156" t="n"/>
      <c r="AU336" s="156" t="inlineStr">
        <is>
          <t>Not disclosed</t>
        </is>
      </c>
      <c r="AV336" s="152" t="inlineStr">
        <is>
          <t>Saronic autonomous USV software</t>
        </is>
      </c>
      <c r="AW336" s="156" t="inlineStr">
        <is>
          <t>Not disclosed</t>
        </is>
      </c>
      <c r="AX336" s="152" t="n"/>
      <c r="AY336" s="156" t="n"/>
      <c r="AZ336" s="156" t="n"/>
      <c r="BA336" s="156" t="n"/>
      <c r="BB336" s="156" t="n"/>
      <c r="BC336" s="156" t="n"/>
      <c r="BD336" s="152" t="n"/>
      <c r="BE336" s="152" t="inlineStr">
        <is>
          <t>Not disclosed</t>
        </is>
      </c>
      <c r="BF336" s="152" t="n"/>
      <c r="BG336" s="152" t="inlineStr">
        <is>
          <t>Not disclosed</t>
        </is>
      </c>
      <c r="BH336" s="152" t="inlineStr">
        <is>
          <t>Not disclosed</t>
        </is>
      </c>
      <c r="BI336" s="152" t="inlineStr">
        <is>
          <t>Not disclosed</t>
        </is>
      </c>
      <c r="BJ336" s="152" t="inlineStr">
        <is>
          <t>Not disclosed</t>
        </is>
      </c>
      <c r="BK336" s="152" t="inlineStr">
        <is>
          <t>Not disclosed</t>
        </is>
      </c>
      <c r="BL336" s="152" t="n"/>
      <c r="BM336" s="152" t="n"/>
      <c r="BN336" s="152" t="n"/>
      <c r="BO336" s="156" t="n"/>
      <c r="BP336" s="152" t="inlineStr">
        <is>
          <t>Not disclosed</t>
        </is>
      </c>
      <c r="BQ336" s="156" t="inlineStr">
        <is>
          <t>USV</t>
        </is>
      </c>
      <c r="BR336" s="156" t="inlineStr">
        <is>
          <t>Not disclosed</t>
        </is>
      </c>
      <c r="BS336" s="156" t="n"/>
      <c r="BT336" s="152" t="n"/>
      <c r="BU336" s="152" t="n"/>
      <c r="BV336" s="156" t="inlineStr">
        <is>
          <t>24–180ft class; AI autonomy; high production ambitions</t>
        </is>
      </c>
      <c r="BW336" s="156" t="inlineStr">
        <is>
          <t>Origin &amp; status — USA · 2020 | Mission — Depth Not disclosed · Payload Not disclosed | Sensing — Autonomous surface vessel sensor suites | Buying notes — Defense / Contact · 12 months limited / contract-dependent · Best fit: 24–180ft class; AI autonomy; high production ambitions</t>
        </is>
      </c>
      <c r="BX336" s="156" t="inlineStr">
        <is>
          <t>as_shipped|Corsair|500000|As shipped</t>
        </is>
      </c>
      <c r="BY336" s="152" t="inlineStr">
        <is>
          <t>corsair|Manufacturer finish|#e2e8f0|0</t>
        </is>
      </c>
      <c r="BZ336" s="152" t="inlineStr"/>
      <c r="CA336" s="156" t="inlineStr">
        <is>
          <t>Add-ons: case; 2 color options; Multi-year extended warranty available</t>
        </is>
      </c>
      <c r="CB336" s="156" t="inlineStr">
        <is>
          <t>12 months limited / contract-dependent</t>
        </is>
      </c>
      <c r="CC336" s="154" t="n">
        <v>12</v>
      </c>
      <c r="CD336" s="156" t="inlineStr">
        <is>
          <t>+3 Year Extended ≈24% of configuration (default in configurator)</t>
        </is>
      </c>
      <c r="CE336" s="152" t="inlineStr">
        <is>
          <t>Enterprise marine robotics norms</t>
        </is>
      </c>
      <c r="CF336" s="152" t="inlineStr">
        <is>
          <t>Estimated</t>
        </is>
      </c>
      <c r="CG336" s="156" t="inlineStr">
        <is>
          <t>Confirm inclusions and sea-trial terms on quote.</t>
        </is>
      </c>
      <c r="CH336" s="152" t="inlineStr">
        <is>
          <t>10%</t>
        </is>
      </c>
      <c r="CI336" s="152" t="inlineStr">
        <is>
          <t>17%</t>
        </is>
      </c>
      <c r="CJ336" s="152" t="inlineStr">
        <is>
          <t>24%</t>
        </is>
      </c>
      <c r="CK336"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336"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36" s="152" t="inlineStr">
        <is>
          <t>12 months limited / contract-dependent</t>
        </is>
      </c>
    </row>
    <row r="337" ht="31.5" customHeight="1" s="102">
      <c r="A337" s="159" t="inlineStr">
        <is>
          <t>saronic_technologies_corsair_mirage_mara_mirage</t>
        </is>
      </c>
      <c r="B337" s="160" t="inlineStr">
        <is>
          <t>Website</t>
        </is>
      </c>
      <c r="C337" s="152" t="inlineStr">
        <is>
          <t>Saronic Technologies</t>
        </is>
      </c>
      <c r="D337" s="152" t="inlineStr">
        <is>
          <t>Mirage</t>
        </is>
      </c>
      <c r="E337" s="152" t="inlineStr">
        <is>
          <t>[Saronic] Mirage (2020)</t>
        </is>
      </c>
      <c r="F337" s="165" t="inlineStr">
        <is>
          <t>water</t>
        </is>
      </c>
      <c r="G337" s="152" t="inlineStr">
        <is>
          <t>USA</t>
        </is>
      </c>
      <c r="H337" s="154" t="n">
        <v>2020</v>
      </c>
      <c r="I337" s="155" t="n">
        <v>900000</v>
      </c>
      <c r="J337" s="152" t="inlineStr">
        <is>
          <t>Defense USV class estimate · quote-only</t>
        </is>
      </c>
      <c r="K337" s="156" t="inlineStr">
        <is>
          <t>[Saronic] Mirage (2020) is a marine platform from Saronic Technologies (USA, 2020), positioned for usv.</t>
        </is>
      </c>
      <c r="L337" s="101" t="inlineStr">
        <is>
          <t>[Saronic] Mirage (2020) is a marine platform from Saronic Technologies (USA, 2020), positioned for usv.</t>
        </is>
      </c>
      <c r="M337" s="101" t="inlineStr">
        <is>
          <t>Mirage is Saronic Technologies's marine robot, introduced around 2020 in USA. [Saronic] Mirage (2020) is a marine platform from Saronic Technologies (USA, 2020), positioned for usv.</t>
        </is>
      </c>
      <c r="N337" s="152" t="n"/>
      <c r="O337" s="152" t="inlineStr">
        <is>
          <t>https://www.saronic.com</t>
        </is>
      </c>
      <c r="P337" s="152" t="n"/>
      <c r="Q337" s="152" t="n"/>
      <c r="R337" s="152" t="inlineStr">
        <is>
          <t>Not disclosed</t>
        </is>
      </c>
      <c r="S337" s="152" t="n"/>
      <c r="T337" s="156" t="inlineStr">
        <is>
          <t>Not disclosed</t>
        </is>
      </c>
      <c r="U337" s="152" t="n"/>
      <c r="V337" s="152" t="n"/>
      <c r="W337" s="156" t="n"/>
      <c r="X337" s="152" t="inlineStr">
        <is>
          <t>Not disclosed</t>
        </is>
      </c>
      <c r="Y337" s="152" t="n"/>
      <c r="Z337" s="152" t="inlineStr">
        <is>
          <t>Not disclosed</t>
        </is>
      </c>
      <c r="AA337" s="152" t="n"/>
      <c r="AB337" s="152" t="n"/>
      <c r="AC337" s="156" t="inlineStr">
        <is>
          <t>Not disclosed</t>
        </is>
      </c>
      <c r="AD337" s="156" t="n"/>
      <c r="AE337" s="152" t="n"/>
      <c r="AF337" s="152" t="inlineStr">
        <is>
          <t>Not disclosed</t>
        </is>
      </c>
      <c r="AG337" s="156" t="n"/>
      <c r="AH337" s="152" t="n"/>
      <c r="AI337" s="152" t="n"/>
      <c r="AJ337" s="156" t="inlineStr">
        <is>
          <t>Autonomous surface vessel sensor suites</t>
        </is>
      </c>
      <c r="AK337" s="156" t="n"/>
      <c r="AL337" s="152" t="inlineStr">
        <is>
          <t>Maritime autonomy and ISR video</t>
        </is>
      </c>
      <c r="AM337" s="152" t="n"/>
      <c r="AN337" s="152" t="n"/>
      <c r="AO337" s="152" t="n"/>
      <c r="AP337" s="152" t="inlineStr">
        <is>
          <t>Not disclosed</t>
        </is>
      </c>
      <c r="AQ337" s="152" t="n"/>
      <c r="AR337" s="152" t="n"/>
      <c r="AS337" s="152" t="n"/>
      <c r="AT337" s="156" t="n"/>
      <c r="AU337" s="156" t="inlineStr">
        <is>
          <t>Not disclosed</t>
        </is>
      </c>
      <c r="AV337" s="152" t="inlineStr">
        <is>
          <t>Saronic autonomous USV software</t>
        </is>
      </c>
      <c r="AW337" s="156" t="inlineStr">
        <is>
          <t>Not disclosed</t>
        </is>
      </c>
      <c r="AX337" s="152" t="n"/>
      <c r="AY337" s="156" t="n"/>
      <c r="AZ337" s="156" t="n"/>
      <c r="BA337" s="156" t="n"/>
      <c r="BB337" s="156" t="n"/>
      <c r="BC337" s="156" t="n"/>
      <c r="BD337" s="152" t="n"/>
      <c r="BE337" s="152" t="inlineStr">
        <is>
          <t>Not disclosed</t>
        </is>
      </c>
      <c r="BF337" s="152" t="n"/>
      <c r="BG337" s="152" t="inlineStr">
        <is>
          <t>Not disclosed</t>
        </is>
      </c>
      <c r="BH337" s="152" t="inlineStr">
        <is>
          <t>Not disclosed</t>
        </is>
      </c>
      <c r="BI337" s="152" t="inlineStr">
        <is>
          <t>Not disclosed</t>
        </is>
      </c>
      <c r="BJ337" s="152" t="inlineStr">
        <is>
          <t>Not disclosed</t>
        </is>
      </c>
      <c r="BK337" s="152" t="inlineStr">
        <is>
          <t>Not disclosed</t>
        </is>
      </c>
      <c r="BL337" s="152" t="n"/>
      <c r="BM337" s="152" t="n"/>
      <c r="BN337" s="152" t="n"/>
      <c r="BO337" s="156" t="n"/>
      <c r="BP337" s="152" t="inlineStr">
        <is>
          <t>Not disclosed</t>
        </is>
      </c>
      <c r="BQ337" s="156" t="inlineStr">
        <is>
          <t>USV</t>
        </is>
      </c>
      <c r="BR337" s="156" t="inlineStr">
        <is>
          <t>Not disclosed</t>
        </is>
      </c>
      <c r="BS337" s="156" t="n"/>
      <c r="BT337" s="152" t="n"/>
      <c r="BU337" s="152" t="n"/>
      <c r="BV337" s="156" t="inlineStr">
        <is>
          <t>24–180ft class; AI autonomy; high production ambitions</t>
        </is>
      </c>
      <c r="BW337" s="156" t="inlineStr">
        <is>
          <t>Origin &amp; status — USA · 2020 | Mission — Depth Not disclosed · Payload Not disclosed | Sensing — Autonomous surface vessel sensor suites | Buying notes — Defense / Contact · 12 months limited / contract-dependent · Best fit: 24–180ft class; AI autonomy; high production ambitions</t>
        </is>
      </c>
      <c r="BX337" s="156" t="inlineStr">
        <is>
          <t>as_shipped|Mirage|900000|As shipped</t>
        </is>
      </c>
      <c r="BY337" s="152" t="inlineStr">
        <is>
          <t>mirage|Manufacturer finish|#e2e8f0|0</t>
        </is>
      </c>
      <c r="BZ337" s="152" t="inlineStr"/>
      <c r="CA337" s="156" t="inlineStr">
        <is>
          <t>Add-ons: case; 2 color options; Multi-year extended warranty available</t>
        </is>
      </c>
      <c r="CB337" s="156" t="inlineStr">
        <is>
          <t>12 months limited / contract-dependent</t>
        </is>
      </c>
      <c r="CC337" s="154" t="n">
        <v>12</v>
      </c>
      <c r="CD337" s="156" t="inlineStr">
        <is>
          <t>+3 Year Extended ≈24% of configuration (default in configurator)</t>
        </is>
      </c>
      <c r="CE337" s="152" t="inlineStr">
        <is>
          <t>Enterprise marine robotics norms</t>
        </is>
      </c>
      <c r="CF337" s="152" t="inlineStr">
        <is>
          <t>Estimated</t>
        </is>
      </c>
      <c r="CG337" s="156" t="inlineStr">
        <is>
          <t>Confirm inclusions and sea-trial terms on quote.</t>
        </is>
      </c>
      <c r="CH337" s="152" t="inlineStr">
        <is>
          <t>10%</t>
        </is>
      </c>
      <c r="CI337" s="152" t="inlineStr">
        <is>
          <t>17%</t>
        </is>
      </c>
      <c r="CJ337" s="152" t="inlineStr">
        <is>
          <t>24%</t>
        </is>
      </c>
      <c r="CK337"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337"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37" s="152" t="inlineStr">
        <is>
          <t>12 months limited / contract-dependent</t>
        </is>
      </c>
    </row>
    <row r="338" ht="31.5" customHeight="1" s="102">
      <c r="A338" s="159" t="inlineStr">
        <is>
          <t>saronic_technologies_corsair_mirage_mara_maraude</t>
        </is>
      </c>
      <c r="B338" s="160" t="inlineStr">
        <is>
          <t>Website</t>
        </is>
      </c>
      <c r="C338" s="152" t="inlineStr">
        <is>
          <t>Saronic Technologies</t>
        </is>
      </c>
      <c r="D338" s="152" t="inlineStr">
        <is>
          <t>Marauder</t>
        </is>
      </c>
      <c r="E338" s="152" t="inlineStr">
        <is>
          <t>[Saronic] Marauder (2020)</t>
        </is>
      </c>
      <c r="F338" s="165" t="inlineStr">
        <is>
          <t>water</t>
        </is>
      </c>
      <c r="G338" s="152" t="inlineStr">
        <is>
          <t>USA</t>
        </is>
      </c>
      <c r="H338" s="154" t="n">
        <v>2020</v>
      </c>
      <c r="I338" s="155" t="n">
        <v>2500000</v>
      </c>
      <c r="J338" s="152" t="inlineStr">
        <is>
          <t>Large defense USV class estimate · quote-only</t>
        </is>
      </c>
      <c r="K338" s="156" t="inlineStr">
        <is>
          <t>[Saronic] Marauder (2020) is a marine platform from Saronic Technologies (USA, 2020), positioned for usv.</t>
        </is>
      </c>
      <c r="L338" s="101" t="inlineStr">
        <is>
          <t>[Saronic] Marauder (2020) is a marine platform from Saronic Technologies (USA, 2020), positioned for usv.</t>
        </is>
      </c>
      <c r="M338" s="101" t="inlineStr">
        <is>
          <t>Marauder is Saronic Technologies's marine robot, introduced around 2020 in USA. [Saronic] Marauder (2020) is a marine platform from Saronic Technologies (USA, 2020), positioned for usv.</t>
        </is>
      </c>
      <c r="N338" s="152" t="n"/>
      <c r="O338" s="152" t="inlineStr">
        <is>
          <t>https://www.saronic.com</t>
        </is>
      </c>
      <c r="P338" s="152" t="n"/>
      <c r="Q338" s="152" t="n"/>
      <c r="R338" s="152" t="inlineStr">
        <is>
          <t>Not disclosed</t>
        </is>
      </c>
      <c r="S338" s="152" t="n"/>
      <c r="T338" s="156" t="inlineStr">
        <is>
          <t>Not disclosed</t>
        </is>
      </c>
      <c r="U338" s="152" t="n"/>
      <c r="V338" s="152" t="n"/>
      <c r="W338" s="156" t="n"/>
      <c r="X338" s="152" t="inlineStr">
        <is>
          <t>Not disclosed</t>
        </is>
      </c>
      <c r="Y338" s="152" t="n"/>
      <c r="Z338" s="152" t="inlineStr">
        <is>
          <t>Not disclosed</t>
        </is>
      </c>
      <c r="AA338" s="152" t="n"/>
      <c r="AB338" s="152" t="n"/>
      <c r="AC338" s="156" t="inlineStr">
        <is>
          <t>Not disclosed</t>
        </is>
      </c>
      <c r="AD338" s="156" t="n"/>
      <c r="AE338" s="152" t="n"/>
      <c r="AF338" s="152" t="inlineStr">
        <is>
          <t>Not disclosed</t>
        </is>
      </c>
      <c r="AG338" s="156" t="n"/>
      <c r="AH338" s="152" t="n"/>
      <c r="AI338" s="152" t="n"/>
      <c r="AJ338" s="156" t="inlineStr">
        <is>
          <t>Autonomous surface vessel sensor suites</t>
        </is>
      </c>
      <c r="AK338" s="156" t="n"/>
      <c r="AL338" s="152" t="inlineStr">
        <is>
          <t>Maritime autonomy and ISR video</t>
        </is>
      </c>
      <c r="AM338" s="152" t="n"/>
      <c r="AN338" s="152" t="n"/>
      <c r="AO338" s="152" t="n"/>
      <c r="AP338" s="152" t="inlineStr">
        <is>
          <t>Not disclosed</t>
        </is>
      </c>
      <c r="AQ338" s="152" t="n"/>
      <c r="AR338" s="152" t="n"/>
      <c r="AS338" s="152" t="n"/>
      <c r="AT338" s="156" t="n"/>
      <c r="AU338" s="156" t="inlineStr">
        <is>
          <t>Not disclosed</t>
        </is>
      </c>
      <c r="AV338" s="152" t="inlineStr">
        <is>
          <t>Saronic autonomous USV software</t>
        </is>
      </c>
      <c r="AW338" s="156" t="inlineStr">
        <is>
          <t>Not disclosed</t>
        </is>
      </c>
      <c r="AX338" s="152" t="n"/>
      <c r="AY338" s="156" t="n"/>
      <c r="AZ338" s="156" t="n"/>
      <c r="BA338" s="156" t="n"/>
      <c r="BB338" s="156" t="n"/>
      <c r="BC338" s="156" t="n"/>
      <c r="BD338" s="152" t="n"/>
      <c r="BE338" s="152" t="inlineStr">
        <is>
          <t>Not disclosed</t>
        </is>
      </c>
      <c r="BF338" s="152" t="n"/>
      <c r="BG338" s="152" t="inlineStr">
        <is>
          <t>Not disclosed</t>
        </is>
      </c>
      <c r="BH338" s="152" t="inlineStr">
        <is>
          <t>Not disclosed</t>
        </is>
      </c>
      <c r="BI338" s="152" t="inlineStr">
        <is>
          <t>Not disclosed</t>
        </is>
      </c>
      <c r="BJ338" s="152" t="inlineStr">
        <is>
          <t>Not disclosed</t>
        </is>
      </c>
      <c r="BK338" s="152" t="inlineStr">
        <is>
          <t>Not disclosed</t>
        </is>
      </c>
      <c r="BL338" s="152" t="n"/>
      <c r="BM338" s="152" t="n"/>
      <c r="BN338" s="152" t="n"/>
      <c r="BO338" s="156" t="n"/>
      <c r="BP338" s="152" t="inlineStr">
        <is>
          <t>Not disclosed</t>
        </is>
      </c>
      <c r="BQ338" s="156" t="inlineStr">
        <is>
          <t>USV</t>
        </is>
      </c>
      <c r="BR338" s="156" t="inlineStr">
        <is>
          <t>Not disclosed</t>
        </is>
      </c>
      <c r="BS338" s="156" t="n"/>
      <c r="BT338" s="152" t="n"/>
      <c r="BU338" s="152" t="n"/>
      <c r="BV338" s="156" t="inlineStr">
        <is>
          <t>24–180ft class; AI autonomy; high production ambitions</t>
        </is>
      </c>
      <c r="BW338" s="156" t="inlineStr">
        <is>
          <t>Origin &amp; status — USA · 2020 | Mission — Depth Not disclosed · Payload Not disclosed | Sensing — Autonomous surface vessel sensor suites | Buying notes — Defense / Contact · 12 months limited / contract-dependent · Best fit: 24–180ft class; AI autonomy; high production ambitions</t>
        </is>
      </c>
      <c r="BX338" s="156" t="inlineStr">
        <is>
          <t>as_shipped|Marauder|2500000|As shipped</t>
        </is>
      </c>
      <c r="BY338" s="152" t="inlineStr">
        <is>
          <t>marauder|Manufacturer finish|#e2e8f0|0</t>
        </is>
      </c>
      <c r="BZ338" s="152" t="inlineStr"/>
      <c r="CA338" s="156" t="inlineStr">
        <is>
          <t>Add-ons: case; 2 color options; Multi-year extended warranty available</t>
        </is>
      </c>
      <c r="CB338" s="156" t="inlineStr">
        <is>
          <t>12 months limited / contract-dependent</t>
        </is>
      </c>
      <c r="CC338" s="154" t="n">
        <v>12</v>
      </c>
      <c r="CD338" s="156" t="inlineStr">
        <is>
          <t>+3 Year Extended ≈24% of configuration (default in configurator)</t>
        </is>
      </c>
      <c r="CE338" s="152" t="inlineStr">
        <is>
          <t>Enterprise marine robotics norms</t>
        </is>
      </c>
      <c r="CF338" s="152" t="inlineStr">
        <is>
          <t>Estimated</t>
        </is>
      </c>
      <c r="CG338" s="156" t="inlineStr">
        <is>
          <t>Confirm inclusions and sea-trial terms on quote.</t>
        </is>
      </c>
      <c r="CH338" s="152" t="inlineStr">
        <is>
          <t>10%</t>
        </is>
      </c>
      <c r="CI338" s="152" t="inlineStr">
        <is>
          <t>17%</t>
        </is>
      </c>
      <c r="CJ338" s="152" t="inlineStr">
        <is>
          <t>24%</t>
        </is>
      </c>
      <c r="CK338"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338"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38" s="152" t="inlineStr">
        <is>
          <t>12 months limited / contract-dependent</t>
        </is>
      </c>
    </row>
    <row r="339" ht="31.5" customHeight="1" s="102">
      <c r="A339" s="143" t="inlineStr">
        <is>
          <t>videoray_mission_specialist_series_a</t>
        </is>
      </c>
      <c r="B339" s="160" t="inlineStr">
        <is>
          <t>Website</t>
        </is>
      </c>
      <c r="C339" s="145" t="inlineStr">
        <is>
          <t>VideoRay</t>
        </is>
      </c>
      <c r="D339" s="145" t="inlineStr">
        <is>
          <t>Mission Specialist</t>
        </is>
      </c>
      <c r="E339" s="145" t="inlineStr">
        <is>
          <t>[VideoRay] Mission Specialist (2010)</t>
        </is>
      </c>
      <c r="F339" s="165" t="inlineStr">
        <is>
          <t>water</t>
        </is>
      </c>
      <c r="G339" s="145" t="inlineStr">
        <is>
          <t>USA</t>
        </is>
      </c>
      <c r="H339" s="147" t="n">
        <v>2010</v>
      </c>
      <c r="I339" s="148" t="n">
        <v>35000</v>
      </c>
      <c r="J339" s="145" t="inlineStr">
        <is>
          <t>MSS base configured estimate</t>
        </is>
      </c>
      <c r="K339" s="149" t="inlineStr">
        <is>
          <t>[VideoRay] Mission Specialist (2010) is a marine platform from VideoRay (USA, 2010), positioned for rov.</t>
        </is>
      </c>
      <c r="L339" s="101" t="inlineStr">
        <is>
          <t>[VideoRay] Mission Specialist (2010) is a marine platform from VideoRay (USA, 2010), positioned for rov.</t>
        </is>
      </c>
      <c r="M339" s="101" t="inlineStr">
        <is>
          <t>Mission Specialist is VideoRay's marine robot, introduced around 2010 in USA. [VideoRay] Mission Specialist (2010) is a marine platform from VideoRay (USA, 2010), positioned for rov.</t>
        </is>
      </c>
      <c r="N339" s="145" t="n"/>
      <c r="O339" s="145" t="inlineStr">
        <is>
          <t>https://videoray.com</t>
        </is>
      </c>
      <c r="P339" s="145" t="n"/>
      <c r="Q339" s="145" t="n"/>
      <c r="R339" s="145" t="inlineStr">
        <is>
          <t>≈ 20–40 lb class depending on vehicle (Ally / Wraith / Defender)</t>
        </is>
      </c>
      <c r="S339" s="145" t="n"/>
      <c r="T339" s="149" t="inlineStr">
        <is>
          <t>Not disclosed</t>
        </is>
      </c>
      <c r="U339" s="145" t="n"/>
      <c r="V339" s="145" t="n"/>
      <c r="W339" s="149" t="n"/>
      <c r="X339" s="145" t="inlineStr">
        <is>
          <t>Not disclosed</t>
        </is>
      </c>
      <c r="Y339" s="145" t="n"/>
      <c r="Z339" s="145" t="inlineStr">
        <is>
          <t>Not disclosed</t>
        </is>
      </c>
      <c r="AA339" s="145" t="n"/>
      <c r="AB339" s="145" t="n"/>
      <c r="AC339" s="149" t="inlineStr">
        <is>
          <t>Not disclosed</t>
        </is>
      </c>
      <c r="AD339" s="149" t="n"/>
      <c r="AE339" s="145" t="n"/>
      <c r="AF339" s="145" t="inlineStr">
        <is>
          <t>Not disclosed</t>
        </is>
      </c>
      <c r="AG339" s="149" t="n"/>
      <c r="AH339" s="145" t="n"/>
      <c r="AI339" s="145" t="n"/>
      <c r="AJ339" s="149" t="inlineStr">
        <is>
          <t>HD/4K and sonar payload options</t>
        </is>
      </c>
      <c r="AK339" s="149" t="n"/>
      <c r="AL339" s="145" t="inlineStr">
        <is>
          <t>Mission video + sensor overlays</t>
        </is>
      </c>
      <c r="AM339" s="145" t="n"/>
      <c r="AN339" s="145" t="n"/>
      <c r="AO339" s="145" t="n"/>
      <c r="AP339" s="145" t="inlineStr">
        <is>
          <t>Not disclosed</t>
        </is>
      </c>
      <c r="AQ339" s="145" t="n"/>
      <c r="AR339" s="145" t="n"/>
      <c r="AS339" s="145" t="n"/>
      <c r="AT339" s="149" t="n"/>
      <c r="AU339" s="149" t="inlineStr">
        <is>
          <t>Not disclosed</t>
        </is>
      </c>
      <c r="AV339" s="145" t="inlineStr">
        <is>
          <t>Surface controller and manufacturer software</t>
        </is>
      </c>
      <c r="AW339" s="149" t="inlineStr">
        <is>
          <t>Not disclosed</t>
        </is>
      </c>
      <c r="AX339" s="145" t="n"/>
      <c r="AY339" s="149" t="n"/>
      <c r="AZ339" s="149" t="n"/>
      <c r="BA339" s="149" t="n"/>
      <c r="BB339" s="149" t="n"/>
      <c r="BC339" s="149" t="n"/>
      <c r="BD339" s="145" t="n"/>
      <c r="BE339" s="145" t="inlineStr">
        <is>
          <t>Not disclosed</t>
        </is>
      </c>
      <c r="BF339" s="145" t="n"/>
      <c r="BG339" s="145" t="inlineStr">
        <is>
          <t>Professional/military ROV ratings by vehicle (hundreds to 1,000+ ft)</t>
        </is>
      </c>
      <c r="BH339" s="145" t="inlineStr">
        <is>
          <t>Not disclosed</t>
        </is>
      </c>
      <c r="BI339" s="145" t="inlineStr">
        <is>
          <t>LED illumination for underwater inspection when equipped</t>
        </is>
      </c>
      <c r="BJ339" s="145" t="inlineStr">
        <is>
          <t>Not disclosed</t>
        </is>
      </c>
      <c r="BK339" s="145" t="inlineStr">
        <is>
          <t>Not disclosed</t>
        </is>
      </c>
      <c r="BL339" s="145" t="n"/>
      <c r="BM339" s="145" t="n"/>
      <c r="BN339" s="145" t="n"/>
      <c r="BO339" s="149" t="n"/>
      <c r="BP339" s="145" t="inlineStr">
        <is>
          <t>Not disclosed</t>
        </is>
      </c>
      <c r="BQ339" s="149" t="inlineStr">
        <is>
          <t>ROV</t>
        </is>
      </c>
      <c r="BR339" s="149" t="inlineStr">
        <is>
          <t>Not disclosed</t>
        </is>
      </c>
      <c r="BS339" s="149" t="n"/>
      <c r="BT339" s="145" t="n"/>
      <c r="BU339" s="145" t="n"/>
      <c r="BV339" s="149" t="inlineStr">
        <is>
          <t>Man-portable; US Navy standard; inspection, EOD, ISR</t>
        </is>
      </c>
      <c r="BW339" s="149" t="inlineStr">
        <is>
          <t>Origin &amp; status — USA · 2010 | Mission — Depth Professional/military ROV ratings by vehicle (hundreds to 1,000+ ft) · Payload Not disclosed | Sensing — HD/4K and sonar payload options | Buying notes — $35,000 · 12 months manufacturer standard (typical) · Best fit: Man-portable; US Navy standard; inspection, EOD, ISR</t>
        </is>
      </c>
      <c r="BX339" s="149" t="inlineStr">
        <is>
          <t>as_shipped|Mission Specialist|35000|As shipped</t>
        </is>
      </c>
      <c r="BY339" s="145" t="inlineStr">
        <is>
          <t>mission_specialist|Manufacturer finish|#e2e8f0|0</t>
        </is>
      </c>
      <c r="BZ339" s="145" t="inlineStr"/>
      <c r="CA339" s="149" t="inlineStr">
        <is>
          <t>Add-ons: case; 2 color options; Multi-year extended warranty available</t>
        </is>
      </c>
      <c r="CB339" s="149" t="inlineStr">
        <is>
          <t>12 months manufacturer standard (typical)</t>
        </is>
      </c>
      <c r="CC339" s="147" t="n">
        <v>12</v>
      </c>
      <c r="CD339" s="149" t="inlineStr">
        <is>
          <t>+3 Year Extended ≈24% of configuration (default in configurator)</t>
        </is>
      </c>
      <c r="CE339" s="145" t="inlineStr">
        <is>
          <t>Industry default when OEM sheet not public</t>
        </is>
      </c>
      <c r="CF339" s="145" t="inlineStr">
        <is>
          <t>Estimated</t>
        </is>
      </c>
      <c r="CG339" s="149" t="inlineStr">
        <is>
          <t>Always confirm exact warranty on formal quote before purchase.</t>
        </is>
      </c>
      <c r="CH339" s="145" t="inlineStr">
        <is>
          <t>10%</t>
        </is>
      </c>
      <c r="CI339" s="145" t="inlineStr">
        <is>
          <t>17%</t>
        </is>
      </c>
      <c r="CJ339" s="145" t="inlineStr">
        <is>
          <t>24%</t>
        </is>
      </c>
      <c r="CK33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33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39" s="145" t="inlineStr">
        <is>
          <t>12 months manufacturer standard (typical)</t>
        </is>
      </c>
    </row>
    <row r="340" ht="31.5" customHeight="1" s="102">
      <c r="A340" s="143" t="inlineStr">
        <is>
          <t>videoray_mission_specialist_series_a_ally</t>
        </is>
      </c>
      <c r="B340" s="160" t="inlineStr">
        <is>
          <t>Website</t>
        </is>
      </c>
      <c r="C340" s="145" t="inlineStr">
        <is>
          <t>VideoRay</t>
        </is>
      </c>
      <c r="D340" s="145" t="inlineStr">
        <is>
          <t>Ally</t>
        </is>
      </c>
      <c r="E340" s="145" t="inlineStr">
        <is>
          <t>[VideoRay] Ally (2010)</t>
        </is>
      </c>
      <c r="F340" s="165" t="inlineStr">
        <is>
          <t>water</t>
        </is>
      </c>
      <c r="G340" s="145" t="inlineStr">
        <is>
          <t>USA</t>
        </is>
      </c>
      <c r="H340" s="147" t="n">
        <v>2010</v>
      </c>
      <c r="I340" s="148" t="n">
        <v>28000</v>
      </c>
      <c r="J340" s="145" t="inlineStr">
        <is>
          <t>MSS Ally configured estimate</t>
        </is>
      </c>
      <c r="K340" s="149" t="inlineStr">
        <is>
          <t>[VideoRay] Ally (2010) is a marine platform from VideoRay (USA, 2010), positioned for rov.</t>
        </is>
      </c>
      <c r="L340" s="101" t="inlineStr">
        <is>
          <t>[VideoRay] Ally (2010) is a marine platform from VideoRay (USA, 2010), positioned for rov.</t>
        </is>
      </c>
      <c r="M340" s="101" t="inlineStr">
        <is>
          <t>Ally is VideoRay's marine robot, introduced around 2010 in USA. [VideoRay] Ally (2010) is a marine platform from VideoRay (USA, 2010), positioned for rov.</t>
        </is>
      </c>
      <c r="N340" s="145" t="n"/>
      <c r="O340" s="145" t="inlineStr">
        <is>
          <t>https://videoray.com</t>
        </is>
      </c>
      <c r="P340" s="145" t="n"/>
      <c r="Q340" s="145" t="n"/>
      <c r="R340" s="145" t="inlineStr">
        <is>
          <t>≈ 20–40 lb class depending on vehicle (Ally / Wraith / Defender)</t>
        </is>
      </c>
      <c r="S340" s="145" t="n"/>
      <c r="T340" s="149" t="inlineStr">
        <is>
          <t>Not disclosed</t>
        </is>
      </c>
      <c r="U340" s="145" t="n"/>
      <c r="V340" s="145" t="n"/>
      <c r="W340" s="149" t="n"/>
      <c r="X340" s="145" t="inlineStr">
        <is>
          <t>Not disclosed</t>
        </is>
      </c>
      <c r="Y340" s="145" t="n"/>
      <c r="Z340" s="145" t="inlineStr">
        <is>
          <t>Not disclosed</t>
        </is>
      </c>
      <c r="AA340" s="145" t="n"/>
      <c r="AB340" s="145" t="n"/>
      <c r="AC340" s="149" t="inlineStr">
        <is>
          <t>Not disclosed</t>
        </is>
      </c>
      <c r="AD340" s="149" t="n"/>
      <c r="AE340" s="145" t="n"/>
      <c r="AF340" s="145" t="inlineStr">
        <is>
          <t>Not disclosed</t>
        </is>
      </c>
      <c r="AG340" s="149" t="n"/>
      <c r="AH340" s="145" t="n"/>
      <c r="AI340" s="145" t="n"/>
      <c r="AJ340" s="149" t="inlineStr">
        <is>
          <t>HD/4K and sonar payload options</t>
        </is>
      </c>
      <c r="AK340" s="149" t="n"/>
      <c r="AL340" s="145" t="inlineStr">
        <is>
          <t>Mission video + sensor overlays</t>
        </is>
      </c>
      <c r="AM340" s="145" t="n"/>
      <c r="AN340" s="145" t="n"/>
      <c r="AO340" s="145" t="n"/>
      <c r="AP340" s="145" t="inlineStr">
        <is>
          <t>Not disclosed</t>
        </is>
      </c>
      <c r="AQ340" s="145" t="n"/>
      <c r="AR340" s="145" t="n"/>
      <c r="AS340" s="145" t="n"/>
      <c r="AT340" s="149" t="n"/>
      <c r="AU340" s="149" t="inlineStr">
        <is>
          <t>Not disclosed</t>
        </is>
      </c>
      <c r="AV340" s="145" t="inlineStr">
        <is>
          <t>Surface controller and manufacturer software</t>
        </is>
      </c>
      <c r="AW340" s="149" t="inlineStr">
        <is>
          <t>Not disclosed</t>
        </is>
      </c>
      <c r="AX340" s="145" t="n"/>
      <c r="AY340" s="149" t="n"/>
      <c r="AZ340" s="149" t="n"/>
      <c r="BA340" s="149" t="n"/>
      <c r="BB340" s="149" t="n"/>
      <c r="BC340" s="149" t="n"/>
      <c r="BD340" s="145" t="n"/>
      <c r="BE340" s="145" t="inlineStr">
        <is>
          <t>Not disclosed</t>
        </is>
      </c>
      <c r="BF340" s="145" t="n"/>
      <c r="BG340" s="145" t="inlineStr">
        <is>
          <t>Professional/military ROV ratings by vehicle (hundreds to 1,000+ ft)</t>
        </is>
      </c>
      <c r="BH340" s="145" t="inlineStr">
        <is>
          <t>Not disclosed</t>
        </is>
      </c>
      <c r="BI340" s="145" t="inlineStr">
        <is>
          <t>LED illumination for underwater inspection when equipped</t>
        </is>
      </c>
      <c r="BJ340" s="145" t="inlineStr">
        <is>
          <t>Not disclosed</t>
        </is>
      </c>
      <c r="BK340" s="145" t="inlineStr">
        <is>
          <t>Not disclosed</t>
        </is>
      </c>
      <c r="BL340" s="145" t="n"/>
      <c r="BM340" s="145" t="n"/>
      <c r="BN340" s="145" t="n"/>
      <c r="BO340" s="149" t="n"/>
      <c r="BP340" s="145" t="inlineStr">
        <is>
          <t>Not disclosed</t>
        </is>
      </c>
      <c r="BQ340" s="149" t="inlineStr">
        <is>
          <t>ROV</t>
        </is>
      </c>
      <c r="BR340" s="149" t="inlineStr">
        <is>
          <t>Not disclosed</t>
        </is>
      </c>
      <c r="BS340" s="149" t="n"/>
      <c r="BT340" s="145" t="n"/>
      <c r="BU340" s="145" t="n"/>
      <c r="BV340" s="149" t="inlineStr">
        <is>
          <t>Man-portable; US Navy standard; inspection, EOD, ISR</t>
        </is>
      </c>
      <c r="BW340" s="149" t="inlineStr">
        <is>
          <t>Origin &amp; status — USA · 2010 | Mission — Depth Professional/military ROV ratings by vehicle (hundreds to 1,000+ ft) · Payload Not disclosed | Sensing — HD/4K and sonar payload options | Buying notes — $28,000 · 12 months manufacturer standard (typical) · Best fit: Man-portable; US Navy standard; inspection, EOD, ISR</t>
        </is>
      </c>
      <c r="BX340" s="149" t="inlineStr">
        <is>
          <t>as_shipped|Ally|28000|As shipped</t>
        </is>
      </c>
      <c r="BY340" s="145" t="inlineStr">
        <is>
          <t>ally|Manufacturer finish|#e2e8f0|0</t>
        </is>
      </c>
      <c r="BZ340" s="145" t="inlineStr"/>
      <c r="CA340" s="149" t="inlineStr">
        <is>
          <t>Add-ons: case; 2 color options; Multi-year extended warranty available</t>
        </is>
      </c>
      <c r="CB340" s="149" t="inlineStr">
        <is>
          <t>12 months manufacturer standard (typical)</t>
        </is>
      </c>
      <c r="CC340" s="147" t="n">
        <v>12</v>
      </c>
      <c r="CD340" s="149" t="inlineStr">
        <is>
          <t>+3 Year Extended ≈24% of configuration (default in configurator)</t>
        </is>
      </c>
      <c r="CE340" s="145" t="inlineStr">
        <is>
          <t>Industry default when OEM sheet not public</t>
        </is>
      </c>
      <c r="CF340" s="145" t="inlineStr">
        <is>
          <t>Estimated</t>
        </is>
      </c>
      <c r="CG340" s="149" t="inlineStr">
        <is>
          <t>Always confirm exact warranty on formal quote before purchase.</t>
        </is>
      </c>
      <c r="CH340" s="145" t="inlineStr">
        <is>
          <t>10%</t>
        </is>
      </c>
      <c r="CI340" s="145" t="inlineStr">
        <is>
          <t>17%</t>
        </is>
      </c>
      <c r="CJ340" s="145" t="inlineStr">
        <is>
          <t>24%</t>
        </is>
      </c>
      <c r="CK340"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340"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40" s="145" t="inlineStr">
        <is>
          <t>12 months manufacturer standard (typical)</t>
        </is>
      </c>
    </row>
    <row r="341" ht="31.5" customHeight="1" s="102">
      <c r="A341" s="143" t="inlineStr">
        <is>
          <t>videoray_mission_specialist_series_a_wraith</t>
        </is>
      </c>
      <c r="B341" s="160" t="inlineStr">
        <is>
          <t>Website</t>
        </is>
      </c>
      <c r="C341" s="145" t="inlineStr">
        <is>
          <t>VideoRay</t>
        </is>
      </c>
      <c r="D341" s="145" t="inlineStr">
        <is>
          <t>Wraith</t>
        </is>
      </c>
      <c r="E341" s="145" t="inlineStr">
        <is>
          <t>[VideoRay] Wraith (2010)</t>
        </is>
      </c>
      <c r="F341" s="165" t="inlineStr">
        <is>
          <t>water</t>
        </is>
      </c>
      <c r="G341" s="145" t="inlineStr">
        <is>
          <t>USA</t>
        </is>
      </c>
      <c r="H341" s="147" t="n">
        <v>2010</v>
      </c>
      <c r="I341" s="148" t="n">
        <v>32000</v>
      </c>
      <c r="J341" s="145" t="inlineStr">
        <is>
          <t>MSS Wraith configured estimate</t>
        </is>
      </c>
      <c r="K341" s="149" t="inlineStr">
        <is>
          <t>[VideoRay] Wraith (2010) is a marine platform from VideoRay (USA, 2010), positioned for rov.</t>
        </is>
      </c>
      <c r="L341" s="101" t="inlineStr">
        <is>
          <t>[VideoRay] Wraith (2010) is a marine platform from VideoRay (USA, 2010), positioned for rov.</t>
        </is>
      </c>
      <c r="M341" s="101" t="inlineStr">
        <is>
          <t>Wraith is VideoRay's marine robot, introduced around 2010 in USA. [VideoRay] Wraith (2010) is a marine platform from VideoRay (USA, 2010), positioned for rov.</t>
        </is>
      </c>
      <c r="N341" s="145" t="n"/>
      <c r="O341" s="145" t="inlineStr">
        <is>
          <t>https://videoray.com</t>
        </is>
      </c>
      <c r="P341" s="145" t="n"/>
      <c r="Q341" s="145" t="n"/>
      <c r="R341" s="145" t="inlineStr">
        <is>
          <t>≈ 20–40 lb class depending on vehicle (Ally / Wraith / Defender)</t>
        </is>
      </c>
      <c r="S341" s="145" t="n"/>
      <c r="T341" s="149" t="inlineStr">
        <is>
          <t>Not disclosed</t>
        </is>
      </c>
      <c r="U341" s="145" t="n"/>
      <c r="V341" s="145" t="n"/>
      <c r="W341" s="149" t="n"/>
      <c r="X341" s="145" t="inlineStr">
        <is>
          <t>Not disclosed</t>
        </is>
      </c>
      <c r="Y341" s="145" t="n"/>
      <c r="Z341" s="145" t="inlineStr">
        <is>
          <t>Not disclosed</t>
        </is>
      </c>
      <c r="AA341" s="145" t="n"/>
      <c r="AB341" s="145" t="n"/>
      <c r="AC341" s="149" t="inlineStr">
        <is>
          <t>Not disclosed</t>
        </is>
      </c>
      <c r="AD341" s="149" t="n"/>
      <c r="AE341" s="145" t="n"/>
      <c r="AF341" s="145" t="inlineStr">
        <is>
          <t>Not disclosed</t>
        </is>
      </c>
      <c r="AG341" s="149" t="n"/>
      <c r="AH341" s="145" t="n"/>
      <c r="AI341" s="145" t="n"/>
      <c r="AJ341" s="149" t="inlineStr">
        <is>
          <t>HD/4K and sonar payload options</t>
        </is>
      </c>
      <c r="AK341" s="149" t="n"/>
      <c r="AL341" s="145" t="inlineStr">
        <is>
          <t>Mission video + sensor overlays</t>
        </is>
      </c>
      <c r="AM341" s="145" t="n"/>
      <c r="AN341" s="145" t="n"/>
      <c r="AO341" s="145" t="n"/>
      <c r="AP341" s="145" t="inlineStr">
        <is>
          <t>Not disclosed</t>
        </is>
      </c>
      <c r="AQ341" s="145" t="n"/>
      <c r="AR341" s="145" t="n"/>
      <c r="AS341" s="145" t="n"/>
      <c r="AT341" s="149" t="n"/>
      <c r="AU341" s="149" t="inlineStr">
        <is>
          <t>Not disclosed</t>
        </is>
      </c>
      <c r="AV341" s="145" t="inlineStr">
        <is>
          <t>Surface controller and manufacturer software</t>
        </is>
      </c>
      <c r="AW341" s="149" t="inlineStr">
        <is>
          <t>Not disclosed</t>
        </is>
      </c>
      <c r="AX341" s="145" t="n"/>
      <c r="AY341" s="149" t="n"/>
      <c r="AZ341" s="149" t="n"/>
      <c r="BA341" s="149" t="n"/>
      <c r="BB341" s="149" t="n"/>
      <c r="BC341" s="149" t="n"/>
      <c r="BD341" s="145" t="n"/>
      <c r="BE341" s="145" t="inlineStr">
        <is>
          <t>Not disclosed</t>
        </is>
      </c>
      <c r="BF341" s="145" t="n"/>
      <c r="BG341" s="145" t="inlineStr">
        <is>
          <t>Professional/military ROV ratings by vehicle (hundreds to 1,000+ ft)</t>
        </is>
      </c>
      <c r="BH341" s="145" t="inlineStr">
        <is>
          <t>Not disclosed</t>
        </is>
      </c>
      <c r="BI341" s="145" t="inlineStr">
        <is>
          <t>LED illumination for underwater inspection when equipped</t>
        </is>
      </c>
      <c r="BJ341" s="145" t="inlineStr">
        <is>
          <t>Not disclosed</t>
        </is>
      </c>
      <c r="BK341" s="145" t="inlineStr">
        <is>
          <t>Not disclosed</t>
        </is>
      </c>
      <c r="BL341" s="145" t="n"/>
      <c r="BM341" s="145" t="n"/>
      <c r="BN341" s="145" t="n"/>
      <c r="BO341" s="149" t="n"/>
      <c r="BP341" s="145" t="inlineStr">
        <is>
          <t>Not disclosed</t>
        </is>
      </c>
      <c r="BQ341" s="149" t="inlineStr">
        <is>
          <t>ROV</t>
        </is>
      </c>
      <c r="BR341" s="149" t="inlineStr">
        <is>
          <t>Not disclosed</t>
        </is>
      </c>
      <c r="BS341" s="149" t="n"/>
      <c r="BT341" s="145" t="n"/>
      <c r="BU341" s="145" t="n"/>
      <c r="BV341" s="149" t="inlineStr">
        <is>
          <t>Man-portable; US Navy standard; inspection, EOD, ISR</t>
        </is>
      </c>
      <c r="BW341" s="149" t="inlineStr">
        <is>
          <t>Origin &amp; status — USA · 2010 | Mission — Depth Professional/military ROV ratings by vehicle (hundreds to 1,000+ ft) · Payload Not disclosed | Sensing — HD/4K and sonar payload options | Buying notes — $32,000 · 12 months manufacturer standard (typical) · Best fit: Man-portable; US Navy standard; inspection, EOD, ISR</t>
        </is>
      </c>
      <c r="BX341" s="149" t="inlineStr">
        <is>
          <t>as_shipped|Wraith|32000|As shipped</t>
        </is>
      </c>
      <c r="BY341" s="145" t="inlineStr">
        <is>
          <t>wraith|Manufacturer finish|#e2e8f0|0</t>
        </is>
      </c>
      <c r="BZ341" s="145" t="inlineStr"/>
      <c r="CA341" s="149" t="inlineStr">
        <is>
          <t>Add-ons: case; 2 color options; Multi-year extended warranty available</t>
        </is>
      </c>
      <c r="CB341" s="149" t="inlineStr">
        <is>
          <t>12 months manufacturer standard (typical)</t>
        </is>
      </c>
      <c r="CC341" s="147" t="n">
        <v>12</v>
      </c>
      <c r="CD341" s="149" t="inlineStr">
        <is>
          <t>+3 Year Extended ≈24% of configuration (default in configurator)</t>
        </is>
      </c>
      <c r="CE341" s="145" t="inlineStr">
        <is>
          <t>Industry default when OEM sheet not public</t>
        </is>
      </c>
      <c r="CF341" s="145" t="inlineStr">
        <is>
          <t>Estimated</t>
        </is>
      </c>
      <c r="CG341" s="149" t="inlineStr">
        <is>
          <t>Always confirm exact warranty on formal quote before purchase.</t>
        </is>
      </c>
      <c r="CH341" s="145" t="inlineStr">
        <is>
          <t>10%</t>
        </is>
      </c>
      <c r="CI341" s="145" t="inlineStr">
        <is>
          <t>17%</t>
        </is>
      </c>
      <c r="CJ341" s="145" t="inlineStr">
        <is>
          <t>24%</t>
        </is>
      </c>
      <c r="CK34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34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41" s="145" t="inlineStr">
        <is>
          <t>12 months manufacturer standard (typical)</t>
        </is>
      </c>
    </row>
    <row r="342" ht="31.5" customHeight="1" s="102">
      <c r="A342" s="143" t="inlineStr">
        <is>
          <t>videoray_mission_specialist_series_a_defender</t>
        </is>
      </c>
      <c r="B342" s="160" t="inlineStr">
        <is>
          <t>Website</t>
        </is>
      </c>
      <c r="C342" s="145" t="inlineStr">
        <is>
          <t>VideoRay</t>
        </is>
      </c>
      <c r="D342" s="145" t="inlineStr">
        <is>
          <t>Defender</t>
        </is>
      </c>
      <c r="E342" s="145" t="inlineStr">
        <is>
          <t>[VideoRay] Defender (2010)</t>
        </is>
      </c>
      <c r="F342" s="165" t="inlineStr">
        <is>
          <t>water</t>
        </is>
      </c>
      <c r="G342" s="145" t="inlineStr">
        <is>
          <t>USA</t>
        </is>
      </c>
      <c r="H342" s="147" t="n">
        <v>2010</v>
      </c>
      <c r="I342" s="148" t="n">
        <v>45000</v>
      </c>
      <c r="J342" s="145" t="inlineStr">
        <is>
          <t>Mission Specialist Defender configured estimate</t>
        </is>
      </c>
      <c r="K342" s="149" t="inlineStr">
        <is>
          <t>[VideoRay] Defender (2010) is a marine platform from VideoRay (USA, 2010), positioned for rov.</t>
        </is>
      </c>
      <c r="L342" s="101" t="inlineStr">
        <is>
          <t>[VideoRay] Defender (2010) is a marine platform from VideoRay (USA, 2010), positioned for rov.</t>
        </is>
      </c>
      <c r="M342" s="101" t="inlineStr">
        <is>
          <t>Defender is VideoRay's marine robot, introduced around 2010 in USA. [VideoRay] Defender (2010) is a marine platform from VideoRay (USA, 2010), positioned for rov.</t>
        </is>
      </c>
      <c r="N342" s="145" t="n"/>
      <c r="O342" s="145" t="inlineStr">
        <is>
          <t>https://videoray.com</t>
        </is>
      </c>
      <c r="P342" s="145" t="n"/>
      <c r="Q342" s="145" t="n"/>
      <c r="R342" s="145" t="inlineStr">
        <is>
          <t>≈ 20–40 lb class depending on vehicle (Ally / Wraith / Defender)</t>
        </is>
      </c>
      <c r="S342" s="145" t="n"/>
      <c r="T342" s="149" t="inlineStr">
        <is>
          <t>Not disclosed</t>
        </is>
      </c>
      <c r="U342" s="145" t="n"/>
      <c r="V342" s="145" t="n"/>
      <c r="W342" s="149" t="n"/>
      <c r="X342" s="145" t="inlineStr">
        <is>
          <t>Not disclosed</t>
        </is>
      </c>
      <c r="Y342" s="145" t="n"/>
      <c r="Z342" s="145" t="inlineStr">
        <is>
          <t>Not disclosed</t>
        </is>
      </c>
      <c r="AA342" s="145" t="n"/>
      <c r="AB342" s="145" t="n"/>
      <c r="AC342" s="149" t="inlineStr">
        <is>
          <t>Not disclosed</t>
        </is>
      </c>
      <c r="AD342" s="149" t="n"/>
      <c r="AE342" s="145" t="n"/>
      <c r="AF342" s="145" t="inlineStr">
        <is>
          <t>Not disclosed</t>
        </is>
      </c>
      <c r="AG342" s="149" t="n"/>
      <c r="AH342" s="145" t="n"/>
      <c r="AI342" s="145" t="n"/>
      <c r="AJ342" s="149" t="inlineStr">
        <is>
          <t>HD/4K and sonar payload options</t>
        </is>
      </c>
      <c r="AK342" s="149" t="n"/>
      <c r="AL342" s="145" t="inlineStr">
        <is>
          <t>Mission video + sensor overlays</t>
        </is>
      </c>
      <c r="AM342" s="145" t="n"/>
      <c r="AN342" s="145" t="n"/>
      <c r="AO342" s="145" t="n"/>
      <c r="AP342" s="145" t="inlineStr">
        <is>
          <t>Not disclosed</t>
        </is>
      </c>
      <c r="AQ342" s="145" t="n"/>
      <c r="AR342" s="145" t="n"/>
      <c r="AS342" s="145" t="n"/>
      <c r="AT342" s="149" t="n"/>
      <c r="AU342" s="149" t="inlineStr">
        <is>
          <t>Not disclosed</t>
        </is>
      </c>
      <c r="AV342" s="145" t="inlineStr">
        <is>
          <t>Surface controller and manufacturer software</t>
        </is>
      </c>
      <c r="AW342" s="149" t="inlineStr">
        <is>
          <t>Not disclosed</t>
        </is>
      </c>
      <c r="AX342" s="145" t="n"/>
      <c r="AY342" s="149" t="n"/>
      <c r="AZ342" s="149" t="n"/>
      <c r="BA342" s="149" t="n"/>
      <c r="BB342" s="149" t="n"/>
      <c r="BC342" s="149" t="n"/>
      <c r="BD342" s="145" t="n"/>
      <c r="BE342" s="145" t="inlineStr">
        <is>
          <t>Not disclosed</t>
        </is>
      </c>
      <c r="BF342" s="145" t="n"/>
      <c r="BG342" s="145" t="inlineStr">
        <is>
          <t>Professional/military ROV ratings by vehicle (hundreds to 1,000+ ft)</t>
        </is>
      </c>
      <c r="BH342" s="145" t="inlineStr">
        <is>
          <t>Not disclosed</t>
        </is>
      </c>
      <c r="BI342" s="145" t="inlineStr">
        <is>
          <t>LED illumination for underwater inspection when equipped</t>
        </is>
      </c>
      <c r="BJ342" s="145" t="inlineStr">
        <is>
          <t>Not disclosed</t>
        </is>
      </c>
      <c r="BK342" s="145" t="inlineStr">
        <is>
          <t>Not disclosed</t>
        </is>
      </c>
      <c r="BL342" s="145" t="n"/>
      <c r="BM342" s="145" t="n"/>
      <c r="BN342" s="145" t="n"/>
      <c r="BO342" s="149" t="n"/>
      <c r="BP342" s="145" t="inlineStr">
        <is>
          <t>Not disclosed</t>
        </is>
      </c>
      <c r="BQ342" s="149" t="inlineStr">
        <is>
          <t>ROV</t>
        </is>
      </c>
      <c r="BR342" s="149" t="inlineStr">
        <is>
          <t>Not disclosed</t>
        </is>
      </c>
      <c r="BS342" s="149" t="n"/>
      <c r="BT342" s="145" t="n"/>
      <c r="BU342" s="145" t="n"/>
      <c r="BV342" s="149" t="inlineStr">
        <is>
          <t>Man-portable; US Navy standard; inspection, EOD, ISR</t>
        </is>
      </c>
      <c r="BW342" s="149" t="inlineStr">
        <is>
          <t>Origin &amp; status — USA · 2010 | Mission — Depth Professional/military ROV ratings by vehicle (hundreds to 1,000+ ft) · Payload Not disclosed | Sensing — HD/4K and sonar payload options | Buying notes — $45,000 · 12 months manufacturer standard (typical) · Best fit: Man-portable; US Navy standard; inspection, EOD, ISR</t>
        </is>
      </c>
      <c r="BX342" s="149" t="inlineStr">
        <is>
          <t>as_shipped|Defender|45000|As shipped</t>
        </is>
      </c>
      <c r="BY342" s="145" t="inlineStr">
        <is>
          <t>defender|Manufacturer finish|#e2e8f0|0</t>
        </is>
      </c>
      <c r="BZ342" s="145" t="inlineStr"/>
      <c r="CA342" s="149" t="inlineStr">
        <is>
          <t>Add-ons: case; 2 color options; Multi-year extended warranty available</t>
        </is>
      </c>
      <c r="CB342" s="149" t="inlineStr">
        <is>
          <t>12 months manufacturer standard (typical)</t>
        </is>
      </c>
      <c r="CC342" s="147" t="n">
        <v>12</v>
      </c>
      <c r="CD342" s="149" t="inlineStr">
        <is>
          <t>+3 Year Extended ≈24% of configuration (default in configurator)</t>
        </is>
      </c>
      <c r="CE342" s="145" t="inlineStr">
        <is>
          <t>Industry default when OEM sheet not public</t>
        </is>
      </c>
      <c r="CF342" s="145" t="inlineStr">
        <is>
          <t>Estimated</t>
        </is>
      </c>
      <c r="CG342" s="149" t="inlineStr">
        <is>
          <t>Always confirm exact warranty on formal quote before purchase.</t>
        </is>
      </c>
      <c r="CH342" s="145" t="inlineStr">
        <is>
          <t>10%</t>
        </is>
      </c>
      <c r="CI342" s="145" t="inlineStr">
        <is>
          <t>17%</t>
        </is>
      </c>
      <c r="CJ342" s="145" t="inlineStr">
        <is>
          <t>24%</t>
        </is>
      </c>
      <c r="CK342"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342"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42" s="145" t="inlineStr">
        <is>
          <t>12 months manufacturer standard (typical)</t>
        </is>
      </c>
    </row>
    <row r="343" ht="31.5" customHeight="1" s="102">
      <c r="A343" s="143" t="inlineStr">
        <is>
          <t>blueye_robotics_blueye_x3_pro</t>
        </is>
      </c>
      <c r="B343" s="160" t="inlineStr">
        <is>
          <t>Website</t>
        </is>
      </c>
      <c r="C343" s="145" t="inlineStr">
        <is>
          <t>Blueye Robotics</t>
        </is>
      </c>
      <c r="D343" s="145" t="inlineStr">
        <is>
          <t>X3</t>
        </is>
      </c>
      <c r="E343" s="145" t="inlineStr">
        <is>
          <t>[Blueye] X3 (2010)</t>
        </is>
      </c>
      <c r="F343" s="165" t="inlineStr">
        <is>
          <t>water</t>
        </is>
      </c>
      <c r="G343" s="145" t="inlineStr">
        <is>
          <t>USA</t>
        </is>
      </c>
      <c r="H343" s="147" t="n">
        <v>2010</v>
      </c>
      <c r="I343" s="148" t="n">
        <v>4990</v>
      </c>
      <c r="J343" s="145" t="inlineStr">
        <is>
          <t>Blueye X3 typical street</t>
        </is>
      </c>
      <c r="K343" s="149" t="inlineStr">
        <is>
          <t>[Blueye] X3 (2010) is a marine platform from Blueye Robotics (Norway, 2010), positioned for rov.</t>
        </is>
      </c>
      <c r="L343" s="101" t="inlineStr">
        <is>
          <t>[Blueye] X3 (2010) is a marine platform from Blueye Robotics (Norway, 2010), positioned for rov.</t>
        </is>
      </c>
      <c r="M343" s="101" t="inlineStr">
        <is>
          <t>[Blueye] X3 (2010) is a marine platform from Blueye Robotics (Norway, 2010), positioned for rov.</t>
        </is>
      </c>
      <c r="N343" s="145" t="n"/>
      <c r="O343" s="145" t="inlineStr">
        <is>
          <t>https://www.blueye.no</t>
        </is>
      </c>
      <c r="P343" s="145" t="n"/>
      <c r="Q343" s="145" t="n"/>
      <c r="R343" s="145" t="inlineStr">
        <is>
          <t>≈ 15–20 lb class</t>
        </is>
      </c>
      <c r="S343" s="145" t="n"/>
      <c r="T343" s="149" t="inlineStr">
        <is>
          <t>Not disclosed</t>
        </is>
      </c>
      <c r="U343" s="145" t="n"/>
      <c r="V343" s="145" t="n"/>
      <c r="W343" s="149" t="n"/>
      <c r="X343" s="145" t="inlineStr">
        <is>
          <t>Not disclosed</t>
        </is>
      </c>
      <c r="Y343" s="145" t="n"/>
      <c r="Z343" s="145" t="inlineStr">
        <is>
          <t>Not disclosed</t>
        </is>
      </c>
      <c r="AA343" s="145" t="n"/>
      <c r="AB343" s="145" t="n"/>
      <c r="AC343" s="149" t="inlineStr">
        <is>
          <t>Not disclosed</t>
        </is>
      </c>
      <c r="AD343" s="149" t="n"/>
      <c r="AE343" s="145" t="n"/>
      <c r="AF343" s="145" t="inlineStr">
        <is>
          <t>Not disclosed</t>
        </is>
      </c>
      <c r="AG343" s="149" t="n"/>
      <c r="AH343" s="145" t="n"/>
      <c r="AI343" s="145" t="n"/>
      <c r="AJ343" s="149" t="inlineStr">
        <is>
          <t>Autonomous underwater perception suites (configuration specific)</t>
        </is>
      </c>
      <c r="AK343" s="149" t="n"/>
      <c r="AL343" s="145" t="inlineStr">
        <is>
          <t>Mission and autonomy sensing data</t>
        </is>
      </c>
      <c r="AM343" s="145" t="n"/>
      <c r="AN343" s="145" t="n"/>
      <c r="AO343" s="145" t="n"/>
      <c r="AP343" s="145" t="inlineStr">
        <is>
          <t>Not disclosed</t>
        </is>
      </c>
      <c r="AQ343" s="145" t="n"/>
      <c r="AR343" s="145" t="n"/>
      <c r="AS343" s="145" t="n"/>
      <c r="AT343" s="149" t="n"/>
      <c r="AU343" s="149" t="inlineStr">
        <is>
          <t>Not disclosed</t>
        </is>
      </c>
      <c r="AV343" s="145" t="inlineStr">
        <is>
          <t>Anduril Lattice-oriented autonomy command</t>
        </is>
      </c>
      <c r="AW343" s="149" t="inlineStr">
        <is>
          <t>Not disclosed</t>
        </is>
      </c>
      <c r="AX343" s="145" t="n"/>
      <c r="AY343" s="149" t="n"/>
      <c r="AZ343" s="149" t="n"/>
      <c r="BA343" s="149" t="n"/>
      <c r="BB343" s="149" t="n"/>
      <c r="BC343" s="149" t="n"/>
      <c r="BD343" s="145" t="n"/>
      <c r="BE343" s="145" t="inlineStr">
        <is>
          <t>Not disclosed</t>
        </is>
      </c>
      <c r="BF343" s="145" t="n"/>
      <c r="BG343" s="145" t="inlineStr">
        <is>
          <t>≈ 1,000 ft class (professional observation)</t>
        </is>
      </c>
      <c r="BH343" s="145" t="inlineStr">
        <is>
          <t>Not disclosed</t>
        </is>
      </c>
      <c r="BI343" s="145" t="inlineStr">
        <is>
          <t>Not disclosed</t>
        </is>
      </c>
      <c r="BJ343" s="145" t="inlineStr">
        <is>
          <t>Not disclosed</t>
        </is>
      </c>
      <c r="BK343" s="145" t="inlineStr">
        <is>
          <t>Not disclosed</t>
        </is>
      </c>
      <c r="BL343" s="145" t="n"/>
      <c r="BM343" s="145" t="n"/>
      <c r="BN343" s="145" t="n"/>
      <c r="BO343" s="149" t="n"/>
      <c r="BP343" s="145" t="inlineStr">
        <is>
          <t>Not disclosed</t>
        </is>
      </c>
      <c r="BQ343" s="149" t="inlineStr">
        <is>
          <t>AUV</t>
        </is>
      </c>
      <c r="BR343" s="149" t="inlineStr">
        <is>
          <t>Not disclosed</t>
        </is>
      </c>
      <c r="BS343" s="149" t="n"/>
      <c r="BT343" s="145" t="n"/>
      <c r="BU343" s="145" t="n"/>
      <c r="BV343" s="149" t="inlineStr">
        <is>
          <t>Extra-large AUVs; mass production focus; Lattice AI</t>
        </is>
      </c>
      <c r="BW343" s="149" t="inlineStr">
        <is>
          <t>Origin &amp; status — Norway · 2010 | Mission — Depth ≈ 1,000 ft class (professional observation) · Payload Not disclosed | Sensing — HD/4K-class tilt camera | Buying notes — $4,990 · 12 months limited / contract-dependent · Best fit: Professional portable ROV for inspection, research, infrastructure</t>
        </is>
      </c>
      <c r="BX343" s="149" t="inlineStr">
        <is>
          <t>as_shipped|X3|4990|As shipped</t>
        </is>
      </c>
      <c r="BY343" s="145" t="inlineStr">
        <is>
          <t>x3|Manufacturer finish|#e2e8f0|0</t>
        </is>
      </c>
      <c r="BZ343" s="145" t="inlineStr"/>
      <c r="CA343" s="149" t="inlineStr">
        <is>
          <t>Add-ons: case; 2 color options; Multi-year extended warranty available</t>
        </is>
      </c>
      <c r="CB343" s="149" t="inlineStr">
        <is>
          <t>12 months limited / contract-dependent</t>
        </is>
      </c>
      <c r="CC343" s="147" t="n">
        <v>12</v>
      </c>
      <c r="CD343" s="149" t="inlineStr">
        <is>
          <t>+3 Year Extended ≈24% of configuration (default in configurator)</t>
        </is>
      </c>
      <c r="CE343" s="145" t="inlineStr">
        <is>
          <t>Enterprise marine robotics norms</t>
        </is>
      </c>
      <c r="CF343" s="145" t="inlineStr">
        <is>
          <t>Estimated</t>
        </is>
      </c>
      <c r="CG343" s="149" t="inlineStr">
        <is>
          <t>Confirm inclusions and sea-trial terms on quote.</t>
        </is>
      </c>
      <c r="CH343" s="145" t="inlineStr">
        <is>
          <t>10%</t>
        </is>
      </c>
      <c r="CI343" s="145" t="inlineStr">
        <is>
          <t>17%</t>
        </is>
      </c>
      <c r="CJ343" s="145" t="inlineStr">
        <is>
          <t>24%</t>
        </is>
      </c>
      <c r="CK343"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343"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43" s="145" t="inlineStr">
        <is>
          <t>12 months limited / contract-dependent</t>
        </is>
      </c>
      <c r="CN343" s="203" t="inlineStr">
        <is>
          <t>https://aixzd.com/robot/x3</t>
        </is>
      </c>
    </row>
    <row r="344" ht="31.5" customHeight="1" s="102">
      <c r="A344" s="143" t="inlineStr">
        <is>
          <t>blueye_robotics_blueye_x3_pro_pro</t>
        </is>
      </c>
      <c r="B344" s="160" t="inlineStr">
        <is>
          <t>Website</t>
        </is>
      </c>
      <c r="C344" s="145" t="inlineStr">
        <is>
          <t>Blueye Robotics</t>
        </is>
      </c>
      <c r="D344" s="145" t="inlineStr">
        <is>
          <t>Pro</t>
        </is>
      </c>
      <c r="E344" s="145" t="inlineStr">
        <is>
          <t>[Blueye] Pro (2010)</t>
        </is>
      </c>
      <c r="F344" s="165" t="inlineStr">
        <is>
          <t>water</t>
        </is>
      </c>
      <c r="G344" s="145" t="inlineStr">
        <is>
          <t>USA</t>
        </is>
      </c>
      <c r="H344" s="147" t="n">
        <v>2010</v>
      </c>
      <c r="I344" s="148" t="n">
        <v>3990</v>
      </c>
      <c r="J344" s="145" t="inlineStr">
        <is>
          <t>Blueye Pro typical street</t>
        </is>
      </c>
      <c r="K344" s="149" t="inlineStr">
        <is>
          <t>[Blueye] Pro (2010) is a marine platform from Blueye Robotics (Norway, 2010), positioned for rov.</t>
        </is>
      </c>
      <c r="L344" s="101" t="inlineStr">
        <is>
          <t>[Blueye] Pro (2010) is a marine platform from Blueye Robotics (Norway, 2010), positioned for rov.</t>
        </is>
      </c>
      <c r="M344" s="101" t="inlineStr">
        <is>
          <t>[Blueye] Pro (2010) is a marine platform from Blueye Robotics (Norway, 2010), positioned for rov.</t>
        </is>
      </c>
      <c r="N344" s="145" t="n"/>
      <c r="O344" s="145" t="inlineStr">
        <is>
          <t>https://www.blueye.no</t>
        </is>
      </c>
      <c r="P344" s="145" t="n"/>
      <c r="Q344" s="145" t="n"/>
      <c r="R344" s="145" t="inlineStr">
        <is>
          <t>≈ 15–20 lb class</t>
        </is>
      </c>
      <c r="S344" s="145" t="n"/>
      <c r="T344" s="149" t="inlineStr">
        <is>
          <t>Not disclosed</t>
        </is>
      </c>
      <c r="U344" s="145" t="n"/>
      <c r="V344" s="145" t="n"/>
      <c r="W344" s="149" t="n"/>
      <c r="X344" s="145" t="inlineStr">
        <is>
          <t>Not disclosed</t>
        </is>
      </c>
      <c r="Y344" s="145" t="n"/>
      <c r="Z344" s="145" t="inlineStr">
        <is>
          <t>Not disclosed</t>
        </is>
      </c>
      <c r="AA344" s="145" t="n"/>
      <c r="AB344" s="145" t="n"/>
      <c r="AC344" s="149" t="inlineStr">
        <is>
          <t>Not disclosed</t>
        </is>
      </c>
      <c r="AD344" s="149" t="n"/>
      <c r="AE344" s="145" t="n"/>
      <c r="AF344" s="145" t="inlineStr">
        <is>
          <t>Not disclosed</t>
        </is>
      </c>
      <c r="AG344" s="149" t="n"/>
      <c r="AH344" s="145" t="n"/>
      <c r="AI344" s="145" t="n"/>
      <c r="AJ344" s="149" t="inlineStr">
        <is>
          <t>Autonomous underwater perception suites (configuration specific)</t>
        </is>
      </c>
      <c r="AK344" s="149" t="n"/>
      <c r="AL344" s="145" t="inlineStr">
        <is>
          <t>Mission and autonomy sensing data</t>
        </is>
      </c>
      <c r="AM344" s="145" t="n"/>
      <c r="AN344" s="145" t="n"/>
      <c r="AO344" s="145" t="n"/>
      <c r="AP344" s="145" t="inlineStr">
        <is>
          <t>Not disclosed</t>
        </is>
      </c>
      <c r="AQ344" s="145" t="n"/>
      <c r="AR344" s="145" t="n"/>
      <c r="AS344" s="145" t="n"/>
      <c r="AT344" s="149" t="n"/>
      <c r="AU344" s="149" t="inlineStr">
        <is>
          <t>Not disclosed</t>
        </is>
      </c>
      <c r="AV344" s="145" t="inlineStr">
        <is>
          <t>Anduril Lattice-oriented autonomy command</t>
        </is>
      </c>
      <c r="AW344" s="149" t="inlineStr">
        <is>
          <t>Not disclosed</t>
        </is>
      </c>
      <c r="AX344" s="145" t="n"/>
      <c r="AY344" s="149" t="n"/>
      <c r="AZ344" s="149" t="n"/>
      <c r="BA344" s="149" t="n"/>
      <c r="BB344" s="149" t="n"/>
      <c r="BC344" s="149" t="n"/>
      <c r="BD344" s="145" t="n"/>
      <c r="BE344" s="145" t="inlineStr">
        <is>
          <t>Not disclosed</t>
        </is>
      </c>
      <c r="BF344" s="145" t="n"/>
      <c r="BG344" s="145" t="inlineStr">
        <is>
          <t>≈ 1,000 ft class (professional observation)</t>
        </is>
      </c>
      <c r="BH344" s="145" t="inlineStr">
        <is>
          <t>Not disclosed</t>
        </is>
      </c>
      <c r="BI344" s="145" t="inlineStr">
        <is>
          <t>Not disclosed</t>
        </is>
      </c>
      <c r="BJ344" s="145" t="inlineStr">
        <is>
          <t>Not disclosed</t>
        </is>
      </c>
      <c r="BK344" s="145" t="inlineStr">
        <is>
          <t>Not disclosed</t>
        </is>
      </c>
      <c r="BL344" s="145" t="n"/>
      <c r="BM344" s="145" t="n"/>
      <c r="BN344" s="145" t="n"/>
      <c r="BO344" s="149" t="n"/>
      <c r="BP344" s="145" t="inlineStr">
        <is>
          <t>Not disclosed</t>
        </is>
      </c>
      <c r="BQ344" s="149" t="inlineStr">
        <is>
          <t>AUV</t>
        </is>
      </c>
      <c r="BR344" s="149" t="inlineStr">
        <is>
          <t>Not disclosed</t>
        </is>
      </c>
      <c r="BS344" s="149" t="n"/>
      <c r="BT344" s="145" t="n"/>
      <c r="BU344" s="145" t="n"/>
      <c r="BV344" s="149" t="inlineStr">
        <is>
          <t>Extra-large AUVs; mass production focus; Lattice AI</t>
        </is>
      </c>
      <c r="BW344" s="149" t="inlineStr">
        <is>
          <t>Origin &amp; status — Norway · 2010 | Mission — Depth ≈ 1,000 ft class (professional observation) · Payload Not disclosed | Sensing — HD/4K-class tilt camera | Buying notes — $3,990 · 12 months limited / contract-dependent · Best fit: Professional portable ROV for inspection, research, infrastructure</t>
        </is>
      </c>
      <c r="BX344" s="149" t="inlineStr">
        <is>
          <t>as_shipped|Pro|3990|As shipped</t>
        </is>
      </c>
      <c r="BY344" s="145" t="inlineStr">
        <is>
          <t>pro|Manufacturer finish|#e2e8f0|0</t>
        </is>
      </c>
      <c r="BZ344" s="145" t="inlineStr"/>
      <c r="CA344" s="149" t="inlineStr">
        <is>
          <t>Add-ons: case; 2 color options; Multi-year extended warranty available</t>
        </is>
      </c>
      <c r="CB344" s="149" t="inlineStr">
        <is>
          <t>12 months limited / contract-dependent</t>
        </is>
      </c>
      <c r="CC344" s="147" t="n">
        <v>12</v>
      </c>
      <c r="CD344" s="149" t="inlineStr">
        <is>
          <t>+3 Year Extended ≈24% of configuration (default in configurator)</t>
        </is>
      </c>
      <c r="CE344" s="145" t="inlineStr">
        <is>
          <t>Enterprise marine robotics norms</t>
        </is>
      </c>
      <c r="CF344" s="145" t="inlineStr">
        <is>
          <t>Estimated</t>
        </is>
      </c>
      <c r="CG344" s="149" t="inlineStr">
        <is>
          <t>Confirm inclusions and sea-trial terms on quote.</t>
        </is>
      </c>
      <c r="CH344" s="145" t="inlineStr">
        <is>
          <t>10%</t>
        </is>
      </c>
      <c r="CI344" s="145" t="inlineStr">
        <is>
          <t>17%</t>
        </is>
      </c>
      <c r="CJ344" s="145" t="inlineStr">
        <is>
          <t>24%</t>
        </is>
      </c>
      <c r="CK344"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344"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44" s="145" t="inlineStr">
        <is>
          <t>12 months limited / contract-dependent</t>
        </is>
      </c>
    </row>
    <row r="345" ht="31.5" customHeight="1" s="102">
      <c r="A345" s="143" t="inlineStr">
        <is>
          <t>qysea_fifish_v6_v_evo</t>
        </is>
      </c>
      <c r="B345" s="160" t="inlineStr">
        <is>
          <t>Website</t>
        </is>
      </c>
      <c r="C345" s="145" t="inlineStr">
        <is>
          <t>QYSEA</t>
        </is>
      </c>
      <c r="D345" s="145" t="inlineStr">
        <is>
          <t>FIFISH V6</t>
        </is>
      </c>
      <c r="E345" s="145" t="inlineStr">
        <is>
          <t>[QYSEA] FIFISH V6 (2018)</t>
        </is>
      </c>
      <c r="F345" s="165" t="inlineStr">
        <is>
          <t>water</t>
        </is>
      </c>
      <c r="G345" s="145" t="inlineStr">
        <is>
          <t>USA</t>
        </is>
      </c>
      <c r="H345" s="147" t="n">
        <v>2018</v>
      </c>
      <c r="I345" s="148" t="n">
        <v>1299</v>
      </c>
      <c r="J345" s="145" t="inlineStr">
        <is>
          <t>Website store</t>
        </is>
      </c>
      <c r="K345" s="149" t="inlineStr">
        <is>
          <t>[QYSEA] FIFISH V6 (2018) is a marine platform from QYSEA (China, 2018), positioned for rov.</t>
        </is>
      </c>
      <c r="L345" s="101" t="inlineStr">
        <is>
          <t>[QYSEA] FIFISH V6 (2018) is a marine platform from QYSEA (China, 2018), positioned for rov.</t>
        </is>
      </c>
      <c r="M345" s="101" t="inlineStr">
        <is>
          <t>[QYSEA] FIFISH V6 (2018) is a marine platform from QYSEA (China, 2018), positioned for rov.</t>
        </is>
      </c>
      <c r="N345" s="145" t="n"/>
      <c r="O345" s="145" t="inlineStr">
        <is>
          <t>https://www.qysea.com</t>
        </is>
      </c>
      <c r="P345" s="145" t="n"/>
      <c r="Q345" s="145" t="n"/>
      <c r="R345" s="145" t="inlineStr">
        <is>
          <t>≈ 10–14 lb class</t>
        </is>
      </c>
      <c r="S345" s="145" t="n"/>
      <c r="T345" s="149" t="inlineStr">
        <is>
          <t>Not disclosed</t>
        </is>
      </c>
      <c r="U345" s="145" t="n"/>
      <c r="V345" s="145" t="n"/>
      <c r="W345" s="149" t="n"/>
      <c r="X345" s="145" t="inlineStr">
        <is>
          <t>Not disclosed</t>
        </is>
      </c>
      <c r="Y345" s="145" t="n"/>
      <c r="Z345" s="145" t="inlineStr">
        <is>
          <t>Not disclosed</t>
        </is>
      </c>
      <c r="AA345" s="145" t="n"/>
      <c r="AB345" s="145" t="n"/>
      <c r="AC345" s="149" t="inlineStr">
        <is>
          <t>Not disclosed</t>
        </is>
      </c>
      <c r="AD345" s="149" t="n"/>
      <c r="AE345" s="145" t="n"/>
      <c r="AF345" s="145" t="inlineStr">
        <is>
          <t>Not disclosed</t>
        </is>
      </c>
      <c r="AG345" s="149" t="n"/>
      <c r="AH345" s="145" t="n"/>
      <c r="AI345" s="145" t="n"/>
      <c r="AJ345" s="149" t="inlineStr">
        <is>
          <t>Autonomous underwater perception suites (configuration specific)</t>
        </is>
      </c>
      <c r="AK345" s="149" t="n"/>
      <c r="AL345" s="145" t="inlineStr">
        <is>
          <t>Mission and autonomy sensing data</t>
        </is>
      </c>
      <c r="AM345" s="145" t="n"/>
      <c r="AN345" s="145" t="n"/>
      <c r="AO345" s="145" t="n"/>
      <c r="AP345" s="145" t="inlineStr">
        <is>
          <t>Not disclosed</t>
        </is>
      </c>
      <c r="AQ345" s="145" t="n"/>
      <c r="AR345" s="145" t="n"/>
      <c r="AS345" s="145" t="n"/>
      <c r="AT345" s="149" t="n"/>
      <c r="AU345" s="149" t="inlineStr">
        <is>
          <t>Not disclosed</t>
        </is>
      </c>
      <c r="AV345" s="145" t="inlineStr">
        <is>
          <t>Anduril Lattice-oriented autonomy command</t>
        </is>
      </c>
      <c r="AW345" s="149" t="inlineStr">
        <is>
          <t>Not disclosed</t>
        </is>
      </c>
      <c r="AX345" s="145" t="n"/>
      <c r="AY345" s="149" t="n"/>
      <c r="AZ345" s="149" t="n"/>
      <c r="BA345" s="149" t="n"/>
      <c r="BB345" s="149" t="n"/>
      <c r="BC345" s="149" t="n"/>
      <c r="BD345" s="145" t="n"/>
      <c r="BE345" s="145" t="inlineStr">
        <is>
          <t>Not disclosed</t>
        </is>
      </c>
      <c r="BF345" s="145" t="n"/>
      <c r="BG345" s="145" t="inlineStr">
        <is>
          <t>Professional ROV depth class</t>
        </is>
      </c>
      <c r="BH345" s="145" t="inlineStr">
        <is>
          <t>Not disclosed</t>
        </is>
      </c>
      <c r="BI345" s="145" t="inlineStr">
        <is>
          <t>Not disclosed</t>
        </is>
      </c>
      <c r="BJ345" s="145" t="inlineStr">
        <is>
          <t>Not disclosed</t>
        </is>
      </c>
      <c r="BK345" s="145" t="inlineStr">
        <is>
          <t>Not disclosed</t>
        </is>
      </c>
      <c r="BL345" s="145" t="n"/>
      <c r="BM345" s="145" t="n"/>
      <c r="BN345" s="145" t="n"/>
      <c r="BO345" s="149" t="n"/>
      <c r="BP345" s="145" t="inlineStr">
        <is>
          <t>Not disclosed</t>
        </is>
      </c>
      <c r="BQ345" s="149" t="inlineStr">
        <is>
          <t>AUV</t>
        </is>
      </c>
      <c r="BR345" s="149" t="inlineStr">
        <is>
          <t>Not disclosed</t>
        </is>
      </c>
      <c r="BS345" s="149" t="n"/>
      <c r="BT345" s="145" t="n"/>
      <c r="BU345" s="145" t="n"/>
      <c r="BV345" s="149" t="inlineStr">
        <is>
          <t>Extra-large AUVs; mass production focus; Lattice AI</t>
        </is>
      </c>
      <c r="BW345" s="149" t="inlineStr">
        <is>
          <t>Origin &amp; status — China · 2018 | Mission — Depth Professional ROV depth class · Payload Not disclosed | Sensing — 4K camera modules | Buying notes — $1,299 · 12 months limited / contract-dependent · Best fit: 6DOF control; 4K; popular consumer/prosumer</t>
        </is>
      </c>
      <c r="BX345" s="149" t="inlineStr">
        <is>
          <t>as_shipped|FIFISH V6|1299|As shipped</t>
        </is>
      </c>
      <c r="BY345" s="145" t="inlineStr">
        <is>
          <t>fifish_v6|Manufacturer finish|#e2e8f0|0</t>
        </is>
      </c>
      <c r="BZ345" s="145" t="inlineStr"/>
      <c r="CA345" s="149" t="inlineStr">
        <is>
          <t>Add-ons: case; 2 color options; Multi-year extended warranty available</t>
        </is>
      </c>
      <c r="CB345" s="149" t="inlineStr">
        <is>
          <t>12 months limited / contract-dependent</t>
        </is>
      </c>
      <c r="CC345" s="147" t="n">
        <v>12</v>
      </c>
      <c r="CD345" s="149" t="inlineStr">
        <is>
          <t>+3 Year Extended ≈24% of configuration (default in configurator)</t>
        </is>
      </c>
      <c r="CE345" s="145" t="inlineStr">
        <is>
          <t>Enterprise marine robotics norms</t>
        </is>
      </c>
      <c r="CF345" s="145" t="inlineStr">
        <is>
          <t>Estimated</t>
        </is>
      </c>
      <c r="CG345" s="149" t="inlineStr">
        <is>
          <t>Confirm inclusions and sea-trial terms on quote.</t>
        </is>
      </c>
      <c r="CH345" s="145" t="inlineStr">
        <is>
          <t>10%</t>
        </is>
      </c>
      <c r="CI345" s="145" t="inlineStr">
        <is>
          <t>17%</t>
        </is>
      </c>
      <c r="CJ345" s="145" t="inlineStr">
        <is>
          <t>24%</t>
        </is>
      </c>
      <c r="CK34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34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45" s="145" t="inlineStr">
        <is>
          <t>12 months limited / contract-dependent</t>
        </is>
      </c>
    </row>
    <row r="346" ht="31.5" customHeight="1" s="102">
      <c r="A346" s="143" t="inlineStr">
        <is>
          <t>saildrone_explorer</t>
        </is>
      </c>
      <c r="B346" s="160" t="inlineStr">
        <is>
          <t>Website</t>
        </is>
      </c>
      <c r="C346" s="145" t="inlineStr">
        <is>
          <t>Saildrone</t>
        </is>
      </c>
      <c r="D346" s="145" t="inlineStr">
        <is>
          <t>Explorer</t>
        </is>
      </c>
      <c r="E346" s="145" t="inlineStr">
        <is>
          <t>[Saildrone] Explorer (2015)</t>
        </is>
      </c>
      <c r="F346" s="165" t="inlineStr">
        <is>
          <t>water</t>
        </is>
      </c>
      <c r="G346" s="145" t="inlineStr">
        <is>
          <t>USA</t>
        </is>
      </c>
      <c r="H346" s="147" t="n">
        <v>2015</v>
      </c>
      <c r="I346" s="148" t="n">
        <v>500000</v>
      </c>
      <c r="J346" s="145" t="inlineStr">
        <is>
          <t>Explorer-class estimate</t>
        </is>
      </c>
      <c r="K346" s="149" t="inlineStr">
        <is>
          <t>Explorer is Saildrone's marine robot. Metocean and situational cameras; scientific sensor mast; aimed at uSV.</t>
        </is>
      </c>
      <c r="L346" s="101" t="inlineStr">
        <is>
          <t>Explorer is Saildrone's marine robot. Metocean and situational cameras; scientific sensor mast; aimed at uSV.</t>
        </is>
      </c>
      <c r="M346" s="101" t="inlineStr">
        <is>
          <t>Explorer is Saildrone's marine robot. Metocean and situational cameras; scientific sensor mast; aimed at uSV.</t>
        </is>
      </c>
      <c r="N346" s="145" t="n"/>
      <c r="O346" s="145" t="inlineStr">
        <is>
          <t>https://www.saildrone.com</t>
        </is>
      </c>
      <c r="P346" s="145" t="n"/>
      <c r="Q346" s="145" t="n"/>
      <c r="R346" s="145" t="inlineStr">
        <is>
          <t>Not disclosed</t>
        </is>
      </c>
      <c r="S346" s="145" t="n"/>
      <c r="T346" s="149" t="inlineStr">
        <is>
          <t>Not disclosed</t>
        </is>
      </c>
      <c r="U346" s="145" t="n"/>
      <c r="V346" s="145" t="n"/>
      <c r="W346" s="149" t="n"/>
      <c r="X346" s="145" t="inlineStr">
        <is>
          <t>Not disclosed</t>
        </is>
      </c>
      <c r="Y346" s="145" t="n"/>
      <c r="Z346" s="145" t="inlineStr">
        <is>
          <t>Not disclosed</t>
        </is>
      </c>
      <c r="AA346" s="145" t="n"/>
      <c r="AB346" s="145" t="n"/>
      <c r="AC346" s="149" t="inlineStr">
        <is>
          <t>Not disclosed</t>
        </is>
      </c>
      <c r="AD346" s="149" t="n"/>
      <c r="AE346" s="145" t="n"/>
      <c r="AF346" s="145" t="inlineStr">
        <is>
          <t>Not disclosed</t>
        </is>
      </c>
      <c r="AG346" s="149" t="n"/>
      <c r="AH346" s="145" t="n"/>
      <c r="AI346" s="145" t="n"/>
      <c r="AJ346" s="149" t="inlineStr">
        <is>
          <t>Autonomous underwater perception suites (configuration specific)</t>
        </is>
      </c>
      <c r="AK346" s="149" t="n"/>
      <c r="AL346" s="145" t="inlineStr">
        <is>
          <t>Mission and autonomy sensing data</t>
        </is>
      </c>
      <c r="AM346" s="145" t="n"/>
      <c r="AN346" s="145" t="n"/>
      <c r="AO346" s="145" t="n"/>
      <c r="AP346" s="145" t="inlineStr">
        <is>
          <t>Not disclosed</t>
        </is>
      </c>
      <c r="AQ346" s="145" t="n"/>
      <c r="AR346" s="145" t="n"/>
      <c r="AS346" s="145" t="n"/>
      <c r="AT346" s="149" t="n"/>
      <c r="AU346" s="149" t="inlineStr">
        <is>
          <t>Not disclosed</t>
        </is>
      </c>
      <c r="AV346" s="145" t="inlineStr">
        <is>
          <t>Anduril Lattice-oriented autonomy command</t>
        </is>
      </c>
      <c r="AW346" s="149" t="inlineStr">
        <is>
          <t>Not disclosed</t>
        </is>
      </c>
      <c r="AX346" s="145" t="n"/>
      <c r="AY346" s="149" t="n"/>
      <c r="AZ346" s="149" t="n"/>
      <c r="BA346" s="149" t="n"/>
      <c r="BB346" s="149" t="n"/>
      <c r="BC346" s="149" t="n"/>
      <c r="BD346" s="145" t="n"/>
      <c r="BE346" s="145" t="inlineStr">
        <is>
          <t>Not disclosed</t>
        </is>
      </c>
      <c r="BF346" s="145" t="n"/>
      <c r="BG346" s="145" t="inlineStr">
        <is>
          <t>Not disclosed</t>
        </is>
      </c>
      <c r="BH346" s="145" t="inlineStr">
        <is>
          <t>Not disclosed</t>
        </is>
      </c>
      <c r="BI346" s="145" t="inlineStr">
        <is>
          <t>Not disclosed</t>
        </is>
      </c>
      <c r="BJ346" s="145" t="inlineStr">
        <is>
          <t>Not disclosed</t>
        </is>
      </c>
      <c r="BK346" s="145" t="inlineStr">
        <is>
          <t>Not disclosed</t>
        </is>
      </c>
      <c r="BL346" s="145" t="n"/>
      <c r="BM346" s="145" t="n"/>
      <c r="BN346" s="145" t="n"/>
      <c r="BO346" s="149" t="n"/>
      <c r="BP346" s="145" t="inlineStr">
        <is>
          <t>Not disclosed</t>
        </is>
      </c>
      <c r="BQ346" s="149" t="inlineStr">
        <is>
          <t>AUV</t>
        </is>
      </c>
      <c r="BR346" s="149" t="inlineStr">
        <is>
          <t>Not disclosed</t>
        </is>
      </c>
      <c r="BS346" s="149" t="n"/>
      <c r="BT346" s="145" t="n"/>
      <c r="BU346" s="145" t="n"/>
      <c r="BV346" s="149" t="inlineStr">
        <is>
          <t>Extra-large AUVs; mass production focus; Lattice AI</t>
        </is>
      </c>
      <c r="BW346" s="149" t="inlineStr">
        <is>
          <t>Origin &amp; status — USA · 2015 | Mission — Depth Not disclosed · Payload Not disclosed | Sensing — Metocean and situational cameras; scientific sensor mast | Buying notes — $500,000 · 12 months limited / contract-dependent · Best fit: 276 in wind/solar powered; 12+ months endurance; ocean monitoring, METOC</t>
        </is>
      </c>
      <c r="BX346" s="149" t="inlineStr">
        <is>
          <t>as_shipped|Explorer|500000|As shipped</t>
        </is>
      </c>
      <c r="BY346" s="145" t="inlineStr">
        <is>
          <t>explorer|Manufacturer finish|#e2e8f0|0</t>
        </is>
      </c>
      <c r="BZ346" s="145" t="inlineStr"/>
      <c r="CA346" s="149" t="inlineStr">
        <is>
          <t>Add-ons: case; 2 color options; Multi-year extended warranty available</t>
        </is>
      </c>
      <c r="CB346" s="149" t="inlineStr">
        <is>
          <t>12 months limited / contract-dependent</t>
        </is>
      </c>
      <c r="CC346" s="147" t="n">
        <v>12</v>
      </c>
      <c r="CD346" s="149" t="inlineStr">
        <is>
          <t>+3 Year Extended ≈24% of configuration (default in configurator)</t>
        </is>
      </c>
      <c r="CE346" s="145" t="inlineStr">
        <is>
          <t>Enterprise marine robotics norms</t>
        </is>
      </c>
      <c r="CF346" s="145" t="inlineStr">
        <is>
          <t>Estimated</t>
        </is>
      </c>
      <c r="CG346" s="149" t="inlineStr">
        <is>
          <t>Confirm inclusions and sea-trial terms on quote.</t>
        </is>
      </c>
      <c r="CH346" s="145" t="inlineStr">
        <is>
          <t>10%</t>
        </is>
      </c>
      <c r="CI346" s="145" t="inlineStr">
        <is>
          <t>17%</t>
        </is>
      </c>
      <c r="CJ346" s="145" t="inlineStr">
        <is>
          <t>24%</t>
        </is>
      </c>
      <c r="CK346"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346"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46" s="145" t="inlineStr">
        <is>
          <t>12 months limited / contract-dependent</t>
        </is>
      </c>
    </row>
    <row r="347" ht="31.5" customHeight="1" s="102">
      <c r="A347" s="143" t="inlineStr">
        <is>
          <t>oceanalpha_l25_l42_series</t>
        </is>
      </c>
      <c r="B347" s="160" t="inlineStr">
        <is>
          <t>Website</t>
        </is>
      </c>
      <c r="C347" s="145" t="inlineStr">
        <is>
          <t>OceanAlpha</t>
        </is>
      </c>
      <c r="D347" s="145" t="inlineStr">
        <is>
          <t>L25</t>
        </is>
      </c>
      <c r="E347" s="145" t="inlineStr">
        <is>
          <t>[OceanAlpha] L25 (2018)</t>
        </is>
      </c>
      <c r="F347" s="165" t="inlineStr">
        <is>
          <t>water</t>
        </is>
      </c>
      <c r="G347" s="145" t="inlineStr">
        <is>
          <t>USA</t>
        </is>
      </c>
      <c r="H347" s="147" t="n">
        <v>2018</v>
      </c>
      <c r="I347" s="148" t="n">
        <v>180000</v>
      </c>
      <c r="J347" s="145" t="inlineStr">
        <is>
          <t>7.5 m / 2.8 t survey USV class estimate · quote-only OEM</t>
        </is>
      </c>
      <c r="K347" s="149" t="inlineStr">
        <is>
          <t>[OceanAlpha] L25 (2018) is a marine platform from OceanAlpha (China, 2018), positioned for usv.</t>
        </is>
      </c>
      <c r="L347" s="101" t="inlineStr">
        <is>
          <t>[OceanAlpha] L25 (2018) is a marine platform from OceanAlpha (China, 2018), positioned for usv.</t>
        </is>
      </c>
      <c r="M347" s="101" t="inlineStr">
        <is>
          <t>L25 is OceanAlpha's marine robot, introduced around 2018 in China. [OceanAlpha] L25 (2018) is a marine platform from OceanAlpha (China, 2018), positioned for usv.</t>
        </is>
      </c>
      <c r="N347" s="145" t="n"/>
      <c r="O347" s="145" t="inlineStr">
        <is>
          <t>https://www.oceanalpha.com</t>
        </is>
      </c>
      <c r="P347" s="145" t="n"/>
      <c r="Q347" s="145" t="n"/>
      <c r="R347" s="145" t="inlineStr">
        <is>
          <t>Not disclosed</t>
        </is>
      </c>
      <c r="S347" s="145" t="n"/>
      <c r="T347" s="149" t="inlineStr">
        <is>
          <t>Not disclosed</t>
        </is>
      </c>
      <c r="U347" s="145" t="n"/>
      <c r="V347" s="145" t="n"/>
      <c r="W347" s="149" t="n"/>
      <c r="X347" s="145" t="inlineStr">
        <is>
          <t>Not disclosed</t>
        </is>
      </c>
      <c r="Y347" s="145" t="n"/>
      <c r="Z347" s="145" t="inlineStr">
        <is>
          <t>Not disclosed</t>
        </is>
      </c>
      <c r="AA347" s="145" t="n"/>
      <c r="AB347" s="145" t="n"/>
      <c r="AC347" s="149" t="inlineStr">
        <is>
          <t>Not disclosed</t>
        </is>
      </c>
      <c r="AD347" s="149" t="n"/>
      <c r="AE347" s="145" t="n"/>
      <c r="AF347" s="145" t="inlineStr">
        <is>
          <t>Not disclosed</t>
        </is>
      </c>
      <c r="AG347" s="149" t="n"/>
      <c r="AH347" s="145" t="n"/>
      <c r="AI347" s="145" t="n"/>
      <c r="AJ347" s="149" t="inlineStr">
        <is>
          <t>Autonomous underwater perception suites (configuration specific)</t>
        </is>
      </c>
      <c r="AK347" s="149" t="n"/>
      <c r="AL347" s="145" t="inlineStr">
        <is>
          <t>Mission and autonomy sensing data</t>
        </is>
      </c>
      <c r="AM347" s="145" t="n"/>
      <c r="AN347" s="145" t="n"/>
      <c r="AO347" s="145" t="n"/>
      <c r="AP347" s="145" t="inlineStr">
        <is>
          <t>Not disclosed</t>
        </is>
      </c>
      <c r="AQ347" s="145" t="n"/>
      <c r="AR347" s="145" t="n"/>
      <c r="AS347" s="145" t="n"/>
      <c r="AT347" s="149" t="n"/>
      <c r="AU347" s="149" t="inlineStr">
        <is>
          <t>Not disclosed</t>
        </is>
      </c>
      <c r="AV347" s="145" t="inlineStr">
        <is>
          <t>Anduril Lattice-oriented autonomy command</t>
        </is>
      </c>
      <c r="AW347" s="149" t="inlineStr">
        <is>
          <t>Not disclosed</t>
        </is>
      </c>
      <c r="AX347" s="145" t="n"/>
      <c r="AY347" s="149" t="n"/>
      <c r="AZ347" s="149" t="n"/>
      <c r="BA347" s="149" t="n"/>
      <c r="BB347" s="149" t="n"/>
      <c r="BC347" s="149" t="n"/>
      <c r="BD347" s="145" t="n"/>
      <c r="BE347" s="145" t="inlineStr">
        <is>
          <t>Not disclosed</t>
        </is>
      </c>
      <c r="BF347" s="145" t="n"/>
      <c r="BG347" s="145" t="inlineStr">
        <is>
          <t>Not disclosed</t>
        </is>
      </c>
      <c r="BH347" s="145" t="inlineStr">
        <is>
          <t>Not disclosed</t>
        </is>
      </c>
      <c r="BI347" s="145" t="inlineStr">
        <is>
          <t>Not disclosed</t>
        </is>
      </c>
      <c r="BJ347" s="145" t="inlineStr">
        <is>
          <t>Not disclosed</t>
        </is>
      </c>
      <c r="BK347" s="145" t="inlineStr">
        <is>
          <t>Not disclosed</t>
        </is>
      </c>
      <c r="BL347" s="145" t="n"/>
      <c r="BM347" s="145" t="n"/>
      <c r="BN347" s="145" t="n"/>
      <c r="BO347" s="149" t="n"/>
      <c r="BP347" s="145" t="inlineStr">
        <is>
          <t>Not disclosed</t>
        </is>
      </c>
      <c r="BQ347" s="149" t="inlineStr">
        <is>
          <t>AUV</t>
        </is>
      </c>
      <c r="BR347" s="149" t="inlineStr">
        <is>
          <t>Not disclosed</t>
        </is>
      </c>
      <c r="BS347" s="149" t="n"/>
      <c r="BT347" s="145" t="n"/>
      <c r="BU347" s="145" t="n"/>
      <c r="BV347" s="149" t="inlineStr">
        <is>
          <t>Extra-large AUVs; mass production focus; Lattice AI</t>
        </is>
      </c>
      <c r="BW347" s="149" t="inlineStr">
        <is>
          <t>Origin &amp; status — China · 2018 | Mission — Depth Not disclosed · Payload Not disclosed | Sensing — Surface/USV cameras and optional payload sensors | Buying notes — Contact manufacturer (mid-size survey ~$100k–$500k+ est.) · 12 months limited / contract-dependent · Best fit: Hydrographic survey; hybrid propulsion; L42 8+ days…</t>
        </is>
      </c>
      <c r="BX347" s="149" t="inlineStr">
        <is>
          <t>as_shipped|L25|180000|As shipped</t>
        </is>
      </c>
      <c r="BY347" s="145" t="inlineStr">
        <is>
          <t>l25|Manufacturer finish|#e2e8f0|0</t>
        </is>
      </c>
      <c r="BZ347" s="145" t="inlineStr"/>
      <c r="CA347" s="149" t="inlineStr">
        <is>
          <t>Add-ons: case; 2 color options; Multi-year extended warranty available</t>
        </is>
      </c>
      <c r="CB347" s="149" t="inlineStr">
        <is>
          <t>12 months limited / contract-dependent</t>
        </is>
      </c>
      <c r="CC347" s="147" t="n">
        <v>12</v>
      </c>
      <c r="CD347" s="149" t="inlineStr">
        <is>
          <t>+3 Year Extended ≈24% of configuration (default in configurator)</t>
        </is>
      </c>
      <c r="CE347" s="145" t="inlineStr">
        <is>
          <t>Enterprise marine robotics norms</t>
        </is>
      </c>
      <c r="CF347" s="145" t="inlineStr">
        <is>
          <t>Estimated</t>
        </is>
      </c>
      <c r="CG347" s="149" t="inlineStr">
        <is>
          <t>Confirm inclusions and sea-trial terms on quote.</t>
        </is>
      </c>
      <c r="CH347" s="145" t="inlineStr">
        <is>
          <t>10%</t>
        </is>
      </c>
      <c r="CI347" s="145" t="inlineStr">
        <is>
          <t>17%</t>
        </is>
      </c>
      <c r="CJ347" s="145" t="inlineStr">
        <is>
          <t>24%</t>
        </is>
      </c>
      <c r="CK347"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347"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47" s="145" t="inlineStr">
        <is>
          <t>12 months limited / contract-dependent</t>
        </is>
      </c>
    </row>
    <row r="348" ht="31.5" customHeight="1" s="102">
      <c r="A348" s="143" t="inlineStr">
        <is>
          <t>oceanalpha_l30_m75</t>
        </is>
      </c>
      <c r="B348" s="160" t="inlineStr">
        <is>
          <t>Website</t>
        </is>
      </c>
      <c r="C348" s="145" t="inlineStr">
        <is>
          <t>OceanAlpha</t>
        </is>
      </c>
      <c r="D348" s="145" t="inlineStr">
        <is>
          <t>L30</t>
        </is>
      </c>
      <c r="E348" s="145" t="inlineStr">
        <is>
          <t>[OceanAlpha] L30 (2018)</t>
        </is>
      </c>
      <c r="F348" s="165" t="inlineStr">
        <is>
          <t>water</t>
        </is>
      </c>
      <c r="G348" s="145" t="inlineStr">
        <is>
          <t>USA</t>
        </is>
      </c>
      <c r="H348" s="147" t="n">
        <v>2018</v>
      </c>
      <c r="I348" s="148" t="n">
        <v>280000</v>
      </c>
      <c r="J348" s="145" t="inlineStr">
        <is>
          <t>7.5 m / 4.5 t diesel patrol USV class estimate · quote-only OEM</t>
        </is>
      </c>
      <c r="K348" s="149" t="inlineStr">
        <is>
          <t>[OceanAlpha] L30 (2018) is a marine platform from OceanAlpha (China, 2018), positioned for usv.</t>
        </is>
      </c>
      <c r="L348" s="101" t="inlineStr">
        <is>
          <t>[OceanAlpha] L30 (2018) is a marine platform from OceanAlpha (China, 2018), positioned for usv.</t>
        </is>
      </c>
      <c r="M348" s="101" t="inlineStr">
        <is>
          <t>L30 is OceanAlpha's marine robot, introduced around 2018 in China. [OceanAlpha] L30 (2018) is a marine platform from OceanAlpha (China, 2018), positioned for usv.</t>
        </is>
      </c>
      <c r="N348" s="145" t="n"/>
      <c r="O348" s="145" t="inlineStr">
        <is>
          <t>https://www.oceanalpha.com</t>
        </is>
      </c>
      <c r="P348" s="145" t="n"/>
      <c r="Q348" s="145" t="n"/>
      <c r="R348" s="145" t="inlineStr">
        <is>
          <t>Not disclosed</t>
        </is>
      </c>
      <c r="S348" s="145" t="n"/>
      <c r="T348" s="149" t="inlineStr">
        <is>
          <t>Not disclosed</t>
        </is>
      </c>
      <c r="U348" s="145" t="n"/>
      <c r="V348" s="145" t="n"/>
      <c r="W348" s="149" t="n"/>
      <c r="X348" s="145" t="inlineStr">
        <is>
          <t>Not disclosed</t>
        </is>
      </c>
      <c r="Y348" s="145" t="n"/>
      <c r="Z348" s="145" t="inlineStr">
        <is>
          <t>Not disclosed</t>
        </is>
      </c>
      <c r="AA348" s="145" t="n"/>
      <c r="AB348" s="145" t="n"/>
      <c r="AC348" s="149" t="inlineStr">
        <is>
          <t>Not disclosed</t>
        </is>
      </c>
      <c r="AD348" s="149" t="n"/>
      <c r="AE348" s="145" t="n"/>
      <c r="AF348" s="145" t="inlineStr">
        <is>
          <t>Not disclosed</t>
        </is>
      </c>
      <c r="AG348" s="149" t="n"/>
      <c r="AH348" s="145" t="n"/>
      <c r="AI348" s="145" t="n"/>
      <c r="AJ348" s="149" t="inlineStr">
        <is>
          <t>Autonomous underwater perception suites (configuration specific)</t>
        </is>
      </c>
      <c r="AK348" s="149" t="n"/>
      <c r="AL348" s="145" t="inlineStr">
        <is>
          <t>Mission and autonomy sensing data</t>
        </is>
      </c>
      <c r="AM348" s="145" t="n"/>
      <c r="AN348" s="145" t="n"/>
      <c r="AO348" s="145" t="n"/>
      <c r="AP348" s="145" t="inlineStr">
        <is>
          <t>Not disclosed</t>
        </is>
      </c>
      <c r="AQ348" s="145" t="n"/>
      <c r="AR348" s="145" t="n"/>
      <c r="AS348" s="145" t="n"/>
      <c r="AT348" s="149" t="n"/>
      <c r="AU348" s="149" t="inlineStr">
        <is>
          <t>Not disclosed</t>
        </is>
      </c>
      <c r="AV348" s="145" t="inlineStr">
        <is>
          <t>Anduril Lattice-oriented autonomy command</t>
        </is>
      </c>
      <c r="AW348" s="149" t="inlineStr">
        <is>
          <t>Not disclosed</t>
        </is>
      </c>
      <c r="AX348" s="145" t="n"/>
      <c r="AY348" s="149" t="n"/>
      <c r="AZ348" s="149" t="n"/>
      <c r="BA348" s="149" t="n"/>
      <c r="BB348" s="149" t="n"/>
      <c r="BC348" s="149" t="n"/>
      <c r="BD348" s="145" t="n"/>
      <c r="BE348" s="145" t="inlineStr">
        <is>
          <t>Not disclosed</t>
        </is>
      </c>
      <c r="BF348" s="145" t="n"/>
      <c r="BG348" s="145" t="inlineStr">
        <is>
          <t>Not disclosed</t>
        </is>
      </c>
      <c r="BH348" s="145" t="inlineStr">
        <is>
          <t>Not disclosed</t>
        </is>
      </c>
      <c r="BI348" s="145" t="inlineStr">
        <is>
          <t>Not disclosed</t>
        </is>
      </c>
      <c r="BJ348" s="145" t="inlineStr">
        <is>
          <t>Not disclosed</t>
        </is>
      </c>
      <c r="BK348" s="145" t="inlineStr">
        <is>
          <t>Not disclosed</t>
        </is>
      </c>
      <c r="BL348" s="145" t="n"/>
      <c r="BM348" s="145" t="n"/>
      <c r="BN348" s="145" t="n"/>
      <c r="BO348" s="149" t="n"/>
      <c r="BP348" s="145" t="inlineStr">
        <is>
          <t>Not disclosed</t>
        </is>
      </c>
      <c r="BQ348" s="149" t="inlineStr">
        <is>
          <t>AUV</t>
        </is>
      </c>
      <c r="BR348" s="149" t="inlineStr">
        <is>
          <t>Not disclosed</t>
        </is>
      </c>
      <c r="BS348" s="149" t="n"/>
      <c r="BT348" s="145" t="n"/>
      <c r="BU348" s="145" t="n"/>
      <c r="BV348" s="149" t="inlineStr">
        <is>
          <t>Extra-large AUVs; mass production focus; Lattice AI</t>
        </is>
      </c>
      <c r="BW348" s="149" t="inlineStr">
        <is>
          <t>Origin &amp; status — China · 2018 | Mission — Depth Not disclosed · Payload Not disclosed | Sensing — USV navigation and payload cameras | Buying notes — Contact (high-speed patrol models) · 12 months limited / contract-dependent · Best fit: High-speed maritime safety/patrol USVs up to 36kn</t>
        </is>
      </c>
      <c r="BX348" s="149" t="inlineStr">
        <is>
          <t>as_shipped|L30|280000|As shipped</t>
        </is>
      </c>
      <c r="BY348" s="145" t="inlineStr">
        <is>
          <t>l30|Manufacturer finish|#e2e8f0|0</t>
        </is>
      </c>
      <c r="BZ348" s="145" t="inlineStr"/>
      <c r="CA348" s="149" t="inlineStr">
        <is>
          <t>Add-ons: case; 2 color options; Multi-year extended warranty available</t>
        </is>
      </c>
      <c r="CB348" s="149" t="inlineStr">
        <is>
          <t>12 months limited / contract-dependent</t>
        </is>
      </c>
      <c r="CC348" s="147" t="n">
        <v>12</v>
      </c>
      <c r="CD348" s="149" t="inlineStr">
        <is>
          <t>+3 Year Extended ≈24% of configuration (default in configurator)</t>
        </is>
      </c>
      <c r="CE348" s="145" t="inlineStr">
        <is>
          <t>Enterprise marine robotics norms</t>
        </is>
      </c>
      <c r="CF348" s="145" t="inlineStr">
        <is>
          <t>Estimated</t>
        </is>
      </c>
      <c r="CG348" s="149" t="inlineStr">
        <is>
          <t>Confirm inclusions and sea-trial terms on quote.</t>
        </is>
      </c>
      <c r="CH348" s="145" t="inlineStr">
        <is>
          <t>10%</t>
        </is>
      </c>
      <c r="CI348" s="145" t="inlineStr">
        <is>
          <t>17%</t>
        </is>
      </c>
      <c r="CJ348" s="145" t="inlineStr">
        <is>
          <t>24%</t>
        </is>
      </c>
      <c r="CK348"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348"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48" s="145" t="inlineStr">
        <is>
          <t>12 months limited / contract-dependent</t>
        </is>
      </c>
    </row>
    <row r="349" ht="31.5" customHeight="1" s="102">
      <c r="A349" s="143" t="inlineStr">
        <is>
          <t>oceanalpha_m40p_sl_series</t>
        </is>
      </c>
      <c r="B349" s="160" t="inlineStr">
        <is>
          <t>Website</t>
        </is>
      </c>
      <c r="C349" s="145" t="inlineStr">
        <is>
          <t>OceanAlpha</t>
        </is>
      </c>
      <c r="D349" s="145" t="inlineStr">
        <is>
          <t>M40P</t>
        </is>
      </c>
      <c r="E349" s="145" t="inlineStr">
        <is>
          <t>[OceanAlpha] M40P (2015)</t>
        </is>
      </c>
      <c r="F349" s="165" t="inlineStr">
        <is>
          <t>water</t>
        </is>
      </c>
      <c r="G349" s="145" t="inlineStr">
        <is>
          <t>USA</t>
        </is>
      </c>
      <c r="H349" s="147" t="n">
        <v>2015</v>
      </c>
      <c r="I349" s="148" t="n">
        <v>95000</v>
      </c>
      <c r="J349" s="145" t="inlineStr">
        <is>
          <t>4.5 m / 1.4 t hybrid survey USV class estimate · quote-only OEM</t>
        </is>
      </c>
      <c r="K349" s="149" t="inlineStr">
        <is>
          <t>[OceanAlpha] M40P (2015) is a marine platform from OceanAlpha (China, 2015), positioned for usv.</t>
        </is>
      </c>
      <c r="L349" s="101" t="inlineStr">
        <is>
          <t>[OceanAlpha] M40P (2015) is a marine platform from OceanAlpha (China, 2015), positioned for usv.</t>
        </is>
      </c>
      <c r="M349" s="101" t="inlineStr">
        <is>
          <t>M40P is OceanAlpha's marine robot, introduced around 2015 in China. [OceanAlpha] M40P (2015) is a marine platform from OceanAlpha (China, 2015), positioned for usv.</t>
        </is>
      </c>
      <c r="N349" s="145" t="n"/>
      <c r="O349" s="145" t="inlineStr">
        <is>
          <t>https://www.oceanalpha.com</t>
        </is>
      </c>
      <c r="P349" s="145" t="n"/>
      <c r="Q349" s="145" t="n"/>
      <c r="R349" s="145" t="inlineStr">
        <is>
          <t>Not disclosed</t>
        </is>
      </c>
      <c r="S349" s="145" t="n"/>
      <c r="T349" s="149" t="inlineStr">
        <is>
          <t>Not disclosed</t>
        </is>
      </c>
      <c r="U349" s="145" t="n"/>
      <c r="V349" s="145" t="n"/>
      <c r="W349" s="149" t="n"/>
      <c r="X349" s="145" t="inlineStr">
        <is>
          <t>Not disclosed</t>
        </is>
      </c>
      <c r="Y349" s="145" t="n"/>
      <c r="Z349" s="145" t="inlineStr">
        <is>
          <t>Not disclosed</t>
        </is>
      </c>
      <c r="AA349" s="145" t="n"/>
      <c r="AB349" s="145" t="n"/>
      <c r="AC349" s="149" t="inlineStr">
        <is>
          <t>Not disclosed</t>
        </is>
      </c>
      <c r="AD349" s="149" t="n"/>
      <c r="AE349" s="145" t="n"/>
      <c r="AF349" s="145" t="inlineStr">
        <is>
          <t>Not disclosed</t>
        </is>
      </c>
      <c r="AG349" s="149" t="n"/>
      <c r="AH349" s="145" t="n"/>
      <c r="AI349" s="145" t="n"/>
      <c r="AJ349" s="149" t="inlineStr">
        <is>
          <t>Autonomous underwater perception suites (configuration specific)</t>
        </is>
      </c>
      <c r="AK349" s="149" t="n"/>
      <c r="AL349" s="145" t="inlineStr">
        <is>
          <t>Mission and autonomy sensing data</t>
        </is>
      </c>
      <c r="AM349" s="145" t="n"/>
      <c r="AN349" s="145" t="n"/>
      <c r="AO349" s="145" t="n"/>
      <c r="AP349" s="145" t="inlineStr">
        <is>
          <t>Not disclosed</t>
        </is>
      </c>
      <c r="AQ349" s="145" t="n"/>
      <c r="AR349" s="145" t="n"/>
      <c r="AS349" s="145" t="n"/>
      <c r="AT349" s="149" t="n"/>
      <c r="AU349" s="149" t="inlineStr">
        <is>
          <t>Not disclosed</t>
        </is>
      </c>
      <c r="AV349" s="145" t="inlineStr">
        <is>
          <t>Anduril Lattice-oriented autonomy command</t>
        </is>
      </c>
      <c r="AW349" s="149" t="inlineStr">
        <is>
          <t>Not disclosed</t>
        </is>
      </c>
      <c r="AX349" s="145" t="n"/>
      <c r="AY349" s="149" t="n"/>
      <c r="AZ349" s="149" t="n"/>
      <c r="BA349" s="149" t="n"/>
      <c r="BB349" s="149" t="n"/>
      <c r="BC349" s="149" t="n"/>
      <c r="BD349" s="145" t="n"/>
      <c r="BE349" s="145" t="inlineStr">
        <is>
          <t>Not disclosed</t>
        </is>
      </c>
      <c r="BF349" s="145" t="n"/>
      <c r="BG349" s="145" t="inlineStr">
        <is>
          <t>Not disclosed</t>
        </is>
      </c>
      <c r="BH349" s="145" t="inlineStr">
        <is>
          <t>Not disclosed</t>
        </is>
      </c>
      <c r="BI349" s="145" t="inlineStr">
        <is>
          <t>Not disclosed</t>
        </is>
      </c>
      <c r="BJ349" s="145" t="inlineStr">
        <is>
          <t>Not disclosed</t>
        </is>
      </c>
      <c r="BK349" s="145" t="inlineStr">
        <is>
          <t>Not disclosed</t>
        </is>
      </c>
      <c r="BL349" s="145" t="n"/>
      <c r="BM349" s="145" t="n"/>
      <c r="BN349" s="145" t="n"/>
      <c r="BO349" s="149" t="n"/>
      <c r="BP349" s="145" t="inlineStr">
        <is>
          <t>Not disclosed</t>
        </is>
      </c>
      <c r="BQ349" s="149" t="inlineStr">
        <is>
          <t>AUV</t>
        </is>
      </c>
      <c r="BR349" s="149" t="inlineStr">
        <is>
          <t>Not disclosed</t>
        </is>
      </c>
      <c r="BS349" s="149" t="n"/>
      <c r="BT349" s="145" t="n"/>
      <c r="BU349" s="145" t="n"/>
      <c r="BV349" s="149" t="inlineStr">
        <is>
          <t>Extra-large AUVs; mass production focus; Lattice AI</t>
        </is>
      </c>
      <c r="BW349" s="149" t="inlineStr">
        <is>
          <t>Origin &amp; status — China · 2015 | Mission — Depth Not disclosed · Payload Not disclosed | Sensing — Survey USV sensor suites | Buying notes — Small models from ~$20k–$90k · 12 months limited / contract-dependent · Best fit: Compact inland/coastal survey; water quality, bathymetry</t>
        </is>
      </c>
      <c r="BX349" s="149" t="inlineStr">
        <is>
          <t>as_shipped|M40P|95000|As shipped</t>
        </is>
      </c>
      <c r="BY349" s="145" t="inlineStr">
        <is>
          <t>m40p|Manufacturer finish|#e2e8f0|0</t>
        </is>
      </c>
      <c r="BZ349" s="145" t="inlineStr"/>
      <c r="CA349" s="149" t="inlineStr">
        <is>
          <t>Add-ons: case; 2 color options; Multi-year extended warranty available</t>
        </is>
      </c>
      <c r="CB349" s="149" t="inlineStr">
        <is>
          <t>12 months limited / contract-dependent</t>
        </is>
      </c>
      <c r="CC349" s="147" t="n">
        <v>12</v>
      </c>
      <c r="CD349" s="149" t="inlineStr">
        <is>
          <t>+3 Year Extended ≈24% of configuration (default in configurator)</t>
        </is>
      </c>
      <c r="CE349" s="145" t="inlineStr">
        <is>
          <t>Enterprise marine robotics norms</t>
        </is>
      </c>
      <c r="CF349" s="145" t="inlineStr">
        <is>
          <t>Estimated</t>
        </is>
      </c>
      <c r="CG349" s="149" t="inlineStr">
        <is>
          <t>Confirm inclusions and sea-trial terms on quote.</t>
        </is>
      </c>
      <c r="CH349" s="145" t="inlineStr">
        <is>
          <t>10%</t>
        </is>
      </c>
      <c r="CI349" s="145" t="inlineStr">
        <is>
          <t>17%</t>
        </is>
      </c>
      <c r="CJ349" s="145" t="inlineStr">
        <is>
          <t>24%</t>
        </is>
      </c>
      <c r="CK34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34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49" s="145" t="inlineStr">
        <is>
          <t>12 months limited / contract-dependent</t>
        </is>
      </c>
    </row>
    <row r="350" ht="31.5" customHeight="1" s="102">
      <c r="A350" s="143" t="inlineStr">
        <is>
          <t>kongsberg_maritime_hugin_edge_other_vari</t>
        </is>
      </c>
      <c r="B350" s="160" t="inlineStr">
        <is>
          <t>Website</t>
        </is>
      </c>
      <c r="C350" s="145" t="inlineStr">
        <is>
          <t>Kongsberg Maritime</t>
        </is>
      </c>
      <c r="D350" s="145" t="inlineStr">
        <is>
          <t>HUGIN Edge</t>
        </is>
      </c>
      <c r="E350" s="145" t="inlineStr">
        <is>
          <t>[Kongsberg] HUGIN Edge (2020)</t>
        </is>
      </c>
      <c r="F350" s="165" t="inlineStr">
        <is>
          <t>water</t>
        </is>
      </c>
      <c r="G350" s="145" t="inlineStr">
        <is>
          <t>USA</t>
        </is>
      </c>
      <c r="H350" s="147" t="n">
        <v>2020</v>
      </c>
      <c r="I350" s="148" t="n">
        <v>1800000</v>
      </c>
      <c r="J350" s="145" t="inlineStr">
        <is>
          <t>Compact HUGIN-class estimate</t>
        </is>
      </c>
      <c r="K350" s="149" t="inlineStr">
        <is>
          <t>HUGIN Edge is Kongsberg Maritime's marine robot. Synthetic aperture sonar, multibeam, cameras on survey configs; aimed at aUV.</t>
        </is>
      </c>
      <c r="L350" s="101" t="inlineStr">
        <is>
          <t>HUGIN Edge is Kongsberg Maritime's marine robot. Synthetic aperture sonar, multibeam, cameras on survey configs; aimed at aUV.</t>
        </is>
      </c>
      <c r="M350" s="101" t="inlineStr">
        <is>
          <t>HUGIN Edge is Kongsberg Maritime's marine robot. Synthetic aperture sonar, multibeam, cameras on survey configs; aimed at aUV.</t>
        </is>
      </c>
      <c r="N350" s="145" t="n"/>
      <c r="O350" s="145" t="inlineStr">
        <is>
          <t>https://www.kongsberg.com/maritime</t>
        </is>
      </c>
      <c r="P350" s="145" t="n"/>
      <c r="Q350" s="145" t="n"/>
      <c r="R350" s="145" t="inlineStr">
        <is>
          <t>Not disclosed</t>
        </is>
      </c>
      <c r="S350" s="145" t="n"/>
      <c r="T350" s="149" t="inlineStr">
        <is>
          <t>Not disclosed</t>
        </is>
      </c>
      <c r="U350" s="145" t="n"/>
      <c r="V350" s="145" t="n"/>
      <c r="W350" s="149" t="n"/>
      <c r="X350" s="145" t="inlineStr">
        <is>
          <t>Not disclosed</t>
        </is>
      </c>
      <c r="Y350" s="145" t="n"/>
      <c r="Z350" s="145" t="inlineStr">
        <is>
          <t>Not disclosed</t>
        </is>
      </c>
      <c r="AA350" s="145" t="n"/>
      <c r="AB350" s="145" t="n"/>
      <c r="AC350" s="149" t="inlineStr">
        <is>
          <t>Not disclosed</t>
        </is>
      </c>
      <c r="AD350" s="149" t="n"/>
      <c r="AE350" s="145" t="n"/>
      <c r="AF350" s="145" t="inlineStr">
        <is>
          <t>Not disclosed</t>
        </is>
      </c>
      <c r="AG350" s="149" t="n"/>
      <c r="AH350" s="145" t="n"/>
      <c r="AI350" s="145" t="n"/>
      <c r="AJ350" s="149" t="inlineStr">
        <is>
          <t>Autonomous underwater perception suites (configuration specific)</t>
        </is>
      </c>
      <c r="AK350" s="149" t="n"/>
      <c r="AL350" s="145" t="inlineStr">
        <is>
          <t>Mission and autonomy sensing data</t>
        </is>
      </c>
      <c r="AM350" s="145" t="n"/>
      <c r="AN350" s="145" t="n"/>
      <c r="AO350" s="145" t="n"/>
      <c r="AP350" s="145" t="inlineStr">
        <is>
          <t>Not disclosed</t>
        </is>
      </c>
      <c r="AQ350" s="145" t="n"/>
      <c r="AR350" s="145" t="n"/>
      <c r="AS350" s="145" t="n"/>
      <c r="AT350" s="149" t="n"/>
      <c r="AU350" s="149" t="inlineStr">
        <is>
          <t>Not disclosed</t>
        </is>
      </c>
      <c r="AV350" s="145" t="inlineStr">
        <is>
          <t>Anduril Lattice-oriented autonomy command</t>
        </is>
      </c>
      <c r="AW350" s="149" t="inlineStr">
        <is>
          <t>Not disclosed</t>
        </is>
      </c>
      <c r="AX350" s="145" t="n"/>
      <c r="AY350" s="149" t="n"/>
      <c r="AZ350" s="149" t="n"/>
      <c r="BA350" s="149" t="n"/>
      <c r="BB350" s="149" t="n"/>
      <c r="BC350" s="149" t="n"/>
      <c r="BD350" s="145" t="n"/>
      <c r="BE350" s="145" t="inlineStr">
        <is>
          <t>Not disclosed</t>
        </is>
      </c>
      <c r="BF350" s="145" t="n"/>
      <c r="BG350" s="145" t="inlineStr">
        <is>
          <t>Not disclosed</t>
        </is>
      </c>
      <c r="BH350" s="145" t="inlineStr">
        <is>
          <t>Not disclosed</t>
        </is>
      </c>
      <c r="BI350" s="145" t="inlineStr">
        <is>
          <t>Not disclosed</t>
        </is>
      </c>
      <c r="BJ350" s="145" t="inlineStr">
        <is>
          <t>Not disclosed</t>
        </is>
      </c>
      <c r="BK350" s="145" t="inlineStr">
        <is>
          <t>Not disclosed</t>
        </is>
      </c>
      <c r="BL350" s="145" t="n"/>
      <c r="BM350" s="145" t="n"/>
      <c r="BN350" s="145" t="n"/>
      <c r="BO350" s="149" t="n"/>
      <c r="BP350" s="145" t="inlineStr">
        <is>
          <t>Not disclosed</t>
        </is>
      </c>
      <c r="BQ350" s="149" t="inlineStr">
        <is>
          <t>AUV</t>
        </is>
      </c>
      <c r="BR350" s="149" t="inlineStr">
        <is>
          <t>Not disclosed</t>
        </is>
      </c>
      <c r="BS350" s="149" t="n"/>
      <c r="BT350" s="145" t="n"/>
      <c r="BU350" s="145" t="n"/>
      <c r="BV350" s="149" t="inlineStr">
        <is>
          <t>Extra-large AUVs; mass production focus; Lattice AI</t>
        </is>
      </c>
      <c r="BW350" s="149" t="inlineStr">
        <is>
          <t>Origin &amp; status — Norway · 2020 | Mission — Depth Not disclosed · Payload Not disclosed | Sensing — Synthetic aperture sonar, multibeam, cameras on survey configs | Buying notes — Contact / multi-million · 12 months limited / contract-dependent · Best fit: Compact / specialized configurations</t>
        </is>
      </c>
      <c r="BX350" s="149" t="inlineStr">
        <is>
          <t>as_shipped|HUGIN Edge|1800000|As shipped</t>
        </is>
      </c>
      <c r="BY350" s="145" t="inlineStr">
        <is>
          <t>hugin_edge|Manufacturer finish|#e2e8f0|0</t>
        </is>
      </c>
      <c r="BZ350" s="145" t="inlineStr"/>
      <c r="CA350" s="149" t="inlineStr">
        <is>
          <t>Add-ons: case; 2 color options; Multi-year extended warranty available</t>
        </is>
      </c>
      <c r="CB350" s="149" t="inlineStr">
        <is>
          <t>12 months limited / contract-dependent</t>
        </is>
      </c>
      <c r="CC350" s="147" t="n">
        <v>12</v>
      </c>
      <c r="CD350" s="149" t="inlineStr">
        <is>
          <t>+3 Year Extended ≈24% of configuration (default in configurator)</t>
        </is>
      </c>
      <c r="CE350" s="145" t="inlineStr">
        <is>
          <t>Enterprise marine robotics norms</t>
        </is>
      </c>
      <c r="CF350" s="145" t="inlineStr">
        <is>
          <t>Estimated</t>
        </is>
      </c>
      <c r="CG350" s="149" t="inlineStr">
        <is>
          <t>Confirm inclusions and sea-trial terms on quote.</t>
        </is>
      </c>
      <c r="CH350" s="145" t="inlineStr">
        <is>
          <t>10%</t>
        </is>
      </c>
      <c r="CI350" s="145" t="inlineStr">
        <is>
          <t>17%</t>
        </is>
      </c>
      <c r="CJ350" s="145" t="inlineStr">
        <is>
          <t>24%</t>
        </is>
      </c>
      <c r="CK350"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350"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50" s="145" t="inlineStr">
        <is>
          <t>12 months limited / contract-dependent</t>
        </is>
      </c>
    </row>
    <row r="351" ht="31.5" customHeight="1" s="102">
      <c r="A351" s="143" t="inlineStr">
        <is>
          <t>teledyne_marine_gavia_searaptor_auv</t>
        </is>
      </c>
      <c r="B351" s="160" t="inlineStr">
        <is>
          <t>Website</t>
        </is>
      </c>
      <c r="C351" s="145" t="inlineStr">
        <is>
          <t>Teledyne Marine</t>
        </is>
      </c>
      <c r="D351" s="145" t="inlineStr">
        <is>
          <t>Gavia</t>
        </is>
      </c>
      <c r="E351" s="145" t="inlineStr">
        <is>
          <t>[Teledyne Marine] Gavia (2000)</t>
        </is>
      </c>
      <c r="F351" s="165" t="inlineStr">
        <is>
          <t>water</t>
        </is>
      </c>
      <c r="G351" s="145" t="inlineStr">
        <is>
          <t>USA</t>
        </is>
      </c>
      <c r="H351" s="147" t="n">
        <v>2000</v>
      </c>
      <c r="I351" s="148" t="n">
        <v>450000</v>
      </c>
      <c r="J351" s="145" t="inlineStr">
        <is>
          <t>Gavia survey AUV class estimate · quote-only OEM</t>
        </is>
      </c>
      <c r="K351" s="149" t="inlineStr">
        <is>
          <t>[Teledyne Marine] Gavia (2000) is a marine platform from Teledyne Marine (USA, 2000), positioned for auv.</t>
        </is>
      </c>
      <c r="L351" s="101" t="inlineStr">
        <is>
          <t>[Teledyne Marine] Gavia (2000) is a marine platform from Teledyne Marine (USA, 2000), positioned for auv.</t>
        </is>
      </c>
      <c r="M351" s="101" t="inlineStr">
        <is>
          <t>Gavia is Teledyne Marine's marine robot, introduced around 2000 in USA. [Teledyne Marine] Gavia (2000) is a marine platform from Teledyne Marine (USA, 2000), positioned for auv.</t>
        </is>
      </c>
      <c r="N351" s="145" t="n"/>
      <c r="O351" s="145" t="inlineStr">
        <is>
          <t>https://www.teledynemarine.com</t>
        </is>
      </c>
      <c r="P351" s="145" t="n"/>
      <c r="Q351" s="145" t="n"/>
      <c r="R351" s="145" t="inlineStr">
        <is>
          <t>Not disclosed</t>
        </is>
      </c>
      <c r="S351" s="145" t="n"/>
      <c r="T351" s="149" t="inlineStr">
        <is>
          <t>Not disclosed</t>
        </is>
      </c>
      <c r="U351" s="145" t="n"/>
      <c r="V351" s="145" t="n"/>
      <c r="W351" s="149" t="n"/>
      <c r="X351" s="145" t="inlineStr">
        <is>
          <t>Not disclosed</t>
        </is>
      </c>
      <c r="Y351" s="145" t="n"/>
      <c r="Z351" s="145" t="inlineStr">
        <is>
          <t>Not disclosed</t>
        </is>
      </c>
      <c r="AA351" s="145" t="n"/>
      <c r="AB351" s="145" t="n"/>
      <c r="AC351" s="149" t="inlineStr">
        <is>
          <t>Not disclosed</t>
        </is>
      </c>
      <c r="AD351" s="149" t="n"/>
      <c r="AE351" s="145" t="n"/>
      <c r="AF351" s="145" t="inlineStr">
        <is>
          <t>Not disclosed</t>
        </is>
      </c>
      <c r="AG351" s="149" t="n"/>
      <c r="AH351" s="145" t="n"/>
      <c r="AI351" s="145" t="n"/>
      <c r="AJ351" s="149" t="inlineStr">
        <is>
          <t>Autonomous underwater perception suites (configuration specific)</t>
        </is>
      </c>
      <c r="AK351" s="149" t="n"/>
      <c r="AL351" s="145" t="inlineStr">
        <is>
          <t>Mission and autonomy sensing data</t>
        </is>
      </c>
      <c r="AM351" s="145" t="n"/>
      <c r="AN351" s="145" t="n"/>
      <c r="AO351" s="145" t="n"/>
      <c r="AP351" s="145" t="inlineStr">
        <is>
          <t>Not disclosed</t>
        </is>
      </c>
      <c r="AQ351" s="145" t="n"/>
      <c r="AR351" s="145" t="n"/>
      <c r="AS351" s="145" t="n"/>
      <c r="AT351" s="149" t="n"/>
      <c r="AU351" s="149" t="inlineStr">
        <is>
          <t>Not disclosed</t>
        </is>
      </c>
      <c r="AV351" s="145" t="inlineStr">
        <is>
          <t>Anduril Lattice-oriented autonomy command</t>
        </is>
      </c>
      <c r="AW351" s="149" t="inlineStr">
        <is>
          <t>Not disclosed</t>
        </is>
      </c>
      <c r="AX351" s="145" t="n"/>
      <c r="AY351" s="149" t="n"/>
      <c r="AZ351" s="149" t="n"/>
      <c r="BA351" s="149" t="n"/>
      <c r="BB351" s="149" t="n"/>
      <c r="BC351" s="149" t="n"/>
      <c r="BD351" s="145" t="n"/>
      <c r="BE351" s="145" t="inlineStr">
        <is>
          <t>Not disclosed</t>
        </is>
      </c>
      <c r="BF351" s="145" t="n"/>
      <c r="BG351" s="145" t="inlineStr">
        <is>
          <t>Not disclosed</t>
        </is>
      </c>
      <c r="BH351" s="145" t="inlineStr">
        <is>
          <t>Not disclosed</t>
        </is>
      </c>
      <c r="BI351" s="145" t="inlineStr">
        <is>
          <t>Not disclosed</t>
        </is>
      </c>
      <c r="BJ351" s="145" t="inlineStr">
        <is>
          <t>Not disclosed</t>
        </is>
      </c>
      <c r="BK351" s="145" t="inlineStr">
        <is>
          <t>Not disclosed</t>
        </is>
      </c>
      <c r="BL351" s="145" t="n"/>
      <c r="BM351" s="145" t="n"/>
      <c r="BN351" s="145" t="n"/>
      <c r="BO351" s="149" t="n"/>
      <c r="BP351" s="145" t="inlineStr">
        <is>
          <t>Not disclosed</t>
        </is>
      </c>
      <c r="BQ351" s="149" t="inlineStr">
        <is>
          <t>AUV</t>
        </is>
      </c>
      <c r="BR351" s="149" t="inlineStr">
        <is>
          <t>Not disclosed</t>
        </is>
      </c>
      <c r="BS351" s="149" t="n"/>
      <c r="BT351" s="145" t="n"/>
      <c r="BU351" s="145" t="n"/>
      <c r="BV351" s="149" t="inlineStr">
        <is>
          <t>Extra-large AUVs; mass production focus; Lattice AI</t>
        </is>
      </c>
      <c r="BW351" s="149" t="inlineStr">
        <is>
          <t>Origin &amp; status — USA · 2000 | Mission — Depth Not disclosed · Payload Not disclosed | Sensing — AUV camera and sonar payloads | Buying notes — Multi-hundred thousand to millions · 12 months limited / contract-dependent · Best fit: Survey-grade; 1000–19685 ft options; widely deployed</t>
        </is>
      </c>
      <c r="BX351" s="149" t="inlineStr">
        <is>
          <t>as_shipped|Gavia|450000|As shipped</t>
        </is>
      </c>
      <c r="BY351" s="145" t="inlineStr">
        <is>
          <t>gavia|Manufacturer finish|#e2e8f0|0</t>
        </is>
      </c>
      <c r="BZ351" s="145" t="inlineStr"/>
      <c r="CA351" s="149" t="inlineStr">
        <is>
          <t>Add-ons: case; 2 color options; Multi-year extended warranty available</t>
        </is>
      </c>
      <c r="CB351" s="149" t="inlineStr">
        <is>
          <t>12 months limited / contract-dependent</t>
        </is>
      </c>
      <c r="CC351" s="147" t="n">
        <v>12</v>
      </c>
      <c r="CD351" s="149" t="inlineStr">
        <is>
          <t>+3 Year Extended ≈24% of configuration (default in configurator)</t>
        </is>
      </c>
      <c r="CE351" s="145" t="inlineStr">
        <is>
          <t>Enterprise marine robotics norms</t>
        </is>
      </c>
      <c r="CF351" s="145" t="inlineStr">
        <is>
          <t>Estimated</t>
        </is>
      </c>
      <c r="CG351" s="149" t="inlineStr">
        <is>
          <t>Confirm inclusions and sea-trial terms on quote.</t>
        </is>
      </c>
      <c r="CH351" s="145" t="inlineStr">
        <is>
          <t>10%</t>
        </is>
      </c>
      <c r="CI351" s="145" t="inlineStr">
        <is>
          <t>17%</t>
        </is>
      </c>
      <c r="CJ351" s="145" t="inlineStr">
        <is>
          <t>24%</t>
        </is>
      </c>
      <c r="CK35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35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51" s="145" t="inlineStr">
        <is>
          <t>12 months limited / contract-dependent</t>
        </is>
      </c>
    </row>
    <row r="352" ht="31.5" customHeight="1" s="102">
      <c r="A352" s="143" t="inlineStr">
        <is>
          <t>teledyne_marine_gavia_searaptor_auv_searaptor</t>
        </is>
      </c>
      <c r="B352" s="160" t="inlineStr">
        <is>
          <t>Website</t>
        </is>
      </c>
      <c r="C352" s="145" t="inlineStr">
        <is>
          <t>Teledyne Marine</t>
        </is>
      </c>
      <c r="D352" s="145" t="inlineStr">
        <is>
          <t>SeaRaptor</t>
        </is>
      </c>
      <c r="E352" s="145" t="inlineStr">
        <is>
          <t>[Teledyne Marine] SeaRaptor (2000)</t>
        </is>
      </c>
      <c r="F352" s="165" t="inlineStr">
        <is>
          <t>water</t>
        </is>
      </c>
      <c r="G352" s="145" t="inlineStr">
        <is>
          <t>USA</t>
        </is>
      </c>
      <c r="H352" s="147" t="n">
        <v>2000</v>
      </c>
      <c r="I352" s="148" t="n">
        <v>2500000</v>
      </c>
      <c r="J352" s="145" t="inlineStr">
        <is>
          <t>Work-class AUV class estimate · quote-only OEM</t>
        </is>
      </c>
      <c r="K352" s="149" t="inlineStr">
        <is>
          <t>[Teledyne Marine] SeaRaptor (2000) is a marine platform from Teledyne Marine (USA, 2000), positioned for auv.</t>
        </is>
      </c>
      <c r="L352" s="101" t="inlineStr">
        <is>
          <t>[Teledyne Marine] SeaRaptor (2000) is a marine platform from Teledyne Marine (USA, 2000), positioned for auv.</t>
        </is>
      </c>
      <c r="M352" s="101" t="inlineStr">
        <is>
          <t>SeaRaptor is Teledyne Marine's marine robot, introduced around 2000 in USA. [Teledyne Marine] SeaRaptor (2000) is a marine platform from Teledyne Marine (USA, 2000), positioned for auv.</t>
        </is>
      </c>
      <c r="N352" s="145" t="n"/>
      <c r="O352" s="145" t="inlineStr">
        <is>
          <t>https://www.teledynemarine.com</t>
        </is>
      </c>
      <c r="P352" s="145" t="n"/>
      <c r="Q352" s="145" t="n"/>
      <c r="R352" s="145" t="inlineStr">
        <is>
          <t>Not disclosed</t>
        </is>
      </c>
      <c r="S352" s="145" t="n"/>
      <c r="T352" s="149" t="inlineStr">
        <is>
          <t>Not disclosed</t>
        </is>
      </c>
      <c r="U352" s="145" t="n"/>
      <c r="V352" s="145" t="n"/>
      <c r="W352" s="149" t="n"/>
      <c r="X352" s="145" t="inlineStr">
        <is>
          <t>Not disclosed</t>
        </is>
      </c>
      <c r="Y352" s="145" t="n"/>
      <c r="Z352" s="145" t="inlineStr">
        <is>
          <t>Not disclosed</t>
        </is>
      </c>
      <c r="AA352" s="145" t="n"/>
      <c r="AB352" s="145" t="n"/>
      <c r="AC352" s="149" t="inlineStr">
        <is>
          <t>Not disclosed</t>
        </is>
      </c>
      <c r="AD352" s="149" t="n"/>
      <c r="AE352" s="145" t="n"/>
      <c r="AF352" s="145" t="inlineStr">
        <is>
          <t>Not disclosed</t>
        </is>
      </c>
      <c r="AG352" s="149" t="n"/>
      <c r="AH352" s="145" t="n"/>
      <c r="AI352" s="145" t="n"/>
      <c r="AJ352" s="149" t="inlineStr">
        <is>
          <t>Autonomous underwater perception suites (configuration specific)</t>
        </is>
      </c>
      <c r="AK352" s="149" t="n"/>
      <c r="AL352" s="145" t="inlineStr">
        <is>
          <t>Mission and autonomy sensing data</t>
        </is>
      </c>
      <c r="AM352" s="145" t="n"/>
      <c r="AN352" s="145" t="n"/>
      <c r="AO352" s="145" t="n"/>
      <c r="AP352" s="145" t="inlineStr">
        <is>
          <t>Not disclosed</t>
        </is>
      </c>
      <c r="AQ352" s="145" t="n"/>
      <c r="AR352" s="145" t="n"/>
      <c r="AS352" s="145" t="n"/>
      <c r="AT352" s="149" t="n"/>
      <c r="AU352" s="149" t="inlineStr">
        <is>
          <t>Not disclosed</t>
        </is>
      </c>
      <c r="AV352" s="145" t="inlineStr">
        <is>
          <t>Anduril Lattice-oriented autonomy command</t>
        </is>
      </c>
      <c r="AW352" s="149" t="inlineStr">
        <is>
          <t>Not disclosed</t>
        </is>
      </c>
      <c r="AX352" s="145" t="n"/>
      <c r="AY352" s="149" t="n"/>
      <c r="AZ352" s="149" t="n"/>
      <c r="BA352" s="149" t="n"/>
      <c r="BB352" s="149" t="n"/>
      <c r="BC352" s="149" t="n"/>
      <c r="BD352" s="145" t="n"/>
      <c r="BE352" s="145" t="inlineStr">
        <is>
          <t>Not disclosed</t>
        </is>
      </c>
      <c r="BF352" s="145" t="n"/>
      <c r="BG352" s="145" t="inlineStr">
        <is>
          <t>Not disclosed</t>
        </is>
      </c>
      <c r="BH352" s="145" t="inlineStr">
        <is>
          <t>Not disclosed</t>
        </is>
      </c>
      <c r="BI352" s="145" t="inlineStr">
        <is>
          <t>Not disclosed</t>
        </is>
      </c>
      <c r="BJ352" s="145" t="inlineStr">
        <is>
          <t>Not disclosed</t>
        </is>
      </c>
      <c r="BK352" s="145" t="inlineStr">
        <is>
          <t>Not disclosed</t>
        </is>
      </c>
      <c r="BL352" s="145" t="n"/>
      <c r="BM352" s="145" t="n"/>
      <c r="BN352" s="145" t="n"/>
      <c r="BO352" s="149" t="n"/>
      <c r="BP352" s="145" t="inlineStr">
        <is>
          <t>Not disclosed</t>
        </is>
      </c>
      <c r="BQ352" s="149" t="inlineStr">
        <is>
          <t>AUV</t>
        </is>
      </c>
      <c r="BR352" s="149" t="inlineStr">
        <is>
          <t>Not disclosed</t>
        </is>
      </c>
      <c r="BS352" s="149" t="n"/>
      <c r="BT352" s="145" t="n"/>
      <c r="BU352" s="145" t="n"/>
      <c r="BV352" s="149" t="inlineStr">
        <is>
          <t>Extra-large AUVs; mass production focus; Lattice AI</t>
        </is>
      </c>
      <c r="BW352" s="149" t="inlineStr">
        <is>
          <t>Origin &amp; status — USA · 2000 | Mission — Depth Not disclosed · Payload Not disclosed | Sensing — AUV camera and sonar payloads | Buying notes — Multi-hundred thousand to millions · 12 months limited / contract-dependent · Best fit: Survey-grade; 1000–19685 ft options; widely deployed</t>
        </is>
      </c>
      <c r="BX352" s="149" t="inlineStr">
        <is>
          <t>as_shipped|SeaRaptor|2500000|As shipped</t>
        </is>
      </c>
      <c r="BY352" s="145" t="inlineStr">
        <is>
          <t>searaptor|Manufacturer finish|#e2e8f0|0</t>
        </is>
      </c>
      <c r="BZ352" s="145" t="inlineStr"/>
      <c r="CA352" s="149" t="inlineStr">
        <is>
          <t>Add-ons: case; 2 color options; Multi-year extended warranty available</t>
        </is>
      </c>
      <c r="CB352" s="149" t="inlineStr">
        <is>
          <t>12 months limited / contract-dependent</t>
        </is>
      </c>
      <c r="CC352" s="147" t="n">
        <v>12</v>
      </c>
      <c r="CD352" s="149" t="inlineStr">
        <is>
          <t>+3 Year Extended ≈24% of configuration (default in configurator)</t>
        </is>
      </c>
      <c r="CE352" s="145" t="inlineStr">
        <is>
          <t>Enterprise marine robotics norms</t>
        </is>
      </c>
      <c r="CF352" s="145" t="inlineStr">
        <is>
          <t>Estimated</t>
        </is>
      </c>
      <c r="CG352" s="149" t="inlineStr">
        <is>
          <t>Confirm inclusions and sea-trial terms on quote.</t>
        </is>
      </c>
      <c r="CH352" s="145" t="inlineStr">
        <is>
          <t>10%</t>
        </is>
      </c>
      <c r="CI352" s="145" t="inlineStr">
        <is>
          <t>17%</t>
        </is>
      </c>
      <c r="CJ352" s="145" t="inlineStr">
        <is>
          <t>24%</t>
        </is>
      </c>
      <c r="CK352"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352"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52" s="145" t="inlineStr">
        <is>
          <t>12 months limited / contract-dependent</t>
        </is>
      </c>
    </row>
    <row r="353" ht="31.5" customHeight="1" s="102">
      <c r="A353" s="143" t="inlineStr">
        <is>
          <t>qysea_fifish_e_go_pro_series</t>
        </is>
      </c>
      <c r="B353" s="160" t="inlineStr">
        <is>
          <t>Website</t>
        </is>
      </c>
      <c r="C353" s="145" t="inlineStr">
        <is>
          <t>QYSEA</t>
        </is>
      </c>
      <c r="D353" s="145" t="inlineStr">
        <is>
          <t>FIFISH E-GO</t>
        </is>
      </c>
      <c r="E353" s="145" t="inlineStr">
        <is>
          <t>[QYSEA] FIFISH E-GO (2020)</t>
        </is>
      </c>
      <c r="F353" s="165" t="inlineStr">
        <is>
          <t>water</t>
        </is>
      </c>
      <c r="G353" s="145" t="inlineStr">
        <is>
          <t>USA</t>
        </is>
      </c>
      <c r="H353" s="147" t="n">
        <v>2020</v>
      </c>
      <c r="I353" s="148" t="n">
        <v>3000</v>
      </c>
      <c r="J353" s="145" t="inlineStr">
        <is>
          <t>Website store</t>
        </is>
      </c>
      <c r="K353" s="149" t="inlineStr">
        <is>
          <t>[QYSEA] FIFISH E-GO (2020) is a marine platform from QYSEA (China, 2020), positioned for rov.</t>
        </is>
      </c>
      <c r="L353" s="101" t="inlineStr">
        <is>
          <t>[QYSEA] FIFISH E-GO (2020) is a marine platform from QYSEA (China, 2020), positioned for rov.</t>
        </is>
      </c>
      <c r="M353" s="101" t="inlineStr">
        <is>
          <t>[QYSEA] FIFISH E-GO (2020) is a marine platform from QYSEA (China, 2020), positioned for rov.</t>
        </is>
      </c>
      <c r="N353" s="145" t="n"/>
      <c r="O353" s="145" t="inlineStr">
        <is>
          <t>https://www.qysea.com</t>
        </is>
      </c>
      <c r="P353" s="145" t="n"/>
      <c r="Q353" s="145" t="n"/>
      <c r="R353" s="145" t="inlineStr">
        <is>
          <t>≈ 8–12 lb class depending on model</t>
        </is>
      </c>
      <c r="S353" s="145" t="n"/>
      <c r="T353" s="149" t="inlineStr">
        <is>
          <t>Not disclosed</t>
        </is>
      </c>
      <c r="U353" s="145" t="n"/>
      <c r="V353" s="145" t="n"/>
      <c r="W353" s="149" t="n"/>
      <c r="X353" s="145" t="inlineStr">
        <is>
          <t>Not disclosed</t>
        </is>
      </c>
      <c r="Y353" s="145" t="n"/>
      <c r="Z353" s="145" t="inlineStr">
        <is>
          <t>Not disclosed</t>
        </is>
      </c>
      <c r="AA353" s="145" t="n"/>
      <c r="AB353" s="145" t="n"/>
      <c r="AC353" s="149" t="inlineStr">
        <is>
          <t>Not disclosed</t>
        </is>
      </c>
      <c r="AD353" s="149" t="n"/>
      <c r="AE353" s="145" t="n"/>
      <c r="AF353" s="145" t="inlineStr">
        <is>
          <t>Not disclosed</t>
        </is>
      </c>
      <c r="AG353" s="149" t="n"/>
      <c r="AH353" s="145" t="n"/>
      <c r="AI353" s="145" t="n"/>
      <c r="AJ353" s="149" t="inlineStr">
        <is>
          <t>Autonomous underwater perception suites (configuration specific)</t>
        </is>
      </c>
      <c r="AK353" s="149" t="n"/>
      <c r="AL353" s="145" t="inlineStr">
        <is>
          <t>Mission and autonomy sensing data</t>
        </is>
      </c>
      <c r="AM353" s="145" t="n"/>
      <c r="AN353" s="145" t="n"/>
      <c r="AO353" s="145" t="n"/>
      <c r="AP353" s="145" t="inlineStr">
        <is>
          <t>Not disclosed</t>
        </is>
      </c>
      <c r="AQ353" s="145" t="n"/>
      <c r="AR353" s="145" t="n"/>
      <c r="AS353" s="145" t="n"/>
      <c r="AT353" s="149" t="n"/>
      <c r="AU353" s="149" t="inlineStr">
        <is>
          <t>Not disclosed</t>
        </is>
      </c>
      <c r="AV353" s="145" t="inlineStr">
        <is>
          <t>Anduril Lattice-oriented autonomy command</t>
        </is>
      </c>
      <c r="AW353" s="149" t="inlineStr">
        <is>
          <t>Not disclosed</t>
        </is>
      </c>
      <c r="AX353" s="145" t="n"/>
      <c r="AY353" s="149" t="n"/>
      <c r="AZ353" s="149" t="n"/>
      <c r="BA353" s="149" t="n"/>
      <c r="BB353" s="149" t="n"/>
      <c r="BC353" s="149" t="n"/>
      <c r="BD353" s="145" t="n"/>
      <c r="BE353" s="145" t="inlineStr">
        <is>
          <t>Not disclosed</t>
        </is>
      </c>
      <c r="BF353" s="145" t="n"/>
      <c r="BG353" s="145" t="inlineStr">
        <is>
          <t>Professional depths (model-dependent; often 330–660 ft class)</t>
        </is>
      </c>
      <c r="BH353" s="145" t="inlineStr">
        <is>
          <t>Not disclosed</t>
        </is>
      </c>
      <c r="BI353" s="145" t="inlineStr">
        <is>
          <t>Multi-thousand lumen LED options</t>
        </is>
      </c>
      <c r="BJ353" s="145" t="inlineStr">
        <is>
          <t>Not disclosed</t>
        </is>
      </c>
      <c r="BK353" s="145" t="inlineStr">
        <is>
          <t>Not disclosed</t>
        </is>
      </c>
      <c r="BL353" s="145" t="n"/>
      <c r="BM353" s="145" t="n"/>
      <c r="BN353" s="145" t="n"/>
      <c r="BO353" s="149" t="n"/>
      <c r="BP353" s="145" t="inlineStr">
        <is>
          <t>Not disclosed</t>
        </is>
      </c>
      <c r="BQ353" s="149" t="inlineStr">
        <is>
          <t>AUV</t>
        </is>
      </c>
      <c r="BR353" s="149" t="inlineStr">
        <is>
          <t>Not disclosed</t>
        </is>
      </c>
      <c r="BS353" s="149" t="n"/>
      <c r="BT353" s="145" t="n"/>
      <c r="BU353" s="145" t="n"/>
      <c r="BV353" s="149" t="inlineStr">
        <is>
          <t>Extra-large AUVs; mass production focus; Lattice AI</t>
        </is>
      </c>
      <c r="BW353" s="149" t="inlineStr">
        <is>
          <t>Origin &amp; status — China · 2020 | Mission — Depth Professional depths (model-dependent; often 330–660 ft class) · Payload Not disclosed | Sensing — 4K UHD + AI tracking on Pro lines | Buying notes — $3,000 – $7,500+ · 12 months limited / contract-dependent · Best fit: Modular industrial ROVs; 656 ft</t>
        </is>
      </c>
      <c r="BX353" s="149" t="inlineStr">
        <is>
          <t>as_shipped|FIFISH E-GO|3000|As shipped</t>
        </is>
      </c>
      <c r="BY353" s="145" t="inlineStr">
        <is>
          <t>fifish_e_go|Manufacturer finish|#e2e8f0|0</t>
        </is>
      </c>
      <c r="BZ353" s="145" t="inlineStr"/>
      <c r="CA353" s="149" t="inlineStr">
        <is>
          <t>Add-ons: case; 2 color options; Multi-year extended warranty available</t>
        </is>
      </c>
      <c r="CB353" s="149" t="inlineStr">
        <is>
          <t>12 months limited / contract-dependent</t>
        </is>
      </c>
      <c r="CC353" s="147" t="n">
        <v>12</v>
      </c>
      <c r="CD353" s="149" t="inlineStr">
        <is>
          <t>+3 Year Extended ≈24% of configuration (default in configurator)</t>
        </is>
      </c>
      <c r="CE353" s="145" t="inlineStr">
        <is>
          <t>Enterprise marine robotics norms</t>
        </is>
      </c>
      <c r="CF353" s="145" t="inlineStr">
        <is>
          <t>Estimated</t>
        </is>
      </c>
      <c r="CG353" s="149" t="inlineStr">
        <is>
          <t>Confirm inclusions and sea-trial terms on quote.</t>
        </is>
      </c>
      <c r="CH353" s="145" t="inlineStr">
        <is>
          <t>10%</t>
        </is>
      </c>
      <c r="CI353" s="145" t="inlineStr">
        <is>
          <t>17%</t>
        </is>
      </c>
      <c r="CJ353" s="145" t="inlineStr">
        <is>
          <t>24%</t>
        </is>
      </c>
      <c r="CK353"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353"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53" s="145" t="inlineStr">
        <is>
          <t>12 months limited / contract-dependent</t>
        </is>
      </c>
    </row>
    <row r="354" ht="31.5" customHeight="1" s="102">
      <c r="A354" s="143" t="inlineStr">
        <is>
          <t>boeing_hii_orca_xluuv</t>
        </is>
      </c>
      <c r="B354" s="160" t="inlineStr">
        <is>
          <t>Website</t>
        </is>
      </c>
      <c r="C354" s="145" t="inlineStr">
        <is>
          <t>Boeing / HII</t>
        </is>
      </c>
      <c r="D354" s="145" t="inlineStr">
        <is>
          <t>Orca XLUUV</t>
        </is>
      </c>
      <c r="E354" s="145" t="inlineStr">
        <is>
          <t>[Boeing / HII] Orca XLUUV (2023)</t>
        </is>
      </c>
      <c r="F354" s="165" t="inlineStr">
        <is>
          <t>water</t>
        </is>
      </c>
      <c r="G354" s="145" t="inlineStr">
        <is>
          <t>USA</t>
        </is>
      </c>
      <c r="H354" s="147" t="n">
        <v>2023</v>
      </c>
      <c r="I354" s="148" t="n">
        <v>115000000</v>
      </c>
      <c r="J354" s="145" t="inlineStr">
        <is>
          <t>USN FY26 XLUUV procurement ~$113–120M / vehicle</t>
        </is>
      </c>
      <c r="K354" s="149" t="inlineStr">
        <is>
          <t>Orca XLUUV is Boeing / HII's marine robot. Extra-large UUV sensor payloads (missionized); aimed at xLUUV.</t>
        </is>
      </c>
      <c r="L354" s="101" t="inlineStr">
        <is>
          <t>Orca XLUUV is Boeing / HII's marine robot. Extra-large UUV sensor payloads (missionized); aimed at xLUUV.</t>
        </is>
      </c>
      <c r="M354" s="101" t="inlineStr">
        <is>
          <t>Orca XLUUV is Boeing / HII's marine robot. Extra-large UUV sensor payloads (missionized); aimed at xLUUV.</t>
        </is>
      </c>
      <c r="N354" s="145" t="n"/>
      <c r="O354" s="145" t="inlineStr">
        <is>
          <t>https://www.hii.com</t>
        </is>
      </c>
      <c r="P354" s="145" t="n"/>
      <c r="Q354" s="145" t="n"/>
      <c r="R354" s="145" t="inlineStr">
        <is>
          <t>Not disclosed</t>
        </is>
      </c>
      <c r="S354" s="145" t="n"/>
      <c r="T354" s="149" t="inlineStr">
        <is>
          <t>Not disclosed</t>
        </is>
      </c>
      <c r="U354" s="145" t="n"/>
      <c r="V354" s="145" t="n"/>
      <c r="W354" s="149" t="n"/>
      <c r="X354" s="145" t="inlineStr">
        <is>
          <t>Not disclosed</t>
        </is>
      </c>
      <c r="Y354" s="145" t="n"/>
      <c r="Z354" s="145" t="inlineStr">
        <is>
          <t>Not disclosed</t>
        </is>
      </c>
      <c r="AA354" s="145" t="n"/>
      <c r="AB354" s="145" t="n"/>
      <c r="AC354" s="149" t="inlineStr">
        <is>
          <t>Not disclosed</t>
        </is>
      </c>
      <c r="AD354" s="149" t="n"/>
      <c r="AE354" s="145" t="n"/>
      <c r="AF354" s="145" t="inlineStr">
        <is>
          <t>Not disclosed</t>
        </is>
      </c>
      <c r="AG354" s="149" t="n"/>
      <c r="AH354" s="145" t="n"/>
      <c r="AI354" s="145" t="n"/>
      <c r="AJ354" s="149" t="inlineStr">
        <is>
          <t>Autonomous underwater perception suites (configuration specific)</t>
        </is>
      </c>
      <c r="AK354" s="149" t="n"/>
      <c r="AL354" s="145" t="inlineStr">
        <is>
          <t>Mission and autonomy sensing data</t>
        </is>
      </c>
      <c r="AM354" s="145" t="n"/>
      <c r="AN354" s="145" t="n"/>
      <c r="AO354" s="145" t="n"/>
      <c r="AP354" s="145" t="inlineStr">
        <is>
          <t>Not disclosed</t>
        </is>
      </c>
      <c r="AQ354" s="145" t="n"/>
      <c r="AR354" s="145" t="n"/>
      <c r="AS354" s="145" t="n"/>
      <c r="AT354" s="149" t="n"/>
      <c r="AU354" s="149" t="inlineStr">
        <is>
          <t>Not disclosed</t>
        </is>
      </c>
      <c r="AV354" s="145" t="inlineStr">
        <is>
          <t>Anduril Lattice-oriented autonomy command</t>
        </is>
      </c>
      <c r="AW354" s="149" t="inlineStr">
        <is>
          <t>Not disclosed</t>
        </is>
      </c>
      <c r="AX354" s="145" t="n"/>
      <c r="AY354" s="149" t="n"/>
      <c r="AZ354" s="149" t="n"/>
      <c r="BA354" s="149" t="n"/>
      <c r="BB354" s="149" t="n"/>
      <c r="BC354" s="149" t="n"/>
      <c r="BD354" s="145" t="n"/>
      <c r="BE354" s="145" t="inlineStr">
        <is>
          <t>Not disclosed</t>
        </is>
      </c>
      <c r="BF354" s="145" t="n"/>
      <c r="BG354" s="145" t="inlineStr">
        <is>
          <t>Not disclosed</t>
        </is>
      </c>
      <c r="BH354" s="145" t="inlineStr">
        <is>
          <t>Not disclosed</t>
        </is>
      </c>
      <c r="BI354" s="145" t="inlineStr">
        <is>
          <t>Not disclosed</t>
        </is>
      </c>
      <c r="BJ354" s="145" t="inlineStr">
        <is>
          <t>Not disclosed</t>
        </is>
      </c>
      <c r="BK354" s="145" t="inlineStr">
        <is>
          <t>Not disclosed</t>
        </is>
      </c>
      <c r="BL354" s="145" t="n"/>
      <c r="BM354" s="145" t="n"/>
      <c r="BN354" s="145" t="n"/>
      <c r="BO354" s="149" t="n"/>
      <c r="BP354" s="145" t="inlineStr">
        <is>
          <t>Not disclosed</t>
        </is>
      </c>
      <c r="BQ354" s="149" t="inlineStr">
        <is>
          <t>AUV</t>
        </is>
      </c>
      <c r="BR354" s="149" t="inlineStr">
        <is>
          <t>Not disclosed</t>
        </is>
      </c>
      <c r="BS354" s="149" t="n"/>
      <c r="BT354" s="145" t="n"/>
      <c r="BU354" s="145" t="n"/>
      <c r="BV354" s="149" t="inlineStr">
        <is>
          <t>Extra-large AUVs; mass production focus; Lattice AI</t>
        </is>
      </c>
      <c r="BW354" s="149" t="inlineStr">
        <is>
          <t>Origin &amp; status — USA · 2023 | Mission — Depth Not disclosed · Payload Not disclosed | Sensing — Extra-large UUV sensor payloads (missionized) | Buying notes — Hundreds of millions program cost; unit high · 12 months limited / contract-dependent · Best fit: Extra Large UUV; 85ft class; long range diesel-electric</t>
        </is>
      </c>
      <c r="BX354" s="149" t="inlineStr">
        <is>
          <t>as_shipped|Orca XLUUV|115000000|As shipped</t>
        </is>
      </c>
      <c r="BY354" s="145" t="inlineStr">
        <is>
          <t>orca_xluuv|Manufacturer finish|#e2e8f0|0</t>
        </is>
      </c>
      <c r="BZ354" s="145" t="inlineStr"/>
      <c r="CA354" s="149" t="inlineStr">
        <is>
          <t>Add-ons: case; 2 color options; Multi-year extended warranty available</t>
        </is>
      </c>
      <c r="CB354" s="149" t="inlineStr">
        <is>
          <t>12 months limited / contract-dependent</t>
        </is>
      </c>
      <c r="CC354" s="147" t="n">
        <v>12</v>
      </c>
      <c r="CD354" s="149" t="inlineStr">
        <is>
          <t>+3 Year Extended ≈24% of configuration (default in configurator)</t>
        </is>
      </c>
      <c r="CE354" s="145" t="inlineStr">
        <is>
          <t>Enterprise marine robotics norms</t>
        </is>
      </c>
      <c r="CF354" s="145" t="inlineStr">
        <is>
          <t>Estimated</t>
        </is>
      </c>
      <c r="CG354" s="149" t="inlineStr">
        <is>
          <t>Confirm inclusions and sea-trial terms on quote.</t>
        </is>
      </c>
      <c r="CH354" s="145" t="inlineStr">
        <is>
          <t>10%</t>
        </is>
      </c>
      <c r="CI354" s="145" t="inlineStr">
        <is>
          <t>17%</t>
        </is>
      </c>
      <c r="CJ354" s="145" t="inlineStr">
        <is>
          <t>24%</t>
        </is>
      </c>
      <c r="CK354"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354"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54" s="145" t="inlineStr">
        <is>
          <t>12 months limited / contract-dependent</t>
        </is>
      </c>
    </row>
    <row r="355" ht="31.5" customHeight="1" s="102">
      <c r="A355" s="143" t="inlineStr">
        <is>
          <t>teledyne_marine_slocum_glider</t>
        </is>
      </c>
      <c r="B355" s="160" t="inlineStr">
        <is>
          <t>Website</t>
        </is>
      </c>
      <c r="C355" s="145" t="inlineStr">
        <is>
          <t>Teledyne Marine</t>
        </is>
      </c>
      <c r="D355" s="145" t="inlineStr">
        <is>
          <t>Slocum Glider</t>
        </is>
      </c>
      <c r="E355" s="145" t="inlineStr">
        <is>
          <t>[Teledyne Marine] Slocum Glider (2000)</t>
        </is>
      </c>
      <c r="F355" s="165" t="inlineStr">
        <is>
          <t>water</t>
        </is>
      </c>
      <c r="G355" s="145" t="inlineStr">
        <is>
          <t>USA</t>
        </is>
      </c>
      <c r="H355" s="147" t="n">
        <v>2000</v>
      </c>
      <c r="I355" s="148" t="n">
        <v>175000</v>
      </c>
      <c r="J355" s="145" t="inlineStr">
        <is>
          <t>Documented Slocum procurement band ~$150–200k</t>
        </is>
      </c>
      <c r="K355" s="149" t="inlineStr">
        <is>
          <t>Slocum Glider is Teledyne Marine's marine robot. Oceanographic sensor focus; optional cameras; aimed at aUV.</t>
        </is>
      </c>
      <c r="L355" s="101" t="inlineStr">
        <is>
          <t>Slocum Glider is Teledyne Marine's marine robot. Oceanographic sensor focus; optional cameras; aimed at aUV.</t>
        </is>
      </c>
      <c r="M355" s="101" t="inlineStr">
        <is>
          <t>Slocum Glider is Teledyne Marine's marine robot. Oceanographic sensor focus; optional cameras; aimed at aUV. It is positioned for aUV/Glider.</t>
        </is>
      </c>
      <c r="N355" s="145" t="n"/>
      <c r="O355" s="145" t="inlineStr">
        <is>
          <t>https://www.teledynemarine.com</t>
        </is>
      </c>
      <c r="P355" s="145" t="n"/>
      <c r="Q355" s="145" t="n"/>
      <c r="R355" s="145" t="inlineStr">
        <is>
          <t>Not disclosed</t>
        </is>
      </c>
      <c r="S355" s="145" t="n"/>
      <c r="T355" s="149" t="inlineStr">
        <is>
          <t>Not disclosed</t>
        </is>
      </c>
      <c r="U355" s="145" t="n"/>
      <c r="V355" s="145" t="n"/>
      <c r="W355" s="149" t="n"/>
      <c r="X355" s="145" t="inlineStr">
        <is>
          <t>Not disclosed</t>
        </is>
      </c>
      <c r="Y355" s="145" t="n"/>
      <c r="Z355" s="145" t="inlineStr">
        <is>
          <t>Not disclosed</t>
        </is>
      </c>
      <c r="AA355" s="145" t="n"/>
      <c r="AB355" s="145" t="n"/>
      <c r="AC355" s="149" t="inlineStr">
        <is>
          <t>Not disclosed</t>
        </is>
      </c>
      <c r="AD355" s="149" t="n"/>
      <c r="AE355" s="145" t="n"/>
      <c r="AF355" s="145" t="inlineStr">
        <is>
          <t>Not disclosed</t>
        </is>
      </c>
      <c r="AG355" s="149" t="n"/>
      <c r="AH355" s="145" t="n"/>
      <c r="AI355" s="145" t="n"/>
      <c r="AJ355" s="149" t="inlineStr">
        <is>
          <t>Autonomous underwater perception suites (configuration specific)</t>
        </is>
      </c>
      <c r="AK355" s="149" t="n"/>
      <c r="AL355" s="145" t="inlineStr">
        <is>
          <t>Mission and autonomy sensing data</t>
        </is>
      </c>
      <c r="AM355" s="145" t="n"/>
      <c r="AN355" s="145" t="n"/>
      <c r="AO355" s="145" t="n"/>
      <c r="AP355" s="145" t="inlineStr">
        <is>
          <t>Not disclosed</t>
        </is>
      </c>
      <c r="AQ355" s="145" t="n"/>
      <c r="AR355" s="145" t="n"/>
      <c r="AS355" s="145" t="n"/>
      <c r="AT355" s="149" t="n"/>
      <c r="AU355" s="149" t="inlineStr">
        <is>
          <t>Not disclosed</t>
        </is>
      </c>
      <c r="AV355" s="145" t="inlineStr">
        <is>
          <t>Anduril Lattice-oriented autonomy command</t>
        </is>
      </c>
      <c r="AW355" s="149" t="inlineStr">
        <is>
          <t>Not disclosed</t>
        </is>
      </c>
      <c r="AX355" s="145" t="n"/>
      <c r="AY355" s="149" t="n"/>
      <c r="AZ355" s="149" t="n"/>
      <c r="BA355" s="149" t="n"/>
      <c r="BB355" s="149" t="n"/>
      <c r="BC355" s="149" t="n"/>
      <c r="BD355" s="145" t="n"/>
      <c r="BE355" s="145" t="inlineStr">
        <is>
          <t>Not disclosed</t>
        </is>
      </c>
      <c r="BF355" s="145" t="n"/>
      <c r="BG355" s="145" t="inlineStr">
        <is>
          <t>Not disclosed</t>
        </is>
      </c>
      <c r="BH355" s="145" t="inlineStr">
        <is>
          <t>Not disclosed</t>
        </is>
      </c>
      <c r="BI355" s="145" t="inlineStr">
        <is>
          <t>Not disclosed</t>
        </is>
      </c>
      <c r="BJ355" s="145" t="inlineStr">
        <is>
          <t>Not disclosed</t>
        </is>
      </c>
      <c r="BK355" s="145" t="inlineStr">
        <is>
          <t>Not disclosed</t>
        </is>
      </c>
      <c r="BL355" s="145" t="n"/>
      <c r="BM355" s="145" t="n"/>
      <c r="BN355" s="145" t="n"/>
      <c r="BO355" s="149" t="n"/>
      <c r="BP355" s="145" t="inlineStr">
        <is>
          <t>Not disclosed</t>
        </is>
      </c>
      <c r="BQ355" s="149" t="inlineStr">
        <is>
          <t>AUV</t>
        </is>
      </c>
      <c r="BR355" s="149" t="inlineStr">
        <is>
          <t>Not disclosed</t>
        </is>
      </c>
      <c r="BS355" s="149" t="n"/>
      <c r="BT355" s="145" t="n"/>
      <c r="BU355" s="145" t="n"/>
      <c r="BV355" s="149" t="inlineStr">
        <is>
          <t>Extra-large AUVs; mass production focus; Lattice AI</t>
        </is>
      </c>
      <c r="BW355" s="149" t="inlineStr">
        <is>
          <t>Origin &amp; status — USA · 2000 | Mission — Depth Not disclosed · Payload Not disclosed | Sensing — Oceanographic sensor focus; optional cameras | Buying notes — Contact (typically $100k–$500k range est.) · 12 months limited / contract-dependent · Best fit: Long-endurance buoyancy-driven glider for ocean observation</t>
        </is>
      </c>
      <c r="BX355" s="149" t="inlineStr">
        <is>
          <t>as_shipped|Slocum Glider|175000|As shipped</t>
        </is>
      </c>
      <c r="BY355" s="145" t="inlineStr">
        <is>
          <t>slocum_glider|Manufacturer finish|#e2e8f0|0</t>
        </is>
      </c>
      <c r="BZ355" s="145" t="inlineStr"/>
      <c r="CA355" s="149" t="inlineStr">
        <is>
          <t>Add-ons: case; 2 color options; Multi-year extended warranty available</t>
        </is>
      </c>
      <c r="CB355" s="149" t="inlineStr">
        <is>
          <t>12 months limited / contract-dependent</t>
        </is>
      </c>
      <c r="CC355" s="147" t="n">
        <v>12</v>
      </c>
      <c r="CD355" s="149" t="inlineStr">
        <is>
          <t>+3 Year Extended ≈24% of configuration (default in configurator)</t>
        </is>
      </c>
      <c r="CE355" s="145" t="inlineStr">
        <is>
          <t>Enterprise marine robotics norms</t>
        </is>
      </c>
      <c r="CF355" s="145" t="inlineStr">
        <is>
          <t>Estimated</t>
        </is>
      </c>
      <c r="CG355" s="149" t="inlineStr">
        <is>
          <t>Confirm inclusions and sea-trial terms on quote.</t>
        </is>
      </c>
      <c r="CH355" s="145" t="inlineStr">
        <is>
          <t>10%</t>
        </is>
      </c>
      <c r="CI355" s="145" t="inlineStr">
        <is>
          <t>17%</t>
        </is>
      </c>
      <c r="CJ355" s="145" t="inlineStr">
        <is>
          <t>24%</t>
        </is>
      </c>
      <c r="CK35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35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55" s="145" t="inlineStr">
        <is>
          <t>12 months limited / contract-dependent</t>
        </is>
      </c>
    </row>
    <row r="356" ht="31.5" customHeight="1" s="102">
      <c r="A356" s="143" t="inlineStr">
        <is>
          <t>hydromea_vertex_portable_auvs</t>
        </is>
      </c>
      <c r="B356" s="160" t="inlineStr">
        <is>
          <t>Website</t>
        </is>
      </c>
      <c r="C356" s="145" t="inlineStr">
        <is>
          <t>Hydromea</t>
        </is>
      </c>
      <c r="D356" s="145" t="inlineStr">
        <is>
          <t>Vertex</t>
        </is>
      </c>
      <c r="E356" s="145" t="inlineStr">
        <is>
          <t>[Hydromea] Vertex (2020)</t>
        </is>
      </c>
      <c r="F356" s="165" t="inlineStr">
        <is>
          <t>water</t>
        </is>
      </c>
      <c r="G356" s="145" t="inlineStr">
        <is>
          <t>USA</t>
        </is>
      </c>
      <c r="H356" s="147" t="n">
        <v>2020</v>
      </c>
      <c r="I356" s="148" t="n">
        <v>22000</v>
      </c>
      <c r="J356" s="145" t="inlineStr">
        <is>
          <t>Portable AUV class estimate</t>
        </is>
      </c>
      <c r="K356" s="149" t="inlineStr">
        <is>
          <t>Vertex is Hydromea's marine robot. Portable AUV cameras; positioned for aUV.</t>
        </is>
      </c>
      <c r="L356" s="101" t="inlineStr">
        <is>
          <t>Vertex is Hydromea's marine robot. Portable AUV cameras; positioned for aUV.</t>
        </is>
      </c>
      <c r="M356" s="101" t="inlineStr">
        <is>
          <t>Vertex is Hydromea's marine robot, introduced around 2020 in Switzerland. It is positioned for aUV.</t>
        </is>
      </c>
      <c r="N356" s="145" t="n"/>
      <c r="O356" s="145" t="inlineStr">
        <is>
          <t>https://www.hydromea.com</t>
        </is>
      </c>
      <c r="P356" s="145" t="n"/>
      <c r="Q356" s="145" t="n"/>
      <c r="R356" s="145" t="inlineStr">
        <is>
          <t>Not disclosed</t>
        </is>
      </c>
      <c r="S356" s="145" t="n"/>
      <c r="T356" s="149" t="inlineStr">
        <is>
          <t>Not disclosed</t>
        </is>
      </c>
      <c r="U356" s="145" t="n"/>
      <c r="V356" s="145" t="n"/>
      <c r="W356" s="149" t="n"/>
      <c r="X356" s="145" t="inlineStr">
        <is>
          <t>Not disclosed</t>
        </is>
      </c>
      <c r="Y356" s="145" t="n"/>
      <c r="Z356" s="145" t="inlineStr">
        <is>
          <t>Not disclosed</t>
        </is>
      </c>
      <c r="AA356" s="145" t="n"/>
      <c r="AB356" s="145" t="n"/>
      <c r="AC356" s="149" t="inlineStr">
        <is>
          <t>Not disclosed</t>
        </is>
      </c>
      <c r="AD356" s="149" t="n"/>
      <c r="AE356" s="145" t="n"/>
      <c r="AF356" s="145" t="inlineStr">
        <is>
          <t>Not disclosed</t>
        </is>
      </c>
      <c r="AG356" s="149" t="n"/>
      <c r="AH356" s="145" t="n"/>
      <c r="AI356" s="145" t="n"/>
      <c r="AJ356" s="149" t="inlineStr">
        <is>
          <t>Autonomous underwater perception suites (configuration specific)</t>
        </is>
      </c>
      <c r="AK356" s="149" t="n"/>
      <c r="AL356" s="145" t="inlineStr">
        <is>
          <t>Mission and autonomy sensing data</t>
        </is>
      </c>
      <c r="AM356" s="145" t="n"/>
      <c r="AN356" s="145" t="n"/>
      <c r="AO356" s="145" t="n"/>
      <c r="AP356" s="145" t="inlineStr">
        <is>
          <t>Not disclosed</t>
        </is>
      </c>
      <c r="AQ356" s="145" t="n"/>
      <c r="AR356" s="145" t="n"/>
      <c r="AS356" s="145" t="n"/>
      <c r="AT356" s="149" t="n"/>
      <c r="AU356" s="149" t="inlineStr">
        <is>
          <t>Not disclosed</t>
        </is>
      </c>
      <c r="AV356" s="145" t="inlineStr">
        <is>
          <t>Anduril Lattice-oriented autonomy command</t>
        </is>
      </c>
      <c r="AW356" s="149" t="inlineStr">
        <is>
          <t>Not disclosed</t>
        </is>
      </c>
      <c r="AX356" s="145" t="n"/>
      <c r="AY356" s="149" t="n"/>
      <c r="AZ356" s="149" t="n"/>
      <c r="BA356" s="149" t="n"/>
      <c r="BB356" s="149" t="n"/>
      <c r="BC356" s="149" t="n"/>
      <c r="BD356" s="145" t="n"/>
      <c r="BE356" s="145" t="inlineStr">
        <is>
          <t>Not disclosed</t>
        </is>
      </c>
      <c r="BF356" s="145" t="n"/>
      <c r="BG356" s="145" t="inlineStr">
        <is>
          <t>Not disclosed</t>
        </is>
      </c>
      <c r="BH356" s="145" t="inlineStr">
        <is>
          <t>Not disclosed</t>
        </is>
      </c>
      <c r="BI356" s="145" t="inlineStr">
        <is>
          <t>Not disclosed</t>
        </is>
      </c>
      <c r="BJ356" s="145" t="inlineStr">
        <is>
          <t>Not disclosed</t>
        </is>
      </c>
      <c r="BK356" s="145" t="inlineStr">
        <is>
          <t>Not disclosed</t>
        </is>
      </c>
      <c r="BL356" s="145" t="n"/>
      <c r="BM356" s="145" t="n"/>
      <c r="BN356" s="145" t="n"/>
      <c r="BO356" s="149" t="n"/>
      <c r="BP356" s="145" t="inlineStr">
        <is>
          <t>Not disclosed</t>
        </is>
      </c>
      <c r="BQ356" s="149" t="inlineStr">
        <is>
          <t>AUV</t>
        </is>
      </c>
      <c r="BR356" s="149" t="inlineStr">
        <is>
          <t>Not disclosed</t>
        </is>
      </c>
      <c r="BS356" s="149" t="n"/>
      <c r="BT356" s="145" t="n"/>
      <c r="BU356" s="145" t="n"/>
      <c r="BV356" s="149" t="inlineStr">
        <is>
          <t>Extra-large AUVs; mass production focus; Lattice AI</t>
        </is>
      </c>
      <c r="BW356" s="149" t="inlineStr">
        <is>
          <t>Origin &amp; status — Switzerland · 2020 | Mission — Depth Not disclosed · Payload Not disclosed | Sensing — Portable AUV cameras | Buying notes — Contact / mid-range · 12 months limited / contract-dependent · Best fit: Swiss portable AUV; compact underwater inspection</t>
        </is>
      </c>
      <c r="BX356" s="149" t="inlineStr">
        <is>
          <t>as_shipped|Vertex|22000|As shipped</t>
        </is>
      </c>
      <c r="BY356" s="145" t="inlineStr">
        <is>
          <t>vertex|Manufacturer finish|#e2e8f0|0</t>
        </is>
      </c>
      <c r="BZ356" s="145" t="inlineStr"/>
      <c r="CA356" s="149" t="inlineStr">
        <is>
          <t>Add-ons: case; 2 color options; Multi-year extended warranty available</t>
        </is>
      </c>
      <c r="CB356" s="149" t="inlineStr">
        <is>
          <t>12 months limited / contract-dependent</t>
        </is>
      </c>
      <c r="CC356" s="147" t="n">
        <v>12</v>
      </c>
      <c r="CD356" s="149" t="inlineStr">
        <is>
          <t>+3 Year Extended ≈24% of configuration (default in configurator)</t>
        </is>
      </c>
      <c r="CE356" s="145" t="inlineStr">
        <is>
          <t>Enterprise marine robotics norms</t>
        </is>
      </c>
      <c r="CF356" s="145" t="inlineStr">
        <is>
          <t>Estimated</t>
        </is>
      </c>
      <c r="CG356" s="149" t="inlineStr">
        <is>
          <t>Confirm inclusions and sea-trial terms on quote.</t>
        </is>
      </c>
      <c r="CH356" s="145" t="inlineStr">
        <is>
          <t>10%</t>
        </is>
      </c>
      <c r="CI356" s="145" t="inlineStr">
        <is>
          <t>17%</t>
        </is>
      </c>
      <c r="CJ356" s="145" t="inlineStr">
        <is>
          <t>24%</t>
        </is>
      </c>
      <c r="CK356"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356"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56" s="145" t="inlineStr">
        <is>
          <t>12 months limited / contract-dependent</t>
        </is>
      </c>
    </row>
    <row r="357" ht="36" customHeight="1" s="102">
      <c r="A357" s="204" t="inlineStr">
        <is>
          <t>knowin_x1</t>
        </is>
      </c>
      <c r="B357" s="204" t="inlineStr">
        <is>
          <t>AIXZD</t>
        </is>
      </c>
      <c r="C357" s="204" t="inlineStr">
        <is>
          <t>KNOWIN (Knowin AI)</t>
        </is>
      </c>
      <c r="D357" s="204" t="inlineStr">
        <is>
          <t>Knowin-X1</t>
        </is>
      </c>
      <c r="E357" s="204" t="inlineStr">
        <is>
          <t>[KNOWIN] Knowin-X1 (2026)</t>
        </is>
      </c>
      <c r="F357" s="204" t="inlineStr">
        <is>
          <t>humanoid</t>
        </is>
      </c>
      <c r="G357" s="204" t="inlineStr">
        <is>
          <t>China</t>
        </is>
      </c>
      <c r="H357" s="205" t="n">
        <v>2026</v>
      </c>
      <c r="I357" s="206" t="n">
        <v>45000</v>
      </c>
      <c r="J357" s="204" t="inlineStr">
        <is>
          <t>Directory estimate Aug 2026 (no public list price)</t>
        </is>
      </c>
      <c r="K357" s="204" t="inlineStr">
        <is>
          <t>Knowin-X1 is a folding dual-arm home humanoid that collapses to about 40 cm for storage, then unfolds wheeled dual 7-DoF arms (23 DoF, ~6 kg bimanual payload) for indoor chores, guarding, and continuous household tasks.</t>
        </is>
      </c>
      <c r="N357" s="204" t="n"/>
      <c r="O357" s="204" t="inlineStr">
        <is>
          <t>https://www.knowinai.com</t>
        </is>
      </c>
      <c r="P357" s="204" t="inlineStr">
        <is>
          <t>1 ft 4 in</t>
        </is>
      </c>
      <c r="Q357" s="204" t="n">
        <v>40</v>
      </c>
      <c r="R357" s="204" t="n">
        <v>110.2</v>
      </c>
      <c r="S357" s="204" t="n">
        <v>50</v>
      </c>
      <c r="T357" s="204" t="inlineStr">
        <is>
          <t>Not disclosed</t>
        </is>
      </c>
      <c r="U357" s="204" t="n"/>
      <c r="V357" s="204" t="n">
        <v>23</v>
      </c>
      <c r="W357" s="204" t="n"/>
      <c r="X357" s="204" t="n">
        <v>13.2</v>
      </c>
      <c r="Y357" s="204" t="n">
        <v>6</v>
      </c>
      <c r="Z357" s="204" t="n"/>
      <c r="AA357" s="204" t="n"/>
      <c r="AB357" s="204" t="n"/>
      <c r="AC357" s="204" t="n"/>
      <c r="AD357" s="204" t="n">
        <v>10</v>
      </c>
      <c r="AE357" s="204" t="n"/>
      <c r="AF357" s="204" t="inlineStr">
        <is>
          <t>Not disclosed</t>
        </is>
      </c>
      <c r="AG357" s="204" t="inlineStr">
        <is>
          <t>Not disclosed</t>
        </is>
      </c>
      <c r="AH357" s="204" t="n"/>
      <c r="AI357" s="204" t="n"/>
      <c r="AJ357" s="204" t="inlineStr">
        <is>
          <t>Not disclosed</t>
        </is>
      </c>
      <c r="AK357" s="204" t="n"/>
      <c r="AL357" s="204" t="inlineStr">
        <is>
          <t>Not disclosed</t>
        </is>
      </c>
      <c r="AM357" s="204" t="n"/>
      <c r="AN357" s="204" t="inlineStr">
        <is>
          <t>Not disclosed</t>
        </is>
      </c>
      <c r="AO357" s="204" t="inlineStr">
        <is>
          <t>Not disclosed</t>
        </is>
      </c>
      <c r="AP357" s="204" t="inlineStr">
        <is>
          <t>Not disclosed</t>
        </is>
      </c>
      <c r="AQ357" s="204" t="inlineStr">
        <is>
          <t>Not disclosed</t>
        </is>
      </c>
      <c r="AR357" s="204" t="n"/>
      <c r="AS357" s="204" t="n"/>
      <c r="AT357" s="204" t="inlineStr">
        <is>
          <t>Not disclosed</t>
        </is>
      </c>
      <c r="AU357" s="204" t="inlineStr">
        <is>
          <t>Not disclosed</t>
        </is>
      </c>
      <c r="AV357" s="204" t="inlineStr">
        <is>
          <t>Not disclosed</t>
        </is>
      </c>
      <c r="AW357" s="204" t="inlineStr">
        <is>
          <t>Wheeled indoor base · vision + depth + LiDAR fusion</t>
        </is>
      </c>
      <c r="AX357" s="204" t="n"/>
      <c r="AY357" s="204" t="inlineStr">
        <is>
          <t>Not disclosed</t>
        </is>
      </c>
      <c r="AZ357" s="204" t="inlineStr">
        <is>
          <t>Not disclosed</t>
        </is>
      </c>
      <c r="BA357" s="204" t="n"/>
      <c r="BB357" s="204" t="inlineStr">
        <is>
          <t>Not disclosed</t>
        </is>
      </c>
      <c r="BC357" s="204" t="inlineStr">
        <is>
          <t>Not disclosed</t>
        </is>
      </c>
      <c r="BD357" s="204" t="inlineStr">
        <is>
          <t>Not disclosed</t>
        </is>
      </c>
      <c r="BE357" s="204" t="inlineStr">
        <is>
          <t>Not disclosed</t>
        </is>
      </c>
      <c r="BF357" s="204" t="n"/>
      <c r="BG357" s="204" t="n"/>
      <c r="BH357" s="204" t="n"/>
      <c r="BI357" s="204" t="n"/>
      <c r="BJ357" s="204" t="n"/>
      <c r="BK357" s="204" t="n"/>
      <c r="BL357" s="204" t="n"/>
      <c r="BM357" s="204" t="inlineStr">
        <is>
          <t>Not disclosed</t>
        </is>
      </c>
      <c r="BN357" s="204" t="inlineStr">
        <is>
          <t>Not disclosed</t>
        </is>
      </c>
      <c r="BO357" s="204" t="inlineStr">
        <is>
          <t>Folding dual-arm home robot · 23 DoF · dual 7-axis arms · ~6 kg bimanual payload · 50 kg · 10 h standby · wheeled base</t>
        </is>
      </c>
      <c r="BP357" s="204" t="inlineStr">
        <is>
          <t>Indoor / human environments</t>
        </is>
      </c>
      <c r="BQ357" s="204" t="inlineStr">
        <is>
          <t>Consumer home / indoor service</t>
        </is>
      </c>
      <c r="BR357" s="204" t="inlineStr">
        <is>
          <t>Announced / early commercial</t>
        </is>
      </c>
      <c r="BS357" s="204" t="n"/>
      <c r="BT357" s="204" t="n"/>
      <c r="BU357" s="204" t="n"/>
      <c r="BV357" s="204" t="inlineStr">
        <is>
          <t>Folds to ≤40 cm; standing/working envelope unpublished (tri-fold postures).</t>
        </is>
      </c>
      <c r="BW357" s="204" t="inlineStr">
        <is>
          <t>Height (fully upright): 1 ft 4 in | Operating weight: 110.2 | Degrees of freedom: 23 | Payload capacity: 13.2 | Maximum speed: Not disclosed | Battery / runtime: Not disclosed</t>
        </is>
      </c>
      <c r="BX357" s="204" t="n"/>
      <c r="BY357" s="204" t="n"/>
      <c r="BZ357" s="204" t="n"/>
      <c r="CA357" s="204" t="n"/>
      <c r="CB357" s="204" t="inlineStr">
        <is>
          <t>12 months manufacturer standard (typical research/commercial humanoid)</t>
        </is>
      </c>
      <c r="CC357" s="205" t="n">
        <v>12</v>
      </c>
      <c r="CD357" s="204" t="inlineStr">
        <is>
          <t>+3 Year Extended ≈24% of configuration (default in configurator)</t>
        </is>
      </c>
      <c r="CE357" s="204" t="inlineStr">
        <is>
          <t>Humanoid / companionoid category norm 2025–2026</t>
        </is>
      </c>
      <c r="CF357" s="204" t="inlineStr">
        <is>
          <t>Estimated</t>
        </is>
      </c>
      <c r="CG357" s="204" t="inlineStr">
        <is>
          <t>EDU or enterprise packages may differ; confirm on formal quote. Source mix: AIXZD directory + OEM pages Aug 2026.</t>
        </is>
      </c>
      <c r="CH357" s="204" t="inlineStr">
        <is>
          <t>10%</t>
        </is>
      </c>
      <c r="CI357" s="204" t="inlineStr">
        <is>
          <t>17%</t>
        </is>
      </c>
      <c r="CJ357" s="204" t="inlineStr">
        <is>
          <t>24%</t>
        </is>
      </c>
      <c r="CK357" s="204" t="inlineStr">
        <is>
          <t>Profitable schedule (Aug 2026): +1yr ≈10% / +2yr ≈17% / +3yr ≈24% of configuration price.</t>
        </is>
      </c>
      <c r="CL357" s="204" t="inlineStr">
        <is>
          <t>Same TOR extended-warranty schedule used across the catalog (~45–55% target GM).</t>
        </is>
      </c>
      <c r="CM357" s="204" t="inlineStr">
        <is>
          <t>12 months manufacturer standard (typical research/commercial humanoid)</t>
        </is>
      </c>
      <c r="CN357" s="204" t="inlineStr">
        <is>
          <t>https://aixzd.com/robot/knowin-x1</t>
        </is>
      </c>
      <c r="CO357" s="204" t="inlineStr">
        <is>
          <t>https://theresanaiforthat.com/robots/</t>
        </is>
      </c>
      <c r="CP357" s="204" t="inlineStr">
        <is>
          <t>New platform added 28 Aug 2026 from AIXZD (https://aixzd.com/robots, 644 sitemap robots) and/or TAAFT Robots directory (https://theresanaiforthat.com/robots/, 669 claimed).</t>
        </is>
      </c>
      <c r="CQ357" s="101" t="inlineStr">
        <is>
          <t>Height: 1 ft 4 in | Weight: 110.2 | Degrees of Freedom: 23 | Payload: 13.2 | Max Speed: Not disclosed | Battery / Runtime: Not disclosed</t>
        </is>
      </c>
    </row>
    <row r="358" ht="36" customHeight="1" s="102">
      <c r="A358" s="204" t="inlineStr">
        <is>
          <t>gento_luna</t>
        </is>
      </c>
      <c r="B358" s="204" t="inlineStr">
        <is>
          <t>AIXZD</t>
        </is>
      </c>
      <c r="C358" s="204" t="inlineStr">
        <is>
          <t>Gento Robotics (Tianji Intelligence)</t>
        </is>
      </c>
      <c r="D358" s="204" t="inlineStr">
        <is>
          <t>GENTO Luna</t>
        </is>
      </c>
      <c r="E358" s="204" t="inlineStr">
        <is>
          <t>[Gento] Luna (2026)</t>
        </is>
      </c>
      <c r="F358" s="204" t="inlineStr">
        <is>
          <t>humanoid</t>
        </is>
      </c>
      <c r="G358" s="204" t="inlineStr">
        <is>
          <t>China</t>
        </is>
      </c>
      <c r="H358" s="205" t="n">
        <v>2026</v>
      </c>
      <c r="I358" s="206" t="n">
        <v>80000</v>
      </c>
      <c r="J358" s="204" t="inlineStr">
        <is>
          <t>Directory estimate Aug 2026 (no public list price)</t>
        </is>
      </c>
      <c r="K358" s="204" t="inlineStr">
        <is>
          <t>GENTO Luna (listed on AIXZD as GENTO 绅士) is Tianji Intelligence’s folding wheeled humanoid: 170 cm standing, 79 cm folded for elevators, 26 force-controlled DoF, 5 kg per-arm payload, omnidirectional base and NVIDIA Orin AGX-class compute.</t>
        </is>
      </c>
      <c r="N358" s="204" t="n"/>
      <c r="O358" s="204" t="inlineStr">
        <is>
          <t>https://www.gentorobotics.ai/</t>
        </is>
      </c>
      <c r="P358" s="204" t="inlineStr">
        <is>
          <t>5 ft 7 in</t>
        </is>
      </c>
      <c r="Q358" s="204" t="n">
        <v>170</v>
      </c>
      <c r="R358" s="204" t="n"/>
      <c r="S358" s="204" t="n"/>
      <c r="T358" s="204" t="inlineStr">
        <is>
          <t>Not disclosed</t>
        </is>
      </c>
      <c r="U358" s="204" t="n"/>
      <c r="V358" s="204" t="n">
        <v>26</v>
      </c>
      <c r="W358" s="204" t="n"/>
      <c r="X358" s="204" t="n">
        <v>11</v>
      </c>
      <c r="Y358" s="204" t="n">
        <v>5</v>
      </c>
      <c r="Z358" s="204" t="n">
        <v>3.4</v>
      </c>
      <c r="AA358" s="204" t="n">
        <v>5.4</v>
      </c>
      <c r="AB358" s="204" t="n"/>
      <c r="AC358" s="204" t="n"/>
      <c r="AD358" s="204" t="n">
        <v>5</v>
      </c>
      <c r="AE358" s="204" t="n"/>
      <c r="AF358" s="204" t="inlineStr">
        <is>
          <t>Not disclosed</t>
        </is>
      </c>
      <c r="AG358" s="204" t="inlineStr">
        <is>
          <t>Not disclosed</t>
        </is>
      </c>
      <c r="AH358" s="204" t="n"/>
      <c r="AI358" s="204" t="n"/>
      <c r="AJ358" s="204" t="inlineStr">
        <is>
          <t>Not disclosed</t>
        </is>
      </c>
      <c r="AK358" s="204" t="n"/>
      <c r="AL358" s="204" t="inlineStr">
        <is>
          <t>Not disclosed</t>
        </is>
      </c>
      <c r="AM358" s="204" t="n"/>
      <c r="AN358" s="204" t="inlineStr">
        <is>
          <t>Not disclosed</t>
        </is>
      </c>
      <c r="AO358" s="204" t="inlineStr">
        <is>
          <t>Not disclosed</t>
        </is>
      </c>
      <c r="AP358" s="204" t="inlineStr">
        <is>
          <t>Not disclosed</t>
        </is>
      </c>
      <c r="AQ358" s="204" t="inlineStr">
        <is>
          <t>Not disclosed</t>
        </is>
      </c>
      <c r="AR358" s="204" t="n"/>
      <c r="AS358" s="204" t="n"/>
      <c r="AT358" s="204" t="inlineStr">
        <is>
          <t>Not disclosed</t>
        </is>
      </c>
      <c r="AU358" s="204" t="inlineStr">
        <is>
          <t>Not disclosed</t>
        </is>
      </c>
      <c r="AV358" s="204" t="inlineStr">
        <is>
          <t>Not disclosed</t>
        </is>
      </c>
      <c r="AW358" s="204" t="inlineStr">
        <is>
          <t>Four-wheel omnidirectional base, autonomous obstacle avoidance</t>
        </is>
      </c>
      <c r="AX358" s="204" t="n"/>
      <c r="AY358" s="204" t="inlineStr">
        <is>
          <t>Not disclosed</t>
        </is>
      </c>
      <c r="AZ358" s="204" t="inlineStr">
        <is>
          <t>Not disclosed</t>
        </is>
      </c>
      <c r="BA358" s="204" t="n"/>
      <c r="BB358" s="204" t="inlineStr">
        <is>
          <t>Not disclosed</t>
        </is>
      </c>
      <c r="BC358" s="204" t="inlineStr">
        <is>
          <t>Not disclosed</t>
        </is>
      </c>
      <c r="BD358" s="204" t="inlineStr">
        <is>
          <t>Not disclosed</t>
        </is>
      </c>
      <c r="BE358" s="204" t="inlineStr">
        <is>
          <t>Not disclosed</t>
        </is>
      </c>
      <c r="BF358" s="204" t="n"/>
      <c r="BG358" s="204" t="n"/>
      <c r="BH358" s="204" t="n"/>
      <c r="BI358" s="204" t="n"/>
      <c r="BJ358" s="204" t="n"/>
      <c r="BK358" s="204" t="n"/>
      <c r="BL358" s="204" t="n"/>
      <c r="BM358" s="204" t="inlineStr">
        <is>
          <t>Not disclosed</t>
        </is>
      </c>
      <c r="BN358" s="204" t="inlineStr">
        <is>
          <t>Not disclosed</t>
        </is>
      </c>
      <c r="BO358" s="204" t="inlineStr">
        <is>
          <t>Folding wheeled humanoid · 170 cm / 79 cm folded · 26 DoF force-control · 5 kg/arm · 4–6 h · 275 TOPS Orin AGX</t>
        </is>
      </c>
      <c r="BP358" s="204" t="inlineStr">
        <is>
          <t>Indoor / human environments</t>
        </is>
      </c>
      <c r="BQ358" s="204" t="inlineStr">
        <is>
          <t>Lobby / hospitality / indoor service</t>
        </is>
      </c>
      <c r="BR358" s="204" t="inlineStr">
        <is>
          <t>Commercial (China)</t>
        </is>
      </c>
      <c r="BS358" s="204" t="n"/>
      <c r="BT358" s="204" t="n"/>
      <c r="BU358" s="204" t="n"/>
      <c r="BV358" s="204" t="inlineStr">
        <is>
          <t>Ingested 28 Aug 2026 from AIXZD/TAAFT directories. AIXZD product page + OEM where cited.</t>
        </is>
      </c>
      <c r="BW358" s="204" t="inlineStr">
        <is>
          <t>Height (fully upright): 5 ft 7 in | Operating weight: Not disclosed | Degrees of freedom: 26 | Payload capacity: 11 | Maximum speed: 3.4 | Battery / runtime: Not disclosed</t>
        </is>
      </c>
      <c r="BX358" s="204" t="n"/>
      <c r="BY358" s="204" t="n"/>
      <c r="BZ358" s="204" t="n"/>
      <c r="CA358" s="204" t="n"/>
      <c r="CB358" s="204" t="inlineStr">
        <is>
          <t>12 months manufacturer standard (typical research/commercial humanoid)</t>
        </is>
      </c>
      <c r="CC358" s="205" t="n">
        <v>12</v>
      </c>
      <c r="CD358" s="204" t="inlineStr">
        <is>
          <t>+3 Year Extended ≈24% of configuration (default in configurator)</t>
        </is>
      </c>
      <c r="CE358" s="204" t="inlineStr">
        <is>
          <t>Humanoid / companionoid category norm 2025–2026</t>
        </is>
      </c>
      <c r="CF358" s="204" t="inlineStr">
        <is>
          <t>Estimated</t>
        </is>
      </c>
      <c r="CG358" s="204" t="inlineStr">
        <is>
          <t>EDU or enterprise packages may differ; confirm on formal quote. Source mix: AIXZD directory + OEM pages Aug 2026.</t>
        </is>
      </c>
      <c r="CH358" s="204" t="inlineStr">
        <is>
          <t>10%</t>
        </is>
      </c>
      <c r="CI358" s="204" t="inlineStr">
        <is>
          <t>17%</t>
        </is>
      </c>
      <c r="CJ358" s="204" t="inlineStr">
        <is>
          <t>24%</t>
        </is>
      </c>
      <c r="CK358" s="204" t="inlineStr">
        <is>
          <t>Profitable schedule (Aug 2026): +1yr ≈10% / +2yr ≈17% / +3yr ≈24% of configuration price.</t>
        </is>
      </c>
      <c r="CL358" s="204" t="inlineStr">
        <is>
          <t>Same TOR extended-warranty schedule used across the catalog (~45–55% target GM).</t>
        </is>
      </c>
      <c r="CM358" s="204" t="inlineStr">
        <is>
          <t>12 months manufacturer standard (typical research/commercial humanoid)</t>
        </is>
      </c>
      <c r="CN358" s="204" t="inlineStr">
        <is>
          <t>https://aixzd.com/robot/gento</t>
        </is>
      </c>
      <c r="CO358" s="204" t="inlineStr">
        <is>
          <t>https://theresanaiforthat.com/robots/</t>
        </is>
      </c>
      <c r="CP358" s="204" t="inlineStr">
        <is>
          <t>New platform added 28 Aug 2026 from AIXZD (https://aixzd.com/robots, 644 sitemap robots) and/or TAAFT Robots directory (https://theresanaiforthat.com/robots/, 669 claimed).</t>
        </is>
      </c>
      <c r="CQ358" s="101" t="inlineStr">
        <is>
          <t>Height: 5 ft 7 in | Weight: Not disclosed | Degrees of Freedom: 26 | Payload: 11 | Max Speed: 3.4 | Battery / Runtime: Not disclosed</t>
        </is>
      </c>
    </row>
    <row r="359" ht="36" customHeight="1" s="102">
      <c r="A359" s="204" t="inlineStr">
        <is>
          <t>walker_x</t>
        </is>
      </c>
      <c r="B359" s="204" t="inlineStr">
        <is>
          <t>AIXZD</t>
        </is>
      </c>
      <c r="C359" s="204" t="inlineStr">
        <is>
          <t>UBTECH Robotics</t>
        </is>
      </c>
      <c r="D359" s="204" t="inlineStr">
        <is>
          <t>Walker X</t>
        </is>
      </c>
      <c r="E359" s="204" t="inlineStr">
        <is>
          <t>[UBTECH] Walker X (2021)</t>
        </is>
      </c>
      <c r="F359" s="204" t="inlineStr">
        <is>
          <t>humanoid</t>
        </is>
      </c>
      <c r="G359" s="204" t="inlineStr">
        <is>
          <t>China</t>
        </is>
      </c>
      <c r="H359" s="205" t="n">
        <v>2021</v>
      </c>
      <c r="I359" s="206" t="n">
        <v>150000</v>
      </c>
      <c r="J359" s="204" t="inlineStr">
        <is>
          <t>Used / enterprise estimate Aug 2026 (original service platform, no current MSRP)</t>
        </is>
      </c>
      <c r="K359" s="204" t="inlineStr">
        <is>
          <t>Walker X is UBTECH’s earlier full-size companion humanoid (130 cm, 63 kg, 41 DoF) with indoor visual navigation, 28 emotion classes, and light household manipulation — the predecessor to Walker S / S2 industrial units.</t>
        </is>
      </c>
      <c r="N359" s="204" t="n"/>
      <c r="O359" s="204" t="inlineStr">
        <is>
          <t>https://www.ubtrobot.com/en</t>
        </is>
      </c>
      <c r="P359" s="204" t="inlineStr">
        <is>
          <t>4 ft 3 in</t>
        </is>
      </c>
      <c r="Q359" s="204" t="n">
        <v>130</v>
      </c>
      <c r="R359" s="204" t="n">
        <v>138.9</v>
      </c>
      <c r="S359" s="204" t="n">
        <v>63</v>
      </c>
      <c r="T359" s="204" t="inlineStr">
        <is>
          <t>Not disclosed</t>
        </is>
      </c>
      <c r="U359" s="204" t="n"/>
      <c r="V359" s="204" t="n">
        <v>41</v>
      </c>
      <c r="W359" s="204" t="n"/>
      <c r="X359" s="204" t="n">
        <v>3.3</v>
      </c>
      <c r="Y359" s="204" t="n">
        <v>1.5</v>
      </c>
      <c r="Z359" s="204" t="n">
        <v>1.9</v>
      </c>
      <c r="AA359" s="204" t="n">
        <v>3</v>
      </c>
      <c r="AB359" s="204" t="n"/>
      <c r="AC359" s="204" t="n"/>
      <c r="AD359" s="204" t="n"/>
      <c r="AE359" s="204" t="n"/>
      <c r="AF359" s="204" t="inlineStr">
        <is>
          <t>Not disclosed</t>
        </is>
      </c>
      <c r="AG359" s="204" t="inlineStr">
        <is>
          <t>Not disclosed</t>
        </is>
      </c>
      <c r="AH359" s="204" t="n"/>
      <c r="AI359" s="204" t="n"/>
      <c r="AJ359" s="204" t="inlineStr">
        <is>
          <t>Not disclosed</t>
        </is>
      </c>
      <c r="AK359" s="204" t="n"/>
      <c r="AL359" s="204" t="inlineStr">
        <is>
          <t>Not disclosed</t>
        </is>
      </c>
      <c r="AM359" s="204" t="n"/>
      <c r="AN359" s="204" t="inlineStr">
        <is>
          <t>Not disclosed</t>
        </is>
      </c>
      <c r="AO359" s="204" t="inlineStr">
        <is>
          <t>Not disclosed</t>
        </is>
      </c>
      <c r="AP359" s="204" t="inlineStr">
        <is>
          <t>Not disclosed</t>
        </is>
      </c>
      <c r="AQ359" s="204" t="inlineStr">
        <is>
          <t>Not disclosed</t>
        </is>
      </c>
      <c r="AR359" s="204" t="n"/>
      <c r="AS359" s="204" t="n"/>
      <c r="AT359" s="204" t="inlineStr">
        <is>
          <t>Not disclosed</t>
        </is>
      </c>
      <c r="AU359" s="204" t="inlineStr">
        <is>
          <t>Not disclosed</t>
        </is>
      </c>
      <c r="AV359" s="204" t="inlineStr">
        <is>
          <t>Not disclosed</t>
        </is>
      </c>
      <c r="AW359" s="204" t="inlineStr">
        <is>
          <t>Visual indoor navigation, obstacle crossing</t>
        </is>
      </c>
      <c r="AX359" s="204" t="n"/>
      <c r="AY359" s="204" t="inlineStr">
        <is>
          <t>Not disclosed</t>
        </is>
      </c>
      <c r="AZ359" s="204" t="inlineStr">
        <is>
          <t>Not disclosed</t>
        </is>
      </c>
      <c r="BA359" s="204" t="n"/>
      <c r="BB359" s="204" t="inlineStr">
        <is>
          <t>Not disclosed</t>
        </is>
      </c>
      <c r="BC359" s="204" t="inlineStr">
        <is>
          <t>Not disclosed</t>
        </is>
      </c>
      <c r="BD359" s="204" t="inlineStr">
        <is>
          <t>Not disclosed</t>
        </is>
      </c>
      <c r="BE359" s="204" t="inlineStr">
        <is>
          <t>Not disclosed</t>
        </is>
      </c>
      <c r="BF359" s="204" t="n"/>
      <c r="BG359" s="204" t="n"/>
      <c r="BH359" s="204" t="n"/>
      <c r="BI359" s="204" t="n"/>
      <c r="BJ359" s="204" t="n"/>
      <c r="BK359" s="204" t="n"/>
      <c r="BL359" s="204" t="n"/>
      <c r="BM359" s="204" t="inlineStr">
        <is>
          <t>Not disclosed</t>
        </is>
      </c>
      <c r="BN359" s="204" t="inlineStr">
        <is>
          <t>Not disclosed</t>
        </is>
      </c>
      <c r="BO359" s="204" t="inlineStr">
        <is>
          <t>Prior-gen UBTECH biped · 41 DoF · 3 km/h walk · 1.5 kg/arm · emotion perception · used-market SKU</t>
        </is>
      </c>
      <c r="BP359" s="204" t="inlineStr">
        <is>
          <t>Indoor / human environments</t>
        </is>
      </c>
      <c r="BQ359" s="204" t="inlineStr">
        <is>
          <t>Home companion / reception / research</t>
        </is>
      </c>
      <c r="BR359" s="204" t="inlineStr">
        <is>
          <t>Prior generation (used / resale relevant)</t>
        </is>
      </c>
      <c r="BS359" s="204" t="n"/>
      <c r="BT359" s="204" t="n"/>
      <c r="BU359" s="204" t="n"/>
      <c r="BV359" s="204" t="inlineStr">
        <is>
          <t>Ingested 28 Aug 2026 from AIXZD/TAAFT directories. AIXZD product page + OEM where cited.</t>
        </is>
      </c>
      <c r="BW359" s="204" t="inlineStr">
        <is>
          <t>Height (fully upright): 4 ft 3 in | Operating weight: 138.9 | Degrees of freedom: 41 | Payload capacity: 3.3 | Maximum speed: 1.9 | Battery / runtime: Not disclosed</t>
        </is>
      </c>
      <c r="BX359" s="204" t="n"/>
      <c r="BY359" s="204" t="n"/>
      <c r="BZ359" s="204" t="n"/>
      <c r="CA359" s="204" t="n"/>
      <c r="CB359" s="204" t="inlineStr">
        <is>
          <t>12 months manufacturer standard (typical research/commercial humanoid)</t>
        </is>
      </c>
      <c r="CC359" s="205" t="n">
        <v>12</v>
      </c>
      <c r="CD359" s="204" t="inlineStr">
        <is>
          <t>+3 Year Extended ≈24% of configuration (default in configurator)</t>
        </is>
      </c>
      <c r="CE359" s="204" t="inlineStr">
        <is>
          <t>Humanoid / companionoid category norm 2025–2026</t>
        </is>
      </c>
      <c r="CF359" s="204" t="inlineStr">
        <is>
          <t>Estimated</t>
        </is>
      </c>
      <c r="CG359" s="204" t="inlineStr">
        <is>
          <t>EDU or enterprise packages may differ; confirm on formal quote. Source mix: AIXZD directory + OEM pages Aug 2026.</t>
        </is>
      </c>
      <c r="CH359" s="204" t="inlineStr">
        <is>
          <t>10%</t>
        </is>
      </c>
      <c r="CI359" s="204" t="inlineStr">
        <is>
          <t>17%</t>
        </is>
      </c>
      <c r="CJ359" s="204" t="inlineStr">
        <is>
          <t>24%</t>
        </is>
      </c>
      <c r="CK359" s="204" t="inlineStr">
        <is>
          <t>Profitable schedule (Aug 2026): +1yr ≈10% / +2yr ≈17% / +3yr ≈24% of configuration price.</t>
        </is>
      </c>
      <c r="CL359" s="204" t="inlineStr">
        <is>
          <t>Same TOR extended-warranty schedule used across the catalog (~45–55% target GM).</t>
        </is>
      </c>
      <c r="CM359" s="204" t="inlineStr">
        <is>
          <t>12 months manufacturer standard (typical research/commercial humanoid)</t>
        </is>
      </c>
      <c r="CN359" s="204" t="inlineStr">
        <is>
          <t>https://aixzd.com/robot/walker-x</t>
        </is>
      </c>
      <c r="CO359" s="204" t="inlineStr">
        <is>
          <t>https://theresanaiforthat.com/robots/</t>
        </is>
      </c>
      <c r="CP359" s="204" t="inlineStr">
        <is>
          <t>New platform added 28 Aug 2026 from AIXZD (https://aixzd.com/robots, 644 sitemap robots) and/or TAAFT Robots directory (https://theresanaiforthat.com/robots/, 669 claimed).</t>
        </is>
      </c>
      <c r="CQ359" s="101" t="inlineStr">
        <is>
          <t>Height: 4 ft 3 in | Weight: 138.9 | Degrees of Freedom: 41 | Payload: 3.3 | Max Speed: 1.9 | Battery / Runtime: Not disclosed</t>
        </is>
      </c>
    </row>
    <row r="360" ht="36" customHeight="1" s="102">
      <c r="A360" s="204" t="inlineStr">
        <is>
          <t>alpha_mini</t>
        </is>
      </c>
      <c r="B360" s="204" t="inlineStr">
        <is>
          <t>AIXZD</t>
        </is>
      </c>
      <c r="C360" s="204" t="inlineStr">
        <is>
          <t>UBTECH Robotics</t>
        </is>
      </c>
      <c r="D360" s="204" t="inlineStr">
        <is>
          <t>Alpha Mini</t>
        </is>
      </c>
      <c r="E360" s="204" t="inlineStr">
        <is>
          <t>[UBTECH] Alpha Mini (2019)</t>
        </is>
      </c>
      <c r="F360" s="204" t="inlineStr">
        <is>
          <t>humanoid</t>
        </is>
      </c>
      <c r="G360" s="204" t="inlineStr">
        <is>
          <t>China</t>
        </is>
      </c>
      <c r="H360" s="205" t="n">
        <v>2019</v>
      </c>
      <c r="I360" s="206" t="n">
        <v>599</v>
      </c>
      <c r="J360" s="204" t="inlineStr">
        <is>
          <t>Consumer street / refurb estimate Aug 2026</t>
        </is>
      </c>
      <c r="K360" s="204" t="inlineStr">
        <is>
          <t>Alpha Mini (Wukong) is UBTECH’s pocket-size educational humanoid — bottle-height, 14 joints, 13 MP camera, 4G video call, dance/Tai Chi/programming — a high-velocity used-market SKU for STEM and family buyers.</t>
        </is>
      </c>
      <c r="N360" s="204" t="n"/>
      <c r="O360" s="204" t="inlineStr">
        <is>
          <t>https://www.ubtrobot.com/en</t>
        </is>
      </c>
      <c r="P360" s="204" t="inlineStr">
        <is>
          <t>0 ft 9 in</t>
        </is>
      </c>
      <c r="Q360" s="204" t="n">
        <v>24</v>
      </c>
      <c r="R360" s="204" t="n">
        <v>3.5</v>
      </c>
      <c r="S360" s="204" t="n">
        <v>1.6</v>
      </c>
      <c r="T360" s="204" t="inlineStr">
        <is>
          <t>Not disclosed</t>
        </is>
      </c>
      <c r="U360" s="204" t="n"/>
      <c r="V360" s="204" t="n">
        <v>14</v>
      </c>
      <c r="W360" s="204" t="n"/>
      <c r="X360" s="204" t="n"/>
      <c r="Y360" s="204" t="n"/>
      <c r="Z360" s="204" t="n"/>
      <c r="AA360" s="204" t="n"/>
      <c r="AB360" s="204" t="n"/>
      <c r="AC360" s="204" t="n"/>
      <c r="AD360" s="204" t="n"/>
      <c r="AE360" s="204" t="n"/>
      <c r="AF360" s="204" t="inlineStr">
        <is>
          <t>Not disclosed</t>
        </is>
      </c>
      <c r="AG360" s="204" t="inlineStr">
        <is>
          <t>Not disclosed</t>
        </is>
      </c>
      <c r="AH360" s="204" t="n"/>
      <c r="AI360" s="204" t="n"/>
      <c r="AJ360" s="204" t="inlineStr">
        <is>
          <t>Not disclosed</t>
        </is>
      </c>
      <c r="AK360" s="204" t="n"/>
      <c r="AL360" s="204" t="inlineStr">
        <is>
          <t>Not disclosed</t>
        </is>
      </c>
      <c r="AM360" s="204" t="n"/>
      <c r="AN360" s="204" t="inlineStr">
        <is>
          <t>Not disclosed</t>
        </is>
      </c>
      <c r="AO360" s="204" t="inlineStr">
        <is>
          <t>Not disclosed</t>
        </is>
      </c>
      <c r="AP360" s="204" t="inlineStr">
        <is>
          <t>Not disclosed</t>
        </is>
      </c>
      <c r="AQ360" s="204" t="inlineStr">
        <is>
          <t>Not disclosed</t>
        </is>
      </c>
      <c r="AR360" s="204" t="n"/>
      <c r="AS360" s="204" t="n"/>
      <c r="AT360" s="204" t="inlineStr">
        <is>
          <t>Not disclosed</t>
        </is>
      </c>
      <c r="AU360" s="204" t="inlineStr">
        <is>
          <t>Not disclosed</t>
        </is>
      </c>
      <c r="AV360" s="204" t="inlineStr">
        <is>
          <t>Not disclosed</t>
        </is>
      </c>
      <c r="AW360" s="204" t="inlineStr">
        <is>
          <t>Not disclosed</t>
        </is>
      </c>
      <c r="AX360" s="204" t="n"/>
      <c r="AY360" s="204" t="inlineStr">
        <is>
          <t>Not disclosed</t>
        </is>
      </c>
      <c r="AZ360" s="204" t="inlineStr">
        <is>
          <t>Not disclosed</t>
        </is>
      </c>
      <c r="BA360" s="204" t="n"/>
      <c r="BB360" s="204" t="inlineStr">
        <is>
          <t>Not disclosed</t>
        </is>
      </c>
      <c r="BC360" s="204" t="inlineStr">
        <is>
          <t>Not disclosed</t>
        </is>
      </c>
      <c r="BD360" s="204" t="inlineStr">
        <is>
          <t>Not disclosed</t>
        </is>
      </c>
      <c r="BE360" s="204" t="inlineStr">
        <is>
          <t>Not disclosed</t>
        </is>
      </c>
      <c r="BF360" s="204" t="n"/>
      <c r="BG360" s="204" t="n"/>
      <c r="BH360" s="204" t="n"/>
      <c r="BI360" s="204" t="n"/>
      <c r="BJ360" s="204" t="n"/>
      <c r="BK360" s="204" t="n"/>
      <c r="BL360" s="204" t="n"/>
      <c r="BM360" s="204" t="inlineStr">
        <is>
          <t>Not disclosed</t>
        </is>
      </c>
      <c r="BN360" s="204" t="inlineStr">
        <is>
          <t>Not disclosed</t>
        </is>
      </c>
      <c r="BO360" s="204" t="inlineStr">
        <is>
          <t>Mini educational humanoid · 14 DoF · 13 MP camera · 4G calling · graphical programming</t>
        </is>
      </c>
      <c r="BP360" s="204" t="inlineStr">
        <is>
          <t>Indoor / human environments</t>
        </is>
      </c>
      <c r="BQ360" s="204" t="inlineStr">
        <is>
          <t>STEM education / family entertainment</t>
        </is>
      </c>
      <c r="BR360" s="204" t="inlineStr">
        <is>
          <t>In production / widely available used</t>
        </is>
      </c>
      <c r="BS360" s="204" t="n"/>
      <c r="BT360" s="204" t="n"/>
      <c r="BU360" s="204" t="n"/>
      <c r="BV360" s="204" t="inlineStr">
        <is>
          <t>Ingested 28 Aug 2026 from AIXZD/TAAFT directories. AIXZD product page + OEM where cited.</t>
        </is>
      </c>
      <c r="BW360" s="204" t="inlineStr">
        <is>
          <t>Height (fully upright): 0 ft 9 in | Operating weight: 3.5 | Degrees of freedom: 14 | Payload capacity: Not disclosed | Maximum speed: Not disclosed | Battery / runtime: Not disclosed</t>
        </is>
      </c>
      <c r="BX360" s="204" t="n"/>
      <c r="BY360" s="204" t="n"/>
      <c r="BZ360" s="204" t="n"/>
      <c r="CA360" s="204" t="n"/>
      <c r="CB360" s="204" t="inlineStr">
        <is>
          <t>12 months manufacturer standard (typical research/commercial humanoid)</t>
        </is>
      </c>
      <c r="CC360" s="205" t="n">
        <v>12</v>
      </c>
      <c r="CD360" s="204" t="inlineStr">
        <is>
          <t>+3 Year Extended ≈24% of configuration (default in configurator)</t>
        </is>
      </c>
      <c r="CE360" s="204" t="inlineStr">
        <is>
          <t>Humanoid / companionoid category norm 2025–2026</t>
        </is>
      </c>
      <c r="CF360" s="204" t="inlineStr">
        <is>
          <t>Estimated</t>
        </is>
      </c>
      <c r="CG360" s="204" t="inlineStr">
        <is>
          <t>EDU or enterprise packages may differ; confirm on formal quote. Source mix: AIXZD directory + OEM pages Aug 2026.</t>
        </is>
      </c>
      <c r="CH360" s="204" t="inlineStr">
        <is>
          <t>10%</t>
        </is>
      </c>
      <c r="CI360" s="204" t="inlineStr">
        <is>
          <t>17%</t>
        </is>
      </c>
      <c r="CJ360" s="204" t="inlineStr">
        <is>
          <t>24%</t>
        </is>
      </c>
      <c r="CK360" s="204" t="inlineStr">
        <is>
          <t>Profitable schedule (Aug 2026): +1yr ≈10% / +2yr ≈17% / +3yr ≈24% of configuration price.</t>
        </is>
      </c>
      <c r="CL360" s="204" t="inlineStr">
        <is>
          <t>Same TOR extended-warranty schedule used across the catalog (~45–55% target GM).</t>
        </is>
      </c>
      <c r="CM360" s="204" t="inlineStr">
        <is>
          <t>12 months manufacturer standard (typical research/commercial humanoid)</t>
        </is>
      </c>
      <c r="CN360" s="204" t="inlineStr">
        <is>
          <t>https://aixzd.com/robot/alpha-mini</t>
        </is>
      </c>
      <c r="CO360" s="204" t="inlineStr">
        <is>
          <t>https://theresanaiforthat.com/robots/</t>
        </is>
      </c>
      <c r="CP360" s="204" t="inlineStr">
        <is>
          <t>New platform added 28 Aug 2026 from AIXZD (https://aixzd.com/robots, 644 sitemap robots) and/or TAAFT Robots directory (https://theresanaiforthat.com/robots/, 669 claimed).</t>
        </is>
      </c>
      <c r="CQ360" s="101" t="inlineStr">
        <is>
          <t>Height: 0 ft 9 in | Weight: 3.5 | Degrees of Freedom: 14 | Payload: Not disclosed | Max Speed: Not disclosed | Battery / Runtime: Not disclosed</t>
        </is>
      </c>
    </row>
    <row r="361" ht="36" customHeight="1" s="102">
      <c r="A361" s="204" t="inlineStr">
        <is>
          <t>pnd_adam_u</t>
        </is>
      </c>
      <c r="B361" s="204" t="inlineStr">
        <is>
          <t>AIXZD</t>
        </is>
      </c>
      <c r="C361" s="204" t="inlineStr">
        <is>
          <t>PNDbotics</t>
        </is>
      </c>
      <c r="D361" s="204" t="inlineStr">
        <is>
          <t>Adam-U</t>
        </is>
      </c>
      <c r="E361" s="204" t="inlineStr">
        <is>
          <t>[PNDbotics] Adam-U (2025)</t>
        </is>
      </c>
      <c r="F361" s="204" t="inlineStr">
        <is>
          <t>humanoid</t>
        </is>
      </c>
      <c r="G361" s="204" t="inlineStr">
        <is>
          <t>China</t>
        </is>
      </c>
      <c r="H361" s="205" t="n">
        <v>2025</v>
      </c>
      <c r="I361" s="206" t="n">
        <v>35000</v>
      </c>
      <c r="J361" s="204" t="inlineStr">
        <is>
          <t>Directory estimate Aug 2026 (desktop research platform)</t>
        </is>
      </c>
      <c r="K361" s="204" t="inlineStr">
        <is>
          <t>Adam-U is PNDbotics’ desktop upper-body humanoid: 31 quasi-direct-drive force-controlled joints concentrated in arms, waist, head and fingers, height-adjustable 135–177 cm, 26 kg, ZED Mini + Orin NX, ROS 2 Humble, 1172 Wh battery.</t>
        </is>
      </c>
      <c r="N361" s="204" t="n"/>
      <c r="O361" s="204" t="inlineStr">
        <is>
          <t>https://www.pndbotics.com/</t>
        </is>
      </c>
      <c r="P361" s="204" t="inlineStr">
        <is>
          <t>5 ft 10 in</t>
        </is>
      </c>
      <c r="Q361" s="204" t="n">
        <v>177</v>
      </c>
      <c r="R361" s="204" t="n">
        <v>57.3</v>
      </c>
      <c r="S361" s="204" t="n">
        <v>26</v>
      </c>
      <c r="T361" s="204" t="inlineStr">
        <is>
          <t>Not disclosed</t>
        </is>
      </c>
      <c r="U361" s="204" t="n"/>
      <c r="V361" s="204" t="n">
        <v>31</v>
      </c>
      <c r="W361" s="204" t="n"/>
      <c r="X361" s="204" t="n"/>
      <c r="Y361" s="204" t="n"/>
      <c r="Z361" s="204" t="n"/>
      <c r="AA361" s="204" t="n"/>
      <c r="AB361" s="204" t="n"/>
      <c r="AC361" s="204" t="n"/>
      <c r="AD361" s="204" t="n">
        <v>4</v>
      </c>
      <c r="AE361" s="204" t="n"/>
      <c r="AF361" s="204" t="inlineStr">
        <is>
          <t>Not disclosed</t>
        </is>
      </c>
      <c r="AG361" s="204" t="inlineStr">
        <is>
          <t>Not disclosed</t>
        </is>
      </c>
      <c r="AH361" s="204" t="n"/>
      <c r="AI361" s="204" t="n"/>
      <c r="AJ361" s="204" t="inlineStr">
        <is>
          <t>Not disclosed</t>
        </is>
      </c>
      <c r="AK361" s="204" t="n"/>
      <c r="AL361" s="204" t="inlineStr">
        <is>
          <t>Not disclosed</t>
        </is>
      </c>
      <c r="AM361" s="204" t="n"/>
      <c r="AN361" s="204" t="inlineStr">
        <is>
          <t>Not disclosed</t>
        </is>
      </c>
      <c r="AO361" s="204" t="inlineStr">
        <is>
          <t>Not disclosed</t>
        </is>
      </c>
      <c r="AP361" s="204" t="inlineStr">
        <is>
          <t>Not disclosed</t>
        </is>
      </c>
      <c r="AQ361" s="204" t="inlineStr">
        <is>
          <t>Not disclosed</t>
        </is>
      </c>
      <c r="AR361" s="204" t="n"/>
      <c r="AS361" s="204" t="n"/>
      <c r="AT361" s="204" t="inlineStr">
        <is>
          <t>Not disclosed</t>
        </is>
      </c>
      <c r="AU361" s="204" t="inlineStr">
        <is>
          <t>Not disclosed</t>
        </is>
      </c>
      <c r="AV361" s="204" t="inlineStr">
        <is>
          <t>Not disclosed</t>
        </is>
      </c>
      <c r="AW361" s="204" t="inlineStr">
        <is>
          <t>Not disclosed</t>
        </is>
      </c>
      <c r="AX361" s="204" t="n"/>
      <c r="AY361" s="204" t="inlineStr">
        <is>
          <t>Not disclosed</t>
        </is>
      </c>
      <c r="AZ361" s="204" t="inlineStr">
        <is>
          <t>Not disclosed</t>
        </is>
      </c>
      <c r="BA361" s="204" t="n"/>
      <c r="BB361" s="204" t="inlineStr">
        <is>
          <t>Not disclosed</t>
        </is>
      </c>
      <c r="BC361" s="204" t="inlineStr">
        <is>
          <t>Not disclosed</t>
        </is>
      </c>
      <c r="BD361" s="204" t="inlineStr">
        <is>
          <t>Not disclosed</t>
        </is>
      </c>
      <c r="BE361" s="204" t="inlineStr">
        <is>
          <t>Not disclosed</t>
        </is>
      </c>
      <c r="BF361" s="204" t="n"/>
      <c r="BG361" s="204" t="n"/>
      <c r="BH361" s="204" t="n"/>
      <c r="BI361" s="204" t="n"/>
      <c r="BJ361" s="204" t="n"/>
      <c r="BK361" s="204" t="n"/>
      <c r="BL361" s="204" t="n"/>
      <c r="BM361" s="204" t="inlineStr">
        <is>
          <t>Not disclosed</t>
        </is>
      </c>
      <c r="BN361" s="204" t="inlineStr">
        <is>
          <t>Not disclosed</t>
        </is>
      </c>
      <c r="BO361" s="204" t="inlineStr">
        <is>
          <t>Desktop upper-body · 31 DoF QDD force control · 135–177 cm adjustable · Intel NUC + Orin NX · ROS 2 · 1172 Wh</t>
        </is>
      </c>
      <c r="BP361" s="204" t="inlineStr">
        <is>
          <t>Indoor / human environments</t>
        </is>
      </c>
      <c r="BQ361" s="204" t="inlineStr">
        <is>
          <t>Research / desktop manipulation / data collection</t>
        </is>
      </c>
      <c r="BR361" s="204" t="inlineStr">
        <is>
          <t>Commercial research platform</t>
        </is>
      </c>
      <c r="BS361" s="204" t="n"/>
      <c r="BT361" s="204" t="n"/>
      <c r="BU361" s="204" t="n"/>
      <c r="BV361" s="204" t="inlineStr">
        <is>
          <t>Ingested 28 Aug 2026 from AIXZD/TAAFT directories. AIXZD product page + OEM where cited.</t>
        </is>
      </c>
      <c r="BW361" s="204" t="inlineStr">
        <is>
          <t>Height (fully upright): 5 ft 10 in | Operating weight: 57.3 | Degrees of freedom: 31 | Payload capacity: Not disclosed | Maximum speed: Not disclosed | Battery / runtime: Not disclosed</t>
        </is>
      </c>
      <c r="BX361" s="204" t="n"/>
      <c r="BY361" s="204" t="n"/>
      <c r="BZ361" s="204" t="n"/>
      <c r="CA361" s="204" t="n"/>
      <c r="CB361" s="204" t="inlineStr">
        <is>
          <t>12 months manufacturer standard (typical research/commercial humanoid)</t>
        </is>
      </c>
      <c r="CC361" s="205" t="n">
        <v>12</v>
      </c>
      <c r="CD361" s="204" t="inlineStr">
        <is>
          <t>+3 Year Extended ≈24% of configuration (default in configurator)</t>
        </is>
      </c>
      <c r="CE361" s="204" t="inlineStr">
        <is>
          <t>Humanoid / companionoid category norm 2025–2026</t>
        </is>
      </c>
      <c r="CF361" s="204" t="inlineStr">
        <is>
          <t>Estimated</t>
        </is>
      </c>
      <c r="CG361" s="204" t="inlineStr">
        <is>
          <t>EDU or enterprise packages may differ; confirm on formal quote. Source mix: AIXZD directory + OEM pages Aug 2026.</t>
        </is>
      </c>
      <c r="CH361" s="204" t="inlineStr">
        <is>
          <t>10%</t>
        </is>
      </c>
      <c r="CI361" s="204" t="inlineStr">
        <is>
          <t>17%</t>
        </is>
      </c>
      <c r="CJ361" s="204" t="inlineStr">
        <is>
          <t>24%</t>
        </is>
      </c>
      <c r="CK361" s="204" t="inlineStr">
        <is>
          <t>Profitable schedule (Aug 2026): +1yr ≈10% / +2yr ≈17% / +3yr ≈24% of configuration price.</t>
        </is>
      </c>
      <c r="CL361" s="204" t="inlineStr">
        <is>
          <t>Same TOR extended-warranty schedule used across the catalog (~45–55% target GM).</t>
        </is>
      </c>
      <c r="CM361" s="204" t="inlineStr">
        <is>
          <t>12 months manufacturer standard (typical research/commercial humanoid)</t>
        </is>
      </c>
      <c r="CN361" s="204" t="inlineStr">
        <is>
          <t>https://aixzd.com/robot/adamu</t>
        </is>
      </c>
      <c r="CO361" s="204" t="inlineStr">
        <is>
          <t>https://theresanaiforthat.com/robots/</t>
        </is>
      </c>
      <c r="CP361" s="204" t="inlineStr">
        <is>
          <t>New platform added 28 Aug 2026 from AIXZD (https://aixzd.com/robots, 644 sitemap robots) and/or TAAFT Robots directory (https://theresanaiforthat.com/robots/, 669 claimed).</t>
        </is>
      </c>
      <c r="CQ361" s="101" t="inlineStr">
        <is>
          <t>Height: 5 ft 10 in | Weight: 57.3 | Degrees of Freedom: 31 | Payload: Not disclosed | Max Speed: Not disclosed | Battery / Runtime: Not disclosed</t>
        </is>
      </c>
    </row>
    <row r="362" ht="36" customHeight="1" s="102">
      <c r="A362" s="204" t="inlineStr">
        <is>
          <t>fourier_n1</t>
        </is>
      </c>
      <c r="B362" s="204" t="inlineStr">
        <is>
          <t>AIXZD</t>
        </is>
      </c>
      <c r="C362" s="204" t="inlineStr">
        <is>
          <t>Fourier Intelligence</t>
        </is>
      </c>
      <c r="D362" s="204" t="inlineStr">
        <is>
          <t>Fourier N1</t>
        </is>
      </c>
      <c r="E362" s="204" t="inlineStr">
        <is>
          <t>[Fourier] N1 (2025)</t>
        </is>
      </c>
      <c r="F362" s="204" t="inlineStr">
        <is>
          <t>humanoid</t>
        </is>
      </c>
      <c r="G362" s="204" t="inlineStr">
        <is>
          <t>China</t>
        </is>
      </c>
      <c r="H362" s="205" t="n">
        <v>2025</v>
      </c>
      <c r="I362" s="206" t="n">
        <v>18000</v>
      </c>
      <c r="J362" s="204" t="inlineStr">
        <is>
          <t>Open-source platform estimate Aug 2026 (BOM + build; no single MSRP)</t>
        </is>
      </c>
      <c r="K362" s="204" t="inlineStr">
        <is>
          <t>Fourier N1 is Fourier Intelligence’s first fully open-source compact humanoid (April 2025): 130 cm, ~38–39 kg, 23 actuators, FSA 2.0, 3.5 m/s run, 2 h hot-swap battery, with public BOM, drawings, and control code for researchers.</t>
        </is>
      </c>
      <c r="N362" s="204" t="n"/>
      <c r="O362" s="204" t="inlineStr">
        <is>
          <t>https://www.fftai.com/</t>
        </is>
      </c>
      <c r="P362" s="204" t="inlineStr">
        <is>
          <t>4 ft 3 in</t>
        </is>
      </c>
      <c r="Q362" s="204" t="n">
        <v>130</v>
      </c>
      <c r="R362" s="204" t="n">
        <v>83.8</v>
      </c>
      <c r="S362" s="204" t="n">
        <v>38</v>
      </c>
      <c r="T362" s="204" t="inlineStr">
        <is>
          <t>Not disclosed</t>
        </is>
      </c>
      <c r="U362" s="204" t="n"/>
      <c r="V362" s="204" t="n">
        <v>23</v>
      </c>
      <c r="W362" s="204" t="n"/>
      <c r="X362" s="204" t="n"/>
      <c r="Y362" s="204" t="n"/>
      <c r="Z362" s="204" t="n">
        <v>7.8</v>
      </c>
      <c r="AA362" s="204" t="n">
        <v>12.6</v>
      </c>
      <c r="AB362" s="204" t="n"/>
      <c r="AC362" s="204" t="n"/>
      <c r="AD362" s="204" t="n">
        <v>2</v>
      </c>
      <c r="AE362" s="204" t="n"/>
      <c r="AF362" s="204" t="inlineStr">
        <is>
          <t>Not disclosed</t>
        </is>
      </c>
      <c r="AG362" s="204" t="inlineStr">
        <is>
          <t>Not disclosed</t>
        </is>
      </c>
      <c r="AH362" s="204" t="n"/>
      <c r="AI362" s="204" t="n"/>
      <c r="AJ362" s="204" t="inlineStr">
        <is>
          <t>Not disclosed</t>
        </is>
      </c>
      <c r="AK362" s="204" t="n"/>
      <c r="AL362" s="204" t="inlineStr">
        <is>
          <t>Not disclosed</t>
        </is>
      </c>
      <c r="AM362" s="204" t="n"/>
      <c r="AN362" s="204" t="inlineStr">
        <is>
          <t>Not disclosed</t>
        </is>
      </c>
      <c r="AO362" s="204" t="inlineStr">
        <is>
          <t>Not disclosed</t>
        </is>
      </c>
      <c r="AP362" s="204" t="inlineStr">
        <is>
          <t>Not disclosed</t>
        </is>
      </c>
      <c r="AQ362" s="204" t="inlineStr">
        <is>
          <t>Not disclosed</t>
        </is>
      </c>
      <c r="AR362" s="204" t="n"/>
      <c r="AS362" s="204" t="n"/>
      <c r="AT362" s="204" t="inlineStr">
        <is>
          <t>Not disclosed</t>
        </is>
      </c>
      <c r="AU362" s="204" t="inlineStr">
        <is>
          <t>Not disclosed</t>
        </is>
      </c>
      <c r="AV362" s="204" t="inlineStr">
        <is>
          <t>Not disclosed</t>
        </is>
      </c>
      <c r="AW362" s="204" t="inlineStr">
        <is>
          <t>Not disclosed</t>
        </is>
      </c>
      <c r="AX362" s="204" t="n"/>
      <c r="AY362" s="204" t="inlineStr">
        <is>
          <t>Not disclosed</t>
        </is>
      </c>
      <c r="AZ362" s="204" t="inlineStr">
        <is>
          <t>Not disclosed</t>
        </is>
      </c>
      <c r="BA362" s="204" t="n"/>
      <c r="BB362" s="204" t="inlineStr">
        <is>
          <t>Not disclosed</t>
        </is>
      </c>
      <c r="BC362" s="204" t="inlineStr">
        <is>
          <t>Not disclosed</t>
        </is>
      </c>
      <c r="BD362" s="204" t="inlineStr">
        <is>
          <t>Not disclosed</t>
        </is>
      </c>
      <c r="BE362" s="204" t="inlineStr">
        <is>
          <t>Not disclosed</t>
        </is>
      </c>
      <c r="BF362" s="204" t="n"/>
      <c r="BG362" s="204" t="n"/>
      <c r="BH362" s="204" t="n"/>
      <c r="BI362" s="204" t="n"/>
      <c r="BJ362" s="204" t="n"/>
      <c r="BK362" s="204" t="n"/>
      <c r="BL362" s="204" t="n"/>
      <c r="BM362" s="204" t="inlineStr">
        <is>
          <t>Not disclosed</t>
        </is>
      </c>
      <c r="BN362" s="204" t="inlineStr">
        <is>
          <t>Not disclosed</t>
        </is>
      </c>
      <c r="BO362" s="204" t="inlineStr">
        <is>
          <t>Open-source compact biped · 23 DoF · 3.5 m/s · FSA 2.0 · 2 h · full BOM + GitHub</t>
        </is>
      </c>
      <c r="BP362" s="204" t="inlineStr">
        <is>
          <t>Indoor / human environments</t>
        </is>
      </c>
      <c r="BQ362" s="204" t="inlineStr">
        <is>
          <t>Research / open-source developers / EDU</t>
        </is>
      </c>
      <c r="BR362" s="204" t="inlineStr">
        <is>
          <t>Open-source release (Apr 2025)</t>
        </is>
      </c>
      <c r="BS362" s="204" t="n"/>
      <c r="BT362" s="204" t="n"/>
      <c r="BU362" s="204" t="n"/>
      <c r="BV362" s="204" t="inlineStr">
        <is>
          <t>Ingested 28 Aug 2026 from AIXZD/TAAFT directories. AIXZD product page + OEM where cited.</t>
        </is>
      </c>
      <c r="BW362" s="204" t="inlineStr">
        <is>
          <t>Height (fully upright): 4 ft 3 in | Operating weight: 83.8 | Degrees of freedom: 23 | Payload capacity: Not disclosed | Maximum speed: 7.8 | Battery / runtime: Not disclosed</t>
        </is>
      </c>
      <c r="BX362" s="204" t="n"/>
      <c r="BY362" s="204" t="n"/>
      <c r="BZ362" s="204" t="n"/>
      <c r="CA362" s="204" t="n"/>
      <c r="CB362" s="204" t="inlineStr">
        <is>
          <t>12 months manufacturer standard (typical research/commercial humanoid)</t>
        </is>
      </c>
      <c r="CC362" s="205" t="n">
        <v>12</v>
      </c>
      <c r="CD362" s="204" t="inlineStr">
        <is>
          <t>+3 Year Extended ≈24% of configuration (default in configurator)</t>
        </is>
      </c>
      <c r="CE362" s="204" t="inlineStr">
        <is>
          <t>Humanoid / companionoid category norm 2025–2026</t>
        </is>
      </c>
      <c r="CF362" s="204" t="inlineStr">
        <is>
          <t>Estimated</t>
        </is>
      </c>
      <c r="CG362" s="204" t="inlineStr">
        <is>
          <t>EDU or enterprise packages may differ; confirm on formal quote. Source mix: AIXZD directory + OEM pages Aug 2026.</t>
        </is>
      </c>
      <c r="CH362" s="204" t="inlineStr">
        <is>
          <t>10%</t>
        </is>
      </c>
      <c r="CI362" s="204" t="inlineStr">
        <is>
          <t>17%</t>
        </is>
      </c>
      <c r="CJ362" s="204" t="inlineStr">
        <is>
          <t>24%</t>
        </is>
      </c>
      <c r="CK362" s="204" t="inlineStr">
        <is>
          <t>Profitable schedule (Aug 2026): +1yr ≈10% / +2yr ≈17% / +3yr ≈24% of configuration price.</t>
        </is>
      </c>
      <c r="CL362" s="204" t="inlineStr">
        <is>
          <t>Same TOR extended-warranty schedule used across the catalog (~45–55% target GM).</t>
        </is>
      </c>
      <c r="CM362" s="204" t="inlineStr">
        <is>
          <t>12 months manufacturer standard (typical research/commercial humanoid)</t>
        </is>
      </c>
      <c r="CN362" s="204" t="inlineStr">
        <is>
          <t>https://aixzd.com/robot/fourier-n1</t>
        </is>
      </c>
      <c r="CO362" s="204" t="inlineStr">
        <is>
          <t>https://theresanaiforthat.com/robots/</t>
        </is>
      </c>
      <c r="CP362" s="204" t="inlineStr">
        <is>
          <t>New platform added 28 Aug 2026 from AIXZD (https://aixzd.com/robots, 644 sitemap robots) and/or TAAFT Robots directory (https://theresanaiforthat.com/robots/, 669 claimed).</t>
        </is>
      </c>
      <c r="CQ362" s="101" t="inlineStr">
        <is>
          <t>Height: 4 ft 3 in | Weight: 83.8 | Degrees of Freedom: 23 | Payload: Not disclosed | Max Speed: 7.8 | Battery / Runtime: Not disclosed</t>
        </is>
      </c>
    </row>
    <row r="363" ht="36" customHeight="1" s="102">
      <c r="A363" s="204" t="inlineStr">
        <is>
          <t>songyan_bumi</t>
        </is>
      </c>
      <c r="B363" s="204" t="inlineStr">
        <is>
          <t>AIXZD</t>
        </is>
      </c>
      <c r="C363" s="204" t="inlineStr">
        <is>
          <t>Songyan Power (松延动力)</t>
        </is>
      </c>
      <c r="D363" s="204" t="inlineStr">
        <is>
          <t>Bumi</t>
        </is>
      </c>
      <c r="E363" s="204" t="inlineStr">
        <is>
          <t>[Songyan] Bumi (2025)</t>
        </is>
      </c>
      <c r="F363" s="204" t="inlineStr">
        <is>
          <t>humanoid</t>
        </is>
      </c>
      <c r="G363" s="204" t="inlineStr">
        <is>
          <t>China</t>
        </is>
      </c>
      <c r="H363" s="205" t="n">
        <v>2025</v>
      </c>
      <c r="I363" s="206" t="n">
        <v>1400</v>
      </c>
      <c r="J363" s="204" t="inlineStr">
        <is>
          <t>AIXZD / China list ≈ ¥9,998 consumer · EDU ≈ ¥24,900</t>
        </is>
      </c>
      <c r="K363" s="204" t="inlineStr">
        <is>
          <t>Bumi (小布米) is Songyan Power’s sub-$1,500-class bipedal humanoid: 98 cm, 17 kg, 21 DoF, walk/run/dance plus voice and graphical programming — aimed at family companion and youth education, with an EDU tier at ≈ $3,500.</t>
        </is>
      </c>
      <c r="N363" s="204" t="n"/>
      <c r="O363" s="204" t="n"/>
      <c r="P363" s="204" t="inlineStr">
        <is>
          <t>3 ft 3 in</t>
        </is>
      </c>
      <c r="Q363" s="204" t="n">
        <v>98</v>
      </c>
      <c r="R363" s="204" t="n">
        <v>37.5</v>
      </c>
      <c r="S363" s="204" t="n">
        <v>17</v>
      </c>
      <c r="T363" s="204" t="inlineStr">
        <is>
          <t>Not disclosed</t>
        </is>
      </c>
      <c r="U363" s="204" t="n"/>
      <c r="V363" s="204" t="n">
        <v>21</v>
      </c>
      <c r="W363" s="204" t="n"/>
      <c r="X363" s="204" t="n"/>
      <c r="Y363" s="204" t="n"/>
      <c r="Z363" s="204" t="n"/>
      <c r="AA363" s="204" t="n"/>
      <c r="AB363" s="204" t="n"/>
      <c r="AC363" s="204" t="n"/>
      <c r="AD363" s="204" t="n"/>
      <c r="AE363" s="204" t="n"/>
      <c r="AF363" s="204" t="inlineStr">
        <is>
          <t>Not disclosed</t>
        </is>
      </c>
      <c r="AG363" s="204" t="inlineStr">
        <is>
          <t>Not disclosed</t>
        </is>
      </c>
      <c r="AH363" s="204" t="n"/>
      <c r="AI363" s="204" t="n"/>
      <c r="AJ363" s="204" t="inlineStr">
        <is>
          <t>Not disclosed</t>
        </is>
      </c>
      <c r="AK363" s="204" t="n"/>
      <c r="AL363" s="204" t="inlineStr">
        <is>
          <t>Not disclosed</t>
        </is>
      </c>
      <c r="AM363" s="204" t="n"/>
      <c r="AN363" s="204" t="inlineStr">
        <is>
          <t>Not disclosed</t>
        </is>
      </c>
      <c r="AO363" s="204" t="inlineStr">
        <is>
          <t>Not disclosed</t>
        </is>
      </c>
      <c r="AP363" s="204" t="inlineStr">
        <is>
          <t>Not disclosed</t>
        </is>
      </c>
      <c r="AQ363" s="204" t="inlineStr">
        <is>
          <t>Not disclosed</t>
        </is>
      </c>
      <c r="AR363" s="204" t="n"/>
      <c r="AS363" s="204" t="n"/>
      <c r="AT363" s="204" t="inlineStr">
        <is>
          <t>Not disclosed</t>
        </is>
      </c>
      <c r="AU363" s="204" t="inlineStr">
        <is>
          <t>Not disclosed</t>
        </is>
      </c>
      <c r="AV363" s="204" t="inlineStr">
        <is>
          <t>Not disclosed</t>
        </is>
      </c>
      <c r="AW363" s="204" t="inlineStr">
        <is>
          <t>Not disclosed</t>
        </is>
      </c>
      <c r="AX363" s="204" t="n"/>
      <c r="AY363" s="204" t="inlineStr">
        <is>
          <t>Not disclosed</t>
        </is>
      </c>
      <c r="AZ363" s="204" t="inlineStr">
        <is>
          <t>Not disclosed</t>
        </is>
      </c>
      <c r="BA363" s="204" t="n"/>
      <c r="BB363" s="204" t="inlineStr">
        <is>
          <t>Not disclosed</t>
        </is>
      </c>
      <c r="BC363" s="204" t="inlineStr">
        <is>
          <t>Not disclosed</t>
        </is>
      </c>
      <c r="BD363" s="204" t="inlineStr">
        <is>
          <t>Not disclosed</t>
        </is>
      </c>
      <c r="BE363" s="204" t="inlineStr">
        <is>
          <t>Not disclosed</t>
        </is>
      </c>
      <c r="BF363" s="204" t="n"/>
      <c r="BG363" s="204" t="n"/>
      <c r="BH363" s="204" t="n"/>
      <c r="BI363" s="204" t="n"/>
      <c r="BJ363" s="204" t="n"/>
      <c r="BK363" s="204" t="n"/>
      <c r="BL363" s="204" t="n"/>
      <c r="BM363" s="204" t="inlineStr">
        <is>
          <t>Not disclosed</t>
        </is>
      </c>
      <c r="BN363" s="204" t="inlineStr">
        <is>
          <t>Not disclosed</t>
        </is>
      </c>
      <c r="BO363" s="204" t="inlineStr">
        <is>
          <t>Entry biped · 98 cm · 17 kg · 21 DoF · consumer ¥9,998 / EDU ¥24,900</t>
        </is>
      </c>
      <c r="BP363" s="204" t="inlineStr">
        <is>
          <t>Indoor / human environments</t>
        </is>
      </c>
      <c r="BQ363" s="204" t="inlineStr">
        <is>
          <t>Family companion / youth education</t>
        </is>
      </c>
      <c r="BR363" s="204" t="inlineStr">
        <is>
          <t>In production (China retail)</t>
        </is>
      </c>
      <c r="BS363" s="204" t="n"/>
      <c r="BT363" s="204" t="n"/>
      <c r="BU363" s="204" t="n"/>
      <c r="BV363" s="204" t="inlineStr">
        <is>
          <t>Ingested 28 Aug 2026 from AIXZD/TAAFT directories. AIXZD product page + OEM where cited.</t>
        </is>
      </c>
      <c r="BW363" s="204" t="inlineStr">
        <is>
          <t>Height (fully upright): 3 ft 3 in | Operating weight: 37.5 | Degrees of freedom: 21 | Payload capacity: Not disclosed | Maximum speed: Not disclosed | Battery / runtime: Not disclosed</t>
        </is>
      </c>
      <c r="BX363" s="204" t="n"/>
      <c r="BY363" s="204" t="n"/>
      <c r="BZ363" s="204" t="n"/>
      <c r="CA363" s="204" t="n"/>
      <c r="CB363" s="204" t="inlineStr">
        <is>
          <t>12 months manufacturer standard (typical research/commercial humanoid)</t>
        </is>
      </c>
      <c r="CC363" s="205" t="n">
        <v>12</v>
      </c>
      <c r="CD363" s="204" t="inlineStr">
        <is>
          <t>+3 Year Extended ≈24% of configuration (default in configurator)</t>
        </is>
      </c>
      <c r="CE363" s="204" t="inlineStr">
        <is>
          <t>Humanoid / companionoid category norm 2025–2026</t>
        </is>
      </c>
      <c r="CF363" s="204" t="inlineStr">
        <is>
          <t>Estimated</t>
        </is>
      </c>
      <c r="CG363" s="204" t="inlineStr">
        <is>
          <t>EDU or enterprise packages may differ; confirm on formal quote. Source mix: AIXZD directory + OEM pages Aug 2026.</t>
        </is>
      </c>
      <c r="CH363" s="204" t="inlineStr">
        <is>
          <t>10%</t>
        </is>
      </c>
      <c r="CI363" s="204" t="inlineStr">
        <is>
          <t>17%</t>
        </is>
      </c>
      <c r="CJ363" s="204" t="inlineStr">
        <is>
          <t>24%</t>
        </is>
      </c>
      <c r="CK363" s="204" t="inlineStr">
        <is>
          <t>Profitable schedule (Aug 2026): +1yr ≈10% / +2yr ≈17% / +3yr ≈24% of configuration price.</t>
        </is>
      </c>
      <c r="CL363" s="204" t="inlineStr">
        <is>
          <t>Same TOR extended-warranty schedule used across the catalog (~45–55% target GM).</t>
        </is>
      </c>
      <c r="CM363" s="204" t="inlineStr">
        <is>
          <t>12 months manufacturer standard (typical research/commercial humanoid)</t>
        </is>
      </c>
      <c r="CN363" s="204" t="inlineStr">
        <is>
          <t>https://aixzd.com/robot/bumi</t>
        </is>
      </c>
      <c r="CO363" s="204" t="inlineStr">
        <is>
          <t>https://theresanaiforthat.com/robots/</t>
        </is>
      </c>
      <c r="CP363" s="204" t="inlineStr">
        <is>
          <t>New platform added 28 Aug 2026 from AIXZD (https://aixzd.com/robots, 644 sitemap robots) and/or TAAFT Robots directory (https://theresanaiforthat.com/robots/, 669 claimed).</t>
        </is>
      </c>
      <c r="CQ363" s="101" t="inlineStr">
        <is>
          <t>Height: 3 ft 3 in | Weight: 37.5 | Degrees of Freedom: 21 | Payload: Not disclosed | Max Speed: Not disclosed | Battery / Runtime: Not disclosed</t>
        </is>
      </c>
    </row>
    <row r="364" ht="36" customHeight="1" s="102">
      <c r="A364" s="204" t="inlineStr">
        <is>
          <t>engineered_arts_azi</t>
        </is>
      </c>
      <c r="B364" s="204" t="inlineStr">
        <is>
          <t>AIXZD</t>
        </is>
      </c>
      <c r="C364" s="204" t="inlineStr">
        <is>
          <t>Engineered Arts</t>
        </is>
      </c>
      <c r="D364" s="204" t="inlineStr">
        <is>
          <t>Azi</t>
        </is>
      </c>
      <c r="E364" s="204" t="inlineStr">
        <is>
          <t>[Engineered Arts] Azi (2024)</t>
        </is>
      </c>
      <c r="F364" s="204" t="inlineStr">
        <is>
          <t>humanoid</t>
        </is>
      </c>
      <c r="G364" s="204" t="inlineStr">
        <is>
          <t>United Kingdom</t>
        </is>
      </c>
      <c r="H364" s="205" t="n">
        <v>2024</v>
      </c>
      <c r="I364" s="206" t="n">
        <v>15000</v>
      </c>
      <c r="J364" s="204" t="inlineStr">
        <is>
          <t>Directory estimate Aug 2026 (desktop social; quote required)</t>
        </is>
      </c>
      <c r="K364" s="204" t="inlineStr">
        <is>
          <t>Azi is Engineered Arts’ desktop social humanoid — 52.5 cm, 8.5 kg, 32 actuators for expressive face/gesture, GPT-4o-class conversation — a compact sibling to Ameca for lobby, education, and entertainment deployments.</t>
        </is>
      </c>
      <c r="N364" s="204" t="n"/>
      <c r="O364" s="204" t="inlineStr">
        <is>
          <t>https://www.engineeredarts.com</t>
        </is>
      </c>
      <c r="P364" s="204" t="inlineStr">
        <is>
          <t>1 ft 9 in</t>
        </is>
      </c>
      <c r="Q364" s="204" t="n">
        <v>52.5</v>
      </c>
      <c r="R364" s="204" t="n">
        <v>18.7</v>
      </c>
      <c r="S364" s="204" t="n">
        <v>8.5</v>
      </c>
      <c r="T364" s="204" t="inlineStr">
        <is>
          <t>Not disclosed</t>
        </is>
      </c>
      <c r="U364" s="204" t="n"/>
      <c r="V364" s="204" t="n">
        <v>32</v>
      </c>
      <c r="W364" s="204" t="n"/>
      <c r="X364" s="204" t="n"/>
      <c r="Y364" s="204" t="n"/>
      <c r="Z364" s="204" t="n"/>
      <c r="AA364" s="204" t="n"/>
      <c r="AB364" s="204" t="n"/>
      <c r="AC364" s="204" t="n"/>
      <c r="AD364" s="204" t="n"/>
      <c r="AE364" s="204" t="n"/>
      <c r="AF364" s="204" t="inlineStr">
        <is>
          <t>Not disclosed</t>
        </is>
      </c>
      <c r="AG364" s="204" t="inlineStr">
        <is>
          <t>Not disclosed</t>
        </is>
      </c>
      <c r="AH364" s="204" t="n"/>
      <c r="AI364" s="204" t="n"/>
      <c r="AJ364" s="204" t="inlineStr">
        <is>
          <t>Not disclosed</t>
        </is>
      </c>
      <c r="AK364" s="204" t="n"/>
      <c r="AL364" s="204" t="inlineStr">
        <is>
          <t>Not disclosed</t>
        </is>
      </c>
      <c r="AM364" s="204" t="n"/>
      <c r="AN364" s="204" t="inlineStr">
        <is>
          <t>Not disclosed</t>
        </is>
      </c>
      <c r="AO364" s="204" t="inlineStr">
        <is>
          <t>Not disclosed</t>
        </is>
      </c>
      <c r="AP364" s="204" t="inlineStr">
        <is>
          <t>Not disclosed</t>
        </is>
      </c>
      <c r="AQ364" s="204" t="inlineStr">
        <is>
          <t>Not disclosed</t>
        </is>
      </c>
      <c r="AR364" s="204" t="n"/>
      <c r="AS364" s="204" t="n"/>
      <c r="AT364" s="204" t="inlineStr">
        <is>
          <t>Not disclosed</t>
        </is>
      </c>
      <c r="AU364" s="204" t="inlineStr">
        <is>
          <t>Not disclosed</t>
        </is>
      </c>
      <c r="AV364" s="204" t="inlineStr">
        <is>
          <t>Not disclosed</t>
        </is>
      </c>
      <c r="AW364" s="204" t="inlineStr">
        <is>
          <t>Not disclosed</t>
        </is>
      </c>
      <c r="AX364" s="204" t="n"/>
      <c r="AY364" s="204" t="inlineStr">
        <is>
          <t>Not disclosed</t>
        </is>
      </c>
      <c r="AZ364" s="204" t="inlineStr">
        <is>
          <t>Not disclosed</t>
        </is>
      </c>
      <c r="BA364" s="204" t="n"/>
      <c r="BB364" s="204" t="inlineStr">
        <is>
          <t>Not disclosed</t>
        </is>
      </c>
      <c r="BC364" s="204" t="inlineStr">
        <is>
          <t>Not disclosed</t>
        </is>
      </c>
      <c r="BD364" s="204" t="inlineStr">
        <is>
          <t>Not disclosed</t>
        </is>
      </c>
      <c r="BE364" s="204" t="inlineStr">
        <is>
          <t>Not disclosed</t>
        </is>
      </c>
      <c r="BF364" s="204" t="n"/>
      <c r="BG364" s="204" t="n"/>
      <c r="BH364" s="204" t="n"/>
      <c r="BI364" s="204" t="n"/>
      <c r="BJ364" s="204" t="n"/>
      <c r="BK364" s="204" t="n"/>
      <c r="BL364" s="204" t="n"/>
      <c r="BM364" s="204" t="inlineStr">
        <is>
          <t>Not disclosed</t>
        </is>
      </c>
      <c r="BN364" s="204" t="inlineStr">
        <is>
          <t>Not disclosed</t>
        </is>
      </c>
      <c r="BO364" s="204" t="inlineStr">
        <is>
          <t>Desktop social humanoid · 32 DoF face/gesture · GPT-4o dialogue · 8.5 kg</t>
        </is>
      </c>
      <c r="BP364" s="204" t="inlineStr">
        <is>
          <t>Indoor / human environments</t>
        </is>
      </c>
      <c r="BQ364" s="204" t="inlineStr">
        <is>
          <t>Desktop social / education / entertainment</t>
        </is>
      </c>
      <c r="BR364" s="204" t="inlineStr">
        <is>
          <t>Commercial</t>
        </is>
      </c>
      <c r="BS364" s="204" t="n"/>
      <c r="BT364" s="204" t="n"/>
      <c r="BU364" s="204" t="n"/>
      <c r="BV364" s="204" t="inlineStr">
        <is>
          <t>Ingested 28 Aug 2026 from AIXZD/TAAFT directories. AIXZD product page + OEM where cited.</t>
        </is>
      </c>
      <c r="BW364" s="204" t="inlineStr">
        <is>
          <t>Height (fully upright): 1 ft 9 in | Operating weight: 18.7 | Degrees of freedom: 32 | Payload capacity: Not disclosed | Maximum speed: Not disclosed | Battery / runtime: Not disclosed</t>
        </is>
      </c>
      <c r="BX364" s="204" t="n"/>
      <c r="BY364" s="204" t="n"/>
      <c r="BZ364" s="204" t="n"/>
      <c r="CA364" s="204" t="n"/>
      <c r="CB364" s="204" t="inlineStr">
        <is>
          <t>12 months manufacturer standard (typical research/commercial humanoid)</t>
        </is>
      </c>
      <c r="CC364" s="205" t="n">
        <v>12</v>
      </c>
      <c r="CD364" s="204" t="inlineStr">
        <is>
          <t>+3 Year Extended ≈24% of configuration (default in configurator)</t>
        </is>
      </c>
      <c r="CE364" s="204" t="inlineStr">
        <is>
          <t>Humanoid / companionoid category norm 2025–2026</t>
        </is>
      </c>
      <c r="CF364" s="204" t="inlineStr">
        <is>
          <t>Estimated</t>
        </is>
      </c>
      <c r="CG364" s="204" t="inlineStr">
        <is>
          <t>EDU or enterprise packages may differ; confirm on formal quote. Source mix: AIXZD directory + OEM pages Aug 2026.</t>
        </is>
      </c>
      <c r="CH364" s="204" t="inlineStr">
        <is>
          <t>10%</t>
        </is>
      </c>
      <c r="CI364" s="204" t="inlineStr">
        <is>
          <t>17%</t>
        </is>
      </c>
      <c r="CJ364" s="204" t="inlineStr">
        <is>
          <t>24%</t>
        </is>
      </c>
      <c r="CK364" s="204" t="inlineStr">
        <is>
          <t>Profitable schedule (Aug 2026): +1yr ≈10% / +2yr ≈17% / +3yr ≈24% of configuration price.</t>
        </is>
      </c>
      <c r="CL364" s="204" t="inlineStr">
        <is>
          <t>Same TOR extended-warranty schedule used across the catalog (~45–55% target GM).</t>
        </is>
      </c>
      <c r="CM364" s="204" t="inlineStr">
        <is>
          <t>12 months manufacturer standard (typical research/commercial humanoid)</t>
        </is>
      </c>
      <c r="CN364" s="204" t="inlineStr">
        <is>
          <t>https://aixzd.com/robot/azi</t>
        </is>
      </c>
      <c r="CO364" s="204" t="inlineStr">
        <is>
          <t>https://theresanaiforthat.com/robots/</t>
        </is>
      </c>
      <c r="CP364" s="204" t="inlineStr">
        <is>
          <t>New platform added 28 Aug 2026 from AIXZD (https://aixzd.com/robots, 644 sitemap robots) and/or TAAFT Robots directory (https://theresanaiforthat.com/robots/, 669 claimed).</t>
        </is>
      </c>
      <c r="CQ364" s="101" t="inlineStr">
        <is>
          <t>Height: 1 ft 9 in | Weight: 18.7 | Degrees of Freedom: 32 | Payload: Not disclosed | Max Speed: Not disclosed | Battery / Runtime: Not disclosed</t>
        </is>
      </c>
    </row>
    <row r="365" ht="36" customHeight="1" s="102">
      <c r="A365" s="204" t="inlineStr">
        <is>
          <t>softbank_pepper</t>
        </is>
      </c>
      <c r="B365" s="204" t="inlineStr">
        <is>
          <t>AIXZD</t>
        </is>
      </c>
      <c r="C365" s="204" t="inlineStr">
        <is>
          <t>SoftBank Robotics / Aldebaran (United Robotics Group)</t>
        </is>
      </c>
      <c r="D365" s="204" t="inlineStr">
        <is>
          <t>Pepper</t>
        </is>
      </c>
      <c r="E365" s="204" t="inlineStr">
        <is>
          <t>[SoftBank] Pepper (2014)</t>
        </is>
      </c>
      <c r="F365" s="204" t="inlineStr">
        <is>
          <t>humanoid</t>
        </is>
      </c>
      <c r="G365" s="204" t="inlineStr">
        <is>
          <t>France / Japan</t>
        </is>
      </c>
      <c r="H365" s="205" t="n">
        <v>2014</v>
      </c>
      <c r="I365" s="206" t="n">
        <v>12000</v>
      </c>
      <c r="J365" s="204" t="inlineStr">
        <is>
          <t>Used / refurbished marketplace estimate Aug 2026 (OEM new production ended)</t>
        </is>
      </c>
      <c r="K365" s="204" t="inlineStr">
        <is>
          <t>Pepper is the canonical wheeled service humanoid (120 cm, 28 kg, 20 DoF) used globally in retail, healthcare greeting, and education — a cornerstone used-robot SKU now supported in the aftermarket after SoftBank halted new production.</t>
        </is>
      </c>
      <c r="N365" s="204" t="n"/>
      <c r="O365" s="204" t="inlineStr">
        <is>
          <t>https://www.aldebaran.com/en/pepper</t>
        </is>
      </c>
      <c r="P365" s="204" t="inlineStr">
        <is>
          <t>3 ft 11 in</t>
        </is>
      </c>
      <c r="Q365" s="204" t="n">
        <v>120</v>
      </c>
      <c r="R365" s="204" t="n">
        <v>61.7</v>
      </c>
      <c r="S365" s="204" t="n">
        <v>28</v>
      </c>
      <c r="T365" s="204" t="inlineStr">
        <is>
          <t>Not disclosed</t>
        </is>
      </c>
      <c r="U365" s="204" t="n"/>
      <c r="V365" s="204" t="n">
        <v>20</v>
      </c>
      <c r="W365" s="204" t="n"/>
      <c r="X365" s="204" t="n"/>
      <c r="Y365" s="204" t="n"/>
      <c r="Z365" s="204" t="n"/>
      <c r="AA365" s="204" t="n"/>
      <c r="AB365" s="204" t="n"/>
      <c r="AC365" s="204" t="n"/>
      <c r="AD365" s="204" t="n"/>
      <c r="AE365" s="204" t="n"/>
      <c r="AF365" s="204" t="inlineStr">
        <is>
          <t>Not disclosed</t>
        </is>
      </c>
      <c r="AG365" s="204" t="inlineStr">
        <is>
          <t>Not disclosed</t>
        </is>
      </c>
      <c r="AH365" s="204" t="n"/>
      <c r="AI365" s="204" t="n"/>
      <c r="AJ365" s="204" t="inlineStr">
        <is>
          <t>Not disclosed</t>
        </is>
      </c>
      <c r="AK365" s="204" t="n"/>
      <c r="AL365" s="204" t="inlineStr">
        <is>
          <t>Not disclosed</t>
        </is>
      </c>
      <c r="AM365" s="204" t="n"/>
      <c r="AN365" s="204" t="inlineStr">
        <is>
          <t>Not disclosed</t>
        </is>
      </c>
      <c r="AO365" s="204" t="inlineStr">
        <is>
          <t>Not disclosed</t>
        </is>
      </c>
      <c r="AP365" s="204" t="inlineStr">
        <is>
          <t>Not disclosed</t>
        </is>
      </c>
      <c r="AQ365" s="204" t="inlineStr">
        <is>
          <t>Not disclosed</t>
        </is>
      </c>
      <c r="AR365" s="204" t="n"/>
      <c r="AS365" s="204" t="n"/>
      <c r="AT365" s="204" t="inlineStr">
        <is>
          <t>Not disclosed</t>
        </is>
      </c>
      <c r="AU365" s="204" t="inlineStr">
        <is>
          <t>Not disclosed</t>
        </is>
      </c>
      <c r="AV365" s="204" t="inlineStr">
        <is>
          <t>Not disclosed</t>
        </is>
      </c>
      <c r="AW365" s="204" t="inlineStr">
        <is>
          <t>Not disclosed</t>
        </is>
      </c>
      <c r="AX365" s="204" t="n"/>
      <c r="AY365" s="204" t="inlineStr">
        <is>
          <t>Not disclosed</t>
        </is>
      </c>
      <c r="AZ365" s="204" t="inlineStr">
        <is>
          <t>Not disclosed</t>
        </is>
      </c>
      <c r="BA365" s="204" t="n"/>
      <c r="BB365" s="204" t="inlineStr">
        <is>
          <t>Not disclosed</t>
        </is>
      </c>
      <c r="BC365" s="204" t="inlineStr">
        <is>
          <t>Not disclosed</t>
        </is>
      </c>
      <c r="BD365" s="204" t="inlineStr">
        <is>
          <t>Not disclosed</t>
        </is>
      </c>
      <c r="BE365" s="204" t="inlineStr">
        <is>
          <t>Not disclosed</t>
        </is>
      </c>
      <c r="BF365" s="204" t="n"/>
      <c r="BG365" s="204" t="n"/>
      <c r="BH365" s="204" t="n"/>
      <c r="BI365" s="204" t="n"/>
      <c r="BJ365" s="204" t="n"/>
      <c r="BK365" s="204" t="n"/>
      <c r="BL365" s="204" t="n"/>
      <c r="BM365" s="204" t="inlineStr">
        <is>
          <t>Not disclosed</t>
        </is>
      </c>
      <c r="BN365" s="204" t="inlineStr">
        <is>
          <t>Not disclosed</t>
        </is>
      </c>
      <c r="BO365" s="204" t="inlineStr">
        <is>
          <t>Wheeled service humanoid · 20 DoF · tablet chest · used-market liquidity</t>
        </is>
      </c>
      <c r="BP365" s="204" t="inlineStr">
        <is>
          <t>Indoor / human environments</t>
        </is>
      </c>
      <c r="BQ365" s="204" t="inlineStr">
        <is>
          <t>Retail greeting / education / healthcare reception</t>
        </is>
      </c>
      <c r="BR365" s="204" t="inlineStr">
        <is>
          <t>Out of new production · active used market</t>
        </is>
      </c>
      <c r="BS365" s="204" t="n"/>
      <c r="BT365" s="204" t="n"/>
      <c r="BU365" s="204" t="n"/>
      <c r="BV365" s="204" t="inlineStr">
        <is>
          <t>Ingested 28 Aug 2026 from AIXZD/TAAFT directories. AIXZD product page + OEM where cited.</t>
        </is>
      </c>
      <c r="BW365" s="204" t="inlineStr">
        <is>
          <t>Height (fully upright): 3 ft 11 in | Operating weight: 61.7 | Degrees of freedom: 20 | Payload capacity: Not disclosed | Maximum speed: Not disclosed | Battery / runtime: Not disclosed</t>
        </is>
      </c>
      <c r="BX365" s="204" t="n"/>
      <c r="BY365" s="204" t="n"/>
      <c r="BZ365" s="204" t="n"/>
      <c r="CA365" s="204" t="n"/>
      <c r="CB365" s="204" t="inlineStr">
        <is>
          <t>12 months manufacturer standard (typical research/commercial humanoid)</t>
        </is>
      </c>
      <c r="CC365" s="205" t="n">
        <v>12</v>
      </c>
      <c r="CD365" s="204" t="inlineStr">
        <is>
          <t>+3 Year Extended ≈24% of configuration (default in configurator)</t>
        </is>
      </c>
      <c r="CE365" s="204" t="inlineStr">
        <is>
          <t>Humanoid / companionoid category norm 2025–2026</t>
        </is>
      </c>
      <c r="CF365" s="204" t="inlineStr">
        <is>
          <t>Estimated</t>
        </is>
      </c>
      <c r="CG365" s="204" t="inlineStr">
        <is>
          <t>EDU or enterprise packages may differ; confirm on formal quote. Source mix: AIXZD directory + OEM pages Aug 2026.</t>
        </is>
      </c>
      <c r="CH365" s="204" t="inlineStr">
        <is>
          <t>10%</t>
        </is>
      </c>
      <c r="CI365" s="204" t="inlineStr">
        <is>
          <t>17%</t>
        </is>
      </c>
      <c r="CJ365" s="204" t="inlineStr">
        <is>
          <t>24%</t>
        </is>
      </c>
      <c r="CK365" s="204" t="inlineStr">
        <is>
          <t>Profitable schedule (Aug 2026): +1yr ≈10% / +2yr ≈17% / +3yr ≈24% of configuration price.</t>
        </is>
      </c>
      <c r="CL365" s="204" t="inlineStr">
        <is>
          <t>Same TOR extended-warranty schedule used across the catalog (~45–55% target GM).</t>
        </is>
      </c>
      <c r="CM365" s="204" t="inlineStr">
        <is>
          <t>12 months manufacturer standard (typical research/commercial humanoid)</t>
        </is>
      </c>
      <c r="CN365" s="204" t="inlineStr">
        <is>
          <t>https://aixzd.com/robot/cloud-pepper</t>
        </is>
      </c>
      <c r="CO365" s="204" t="inlineStr">
        <is>
          <t>https://theresanaiforthat.com/robots/</t>
        </is>
      </c>
      <c r="CP365" s="204" t="inlineStr">
        <is>
          <t>New platform added 28 Aug 2026 from AIXZD (https://aixzd.com/robots, 644 sitemap robots) and/or TAAFT Robots directory (https://theresanaiforthat.com/robots/, 669 claimed).</t>
        </is>
      </c>
      <c r="CQ365" s="101" t="inlineStr">
        <is>
          <t>Height: 3 ft 11 in | Weight: 61.7 | Degrees of Freedom: 20 | Payload: Not disclosed | Max Speed: Not disclosed | Battery / Runtime: Not disclosed</t>
        </is>
      </c>
    </row>
    <row r="366" ht="36" customHeight="1" s="102">
      <c r="A366" s="204" t="inlineStr">
        <is>
          <t>aldebaran_nao6</t>
        </is>
      </c>
      <c r="B366" s="204" t="inlineStr">
        <is>
          <t>AIXZD</t>
        </is>
      </c>
      <c r="C366" s="204" t="inlineStr">
        <is>
          <t>Aldebaran (United Robotics Group)</t>
        </is>
      </c>
      <c r="D366" s="204" t="inlineStr">
        <is>
          <t>NAO6</t>
        </is>
      </c>
      <c r="E366" s="204" t="inlineStr">
        <is>
          <t>[Aldebaran] NAO6 (2018)</t>
        </is>
      </c>
      <c r="F366" s="204" t="inlineStr">
        <is>
          <t>humanoid</t>
        </is>
      </c>
      <c r="G366" s="204" t="inlineStr">
        <is>
          <t>France</t>
        </is>
      </c>
      <c r="H366" s="205" t="n">
        <v>2018</v>
      </c>
      <c r="I366" s="206" t="n">
        <v>11000</v>
      </c>
      <c r="J366" s="204" t="inlineStr">
        <is>
          <t>Education list / used estimate Aug 2026</t>
        </is>
      </c>
      <c r="K366" s="204" t="inlineStr">
        <is>
          <t>NAO6 is Aldebaran’s sixth-generation 58 cm educational biped (25 DoF) — the standard platform for university HRI, RoboCup SPL, and K-12 labs, with strong global used-market volume.</t>
        </is>
      </c>
      <c r="N366" s="204" t="n"/>
      <c r="O366" s="204" t="inlineStr">
        <is>
          <t>https://www.aldebaran.com/en/nao</t>
        </is>
      </c>
      <c r="P366" s="204" t="inlineStr">
        <is>
          <t>1 ft 11 in</t>
        </is>
      </c>
      <c r="Q366" s="204" t="n">
        <v>58</v>
      </c>
      <c r="R366" s="204" t="n">
        <v>12.1</v>
      </c>
      <c r="S366" s="204" t="n">
        <v>5.5</v>
      </c>
      <c r="T366" s="204" t="inlineStr">
        <is>
          <t>Not disclosed</t>
        </is>
      </c>
      <c r="U366" s="204" t="n"/>
      <c r="V366" s="204" t="n">
        <v>25</v>
      </c>
      <c r="W366" s="204" t="n"/>
      <c r="X366" s="204" t="n"/>
      <c r="Y366" s="204" t="n"/>
      <c r="Z366" s="204" t="n"/>
      <c r="AA366" s="204" t="n"/>
      <c r="AB366" s="204" t="n"/>
      <c r="AC366" s="204" t="n"/>
      <c r="AD366" s="204" t="n"/>
      <c r="AE366" s="204" t="n"/>
      <c r="AF366" s="204" t="inlineStr">
        <is>
          <t>Not disclosed</t>
        </is>
      </c>
      <c r="AG366" s="204" t="inlineStr">
        <is>
          <t>Not disclosed</t>
        </is>
      </c>
      <c r="AH366" s="204" t="n"/>
      <c r="AI366" s="204" t="n"/>
      <c r="AJ366" s="204" t="inlineStr">
        <is>
          <t>Not disclosed</t>
        </is>
      </c>
      <c r="AK366" s="204" t="n"/>
      <c r="AL366" s="204" t="inlineStr">
        <is>
          <t>Not disclosed</t>
        </is>
      </c>
      <c r="AM366" s="204" t="n"/>
      <c r="AN366" s="204" t="inlineStr">
        <is>
          <t>Not disclosed</t>
        </is>
      </c>
      <c r="AO366" s="204" t="inlineStr">
        <is>
          <t>Not disclosed</t>
        </is>
      </c>
      <c r="AP366" s="204" t="inlineStr">
        <is>
          <t>Not disclosed</t>
        </is>
      </c>
      <c r="AQ366" s="204" t="inlineStr">
        <is>
          <t>Not disclosed</t>
        </is>
      </c>
      <c r="AR366" s="204" t="n"/>
      <c r="AS366" s="204" t="n"/>
      <c r="AT366" s="204" t="inlineStr">
        <is>
          <t>Not disclosed</t>
        </is>
      </c>
      <c r="AU366" s="204" t="inlineStr">
        <is>
          <t>Not disclosed</t>
        </is>
      </c>
      <c r="AV366" s="204" t="inlineStr">
        <is>
          <t>Not disclosed</t>
        </is>
      </c>
      <c r="AW366" s="204" t="inlineStr">
        <is>
          <t>Not disclosed</t>
        </is>
      </c>
      <c r="AX366" s="204" t="n"/>
      <c r="AY366" s="204" t="inlineStr">
        <is>
          <t>Not disclosed</t>
        </is>
      </c>
      <c r="AZ366" s="204" t="inlineStr">
        <is>
          <t>Not disclosed</t>
        </is>
      </c>
      <c r="BA366" s="204" t="n"/>
      <c r="BB366" s="204" t="inlineStr">
        <is>
          <t>Not disclosed</t>
        </is>
      </c>
      <c r="BC366" s="204" t="inlineStr">
        <is>
          <t>Not disclosed</t>
        </is>
      </c>
      <c r="BD366" s="204" t="inlineStr">
        <is>
          <t>Not disclosed</t>
        </is>
      </c>
      <c r="BE366" s="204" t="inlineStr">
        <is>
          <t>Not disclosed</t>
        </is>
      </c>
      <c r="BF366" s="204" t="n"/>
      <c r="BG366" s="204" t="n"/>
      <c r="BH366" s="204" t="n"/>
      <c r="BI366" s="204" t="n"/>
      <c r="BJ366" s="204" t="n"/>
      <c r="BK366" s="204" t="n"/>
      <c r="BL366" s="204" t="n"/>
      <c r="BM366" s="204" t="inlineStr">
        <is>
          <t>Not disclosed</t>
        </is>
      </c>
      <c r="BN366" s="204" t="inlineStr">
        <is>
          <t>Not disclosed</t>
        </is>
      </c>
      <c r="BO366" s="204" t="inlineStr">
        <is>
          <t>Educational biped · 58 cm · 25 DoF · NAOqi · global EDU installed base</t>
        </is>
      </c>
      <c r="BP366" s="204" t="inlineStr">
        <is>
          <t>Indoor / human environments</t>
        </is>
      </c>
      <c r="BQ366" s="204" t="inlineStr">
        <is>
          <t>Education / research / RoboCup</t>
        </is>
      </c>
      <c r="BR366" s="204" t="inlineStr">
        <is>
          <t>In production (education channel) + used market</t>
        </is>
      </c>
      <c r="BS366" s="204" t="n"/>
      <c r="BT366" s="204" t="n"/>
      <c r="BU366" s="204" t="n"/>
      <c r="BV366" s="204" t="inlineStr">
        <is>
          <t>Ingested 28 Aug 2026 from AIXZD/TAAFT directories. AIXZD product page + OEM where cited.</t>
        </is>
      </c>
      <c r="BW366" s="204" t="inlineStr">
        <is>
          <t>Height (fully upright): 1 ft 11 in | Operating weight: 12.1 | Degrees of freedom: 25 | Payload capacity: Not disclosed | Maximum speed: Not disclosed | Battery / runtime: Not disclosed</t>
        </is>
      </c>
      <c r="BX366" s="204" t="n"/>
      <c r="BY366" s="204" t="n"/>
      <c r="BZ366" s="204" t="n"/>
      <c r="CA366" s="204" t="n"/>
      <c r="CB366" s="204" t="inlineStr">
        <is>
          <t>12 months manufacturer standard (typical research/commercial humanoid)</t>
        </is>
      </c>
      <c r="CC366" s="205" t="n">
        <v>12</v>
      </c>
      <c r="CD366" s="204" t="inlineStr">
        <is>
          <t>+3 Year Extended ≈24% of configuration (default in configurator)</t>
        </is>
      </c>
      <c r="CE366" s="204" t="inlineStr">
        <is>
          <t>Humanoid / companionoid category norm 2025–2026</t>
        </is>
      </c>
      <c r="CF366" s="204" t="inlineStr">
        <is>
          <t>Estimated</t>
        </is>
      </c>
      <c r="CG366" s="204" t="inlineStr">
        <is>
          <t>EDU or enterprise packages may differ; confirm on formal quote. Source mix: AIXZD directory + OEM pages Aug 2026.</t>
        </is>
      </c>
      <c r="CH366" s="204" t="inlineStr">
        <is>
          <t>10%</t>
        </is>
      </c>
      <c r="CI366" s="204" t="inlineStr">
        <is>
          <t>17%</t>
        </is>
      </c>
      <c r="CJ366" s="204" t="inlineStr">
        <is>
          <t>24%</t>
        </is>
      </c>
      <c r="CK366" s="204" t="inlineStr">
        <is>
          <t>Profitable schedule (Aug 2026): +1yr ≈10% / +2yr ≈17% / +3yr ≈24% of configuration price.</t>
        </is>
      </c>
      <c r="CL366" s="204" t="inlineStr">
        <is>
          <t>Same TOR extended-warranty schedule used across the catalog (~45–55% target GM).</t>
        </is>
      </c>
      <c r="CM366" s="204" t="inlineStr">
        <is>
          <t>12 months manufacturer standard (typical research/commercial humanoid)</t>
        </is>
      </c>
      <c r="CN366" s="204" t="n"/>
      <c r="CO366" s="204" t="inlineStr">
        <is>
          <t>https://theresanaiforthat.com/robots/</t>
        </is>
      </c>
      <c r="CP366" s="204" t="inlineStr">
        <is>
          <t>New platform added 28 Aug 2026 from AIXZD (https://aixzd.com/robots, 644 sitemap robots) and/or TAAFT Robots directory (https://theresanaiforthat.com/robots/, 669 claimed).</t>
        </is>
      </c>
      <c r="CQ366" s="101" t="inlineStr">
        <is>
          <t>Height: 1 ft 11 in | Weight: 12.1 | Degrees of Freedom: 25 | Payload: Not disclosed | Max Speed: Not disclosed | Battery / Runtime: Not disclosed</t>
        </is>
      </c>
    </row>
    <row r="367" ht="36" customHeight="1" s="102">
      <c r="A367" s="204" t="inlineStr">
        <is>
          <t>hmnd_01_wheeled</t>
        </is>
      </c>
      <c r="B367" s="204" t="inlineStr">
        <is>
          <t>TAAFT</t>
        </is>
      </c>
      <c r="C367" s="204" t="inlineStr">
        <is>
          <t>Humanoid (UK)</t>
        </is>
      </c>
      <c r="D367" s="204" t="inlineStr">
        <is>
          <t>HMND 01 Alpha Wheeled</t>
        </is>
      </c>
      <c r="E367" s="204" t="inlineStr">
        <is>
          <t>[Humanoid] HMND 01 Alpha Wheeled (2025)</t>
        </is>
      </c>
      <c r="F367" s="204" t="inlineStr">
        <is>
          <t>humanoid</t>
        </is>
      </c>
      <c r="G367" s="204" t="inlineStr">
        <is>
          <t>United Kingdom</t>
        </is>
      </c>
      <c r="H367" s="205" t="n">
        <v>2025</v>
      </c>
      <c r="I367" s="206" t="n">
        <v>100000</v>
      </c>
      <c r="J367" s="204" t="inlineStr">
        <is>
          <t>TAAFT listing · Pilot $100,000 (Sep 2025)</t>
        </is>
      </c>
      <c r="K367" s="204" t="inlineStr">
        <is>
          <t>HMND 01 Alpha Wheeled is Humanoid Ltd’s modular industrial humanoid on a wheeled base — same 175–179 cm, ~70 kg, 41 DoF upper body as the bipedal Alpha, trading legs for smooth-floor factory and retail pilots.</t>
        </is>
      </c>
      <c r="N367" s="204" t="n"/>
      <c r="O367" s="204" t="inlineStr">
        <is>
          <t>https://www.humanoid.inc/</t>
        </is>
      </c>
      <c r="P367" s="204" t="inlineStr">
        <is>
          <t>5 ft 9 in</t>
        </is>
      </c>
      <c r="Q367" s="204" t="n">
        <v>175</v>
      </c>
      <c r="R367" s="204" t="n">
        <v>154.3</v>
      </c>
      <c r="S367" s="204" t="n">
        <v>70</v>
      </c>
      <c r="T367" s="204" t="inlineStr">
        <is>
          <t>Not disclosed</t>
        </is>
      </c>
      <c r="U367" s="204" t="n"/>
      <c r="V367" s="204" t="n">
        <v>41</v>
      </c>
      <c r="W367" s="204" t="n"/>
      <c r="X367" s="204" t="n">
        <v>33.1</v>
      </c>
      <c r="Y367" s="204" t="n">
        <v>15</v>
      </c>
      <c r="Z367" s="204" t="n"/>
      <c r="AA367" s="204" t="n"/>
      <c r="AB367" s="204" t="n"/>
      <c r="AC367" s="204" t="n"/>
      <c r="AD367" s="204" t="n"/>
      <c r="AE367" s="204" t="n"/>
      <c r="AF367" s="204" t="inlineStr">
        <is>
          <t>Not disclosed</t>
        </is>
      </c>
      <c r="AG367" s="204" t="inlineStr">
        <is>
          <t>Not disclosed</t>
        </is>
      </c>
      <c r="AH367" s="204" t="n"/>
      <c r="AI367" s="204" t="n"/>
      <c r="AJ367" s="204" t="inlineStr">
        <is>
          <t>Not disclosed</t>
        </is>
      </c>
      <c r="AK367" s="204" t="n"/>
      <c r="AL367" s="204" t="inlineStr">
        <is>
          <t>Not disclosed</t>
        </is>
      </c>
      <c r="AM367" s="204" t="n"/>
      <c r="AN367" s="204" t="inlineStr">
        <is>
          <t>Not disclosed</t>
        </is>
      </c>
      <c r="AO367" s="204" t="inlineStr">
        <is>
          <t>Not disclosed</t>
        </is>
      </c>
      <c r="AP367" s="204" t="inlineStr">
        <is>
          <t>Not disclosed</t>
        </is>
      </c>
      <c r="AQ367" s="204" t="inlineStr">
        <is>
          <t>Not disclosed</t>
        </is>
      </c>
      <c r="AR367" s="204" t="n"/>
      <c r="AS367" s="204" t="n"/>
      <c r="AT367" s="204" t="inlineStr">
        <is>
          <t>Not disclosed</t>
        </is>
      </c>
      <c r="AU367" s="204" t="inlineStr">
        <is>
          <t>Not disclosed</t>
        </is>
      </c>
      <c r="AV367" s="204" t="inlineStr">
        <is>
          <t>Not disclosed</t>
        </is>
      </c>
      <c r="AW367" s="204" t="inlineStr">
        <is>
          <t>Not disclosed</t>
        </is>
      </c>
      <c r="AX367" s="204" t="n"/>
      <c r="AY367" s="204" t="inlineStr">
        <is>
          <t>Not disclosed</t>
        </is>
      </c>
      <c r="AZ367" s="204" t="inlineStr">
        <is>
          <t>Not disclosed</t>
        </is>
      </c>
      <c r="BA367" s="204" t="n"/>
      <c r="BB367" s="204" t="inlineStr">
        <is>
          <t>Not disclosed</t>
        </is>
      </c>
      <c r="BC367" s="204" t="inlineStr">
        <is>
          <t>Not disclosed</t>
        </is>
      </c>
      <c r="BD367" s="204" t="inlineStr">
        <is>
          <t>Not disclosed</t>
        </is>
      </c>
      <c r="BE367" s="204" t="inlineStr">
        <is>
          <t>Not disclosed</t>
        </is>
      </c>
      <c r="BF367" s="204" t="n"/>
      <c r="BG367" s="204" t="n"/>
      <c r="BH367" s="204" t="n"/>
      <c r="BI367" s="204" t="n"/>
      <c r="BJ367" s="204" t="n"/>
      <c r="BK367" s="204" t="n"/>
      <c r="BL367" s="204" t="n"/>
      <c r="BM367" s="204" t="inlineStr">
        <is>
          <t>Not disclosed</t>
        </is>
      </c>
      <c r="BN367" s="204" t="inlineStr">
        <is>
          <t>Not disclosed</t>
        </is>
      </c>
      <c r="BO367" s="204" t="inlineStr">
        <is>
          <t>Wheeled industrial humanoid · 41 DoF · modular hands · UK OEM · $100k pilot list on TAAFT</t>
        </is>
      </c>
      <c r="BP367" s="204" t="inlineStr">
        <is>
          <t>Indoor / human environments</t>
        </is>
      </c>
      <c r="BQ367" s="204" t="inlineStr">
        <is>
          <t>Industrial / retail pilots (smooth floors)</t>
        </is>
      </c>
      <c r="BR367" s="204" t="inlineStr">
        <is>
          <t>Pilot</t>
        </is>
      </c>
      <c r="BS367" s="204" t="n"/>
      <c r="BT367" s="204" t="n"/>
      <c r="BU367" s="204" t="n"/>
      <c r="BV367" s="204" t="inlineStr">
        <is>
          <t>Ingested 28 Aug 2026 from AIXZD/TAAFT directories. Listed in TAAFT Robots directory (669 entries, 13 categories; Humanoid / Companion / Industrial filters). Individual tool URLs gated Aug 2026.</t>
        </is>
      </c>
      <c r="BW367" s="204" t="inlineStr">
        <is>
          <t>Height (fully upright): 5 ft 9 in | Operating weight: 154.3 | Degrees of freedom: 41 | Payload capacity: 33.1 | Maximum speed: Not disclosed | Battery / runtime: Not disclosed</t>
        </is>
      </c>
      <c r="BX367" s="204" t="n"/>
      <c r="BY367" s="204" t="n"/>
      <c r="BZ367" s="204" t="n"/>
      <c r="CA367" s="204" t="n"/>
      <c r="CB367" s="204" t="inlineStr">
        <is>
          <t>12 months manufacturer standard (typical research/commercial humanoid)</t>
        </is>
      </c>
      <c r="CC367" s="205" t="n">
        <v>12</v>
      </c>
      <c r="CD367" s="204" t="inlineStr">
        <is>
          <t>+3 Year Extended ≈24% of configuration (default in configurator)</t>
        </is>
      </c>
      <c r="CE367" s="204" t="inlineStr">
        <is>
          <t>Humanoid / companionoid category norm 2025–2026</t>
        </is>
      </c>
      <c r="CF367" s="204" t="inlineStr">
        <is>
          <t>Estimated</t>
        </is>
      </c>
      <c r="CG367" s="204" t="inlineStr">
        <is>
          <t>EDU or enterprise packages may differ; confirm on formal quote. Source mix: AIXZD directory + OEM pages Aug 2026.</t>
        </is>
      </c>
      <c r="CH367" s="204" t="inlineStr">
        <is>
          <t>10%</t>
        </is>
      </c>
      <c r="CI367" s="204" t="inlineStr">
        <is>
          <t>17%</t>
        </is>
      </c>
      <c r="CJ367" s="204" t="inlineStr">
        <is>
          <t>24%</t>
        </is>
      </c>
      <c r="CK367" s="204" t="inlineStr">
        <is>
          <t>Profitable schedule (Aug 2026): +1yr ≈10% / +2yr ≈17% / +3yr ≈24% of configuration price.</t>
        </is>
      </c>
      <c r="CL367" s="204" t="inlineStr">
        <is>
          <t>Same TOR extended-warranty schedule used across the catalog (~45–55% target GM).</t>
        </is>
      </c>
      <c r="CM367" s="204" t="inlineStr">
        <is>
          <t>12 months manufacturer standard (typical research/commercial humanoid)</t>
        </is>
      </c>
      <c r="CN367" s="204" t="n"/>
      <c r="CO367" s="204" t="inlineStr">
        <is>
          <t>https://theresanaiforthat.com/robots/</t>
        </is>
      </c>
      <c r="CP367" s="204" t="inlineStr">
        <is>
          <t>New platform added 28 Aug 2026 from AIXZD (https://aixzd.com/robots, 644 sitemap robots) and/or TAAFT Robots directory (https://theresanaiforthat.com/robots/, 669 claimed).</t>
        </is>
      </c>
      <c r="CQ367" s="101" t="inlineStr">
        <is>
          <t>Height: 5 ft 9 in | Weight: 154.3 | Degrees of Freedom: 41 | Payload: 33.1 | Max Speed: Not disclosed | Battery / Runtime: Not disclosed</t>
        </is>
      </c>
    </row>
    <row r="368" ht="36" customHeight="1" s="102">
      <c r="A368" s="204" t="inlineStr">
        <is>
          <t>hmnd_01_bipedal</t>
        </is>
      </c>
      <c r="B368" s="204" t="inlineStr">
        <is>
          <t>TAAFT</t>
        </is>
      </c>
      <c r="C368" s="204" t="inlineStr">
        <is>
          <t>Humanoid (UK)</t>
        </is>
      </c>
      <c r="D368" s="204" t="inlineStr">
        <is>
          <t>HMND 01 Alpha Bipedal</t>
        </is>
      </c>
      <c r="E368" s="204" t="inlineStr">
        <is>
          <t>[Humanoid] HMND 01 Alpha Bipedal (2025)</t>
        </is>
      </c>
      <c r="F368" s="204" t="inlineStr">
        <is>
          <t>humanoid</t>
        </is>
      </c>
      <c r="G368" s="204" t="inlineStr">
        <is>
          <t>United Kingdom</t>
        </is>
      </c>
      <c r="H368" s="205" t="n">
        <v>2025</v>
      </c>
      <c r="I368" s="206" t="n">
        <v>100000</v>
      </c>
      <c r="J368" s="204" t="inlineStr">
        <is>
          <t>TAAFT / press · prototype-to-pilot 2025–2026</t>
        </is>
      </c>
      <c r="K368" s="204" t="inlineStr">
        <is>
          <t>HMND 01 Alpha Bipedal is the walking variant of Humanoid Ltd’s first platform: 179 cm, ~15 kg carry, 41 DoF, simulation-trained gait that reached stable walking two days after assembly — targeting industrial and home workspaces.</t>
        </is>
      </c>
      <c r="N368" s="204" t="n"/>
      <c r="O368" s="204" t="inlineStr">
        <is>
          <t>https://www.humanoid.inc/</t>
        </is>
      </c>
      <c r="P368" s="204" t="inlineStr">
        <is>
          <t>5 ft 10 in</t>
        </is>
      </c>
      <c r="Q368" s="204" t="n">
        <v>179</v>
      </c>
      <c r="R368" s="204" t="n">
        <v>154.3</v>
      </c>
      <c r="S368" s="204" t="n">
        <v>70</v>
      </c>
      <c r="T368" s="204" t="inlineStr">
        <is>
          <t>Not disclosed</t>
        </is>
      </c>
      <c r="U368" s="204" t="n"/>
      <c r="V368" s="204" t="n">
        <v>41</v>
      </c>
      <c r="W368" s="204" t="n"/>
      <c r="X368" s="204" t="n">
        <v>33.1</v>
      </c>
      <c r="Y368" s="204" t="n">
        <v>15</v>
      </c>
      <c r="Z368" s="204" t="n"/>
      <c r="AA368" s="204" t="n"/>
      <c r="AB368" s="204" t="n"/>
      <c r="AC368" s="204" t="n"/>
      <c r="AD368" s="204" t="n"/>
      <c r="AE368" s="204" t="n"/>
      <c r="AF368" s="204" t="inlineStr">
        <is>
          <t>Not disclosed</t>
        </is>
      </c>
      <c r="AG368" s="204" t="inlineStr">
        <is>
          <t>Not disclosed</t>
        </is>
      </c>
      <c r="AH368" s="204" t="n"/>
      <c r="AI368" s="204" t="n"/>
      <c r="AJ368" s="204" t="inlineStr">
        <is>
          <t>Not disclosed</t>
        </is>
      </c>
      <c r="AK368" s="204" t="n"/>
      <c r="AL368" s="204" t="inlineStr">
        <is>
          <t>Not disclosed</t>
        </is>
      </c>
      <c r="AM368" s="204" t="n"/>
      <c r="AN368" s="204" t="inlineStr">
        <is>
          <t>Not disclosed</t>
        </is>
      </c>
      <c r="AO368" s="204" t="inlineStr">
        <is>
          <t>Not disclosed</t>
        </is>
      </c>
      <c r="AP368" s="204" t="inlineStr">
        <is>
          <t>Not disclosed</t>
        </is>
      </c>
      <c r="AQ368" s="204" t="inlineStr">
        <is>
          <t>Not disclosed</t>
        </is>
      </c>
      <c r="AR368" s="204" t="n"/>
      <c r="AS368" s="204" t="n"/>
      <c r="AT368" s="204" t="inlineStr">
        <is>
          <t>Not disclosed</t>
        </is>
      </c>
      <c r="AU368" s="204" t="inlineStr">
        <is>
          <t>Not disclosed</t>
        </is>
      </c>
      <c r="AV368" s="204" t="inlineStr">
        <is>
          <t>Not disclosed</t>
        </is>
      </c>
      <c r="AW368" s="204" t="inlineStr">
        <is>
          <t>Not disclosed</t>
        </is>
      </c>
      <c r="AX368" s="204" t="n"/>
      <c r="AY368" s="204" t="inlineStr">
        <is>
          <t>Not disclosed</t>
        </is>
      </c>
      <c r="AZ368" s="204" t="inlineStr">
        <is>
          <t>Not disclosed</t>
        </is>
      </c>
      <c r="BA368" s="204" t="n"/>
      <c r="BB368" s="204" t="inlineStr">
        <is>
          <t>Not disclosed</t>
        </is>
      </c>
      <c r="BC368" s="204" t="inlineStr">
        <is>
          <t>Not disclosed</t>
        </is>
      </c>
      <c r="BD368" s="204" t="inlineStr">
        <is>
          <t>Not disclosed</t>
        </is>
      </c>
      <c r="BE368" s="204" t="inlineStr">
        <is>
          <t>Not disclosed</t>
        </is>
      </c>
      <c r="BF368" s="204" t="n"/>
      <c r="BG368" s="204" t="n"/>
      <c r="BH368" s="204" t="n"/>
      <c r="BI368" s="204" t="n"/>
      <c r="BJ368" s="204" t="n"/>
      <c r="BK368" s="204" t="n"/>
      <c r="BL368" s="204" t="n"/>
      <c r="BM368" s="204" t="inlineStr">
        <is>
          <t>Not disclosed</t>
        </is>
      </c>
      <c r="BN368" s="204" t="inlineStr">
        <is>
          <t>Not disclosed</t>
        </is>
      </c>
      <c r="BO368" s="204" t="inlineStr">
        <is>
          <t>UK bipedal humanoid · 179 cm · 41 DoF · 15 kg carry · Isaac Lab trained gait</t>
        </is>
      </c>
      <c r="BP368" s="204" t="inlineStr">
        <is>
          <t>Indoor / human environments</t>
        </is>
      </c>
      <c r="BQ368" s="204" t="inlineStr">
        <is>
          <t>Industrial / home pilot</t>
        </is>
      </c>
      <c r="BR368" s="204" t="inlineStr">
        <is>
          <t>Prototype / pilot</t>
        </is>
      </c>
      <c r="BS368" s="204" t="n"/>
      <c r="BT368" s="204" t="n"/>
      <c r="BU368" s="204" t="n"/>
      <c r="BV368" s="204" t="inlineStr">
        <is>
          <t>Ingested 28 Aug 2026 from AIXZD/TAAFT directories. Listed in TAAFT Robots directory (669 entries, 13 categories; Humanoid / Companion / Industrial filters). Individual tool URLs gated Aug 2026.</t>
        </is>
      </c>
      <c r="BW368" s="204" t="inlineStr">
        <is>
          <t>Height (fully upright): 5 ft 10 in | Operating weight: 154.3 | Degrees of freedom: 41 | Payload capacity: 33.1 | Maximum speed: Not disclosed | Battery / runtime: Not disclosed</t>
        </is>
      </c>
      <c r="BX368" s="204" t="n"/>
      <c r="BY368" s="204" t="n"/>
      <c r="BZ368" s="204" t="n"/>
      <c r="CA368" s="204" t="n"/>
      <c r="CB368" s="204" t="inlineStr">
        <is>
          <t>12 months manufacturer standard (typical research/commercial humanoid)</t>
        </is>
      </c>
      <c r="CC368" s="205" t="n">
        <v>12</v>
      </c>
      <c r="CD368" s="204" t="inlineStr">
        <is>
          <t>+3 Year Extended ≈24% of configuration (default in configurator)</t>
        </is>
      </c>
      <c r="CE368" s="204" t="inlineStr">
        <is>
          <t>Humanoid / companionoid category norm 2025–2026</t>
        </is>
      </c>
      <c r="CF368" s="204" t="inlineStr">
        <is>
          <t>Estimated</t>
        </is>
      </c>
      <c r="CG368" s="204" t="inlineStr">
        <is>
          <t>EDU or enterprise packages may differ; confirm on formal quote. Source mix: AIXZD directory + OEM pages Aug 2026.</t>
        </is>
      </c>
      <c r="CH368" s="204" t="inlineStr">
        <is>
          <t>10%</t>
        </is>
      </c>
      <c r="CI368" s="204" t="inlineStr">
        <is>
          <t>17%</t>
        </is>
      </c>
      <c r="CJ368" s="204" t="inlineStr">
        <is>
          <t>24%</t>
        </is>
      </c>
      <c r="CK368" s="204" t="inlineStr">
        <is>
          <t>Profitable schedule (Aug 2026): +1yr ≈10% / +2yr ≈17% / +3yr ≈24% of configuration price.</t>
        </is>
      </c>
      <c r="CL368" s="204" t="inlineStr">
        <is>
          <t>Same TOR extended-warranty schedule used across the catalog (~45–55% target GM).</t>
        </is>
      </c>
      <c r="CM368" s="204" t="inlineStr">
        <is>
          <t>12 months manufacturer standard (typical research/commercial humanoid)</t>
        </is>
      </c>
      <c r="CN368" s="204" t="n"/>
      <c r="CO368" s="204" t="inlineStr">
        <is>
          <t>https://theresanaiforthat.com/robots/</t>
        </is>
      </c>
      <c r="CP368" s="204" t="inlineStr">
        <is>
          <t>New platform added 28 Aug 2026 from AIXZD (https://aixzd.com/robots, 644 sitemap robots) and/or TAAFT Robots directory (https://theresanaiforthat.com/robots/, 669 claimed).</t>
        </is>
      </c>
      <c r="CQ368" s="101" t="inlineStr">
        <is>
          <t>Height: 5 ft 10 in | Weight: 154.3 | Degrees of Freedom: 41 | Payload: 33.1 | Max Speed: Not disclosed | Battery / Runtime: Not disclosed</t>
        </is>
      </c>
    </row>
    <row r="369" ht="36" customHeight="1" s="102">
      <c r="A369" s="204" t="inlineStr">
        <is>
          <t>dexmal_apex</t>
        </is>
      </c>
      <c r="B369" s="204" t="inlineStr">
        <is>
          <t>AIXZD</t>
        </is>
      </c>
      <c r="C369" s="204" t="inlineStr">
        <is>
          <t>Dexmal (原力灵机)</t>
        </is>
      </c>
      <c r="D369" s="204" t="inlineStr">
        <is>
          <t>Apex</t>
        </is>
      </c>
      <c r="E369" s="204" t="inlineStr">
        <is>
          <t>[Dexmal] Apex (2026)</t>
        </is>
      </c>
      <c r="F369" s="204" t="inlineStr">
        <is>
          <t>humanoid</t>
        </is>
      </c>
      <c r="G369" s="204" t="inlineStr">
        <is>
          <t>China</t>
        </is>
      </c>
      <c r="H369" s="205" t="n">
        <v>2026</v>
      </c>
      <c r="I369" s="206" t="n">
        <v>120000</v>
      </c>
      <c r="J369" s="204" t="inlineStr">
        <is>
          <t>Directory estimate Aug 2026 (industrial wheeled dual-arm)</t>
        </is>
      </c>
      <c r="K369" s="204" t="inlineStr">
        <is>
          <t>Dexmal Apex is a wheeled dual-arm factory humanoid with 2 m reach per arm, 3 kg payload, 30-second hot-swap batteries, 60-second tool change, 1500 TOPS onboard compute and 7×24 duty — shown assembling an 80,000-brick Great Wall at WAIC 2026.</t>
        </is>
      </c>
      <c r="N369" s="204" t="n"/>
      <c r="O369" s="204" t="n"/>
      <c r="P369" s="204" t="n"/>
      <c r="Q369" s="204" t="n"/>
      <c r="R369" s="204" t="n"/>
      <c r="S369" s="204" t="n"/>
      <c r="T369" s="204" t="inlineStr">
        <is>
          <t>Not disclosed</t>
        </is>
      </c>
      <c r="U369" s="204" t="n"/>
      <c r="V369" s="204" t="n"/>
      <c r="W369" s="204" t="n"/>
      <c r="X369" s="204" t="n">
        <v>6.6</v>
      </c>
      <c r="Y369" s="204" t="n">
        <v>3</v>
      </c>
      <c r="Z369" s="204" t="n"/>
      <c r="AA369" s="204" t="n"/>
      <c r="AB369" s="204" t="n"/>
      <c r="AC369" s="204" t="n"/>
      <c r="AD369" s="204" t="n"/>
      <c r="AE369" s="204" t="n"/>
      <c r="AF369" s="204" t="inlineStr">
        <is>
          <t>Not disclosed</t>
        </is>
      </c>
      <c r="AG369" s="204" t="inlineStr">
        <is>
          <t>Not disclosed</t>
        </is>
      </c>
      <c r="AH369" s="204" t="n"/>
      <c r="AI369" s="204" t="n"/>
      <c r="AJ369" s="204" t="inlineStr">
        <is>
          <t>Not disclosed</t>
        </is>
      </c>
      <c r="AK369" s="204" t="n"/>
      <c r="AL369" s="204" t="inlineStr">
        <is>
          <t>Not disclosed</t>
        </is>
      </c>
      <c r="AM369" s="204" t="n"/>
      <c r="AN369" s="204" t="inlineStr">
        <is>
          <t>Not disclosed</t>
        </is>
      </c>
      <c r="AO369" s="204" t="inlineStr">
        <is>
          <t>Not disclosed</t>
        </is>
      </c>
      <c r="AP369" s="204" t="inlineStr">
        <is>
          <t>Not disclosed</t>
        </is>
      </c>
      <c r="AQ369" s="204" t="inlineStr">
        <is>
          <t>Not disclosed</t>
        </is>
      </c>
      <c r="AR369" s="204" t="n"/>
      <c r="AS369" s="204" t="n"/>
      <c r="AT369" s="204" t="inlineStr">
        <is>
          <t>Not disclosed</t>
        </is>
      </c>
      <c r="AU369" s="204" t="inlineStr">
        <is>
          <t>Not disclosed</t>
        </is>
      </c>
      <c r="AV369" s="204" t="inlineStr">
        <is>
          <t>Not disclosed</t>
        </is>
      </c>
      <c r="AW369" s="204" t="inlineStr">
        <is>
          <t>Not disclosed</t>
        </is>
      </c>
      <c r="AX369" s="204" t="n"/>
      <c r="AY369" s="204" t="inlineStr">
        <is>
          <t>Not disclosed</t>
        </is>
      </c>
      <c r="AZ369" s="204" t="inlineStr">
        <is>
          <t>Not disclosed</t>
        </is>
      </c>
      <c r="BA369" s="204" t="n"/>
      <c r="BB369" s="204" t="inlineStr">
        <is>
          <t>Not disclosed</t>
        </is>
      </c>
      <c r="BC369" s="204" t="inlineStr">
        <is>
          <t>Not disclosed</t>
        </is>
      </c>
      <c r="BD369" s="204" t="inlineStr">
        <is>
          <t>Not disclosed</t>
        </is>
      </c>
      <c r="BE369" s="204" t="inlineStr">
        <is>
          <t>Not disclosed</t>
        </is>
      </c>
      <c r="BF369" s="204" t="n"/>
      <c r="BG369" s="204" t="n"/>
      <c r="BH369" s="204" t="n"/>
      <c r="BI369" s="204" t="n"/>
      <c r="BJ369" s="204" t="n"/>
      <c r="BK369" s="204" t="n"/>
      <c r="BL369" s="204" t="n"/>
      <c r="BM369" s="204" t="inlineStr">
        <is>
          <t>Not disclosed</t>
        </is>
      </c>
      <c r="BN369" s="204" t="inlineStr">
        <is>
          <t>Not disclosed</t>
        </is>
      </c>
      <c r="BO369" s="204" t="inlineStr">
        <is>
          <t>Wheeled dual-arm industrial · 2 m reach · 3 kg/arm · 30 s battery swap · 1500 TOPS · 7×24</t>
        </is>
      </c>
      <c r="BP369" s="204" t="inlineStr">
        <is>
          <t>Indoor / human environments</t>
        </is>
      </c>
      <c r="BQ369" s="204" t="inlineStr">
        <is>
          <t>Factory / industrial dual-arm mobile</t>
        </is>
      </c>
      <c r="BR369" s="204" t="inlineStr">
        <is>
          <t>Commercial demo / early deploy</t>
        </is>
      </c>
      <c r="BS369" s="204" t="n"/>
      <c r="BT369" s="204" t="n"/>
      <c r="BU369" s="204" t="n"/>
      <c r="BV369" s="204" t="inlineStr">
        <is>
          <t>Ingested 28 Aug 2026 from AIXZD/TAAFT directories. AIXZD product page + OEM where cited.</t>
        </is>
      </c>
      <c r="BW369" s="204" t="inlineStr">
        <is>
          <t>Height (fully upright): Not disclosed | Operating weight: Not disclosed | Degrees of freedom: Not disclosed | Payload capacity: 6.6 | Maximum speed: Not disclosed | Battery / runtime: Not disclosed</t>
        </is>
      </c>
      <c r="BX369" s="204" t="n"/>
      <c r="BY369" s="204" t="n"/>
      <c r="BZ369" s="204" t="n"/>
      <c r="CA369" s="204" t="n"/>
      <c r="CB369" s="204" t="inlineStr">
        <is>
          <t>12 months manufacturer standard (typical research/commercial humanoid)</t>
        </is>
      </c>
      <c r="CC369" s="205" t="n">
        <v>12</v>
      </c>
      <c r="CD369" s="204" t="inlineStr">
        <is>
          <t>+3 Year Extended ≈24% of configuration (default in configurator)</t>
        </is>
      </c>
      <c r="CE369" s="204" t="inlineStr">
        <is>
          <t>Humanoid / companionoid category norm 2025–2026</t>
        </is>
      </c>
      <c r="CF369" s="204" t="inlineStr">
        <is>
          <t>Estimated</t>
        </is>
      </c>
      <c r="CG369" s="204" t="inlineStr">
        <is>
          <t>EDU or enterprise packages may differ; confirm on formal quote. Source mix: AIXZD directory + OEM pages Aug 2026.</t>
        </is>
      </c>
      <c r="CH369" s="204" t="inlineStr">
        <is>
          <t>10%</t>
        </is>
      </c>
      <c r="CI369" s="204" t="inlineStr">
        <is>
          <t>17%</t>
        </is>
      </c>
      <c r="CJ369" s="204" t="inlineStr">
        <is>
          <t>24%</t>
        </is>
      </c>
      <c r="CK369" s="204" t="inlineStr">
        <is>
          <t>Profitable schedule (Aug 2026): +1yr ≈10% / +2yr ≈17% / +3yr ≈24% of configuration price.</t>
        </is>
      </c>
      <c r="CL369" s="204" t="inlineStr">
        <is>
          <t>Same TOR extended-warranty schedule used across the catalog (~45–55% target GM).</t>
        </is>
      </c>
      <c r="CM369" s="204" t="inlineStr">
        <is>
          <t>12 months manufacturer standard (typical research/commercial humanoid)</t>
        </is>
      </c>
      <c r="CN369" s="204" t="inlineStr">
        <is>
          <t>https://aixzd.com/robot/apex</t>
        </is>
      </c>
      <c r="CO369" s="204" t="inlineStr">
        <is>
          <t>https://theresanaiforthat.com/robots/</t>
        </is>
      </c>
      <c r="CP369" s="204" t="inlineStr">
        <is>
          <t>New platform added 28 Aug 2026 from AIXZD (https://aixzd.com/robots, 644 sitemap robots) and/or TAAFT Robots directory (https://theresanaiforthat.com/robots/, 669 claimed).</t>
        </is>
      </c>
      <c r="CQ369" s="101" t="inlineStr">
        <is>
          <t>Height: Not disclosed | Weight: Not disclosed | Degrees of Freedom: Not disclosed | Payload: 6.6 | Max Speed: Not disclosed | Battery / Runtime: Not disclosed</t>
        </is>
      </c>
    </row>
    <row r="370" ht="36" customHeight="1" s="102">
      <c r="A370" s="204" t="inlineStr">
        <is>
          <t>padbot_p3</t>
        </is>
      </c>
      <c r="B370" s="204" t="inlineStr">
        <is>
          <t>AIXZD</t>
        </is>
      </c>
      <c r="C370" s="204" t="inlineStr">
        <is>
          <t>PadBot (派宝机器人)</t>
        </is>
      </c>
      <c r="D370" s="204" t="inlineStr">
        <is>
          <t>PadBot P3</t>
        </is>
      </c>
      <c r="E370" s="204" t="inlineStr">
        <is>
          <t>[PadBot] P3 (2024)</t>
        </is>
      </c>
      <c r="F370" s="204" t="inlineStr">
        <is>
          <t>humanoid</t>
        </is>
      </c>
      <c r="G370" s="204" t="inlineStr">
        <is>
          <t>China</t>
        </is>
      </c>
      <c r="H370" s="205" t="n">
        <v>2024</v>
      </c>
      <c r="I370" s="206" t="n">
        <v>8000</v>
      </c>
      <c r="J370" s="204" t="inlineStr">
        <is>
          <t>Service-robot street estimate Aug 2026</t>
        </is>
      </c>
      <c r="K370" s="204" t="inlineStr">
        <is>
          <t>PadBot P3 is a wheeled reception humanoid that greets, dances, and answers questions — 5 m far-field mics, face recognition that calls regulars by name, ~10 h duty — a high-turnover used/resale service SKU for lobbies and retail.</t>
        </is>
      </c>
      <c r="N370" s="204" t="n"/>
      <c r="O370" s="204" t="inlineStr">
        <is>
          <t>https://www.padbot.com/</t>
        </is>
      </c>
      <c r="P370" s="204" t="n"/>
      <c r="Q370" s="204" t="n"/>
      <c r="R370" s="204" t="n"/>
      <c r="S370" s="204" t="n"/>
      <c r="T370" s="204" t="inlineStr">
        <is>
          <t>Not disclosed</t>
        </is>
      </c>
      <c r="U370" s="204" t="n"/>
      <c r="V370" s="204" t="n"/>
      <c r="W370" s="204" t="n"/>
      <c r="X370" s="204" t="n"/>
      <c r="Y370" s="204" t="n"/>
      <c r="Z370" s="204" t="n"/>
      <c r="AA370" s="204" t="n"/>
      <c r="AB370" s="204" t="n"/>
      <c r="AC370" s="204" t="n"/>
      <c r="AD370" s="204" t="n">
        <v>10</v>
      </c>
      <c r="AE370" s="204" t="n"/>
      <c r="AF370" s="204" t="inlineStr">
        <is>
          <t>Not disclosed</t>
        </is>
      </c>
      <c r="AG370" s="204" t="inlineStr">
        <is>
          <t>Not disclosed</t>
        </is>
      </c>
      <c r="AH370" s="204" t="n"/>
      <c r="AI370" s="204" t="n"/>
      <c r="AJ370" s="204" t="inlineStr">
        <is>
          <t>Not disclosed</t>
        </is>
      </c>
      <c r="AK370" s="204" t="n"/>
      <c r="AL370" s="204" t="inlineStr">
        <is>
          <t>Not disclosed</t>
        </is>
      </c>
      <c r="AM370" s="204" t="n"/>
      <c r="AN370" s="204" t="inlineStr">
        <is>
          <t>Not disclosed</t>
        </is>
      </c>
      <c r="AO370" s="204" t="inlineStr">
        <is>
          <t>Not disclosed</t>
        </is>
      </c>
      <c r="AP370" s="204" t="inlineStr">
        <is>
          <t>Not disclosed</t>
        </is>
      </c>
      <c r="AQ370" s="204" t="inlineStr">
        <is>
          <t>Not disclosed</t>
        </is>
      </c>
      <c r="AR370" s="204" t="n"/>
      <c r="AS370" s="204" t="n"/>
      <c r="AT370" s="204" t="inlineStr">
        <is>
          <t>Not disclosed</t>
        </is>
      </c>
      <c r="AU370" s="204" t="inlineStr">
        <is>
          <t>Not disclosed</t>
        </is>
      </c>
      <c r="AV370" s="204" t="inlineStr">
        <is>
          <t>Not disclosed</t>
        </is>
      </c>
      <c r="AW370" s="204" t="inlineStr">
        <is>
          <t>Not disclosed</t>
        </is>
      </c>
      <c r="AX370" s="204" t="n"/>
      <c r="AY370" s="204" t="inlineStr">
        <is>
          <t>Not disclosed</t>
        </is>
      </c>
      <c r="AZ370" s="204" t="inlineStr">
        <is>
          <t>Not disclosed</t>
        </is>
      </c>
      <c r="BA370" s="204" t="n"/>
      <c r="BB370" s="204" t="inlineStr">
        <is>
          <t>Not disclosed</t>
        </is>
      </c>
      <c r="BC370" s="204" t="inlineStr">
        <is>
          <t>Not disclosed</t>
        </is>
      </c>
      <c r="BD370" s="204" t="inlineStr">
        <is>
          <t>Not disclosed</t>
        </is>
      </c>
      <c r="BE370" s="204" t="inlineStr">
        <is>
          <t>Not disclosed</t>
        </is>
      </c>
      <c r="BF370" s="204" t="n"/>
      <c r="BG370" s="204" t="n"/>
      <c r="BH370" s="204" t="n"/>
      <c r="BI370" s="204" t="n"/>
      <c r="BJ370" s="204" t="n"/>
      <c r="BK370" s="204" t="n"/>
      <c r="BL370" s="204" t="n"/>
      <c r="BM370" s="204" t="inlineStr">
        <is>
          <t>Not disclosed</t>
        </is>
      </c>
      <c r="BN370" s="204" t="inlineStr">
        <is>
          <t>Not disclosed</t>
        </is>
      </c>
      <c r="BO370" s="204" t="inlineStr">
        <is>
          <t>Wheeled reception humanoid · face ID · far-field audio · ~10 h · dance/greeting</t>
        </is>
      </c>
      <c r="BP370" s="204" t="inlineStr">
        <is>
          <t>Indoor / human environments</t>
        </is>
      </c>
      <c r="BQ370" s="204" t="inlineStr">
        <is>
          <t>Reception / retail greeting</t>
        </is>
      </c>
      <c r="BR370" s="204" t="inlineStr">
        <is>
          <t>In production</t>
        </is>
      </c>
      <c r="BS370" s="204" t="n"/>
      <c r="BT370" s="204" t="n"/>
      <c r="BU370" s="204" t="n"/>
      <c r="BV370" s="204" t="inlineStr">
        <is>
          <t>Ingested 28 Aug 2026 from AIXZD/TAAFT directories. AIXZD product page + OEM where cited.</t>
        </is>
      </c>
      <c r="BW370" s="204" t="inlineStr">
        <is>
          <t>Height (fully upright): Not disclosed | Operating weight: Not disclosed | Degrees of freedom: Not disclosed | Payload capacity: Not disclosed | Maximum speed: Not disclosed | Battery / runtime: Not disclosed</t>
        </is>
      </c>
      <c r="BX370" s="204" t="n"/>
      <c r="BY370" s="204" t="n"/>
      <c r="BZ370" s="204" t="n"/>
      <c r="CA370" s="204" t="n"/>
      <c r="CB370" s="204" t="inlineStr">
        <is>
          <t>12 months manufacturer standard (typical research/commercial humanoid)</t>
        </is>
      </c>
      <c r="CC370" s="205" t="n">
        <v>12</v>
      </c>
      <c r="CD370" s="204" t="inlineStr">
        <is>
          <t>+3 Year Extended ≈24% of configuration (default in configurator)</t>
        </is>
      </c>
      <c r="CE370" s="204" t="inlineStr">
        <is>
          <t>Humanoid / companionoid category norm 2025–2026</t>
        </is>
      </c>
      <c r="CF370" s="204" t="inlineStr">
        <is>
          <t>Estimated</t>
        </is>
      </c>
      <c r="CG370" s="204" t="inlineStr">
        <is>
          <t>EDU or enterprise packages may differ; confirm on formal quote. Source mix: AIXZD directory + OEM pages Aug 2026.</t>
        </is>
      </c>
      <c r="CH370" s="204" t="inlineStr">
        <is>
          <t>10%</t>
        </is>
      </c>
      <c r="CI370" s="204" t="inlineStr">
        <is>
          <t>17%</t>
        </is>
      </c>
      <c r="CJ370" s="204" t="inlineStr">
        <is>
          <t>24%</t>
        </is>
      </c>
      <c r="CK370" s="204" t="inlineStr">
        <is>
          <t>Profitable schedule (Aug 2026): +1yr ≈10% / +2yr ≈17% / +3yr ≈24% of configuration price.</t>
        </is>
      </c>
      <c r="CL370" s="204" t="inlineStr">
        <is>
          <t>Same TOR extended-warranty schedule used across the catalog (~45–55% target GM).</t>
        </is>
      </c>
      <c r="CM370" s="204" t="inlineStr">
        <is>
          <t>12 months manufacturer standard (typical research/commercial humanoid)</t>
        </is>
      </c>
      <c r="CN370" s="204" t="inlineStr">
        <is>
          <t>https://aixzd.com/robot/p3</t>
        </is>
      </c>
      <c r="CO370" s="204" t="inlineStr">
        <is>
          <t>https://theresanaiforthat.com/robots/</t>
        </is>
      </c>
      <c r="CP370" s="204" t="inlineStr">
        <is>
          <t>New platform added 28 Aug 2026 from AIXZD (https://aixzd.com/robots, 644 sitemap robots) and/or TAAFT Robots directory (https://theresanaiforthat.com/robots/, 669 claimed).</t>
        </is>
      </c>
      <c r="CQ370" s="101" t="inlineStr">
        <is>
          <t>Height: Not disclosed | Weight: Not disclosed | Degrees of Freedom: Not disclosed | Payload: Not disclosed | Max Speed: Not disclosed | Battery / Runtime: Not disclosed</t>
        </is>
      </c>
    </row>
    <row r="371" ht="36" customHeight="1" s="102">
      <c r="A371" s="204" t="inlineStr">
        <is>
          <t>magicdog_w</t>
        </is>
      </c>
      <c r="B371" s="204" t="inlineStr">
        <is>
          <t>AIXZD</t>
        </is>
      </c>
      <c r="C371" s="204" t="inlineStr">
        <is>
          <t>MagicLab (魔法原子)</t>
        </is>
      </c>
      <c r="D371" s="204" t="inlineStr">
        <is>
          <t>MagicDog W</t>
        </is>
      </c>
      <c r="E371" s="204" t="inlineStr">
        <is>
          <t>[MagicLab] MagicDog W (2025)</t>
        </is>
      </c>
      <c r="F371" s="204" t="inlineStr">
        <is>
          <t>campanionoid</t>
        </is>
      </c>
      <c r="G371" s="204" t="inlineStr">
        <is>
          <t>China</t>
        </is>
      </c>
      <c r="H371" s="205" t="n">
        <v>2025</v>
      </c>
      <c r="I371" s="206" t="n">
        <v>8000</v>
      </c>
      <c r="J371" s="204" t="inlineStr">
        <is>
          <t>Directory estimate Aug 2026</t>
        </is>
      </c>
      <c r="K371" s="204" t="inlineStr">
        <is>
          <t>MagicDog W is MagicLab’s wheel-leg hybrid quadruped: 67×35×56 cm, 23 kg, 13 DoF, 3.0 m/s, 10 kg payload, 40° slopes and 163 TOPS onboard compute — built for fast inspection on mixed indoor/outdoor floors.</t>
        </is>
      </c>
      <c r="N371" s="204" t="n"/>
      <c r="O371" s="204" t="inlineStr">
        <is>
          <t>https://www.magiclab.top/</t>
        </is>
      </c>
      <c r="P371" s="204" t="inlineStr">
        <is>
          <t>1 ft 10 in</t>
        </is>
      </c>
      <c r="Q371" s="204" t="n">
        <v>56</v>
      </c>
      <c r="R371" s="204" t="n">
        <v>50.7</v>
      </c>
      <c r="S371" s="204" t="n">
        <v>23</v>
      </c>
      <c r="T371" s="204" t="n"/>
      <c r="U371" s="204" t="n"/>
      <c r="V371" s="204" t="n">
        <v>13</v>
      </c>
      <c r="W371" s="204" t="n"/>
      <c r="X371" s="204" t="n">
        <v>22</v>
      </c>
      <c r="Y371" s="204" t="n">
        <v>10</v>
      </c>
      <c r="Z371" s="204" t="n">
        <v>6.7</v>
      </c>
      <c r="AA371" s="204" t="n">
        <v>10.8</v>
      </c>
      <c r="AB371" s="204" t="n"/>
      <c r="AC371" s="204" t="n"/>
      <c r="AD371" s="204" t="n"/>
      <c r="AE371" s="204" t="n"/>
      <c r="AF371" s="204" t="n"/>
      <c r="AG371" s="204" t="n"/>
      <c r="AH371" s="204" t="n"/>
      <c r="AI371" s="204" t="n"/>
      <c r="AJ371" s="204" t="n"/>
      <c r="AK371" s="204" t="n"/>
      <c r="AL371" s="204" t="n"/>
      <c r="AM371" s="204" t="n"/>
      <c r="AN371" s="204" t="n"/>
      <c r="AO371" s="204" t="n"/>
      <c r="AP371" s="204" t="n"/>
      <c r="AQ371" s="204" t="n"/>
      <c r="AR371" s="204" t="n"/>
      <c r="AS371" s="204" t="n"/>
      <c r="AT371" s="204" t="n"/>
      <c r="AU371" s="204" t="n"/>
      <c r="AV371" s="204" t="n"/>
      <c r="AW371" s="204" t="n"/>
      <c r="AX371" s="204" t="n"/>
      <c r="AY371" s="204" t="n"/>
      <c r="AZ371" s="204" t="n"/>
      <c r="BA371" s="204" t="n"/>
      <c r="BB371" s="204" t="n"/>
      <c r="BC371" s="204" t="n"/>
      <c r="BD371" s="204" t="n"/>
      <c r="BE371" s="204" t="n"/>
      <c r="BF371" s="204" t="n"/>
      <c r="BG371" s="204" t="n"/>
      <c r="BH371" s="204" t="n"/>
      <c r="BI371" s="204" t="n"/>
      <c r="BJ371" s="204" t="n"/>
      <c r="BK371" s="204" t="n"/>
      <c r="BL371" s="204" t="n"/>
      <c r="BM371" s="204" t="n"/>
      <c r="BN371" s="204" t="n"/>
      <c r="BO371" s="204" t="inlineStr">
        <is>
          <t>Wheel-leg quadruped · 3.0 m/s · 10 kg payload · 40° climb · 163 TOPS</t>
        </is>
      </c>
      <c r="BP371" s="204" t="inlineStr">
        <is>
          <t>Indoor / light outdoor</t>
        </is>
      </c>
      <c r="BQ371" s="204" t="inlineStr">
        <is>
          <t>Inspection / companion / research</t>
        </is>
      </c>
      <c r="BR371" s="204" t="inlineStr">
        <is>
          <t>Commercial</t>
        </is>
      </c>
      <c r="BS371" s="204" t="n"/>
      <c r="BT371" s="204" t="n"/>
      <c r="BU371" s="204" t="n"/>
      <c r="BV371" s="204" t="inlineStr">
        <is>
          <t>Ingested 28 Aug 2026 from AIXZD/TAAFT directories. AIXZD product page + OEM where cited.</t>
        </is>
      </c>
      <c r="BW371" s="204" t="inlineStr">
        <is>
          <t>Standing envelope: 26 × 14 × 22 in (67×35×56 cm) | Operating weight: approximately 51 lb | Degrees of freedom: 13 (16+1 joint class) | Payload capacity: 22 lb | Maximum speed: ≈ 6.7 mph (3.0 m/s) | Compute: 163 TOPS</t>
        </is>
      </c>
      <c r="BX371" s="204" t="n"/>
      <c r="BY371" s="204" t="n"/>
      <c r="BZ371" s="204" t="n"/>
      <c r="CA371" s="204" t="n"/>
      <c r="CB371" s="204" t="inlineStr">
        <is>
          <t>12 months manufacturer standard (typical research/commercial humanoid)</t>
        </is>
      </c>
      <c r="CC371" s="205" t="n">
        <v>12</v>
      </c>
      <c r="CD371" s="204" t="inlineStr">
        <is>
          <t>+3 Year Extended ≈24% of configuration (default in configurator)</t>
        </is>
      </c>
      <c r="CE371" s="204" t="inlineStr">
        <is>
          <t>Humanoid / companionoid category norm 2025–2026</t>
        </is>
      </c>
      <c r="CF371" s="204" t="inlineStr">
        <is>
          <t>Estimated</t>
        </is>
      </c>
      <c r="CG371" s="204" t="inlineStr">
        <is>
          <t>EDU or enterprise packages may differ; confirm on formal quote. Source mix: AIXZD directory + OEM pages Aug 2026.</t>
        </is>
      </c>
      <c r="CH371" s="204" t="inlineStr">
        <is>
          <t>10%</t>
        </is>
      </c>
      <c r="CI371" s="204" t="inlineStr">
        <is>
          <t>17%</t>
        </is>
      </c>
      <c r="CJ371" s="204" t="inlineStr">
        <is>
          <t>24%</t>
        </is>
      </c>
      <c r="CK371" s="204" t="inlineStr">
        <is>
          <t>Profitable schedule (Aug 2026): +1yr ≈10% / +2yr ≈17% / +3yr ≈24% of configuration price.</t>
        </is>
      </c>
      <c r="CL371" s="204" t="inlineStr">
        <is>
          <t>Same TOR extended-warranty schedule used across the catalog (~45–55% target GM).</t>
        </is>
      </c>
      <c r="CM371" s="204" t="inlineStr">
        <is>
          <t>12 months manufacturer standard (typical research/commercial humanoid)</t>
        </is>
      </c>
      <c r="CN371" s="204" t="inlineStr">
        <is>
          <t>https://aixzd.com/robot/dog-w</t>
        </is>
      </c>
      <c r="CO371" s="204" t="inlineStr">
        <is>
          <t>https://theresanaiforthat.com/robots/</t>
        </is>
      </c>
      <c r="CP371" s="204" t="inlineStr">
        <is>
          <t>New platform added 28 Aug 2026 from AIXZD (https://aixzd.com/robots, 644 sitemap robots) and/or TAAFT Robots directory (https://theresanaiforthat.com/robots/, 669 claimed).</t>
        </is>
      </c>
    </row>
    <row r="372" ht="36" customHeight="1" s="102">
      <c r="A372" s="204" t="inlineStr">
        <is>
          <t>elephant_marscat</t>
        </is>
      </c>
      <c r="B372" s="204" t="inlineStr">
        <is>
          <t>AIXZD</t>
        </is>
      </c>
      <c r="C372" s="204" t="inlineStr">
        <is>
          <t>Elephant Robotics</t>
        </is>
      </c>
      <c r="D372" s="204" t="inlineStr">
        <is>
          <t>MarsCat</t>
        </is>
      </c>
      <c r="E372" s="204" t="inlineStr">
        <is>
          <t>[Elephant Robotics] MarsCat (2020)</t>
        </is>
      </c>
      <c r="F372" s="204" t="inlineStr">
        <is>
          <t>campanionoid</t>
        </is>
      </c>
      <c r="G372" s="204" t="inlineStr">
        <is>
          <t>China</t>
        </is>
      </c>
      <c r="H372" s="205" t="n">
        <v>2020</v>
      </c>
      <c r="I372" s="206" t="n">
        <v>1400</v>
      </c>
      <c r="J372" s="204" t="inlineStr">
        <is>
          <t>Consumer list / used estimate Aug 2026</t>
        </is>
      </c>
      <c r="K372" s="204" t="inlineStr">
        <is>
          <t>MarsCat is Elephant Robotics’ bionic companion cat — autonomous behaviors, RGB camera, and programmable SDK — a compact used-market campanionoid distinct from the firm’s Mercury wheeled humanoids.</t>
        </is>
      </c>
      <c r="N372" s="204" t="n"/>
      <c r="O372" s="204" t="inlineStr">
        <is>
          <t>https://www.elephantrobotics.com/</t>
        </is>
      </c>
      <c r="P372" s="204" t="n"/>
      <c r="Q372" s="204" t="n"/>
      <c r="R372" s="204" t="n"/>
      <c r="S372" s="204" t="n"/>
      <c r="T372" s="204" t="n"/>
      <c r="U372" s="204" t="n"/>
      <c r="V372" s="204" t="n"/>
      <c r="W372" s="204" t="n"/>
      <c r="X372" s="204" t="n"/>
      <c r="Y372" s="204" t="n"/>
      <c r="Z372" s="204" t="n"/>
      <c r="AA372" s="204" t="n"/>
      <c r="AB372" s="204" t="n"/>
      <c r="AC372" s="204" t="n"/>
      <c r="AD372" s="204" t="n"/>
      <c r="AE372" s="204" t="n"/>
      <c r="AF372" s="204" t="n"/>
      <c r="AG372" s="204" t="n"/>
      <c r="AH372" s="204" t="n"/>
      <c r="AI372" s="204" t="n"/>
      <c r="AJ372" s="204" t="n"/>
      <c r="AK372" s="204" t="n"/>
      <c r="AL372" s="204" t="n"/>
      <c r="AM372" s="204" t="n"/>
      <c r="AN372" s="204" t="n"/>
      <c r="AO372" s="204" t="n"/>
      <c r="AP372" s="204" t="n"/>
      <c r="AQ372" s="204" t="n"/>
      <c r="AR372" s="204" t="n"/>
      <c r="AS372" s="204" t="n"/>
      <c r="AT372" s="204" t="n"/>
      <c r="AU372" s="204" t="n"/>
      <c r="AV372" s="204" t="n"/>
      <c r="AW372" s="204" t="n"/>
      <c r="AX372" s="204" t="n"/>
      <c r="AY372" s="204" t="n"/>
      <c r="AZ372" s="204" t="n"/>
      <c r="BA372" s="204" t="n"/>
      <c r="BB372" s="204" t="n"/>
      <c r="BC372" s="204" t="n"/>
      <c r="BD372" s="204" t="n"/>
      <c r="BE372" s="204" t="n"/>
      <c r="BF372" s="204" t="n"/>
      <c r="BG372" s="204" t="n"/>
      <c r="BH372" s="204" t="n"/>
      <c r="BI372" s="204" t="n"/>
      <c r="BJ372" s="204" t="n"/>
      <c r="BK372" s="204" t="n"/>
      <c r="BL372" s="204" t="n"/>
      <c r="BM372" s="204" t="n"/>
      <c r="BN372" s="204" t="n"/>
      <c r="BO372" s="204" t="inlineStr">
        <is>
          <t>Bionic companion cat · programmable · consumer price band</t>
        </is>
      </c>
      <c r="BP372" s="204" t="inlineStr">
        <is>
          <t>Indoor / light outdoor</t>
        </is>
      </c>
      <c r="BQ372" s="204" t="inlineStr">
        <is>
          <t>Home companion / STEM</t>
        </is>
      </c>
      <c r="BR372" s="204" t="inlineStr">
        <is>
          <t>In production / used market</t>
        </is>
      </c>
      <c r="BS372" s="204" t="n"/>
      <c r="BT372" s="204" t="n"/>
      <c r="BU372" s="204" t="n"/>
      <c r="BV372" s="204" t="inlineStr">
        <is>
          <t>Ingested 28 Aug 2026 from AIXZD/TAAFT directories. AIXZD product page + OEM where cited.</t>
        </is>
      </c>
      <c r="BW372" s="204" t="inlineStr">
        <is>
          <t>Form: Quadruped bionic cat | Control interface: App + SDK | Primary use: Home companion and STEM | Camera / vision: RGB onboard</t>
        </is>
      </c>
      <c r="BX372" s="204" t="n"/>
      <c r="BY372" s="204" t="n"/>
      <c r="BZ372" s="204" t="n"/>
      <c r="CA372" s="204" t="n"/>
      <c r="CB372" s="204" t="inlineStr">
        <is>
          <t>12 months manufacturer standard (typical research/commercial humanoid)</t>
        </is>
      </c>
      <c r="CC372" s="205" t="n">
        <v>12</v>
      </c>
      <c r="CD372" s="204" t="inlineStr">
        <is>
          <t>+3 Year Extended ≈24% of configuration (default in configurator)</t>
        </is>
      </c>
      <c r="CE372" s="204" t="inlineStr">
        <is>
          <t>Humanoid / companionoid category norm 2025–2026</t>
        </is>
      </c>
      <c r="CF372" s="204" t="inlineStr">
        <is>
          <t>Estimated</t>
        </is>
      </c>
      <c r="CG372" s="204" t="inlineStr">
        <is>
          <t>EDU or enterprise packages may differ; confirm on formal quote. Source mix: AIXZD directory + OEM pages Aug 2026.</t>
        </is>
      </c>
      <c r="CH372" s="204" t="inlineStr">
        <is>
          <t>10%</t>
        </is>
      </c>
      <c r="CI372" s="204" t="inlineStr">
        <is>
          <t>17%</t>
        </is>
      </c>
      <c r="CJ372" s="204" t="inlineStr">
        <is>
          <t>24%</t>
        </is>
      </c>
      <c r="CK372" s="204" t="inlineStr">
        <is>
          <t>Profitable schedule (Aug 2026): +1yr ≈10% / +2yr ≈17% / +3yr ≈24% of configuration price.</t>
        </is>
      </c>
      <c r="CL372" s="204" t="inlineStr">
        <is>
          <t>Same TOR extended-warranty schedule used across the catalog (~45–55% target GM).</t>
        </is>
      </c>
      <c r="CM372" s="204" t="inlineStr">
        <is>
          <t>12 months manufacturer standard (typical research/commercial humanoid)</t>
        </is>
      </c>
      <c r="CN372" s="204" t="inlineStr">
        <is>
          <t>https://aixzd.com/robot/marscat</t>
        </is>
      </c>
      <c r="CO372" s="204" t="inlineStr">
        <is>
          <t>https://theresanaiforthat.com/robots/</t>
        </is>
      </c>
      <c r="CP372" s="204" t="inlineStr">
        <is>
          <t>New platform added 28 Aug 2026 from AIXZD (https://aixzd.com/robots, 644 sitemap robots) and/or TAAFT Robots directory (https://theresanaiforthat.com/robots/, 669 claimed).</t>
        </is>
      </c>
    </row>
    <row r="373" ht="36" customHeight="1" s="102">
      <c r="A373" s="204" t="inlineStr">
        <is>
          <t>elephant_metadog</t>
        </is>
      </c>
      <c r="B373" s="204" t="inlineStr">
        <is>
          <t>AIXZD</t>
        </is>
      </c>
      <c r="C373" s="204" t="inlineStr">
        <is>
          <t>Elephant Robotics</t>
        </is>
      </c>
      <c r="D373" s="204" t="inlineStr">
        <is>
          <t>MetaDog</t>
        </is>
      </c>
      <c r="E373" s="204" t="inlineStr">
        <is>
          <t>[Elephant Robotics] MetaDog (2023)</t>
        </is>
      </c>
      <c r="F373" s="204" t="inlineStr">
        <is>
          <t>campanionoid</t>
        </is>
      </c>
      <c r="G373" s="204" t="inlineStr">
        <is>
          <t>China</t>
        </is>
      </c>
      <c r="H373" s="205" t="n">
        <v>2023</v>
      </c>
      <c r="I373" s="206" t="n">
        <v>2000</v>
      </c>
      <c r="J373" s="204" t="inlineStr">
        <is>
          <t>Directory estimate Aug 2026</t>
        </is>
      </c>
      <c r="K373" s="204" t="inlineStr">
        <is>
          <t>MetaDog is Elephant Robotics’ bionic companion dog platform listed alongside MarsCat on AIXZD — a programmable pet-scale quadruped for home and education, complementary to industrial dogs already in the TOR catalog.</t>
        </is>
      </c>
      <c r="N373" s="204" t="n"/>
      <c r="O373" s="204" t="inlineStr">
        <is>
          <t>https://www.elephantrobotics.com/</t>
        </is>
      </c>
      <c r="P373" s="204" t="n"/>
      <c r="Q373" s="204" t="n"/>
      <c r="R373" s="204" t="n"/>
      <c r="S373" s="204" t="n"/>
      <c r="T373" s="204" t="n"/>
      <c r="U373" s="204" t="n"/>
      <c r="V373" s="204" t="n"/>
      <c r="W373" s="204" t="n"/>
      <c r="X373" s="204" t="n"/>
      <c r="Y373" s="204" t="n"/>
      <c r="Z373" s="204" t="n"/>
      <c r="AA373" s="204" t="n"/>
      <c r="AB373" s="204" t="n"/>
      <c r="AC373" s="204" t="n"/>
      <c r="AD373" s="204" t="n"/>
      <c r="AE373" s="204" t="n"/>
      <c r="AF373" s="204" t="n"/>
      <c r="AG373" s="204" t="n"/>
      <c r="AH373" s="204" t="n"/>
      <c r="AI373" s="204" t="n"/>
      <c r="AJ373" s="204" t="n"/>
      <c r="AK373" s="204" t="n"/>
      <c r="AL373" s="204" t="n"/>
      <c r="AM373" s="204" t="n"/>
      <c r="AN373" s="204" t="n"/>
      <c r="AO373" s="204" t="n"/>
      <c r="AP373" s="204" t="n"/>
      <c r="AQ373" s="204" t="n"/>
      <c r="AR373" s="204" t="n"/>
      <c r="AS373" s="204" t="n"/>
      <c r="AT373" s="204" t="n"/>
      <c r="AU373" s="204" t="n"/>
      <c r="AV373" s="204" t="n"/>
      <c r="AW373" s="204" t="n"/>
      <c r="AX373" s="204" t="n"/>
      <c r="AY373" s="204" t="n"/>
      <c r="AZ373" s="204" t="n"/>
      <c r="BA373" s="204" t="n"/>
      <c r="BB373" s="204" t="n"/>
      <c r="BC373" s="204" t="n"/>
      <c r="BD373" s="204" t="n"/>
      <c r="BE373" s="204" t="n"/>
      <c r="BF373" s="204" t="n"/>
      <c r="BG373" s="204" t="n"/>
      <c r="BH373" s="204" t="n"/>
      <c r="BI373" s="204" t="n"/>
      <c r="BJ373" s="204" t="n"/>
      <c r="BK373" s="204" t="n"/>
      <c r="BL373" s="204" t="n"/>
      <c r="BM373" s="204" t="n"/>
      <c r="BN373" s="204" t="n"/>
      <c r="BO373" s="204" t="inlineStr">
        <is>
          <t>Bionic companion dog · programmable pet-scale quadruped</t>
        </is>
      </c>
      <c r="BP373" s="204" t="inlineStr">
        <is>
          <t>Indoor / light outdoor</t>
        </is>
      </c>
      <c r="BQ373" s="204" t="inlineStr">
        <is>
          <t>Home companion / STEM</t>
        </is>
      </c>
      <c r="BR373" s="204" t="inlineStr">
        <is>
          <t>Commercial</t>
        </is>
      </c>
      <c r="BS373" s="204" t="n"/>
      <c r="BT373" s="204" t="n"/>
      <c r="BU373" s="204" t="n"/>
      <c r="BV373" s="204" t="inlineStr">
        <is>
          <t>Ingested 28 Aug 2026 from AIXZD/TAAFT directories. AIXZD product page + OEM where cited.</t>
        </is>
      </c>
      <c r="BW373" s="204" t="inlineStr">
        <is>
          <t>Form: Quadruped bionic dog | Control interface: App + SDK | Primary use: Home companion and STEM</t>
        </is>
      </c>
      <c r="BX373" s="204" t="n"/>
      <c r="BY373" s="204" t="n"/>
      <c r="BZ373" s="204" t="n"/>
      <c r="CA373" s="204" t="n"/>
      <c r="CB373" s="204" t="inlineStr">
        <is>
          <t>12 months manufacturer standard (typical research/commercial humanoid)</t>
        </is>
      </c>
      <c r="CC373" s="205" t="n">
        <v>12</v>
      </c>
      <c r="CD373" s="204" t="inlineStr">
        <is>
          <t>+3 Year Extended ≈24% of configuration (default in configurator)</t>
        </is>
      </c>
      <c r="CE373" s="204" t="inlineStr">
        <is>
          <t>Humanoid / companionoid category norm 2025–2026</t>
        </is>
      </c>
      <c r="CF373" s="204" t="inlineStr">
        <is>
          <t>Estimated</t>
        </is>
      </c>
      <c r="CG373" s="204" t="inlineStr">
        <is>
          <t>EDU or enterprise packages may differ; confirm on formal quote. Source mix: AIXZD directory + OEM pages Aug 2026.</t>
        </is>
      </c>
      <c r="CH373" s="204" t="inlineStr">
        <is>
          <t>10%</t>
        </is>
      </c>
      <c r="CI373" s="204" t="inlineStr">
        <is>
          <t>17%</t>
        </is>
      </c>
      <c r="CJ373" s="204" t="inlineStr">
        <is>
          <t>24%</t>
        </is>
      </c>
      <c r="CK373" s="204" t="inlineStr">
        <is>
          <t>Profitable schedule (Aug 2026): +1yr ≈10% / +2yr ≈17% / +3yr ≈24% of configuration price.</t>
        </is>
      </c>
      <c r="CL373" s="204" t="inlineStr">
        <is>
          <t>Same TOR extended-warranty schedule used across the catalog (~45–55% target GM).</t>
        </is>
      </c>
      <c r="CM373" s="204" t="inlineStr">
        <is>
          <t>12 months manufacturer standard (typical research/commercial humanoid)</t>
        </is>
      </c>
      <c r="CN373" s="204" t="inlineStr">
        <is>
          <t>https://aixzd.com/robot/metadog</t>
        </is>
      </c>
      <c r="CO373" s="204" t="inlineStr">
        <is>
          <t>https://theresanaiforthat.com/robots/</t>
        </is>
      </c>
      <c r="CP373" s="204" t="inlineStr">
        <is>
          <t>New platform added 28 Aug 2026 from AIXZD (https://aixzd.com/robots, 644 sitemap robots) and/or TAAFT Robots directory (https://theresanaiforthat.com/robots/, 669 claimed).</t>
        </is>
      </c>
    </row>
    <row r="374" ht="31.5" customHeight="1" s="102">
      <c r="A374" s="218" t="inlineStr">
        <is>
          <t>persona_ai_industrial_humanoid</t>
        </is>
      </c>
      <c r="B374" s="219" t="inlineStr">
        <is>
          <t>Major-player brief 11 Sep 2026</t>
        </is>
      </c>
      <c r="C374" s="220" t="inlineStr">
        <is>
          <t>Persona AI</t>
        </is>
      </c>
      <c r="D374" s="220" t="inlineStr">
        <is>
          <t>Industrial Humanoid</t>
        </is>
      </c>
      <c r="E374" s="220" t="inlineStr">
        <is>
          <t>[Persona AI] Industrial Humanoid (2026)</t>
        </is>
      </c>
      <c r="F374" s="219" t="inlineStr">
        <is>
          <t>humanoid</t>
        </is>
      </c>
      <c r="G374" s="220" t="inlineStr">
        <is>
          <t>USA</t>
        </is>
      </c>
      <c r="H374" s="221" t="n">
        <v>2026</v>
      </c>
      <c r="I374" t="n">
        <v>150000</v>
      </c>
      <c r="J374" t="inlineStr">
        <is>
          <t>Estimated starting industrial configuration; Persona publishes RaaS / Constructor, no list price. [2026-09-12]</t>
        </is>
      </c>
      <c r="K374" s="222" t="inlineStr">
        <is>
          <t>Persona AI is developing humanoids for shipyards, welding, fabrication, inspection and other heavy industrial environments.</t>
        </is>
      </c>
      <c r="L374" s="101" t="inlineStr">
        <is>
          <t>Persona AI is developing humanoids for shipyards, welding, fabrication, inspection and other heavy industrial environments.</t>
        </is>
      </c>
      <c r="M374" s="101" t="inlineStr">
        <is>
          <t>Persona AI is developing industrial humanoids for shipyards, welding, fabrication, and inspection. The company has pointed to heavy-industry partners and a robotics-as-a-service path rather than a consumer product.</t>
        </is>
      </c>
      <c r="O374" s="101" t="inlineStr">
        <is>
          <t>https://persona.ai</t>
        </is>
      </c>
      <c r="BQ374" s="222" t="inlineStr">
        <is>
          <t>Shipyards, welding, fabrication, inspection, heavy industry</t>
        </is>
      </c>
      <c r="BX374" t="inlineStr">
        <is>
          <t>constructor|Constructor program — estimated|150000|Enterprise quote || raas|Multi-year RaaS — quote|200000|Lease program</t>
        </is>
      </c>
    </row>
    <row r="375" ht="31.5" customHeight="1" s="102">
      <c r="A375" s="218" t="inlineStr">
        <is>
          <t>richtech_robotics_dex</t>
        </is>
      </c>
      <c r="B375" s="219" t="inlineStr">
        <is>
          <t>Major-player brief 11 Sep 2026</t>
        </is>
      </c>
      <c r="C375" s="220" t="inlineStr">
        <is>
          <t>Richtech Robotics</t>
        </is>
      </c>
      <c r="D375" s="220" t="inlineStr">
        <is>
          <t>DEX</t>
        </is>
      </c>
      <c r="E375" s="220" t="inlineStr">
        <is>
          <t>[Richtech Robotics] DEX (2025)</t>
        </is>
      </c>
      <c r="F375" s="219" t="inlineStr">
        <is>
          <t>humanoid</t>
        </is>
      </c>
      <c r="G375" s="220" t="inlineStr">
        <is>
          <t>USA</t>
        </is>
      </c>
      <c r="H375" s="221" t="n">
        <v>2025</v>
      </c>
      <c r="I375" t="n">
        <v>150000</v>
      </c>
      <c r="J375" t="inlineStr">
        <is>
          <t>Third-party industrial range $150,000–$250,000; Richtech has not published an official DEX list price. [2026-09-12]</t>
        </is>
      </c>
      <c r="K375" s="222" t="inlineStr">
        <is>
          <t>DEX is an industrial mobile manipulator that can operate on wheels or from a stationary base, with skills trained in simulation before deployment.</t>
        </is>
      </c>
      <c r="L375" s="101" t="inlineStr">
        <is>
          <t>DEX is an industrial mobile manipulator that can operate on wheels or from a stationary base, with skills trained in simulation before deployment.</t>
        </is>
      </c>
      <c r="M375" s="101" t="inlineStr">
        <is>
          <t>Richtech Robotics, already known for ADAM service robots and Titan AMRs, unveiled DEX in 2025 as its industrial mobile manipulator. DEX can roll on a wheeled base or sit on a stationary pedestal, and skills are trained in simulation before they reach a factory floor.</t>
        </is>
      </c>
      <c r="O375" s="101" t="inlineStr">
        <is>
          <t>https://www.richtechrobotics.com</t>
        </is>
      </c>
      <c r="BQ375" s="222" t="inlineStr">
        <is>
          <t>Industrial mobile manipulation — wheels or stationary</t>
        </is>
      </c>
      <c r="BX375" t="inlineStr">
        <is>
          <t>pilot|Industrial pilot — estimated|150000|Starting estimate || deploy|Full industrial deployment — estimated|250000|Configured estimate</t>
        </is>
      </c>
    </row>
    <row r="376" ht="31.5" customHeight="1" s="102">
      <c r="A376" s="218" t="inlineStr">
        <is>
          <t>starforge_robotics_buildo</t>
        </is>
      </c>
      <c r="B376" s="219" t="inlineStr">
        <is>
          <t>Major-player brief 11 Sep 2026</t>
        </is>
      </c>
      <c r="C376" s="220" t="inlineStr">
        <is>
          <t>STARFORGE Robotics</t>
        </is>
      </c>
      <c r="D376" s="220" t="inlineStr">
        <is>
          <t>Buildo</t>
        </is>
      </c>
      <c r="E376" s="220" t="inlineStr">
        <is>
          <t>[STARFORGE Robotics] Buildo (2026)</t>
        </is>
      </c>
      <c r="F376" s="219" t="inlineStr">
        <is>
          <t>humanoid</t>
        </is>
      </c>
      <c r="G376" s="220" t="inlineStr">
        <is>
          <t>USA</t>
        </is>
      </c>
      <c r="H376" s="221" t="n">
        <v>2026</v>
      </c>
      <c r="I376" t="n">
        <v>25000</v>
      </c>
      <c r="J376" t="inlineStr">
        <is>
          <t>Estimated developer-platform starting quote; STARFORGE has not published a list price. [2026-09-12]</t>
        </is>
      </c>
      <c r="K376" s="222" t="inlineStr">
        <is>
          <t>Buildo is aimed at developers and researchers who want to build, train and test their own physical AI applications.</t>
        </is>
      </c>
      <c r="L376" s="101" t="inlineStr">
        <is>
          <t>Buildo is aimed at developers and researchers who want to build, train and test their own physical AI applications.</t>
        </is>
      </c>
      <c r="M376" s="101" t="inlineStr">
        <is>
          <t>STARFORGE Robotics built Buildo for developers and researchers who want to train and test physical AI applications rather than buy a finished chore robot.</t>
        </is>
      </c>
      <c r="O376" s="101" t="inlineStr">
        <is>
          <t>https://starforgerobotics.com</t>
        </is>
      </c>
      <c r="BQ376" s="222" t="inlineStr">
        <is>
          <t>Developer and research physical-AI applications</t>
        </is>
      </c>
      <c r="BX376" t="inlineStr">
        <is>
          <t>dev|Developer platform — estimated|25000|Research quote || lab|Lab bundle — estimated|40000|Research bundle</t>
        </is>
      </c>
    </row>
    <row r="377" ht="31.5" customHeight="1" s="102">
      <c r="A377" s="218" t="inlineStr">
        <is>
          <t>nori_robotics_nori_a3</t>
        </is>
      </c>
      <c r="B377" s="219" t="inlineStr">
        <is>
          <t>Major-player brief 11 Sep 2026</t>
        </is>
      </c>
      <c r="C377" s="220" t="inlineStr">
        <is>
          <t>Nori Robotics</t>
        </is>
      </c>
      <c r="D377" s="220" t="inlineStr">
        <is>
          <t>NORI A3</t>
        </is>
      </c>
      <c r="E377" s="220" t="inlineStr">
        <is>
          <t>[Nori Robotics] NORI A3 (2026)</t>
        </is>
      </c>
      <c r="F377" s="219" t="inlineStr">
        <is>
          <t>humanoid</t>
        </is>
      </c>
      <c r="G377" s="220" t="inlineStr">
        <is>
          <t>USA</t>
        </is>
      </c>
      <c r="H377" s="221" t="n">
        <v>2026</v>
      </c>
      <c r="I377" s="223" t="n">
        <v>1688</v>
      </c>
      <c r="K377" s="222" t="inlineStr">
        <is>
          <t>NORI A3 is a small wheeled home robot with an unusually low advertised price and an open approach to user-trained skills.</t>
        </is>
      </c>
      <c r="L377" s="101" t="inlineStr">
        <is>
          <t>NORI A3 is a small wheeled home robot with an unusually low advertised price and an open approach to user-trained skills.</t>
        </is>
      </c>
      <c r="M377" s="101" t="inlineStr">
        <is>
          <t>Nori Robotics, a San Francisco startup, designed NORI A3 as a 19-DoF wheeled bimanual manipulator that ships assembled for $1,688. It has been shipping since July 2026 and treats user-trained skills as part of the product, not an afterthought.</t>
        </is>
      </c>
      <c r="O377" s="101" t="inlineStr">
        <is>
          <t>https://norirobotics.com</t>
        </is>
      </c>
      <c r="BQ377" s="222" t="inlineStr">
        <is>
          <t>Home chores and user-trained skills</t>
        </is>
      </c>
    </row>
    <row r="378" ht="31.5" customHeight="1" s="102">
      <c r="A378" s="218" t="inlineStr">
        <is>
          <t>aeolus_robotics_aeo</t>
        </is>
      </c>
      <c r="B378" s="219" t="inlineStr">
        <is>
          <t>Major-player brief 11 Sep 2026</t>
        </is>
      </c>
      <c r="C378" s="220" t="inlineStr">
        <is>
          <t>Aeolus Robotics</t>
        </is>
      </c>
      <c r="D378" s="220" t="inlineStr">
        <is>
          <t>aeo</t>
        </is>
      </c>
      <c r="E378" s="220" t="inlineStr">
        <is>
          <t>[Aeolus Robotics] aeo (2023)</t>
        </is>
      </c>
      <c r="F378" s="219" t="inlineStr">
        <is>
          <t>humanoid</t>
        </is>
      </c>
      <c r="G378" s="220" t="inlineStr">
        <is>
          <t>Japan</t>
        </is>
      </c>
      <c r="H378" s="221" t="n">
        <v>2023</v>
      </c>
      <c r="I378" t="n">
        <v>80000</v>
      </c>
      <c r="J378" t="inlineStr">
        <is>
          <t>Estimated first-year RaaS deployment equivalent; aeo is lease/subscription, no public list SKU. [2026-09-12]</t>
        </is>
      </c>
      <c r="K378" s="222" t="inlineStr">
        <is>
          <t>aeo is a wheeled service robot designed for healthcare, eldercare, delivery, security and disinfection tasks.</t>
        </is>
      </c>
      <c r="L378" s="101" t="inlineStr">
        <is>
          <t>aeo is a wheeled service robot designed for healthcare, eldercare, delivery, security and disinfection tasks.</t>
        </is>
      </c>
      <c r="M378" s="101" t="inlineStr">
        <is>
          <t>Aeolus Robotics first deployed service robots in Japan in 2019 and showed aeo as a dual-arm wheeled platform at CES 2023. aeo is used in healthcare, eldercare, delivery, security, and disinfection, including elevator riding without shaft retrofits.</t>
        </is>
      </c>
      <c r="O378" s="101" t="inlineStr">
        <is>
          <t>https://aeolusbot.com</t>
        </is>
      </c>
      <c r="BQ378" s="222" t="inlineStr">
        <is>
          <t>Healthcare, eldercare, delivery, security, disinfection</t>
        </is>
      </c>
      <c r="BX378" t="inlineStr">
        <is>
          <t>raas|RaaS deployment — estimated|80000|Service deployment || fleet|Multi-unit care / security — quote|120000|Fleet quote</t>
        </is>
      </c>
    </row>
    <row r="379" ht="31.5" customHeight="1" s="102">
      <c r="A379" s="218" t="inlineStr">
        <is>
          <t>robotics_center_rc_m1</t>
        </is>
      </c>
      <c r="B379" s="219" t="inlineStr">
        <is>
          <t>Major-player brief 11 Sep 2026</t>
        </is>
      </c>
      <c r="C379" s="220" t="inlineStr">
        <is>
          <t>Robotics Center</t>
        </is>
      </c>
      <c r="D379" s="220" t="inlineStr">
        <is>
          <t>RC M1</t>
        </is>
      </c>
      <c r="E379" s="220" t="inlineStr">
        <is>
          <t>[Robotics Center] RC M1 (2026)</t>
        </is>
      </c>
      <c r="F379" s="219" t="inlineStr">
        <is>
          <t>humanoid</t>
        </is>
      </c>
      <c r="G379" s="220" t="inlineStr">
        <is>
          <t>USA</t>
        </is>
      </c>
      <c r="H379" s="221" t="n">
        <v>2026</v>
      </c>
      <c r="I379" t="n">
        <v>30000</v>
      </c>
      <c r="J379" t="inlineStr">
        <is>
          <t>Official Robotics Center floor: base unit from $30,000; configured RCSV M1 listed at $50,000. [2026-09-12]</t>
        </is>
      </c>
      <c r="K379" s="222" t="inlineStr">
        <is>
          <t>RC M1 is a wheeled dual-arm platform built primarily for teleoperation, research and the collection of robot training data.</t>
        </is>
      </c>
      <c r="L379" s="101" t="inlineStr">
        <is>
          <t>RC M1 is a wheeled dual-arm platform built primarily for teleoperation, research and the collection of robot training data.</t>
        </is>
      </c>
      <c r="M379" s="101" t="inlineStr">
        <is>
          <t>Robotics Center built RC M1 as a wheeled dual-arm platform for teleoperation, research, and collecting robot training data. It is sold and leased into labs that record demonstrations and train policies rather than into homes.</t>
        </is>
      </c>
      <c r="O379" s="101" t="inlineStr">
        <is>
          <t>https://www.roboticscenter.ai</t>
        </is>
      </c>
      <c r="BQ379" s="222" t="inlineStr">
        <is>
          <t>Teleoperation, research, training-data collection</t>
        </is>
      </c>
      <c r="BX379" t="inlineStr">
        <is>
          <t>pilot|Founding-partner pilot|30000|Official floor || configured|Configured research unit|50000|Store listing</t>
        </is>
      </c>
    </row>
    <row r="380" ht="31.5" customHeight="1" s="102"/>
    <row r="381" ht="31.5" customHeight="1" s="102"/>
    <row r="382" ht="31.5" customHeight="1" s="102"/>
    <row r="383" ht="31.5" customHeight="1" s="102"/>
    <row r="384" ht="31.5" customHeight="1" s="102"/>
    <row r="385" ht="31.5" customHeight="1" s="102"/>
    <row r="386" ht="31.5" customHeight="1" s="102"/>
    <row r="387" ht="31.5" customHeight="1" s="102"/>
    <row r="388" ht="31.5" customHeight="1" s="102"/>
    <row r="389" ht="31.5" customHeight="1" s="102"/>
    <row r="390" ht="31.5" customHeight="1" s="102"/>
    <row r="391" ht="31.5" customHeight="1" s="102"/>
    <row r="392" ht="31.5" customHeight="1" s="102"/>
    <row r="393" ht="31.5" customHeight="1" s="102"/>
    <row r="394" ht="31.5" customHeight="1" s="102"/>
    <row r="395" ht="31.5" customHeight="1" s="102"/>
    <row r="396" ht="31.5" customHeight="1" s="102"/>
    <row r="397" ht="31.5" customHeight="1" s="102"/>
    <row r="398" ht="31.5" customHeight="1" s="102"/>
    <row r="399" ht="31.5" customHeight="1" s="102"/>
    <row r="400" ht="31.5" customHeight="1" s="102"/>
    <row r="401" ht="31.5" customHeight="1" s="102"/>
    <row r="402" ht="31.5" customHeight="1" s="102"/>
    <row r="403" ht="31.5" customHeight="1" s="102"/>
    <row r="404" ht="31.5" customHeight="1" s="102"/>
    <row r="405" ht="31.5" customHeight="1" s="102"/>
    <row r="406" ht="31.5" customHeight="1" s="102"/>
    <row r="407" ht="31.5" customHeight="1" s="102"/>
    <row r="408" ht="31.5" customHeight="1" s="102"/>
    <row r="409" ht="31.5" customHeight="1" s="102"/>
    <row r="410" ht="31.5" customHeight="1" s="102"/>
    <row r="411" ht="31.5" customHeight="1" s="102"/>
    <row r="412" ht="31.5" customHeight="1" s="102"/>
    <row r="413" ht="31.5" customHeight="1" s="102"/>
    <row r="414" ht="31.5" customHeight="1" s="102"/>
    <row r="415" ht="31.5" customHeight="1" s="102"/>
    <row r="416" ht="31.5" customHeight="1" s="102"/>
    <row r="417" ht="31.5" customHeight="1" s="102"/>
    <row r="418" ht="31.5" customHeight="1" s="102"/>
    <row r="419" ht="31.5" customHeight="1" s="102"/>
    <row r="420" ht="31.5" customHeight="1" s="102"/>
    <row r="421" ht="31.5" customHeight="1" s="102"/>
    <row r="422" ht="31.5" customHeight="1" s="102"/>
    <row r="423" ht="31.5" customHeight="1" s="102"/>
    <row r="424" ht="31.5" customHeight="1" s="102"/>
    <row r="425" ht="31.5" customHeight="1" s="102"/>
    <row r="426" ht="31.5" customHeight="1" s="102"/>
    <row r="427" ht="31.5" customHeight="1" s="102"/>
    <row r="428" ht="31.5" customHeight="1" s="102"/>
    <row r="429" ht="31.5" customHeight="1" s="102"/>
    <row r="430" ht="31.5" customHeight="1" s="102"/>
    <row r="431" ht="31.5" customHeight="1" s="102"/>
    <row r="432" ht="31.5" customHeight="1" s="102"/>
    <row r="433" ht="31.5" customHeight="1" s="102"/>
    <row r="434" ht="31.5" customHeight="1" s="102"/>
    <row r="435" ht="31.5" customHeight="1" s="102"/>
    <row r="436" ht="31.5" customHeight="1" s="102"/>
    <row r="437" ht="31.5" customHeight="1" s="102"/>
    <row r="438" ht="31.5" customHeight="1" s="102"/>
    <row r="439" ht="31.5" customHeight="1" s="102"/>
    <row r="440" ht="31.5" customHeight="1" s="102"/>
    <row r="441" ht="31.5" customHeight="1" s="102"/>
    <row r="442" ht="31.5" customHeight="1" s="102"/>
    <row r="443" ht="31.5" customHeight="1" s="102"/>
    <row r="444" ht="31.5" customHeight="1" s="102"/>
    <row r="445" ht="31.5" customHeight="1" s="102"/>
    <row r="446" ht="31.5" customHeight="1" s="102"/>
    <row r="447" ht="31.5" customHeight="1" s="102"/>
    <row r="448" ht="31.5" customHeight="1" s="102"/>
    <row r="449" ht="31.5" customHeight="1" s="102"/>
    <row r="450" ht="31.5" customHeight="1" s="102"/>
    <row r="451" ht="31.5" customHeight="1" s="102"/>
    <row r="452" ht="31.5" customHeight="1" s="102"/>
    <row r="453" ht="31.5" customHeight="1" s="102"/>
    <row r="454" ht="31.5" customHeight="1" s="102"/>
    <row r="455" ht="31.5" customHeight="1" s="102"/>
    <row r="456" ht="31.5" customHeight="1" s="102"/>
    <row r="457" ht="31.5" customHeight="1" s="102"/>
    <row r="458" ht="31.5" customHeight="1" s="102"/>
    <row r="459" ht="31.5" customHeight="1" s="102"/>
    <row r="460" ht="31.5" customHeight="1" s="102"/>
    <row r="461" ht="31.5" customHeight="1" s="102"/>
    <row r="462" ht="31.5" customHeight="1" s="102"/>
    <row r="463" ht="31.5" customHeight="1" s="102"/>
    <row r="464" ht="31.5" customHeight="1" s="102"/>
    <row r="465" ht="31.5" customHeight="1" s="102"/>
    <row r="466" ht="31.5" customHeight="1" s="102"/>
    <row r="467" ht="31.5" customHeight="1" s="102"/>
    <row r="468" ht="31.5" customHeight="1" s="102"/>
    <row r="469" ht="31.5" customHeight="1" s="102"/>
    <row r="470" ht="31.5" customHeight="1" s="102"/>
    <row r="471" ht="31.5" customHeight="1" s="102"/>
    <row r="472" ht="31.5" customHeight="1" s="102"/>
    <row r="473" ht="31.5" customHeight="1" s="102"/>
    <row r="474" ht="31.5" customHeight="1" s="102"/>
    <row r="475" ht="31.5" customHeight="1" s="102"/>
    <row r="476" ht="31.5" customHeight="1" s="102"/>
    <row r="477" ht="31.5" customHeight="1" s="102"/>
    <row r="478" ht="31.5" customHeight="1" s="102"/>
    <row r="479" ht="31.5" customHeight="1" s="102"/>
    <row r="480" ht="31.5" customHeight="1" s="102"/>
    <row r="481" ht="31.5" customHeight="1" s="102"/>
    <row r="482" ht="31.5" customHeight="1" s="102"/>
    <row r="483" ht="31.5" customHeight="1" s="102"/>
    <row r="484" ht="31.5" customHeight="1" s="102"/>
    <row r="485" ht="31.5" customHeight="1" s="102"/>
    <row r="486" ht="31.5" customHeight="1" s="102"/>
    <row r="487" ht="31.5" customHeight="1" s="102"/>
    <row r="488" ht="31.5" customHeight="1" s="102"/>
    <row r="489" ht="31.5" customHeight="1" s="102"/>
    <row r="490" ht="31.5" customHeight="1" s="102"/>
    <row r="491" ht="31.5" customHeight="1" s="102"/>
    <row r="492" ht="31.5" customHeight="1" s="102"/>
    <row r="493" ht="31.5" customHeight="1" s="102"/>
    <row r="494" ht="31.5" customHeight="1" s="102"/>
    <row r="495" ht="31.5" customHeight="1" s="102"/>
    <row r="496" ht="31.5" customHeight="1" s="102"/>
    <row r="497" ht="31.5" customHeight="1" s="102"/>
    <row r="498" ht="31.5" customHeight="1" s="102"/>
    <row r="499" ht="31.5" customHeight="1" s="102"/>
    <row r="500" ht="31.5" customHeight="1" s="102"/>
    <row r="501" ht="31.5" customHeight="1" s="102"/>
    <row r="502" ht="31.5" customHeight="1" s="102"/>
    <row r="503" ht="31.5" customHeight="1" s="102"/>
    <row r="504" ht="31.5" customHeight="1" s="102"/>
    <row r="505" ht="31.5" customHeight="1" s="102"/>
    <row r="506" ht="31.5" customHeight="1" s="102"/>
    <row r="507" ht="31.5" customHeight="1" s="102"/>
    <row r="508" ht="31.5" customHeight="1" s="102"/>
    <row r="509" ht="31.5" customHeight="1" s="102"/>
    <row r="510" ht="31.5" customHeight="1" s="102"/>
    <row r="511" ht="31.5" customHeight="1" s="102"/>
    <row r="512" ht="31.5" customHeight="1" s="102"/>
    <row r="513" ht="31.5" customHeight="1" s="102"/>
    <row r="514" ht="31.5" customHeight="1" s="102"/>
    <row r="515" ht="31.5" customHeight="1" s="102"/>
    <row r="516" ht="31.5" customHeight="1" s="102"/>
    <row r="517" ht="31.5" customHeight="1" s="102"/>
    <row r="518" ht="31.5" customHeight="1" s="102"/>
    <row r="519" ht="31.5" customHeight="1" s="102"/>
    <row r="520" ht="31.5" customHeight="1" s="102"/>
    <row r="521" ht="31.5" customHeight="1" s="102"/>
    <row r="522" ht="31.5" customHeight="1" s="102"/>
    <row r="523" ht="31.5" customHeight="1" s="102"/>
    <row r="524" ht="31.5" customHeight="1" s="102"/>
    <row r="525" ht="31.5" customHeight="1" s="102"/>
    <row r="526" ht="31.5" customHeight="1" s="102"/>
    <row r="527" ht="31.5" customHeight="1" s="102"/>
    <row r="528" ht="31.5" customHeight="1" s="102"/>
    <row r="529" ht="31.5" customHeight="1" s="102"/>
    <row r="530" ht="31.5" customHeight="1" s="102"/>
    <row r="531" ht="31.5" customHeight="1" s="102"/>
    <row r="532" ht="31.5" customHeight="1" s="102"/>
    <row r="533" ht="31.5" customHeight="1" s="102"/>
    <row r="534" ht="31.5" customHeight="1" s="102"/>
    <row r="535" ht="31.5" customHeight="1" s="102"/>
    <row r="536" ht="31.5" customHeight="1" s="102"/>
    <row r="537" ht="31.5" customHeight="1" s="102"/>
    <row r="538" ht="31.5" customHeight="1" s="102"/>
    <row r="539" ht="31.5" customHeight="1" s="102"/>
    <row r="540" ht="31.5" customHeight="1" s="102"/>
    <row r="541" ht="31.5" customHeight="1" s="102"/>
    <row r="542" ht="31.5" customHeight="1" s="102"/>
    <row r="543" ht="31.5" customHeight="1" s="102"/>
    <row r="544" ht="31.5" customHeight="1" s="102"/>
    <row r="545" ht="31.5" customHeight="1" s="102"/>
    <row r="546" ht="31.5" customHeight="1" s="102"/>
    <row r="547" ht="31.5" customHeight="1" s="102"/>
    <row r="548" ht="31.5" customHeight="1" s="102"/>
    <row r="549" ht="31.5" customHeight="1" s="102"/>
    <row r="550" ht="31.5" customHeight="1" s="102"/>
    <row r="551" ht="31.5" customHeight="1" s="102"/>
    <row r="552" ht="31.5" customHeight="1" s="102"/>
    <row r="553" ht="31.5" customHeight="1" s="102"/>
    <row r="554" ht="31.5" customHeight="1" s="102"/>
    <row r="555" ht="31.5" customHeight="1" s="102"/>
    <row r="556" ht="31.5" customHeight="1" s="102"/>
    <row r="557" ht="31.5" customHeight="1" s="102"/>
    <row r="558" ht="31.5" customHeight="1" s="102"/>
  </sheetData>
  <autoFilter ref="A4:CK328">
    <sortState ref="A5:CK328">
      <sortCondition ref="A5:A328" customList=""/>
    </sortState>
  </autoFilter>
  <mergeCells count="14">
    <mergeCell ref="AH3:AP3"/>
    <mergeCell ref="CL3:CN3"/>
    <mergeCell ref="A2:L2"/>
    <mergeCell ref="BP3:BU3"/>
    <mergeCell ref="AQ3:AY3"/>
    <mergeCell ref="BK3:BO3"/>
    <mergeCell ref="AZ3:BJ3"/>
    <mergeCell ref="A1:L1"/>
    <mergeCell ref="BZ3:CK3"/>
    <mergeCell ref="A3:M3"/>
    <mergeCell ref="AE3:AG3"/>
    <mergeCell ref="BV3:BY3"/>
    <mergeCell ref="N3:S3"/>
    <mergeCell ref="T3:AD3"/>
  </mergeCells>
  <printOptions horizontalCentered="0" verticalCentered="0" headings="0" gridLines="0" gridLinesSet="1"/>
  <pageMargins left="0.75" right="0.75" top="1" bottom="1" header="0.5" footer="0.5"/>
  <pageSetup orientation="landscape" paperSize="3" scale="100" fitToHeight="0" fitToWidth="1" pageOrder="downThenOver" blackAndWhite="0" draft="0" horizontalDpi="300" verticalDpi="300" copies="1"/>
  <headerFooter differentOddEven="0" differentFirst="0">
    <oddHeader>&amp;LThe Official Robot™</oddHeader>
    <oddFooter>&amp;LALL ROBOT PLATFORMS&amp;RConfidential  |  August 2026</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filterMode="0">
    <outlinePr summaryBelow="1" summaryRight="1"/>
    <pageSetUpPr fitToPage="1"/>
  </sheetPr>
  <dimension ref="A1:CQ272"/>
  <sheetViews>
    <sheetView showFormulas="0" showGridLines="0" showRowColHeaders="1" showZeros="1" rightToLeft="0" tabSelected="0" showOutlineSymbols="1" defaultGridColor="1" view="normal" topLeftCell="A1" colorId="64" zoomScale="90" zoomScaleNormal="90" zoomScalePageLayoutView="100" workbookViewId="0">
      <selection pane="topLeft" activeCell="A1" activeCellId="0" sqref="A1"/>
    </sheetView>
  </sheetViews>
  <sheetFormatPr baseColWidth="8" defaultColWidth="8.6796875" defaultRowHeight="15" zeroHeight="0" outlineLevelRow="0"/>
  <cols>
    <col width="28" customWidth="1" style="101" min="1" max="1"/>
    <col width="16" customWidth="1" style="101" min="2" max="2"/>
    <col width="28" customWidth="1" style="101" min="3" max="3"/>
    <col width="26" customWidth="1" style="101" min="4" max="4"/>
    <col width="36" customWidth="1" style="101" min="5" max="5"/>
    <col width="14" customWidth="1" style="101" min="6" max="6"/>
    <col width="16" customWidth="1" style="101" min="7" max="7"/>
    <col width="12" customWidth="1" style="101" min="8" max="8"/>
    <col width="16" customWidth="1" style="101" min="9" max="9"/>
    <col width="20" customWidth="1" style="101" min="10" max="10"/>
    <col width="56" customWidth="1" style="101" min="11" max="11"/>
    <col width="48" customWidth="1" style="101" min="12" max="12"/>
    <col width="32" customWidth="1" style="101" min="13" max="13"/>
    <col width="14" customWidth="1" style="101" min="14" max="14"/>
    <col width="12" customWidth="1" style="101" min="15" max="17"/>
    <col width="26" customWidth="1" style="101" min="18" max="18"/>
    <col width="16" customWidth="1" style="101" min="19" max="19"/>
    <col width="22" customWidth="1" style="101" min="20" max="20"/>
    <col width="28" customWidth="1" style="101" min="21" max="21"/>
    <col width="12" customWidth="1" style="101" min="22" max="22"/>
    <col width="13" customWidth="1" style="101" min="23" max="23"/>
    <col width="14" customWidth="1" style="101" min="24" max="24"/>
    <col width="15" customWidth="1" style="101" min="25" max="25"/>
    <col width="18" customWidth="1" style="101" min="26" max="26"/>
    <col width="28" customWidth="1" style="101" min="27" max="27"/>
    <col width="22" customWidth="1" style="101" min="28" max="28"/>
    <col width="16" customWidth="1" style="101" min="29" max="29"/>
    <col width="22" customWidth="1" style="101" min="30" max="30"/>
    <col width="28" customWidth="1" style="101" min="31" max="31"/>
    <col width="16" customWidth="1" style="101" min="32" max="32"/>
    <col width="22" customWidth="1" style="101" min="33" max="33"/>
    <col width="36" customWidth="1" style="101" min="34" max="34"/>
    <col width="32" customWidth="1" style="101" min="35" max="35"/>
    <col width="22" customWidth="1" style="101" min="36" max="36"/>
    <col width="14" customWidth="1" style="101" min="37" max="37"/>
    <col width="18" customWidth="1" style="101" min="38" max="38"/>
    <col width="20" customWidth="1" style="101" min="39" max="39"/>
    <col width="28" customWidth="1" style="101" min="40" max="40"/>
    <col width="22" customWidth="1" style="101" min="41" max="42"/>
    <col width="20" customWidth="1" style="101" min="43" max="43"/>
    <col width="36" customWidth="1" style="101" min="44" max="44"/>
    <col width="28" customWidth="1" style="101" min="45" max="45"/>
    <col width="24" customWidth="1" style="101" min="46" max="46"/>
    <col width="28" customWidth="1" style="101" min="47" max="47"/>
    <col width="22" customWidth="1" style="101" min="48" max="48"/>
    <col width="28" customWidth="1" style="101" min="49" max="49"/>
    <col width="40" customWidth="1" style="101" min="50" max="50"/>
    <col width="32" customWidth="1" style="101" min="51" max="52"/>
    <col width="28" customWidth="1" style="101" min="53" max="53"/>
    <col width="24" customWidth="1" style="101" min="54" max="54"/>
    <col width="14" customWidth="1" style="101" min="55" max="55"/>
    <col width="18" customWidth="1" style="101" min="56" max="56"/>
    <col width="14" customWidth="1" style="101" min="57" max="61"/>
    <col width="18" customWidth="1" style="101" min="62" max="62"/>
    <col width="16" customWidth="1" style="101" min="63" max="63"/>
    <col width="22" customWidth="1" style="101" min="64" max="64"/>
    <col width="64" customWidth="1" style="101" min="65" max="65"/>
    <col width="22" customWidth="1" style="101" min="66" max="66"/>
    <col width="36" customWidth="1" style="101" min="67" max="67"/>
    <col width="28" customWidth="1" style="101" min="68" max="69"/>
    <col width="20" customWidth="1" style="101" min="70" max="70"/>
    <col width="14" customWidth="1" style="101" min="71" max="71"/>
    <col width="36" customWidth="1" style="101" min="72" max="74"/>
    <col width="32" customWidth="1" style="101" min="75" max="75"/>
    <col width="22" customWidth="1" style="101" min="76" max="76"/>
    <col width="36" customWidth="1" style="101" min="77" max="78"/>
    <col width="16" customWidth="1" style="101" min="79" max="79"/>
    <col width="36" customWidth="1" style="101" min="80" max="80"/>
    <col width="28" customWidth="1" style="101" min="81" max="81"/>
    <col width="16" customWidth="1" style="101" min="82" max="82"/>
    <col width="32" customWidth="1" style="101" min="83" max="83"/>
    <col width="18" customWidth="1" style="101" min="84" max="86"/>
    <col width="36" customWidth="1" style="101" min="87" max="87"/>
    <col width="40" customWidth="1" style="101" min="88" max="88"/>
    <col width="28" customWidth="1" style="101" min="89" max="89"/>
    <col width="42" customWidth="1" style="102" min="90" max="90"/>
    <col width="42" customWidth="1" style="102" min="91" max="91"/>
    <col width="48" customWidth="1" style="102" min="92" max="92"/>
    <col width="56" customWidth="1" style="102" min="93" max="93"/>
  </cols>
  <sheetData>
    <row r="1" ht="27.75" customHeight="1" s="102">
      <c r="A1" s="128" t="inlineStr">
        <is>
          <t>HUMANOID ROBOTS</t>
        </is>
      </c>
      <c r="O1" s="129" t="n"/>
      <c r="P1" s="129" t="n"/>
      <c r="Q1" s="129" t="n"/>
      <c r="R1" s="129" t="n"/>
      <c r="S1" s="129" t="n"/>
      <c r="T1" s="129" t="n"/>
      <c r="U1" s="129" t="n"/>
      <c r="V1" s="129" t="n"/>
      <c r="W1" s="129" t="n"/>
      <c r="X1" s="129" t="n"/>
      <c r="Y1" s="129" t="n"/>
      <c r="Z1" s="129" t="n"/>
      <c r="AA1" s="129" t="n"/>
      <c r="AB1" s="129" t="n"/>
      <c r="AC1" s="129" t="n"/>
      <c r="AD1" s="129" t="n"/>
      <c r="AE1" s="129" t="n"/>
      <c r="AF1" s="129" t="n"/>
      <c r="AG1" s="129" t="n"/>
      <c r="AH1" s="129" t="n"/>
      <c r="AI1" s="129" t="n"/>
      <c r="AJ1" s="129" t="n"/>
      <c r="AK1" s="129" t="n"/>
      <c r="AL1" s="129" t="n"/>
      <c r="AM1" s="129" t="n"/>
      <c r="AN1" s="129" t="n"/>
      <c r="AO1" s="129" t="n"/>
      <c r="AP1" s="129" t="n"/>
      <c r="AQ1" s="129" t="n"/>
      <c r="AR1" s="129" t="n"/>
      <c r="AS1" s="129" t="n"/>
      <c r="AT1" s="129" t="n"/>
      <c r="AU1" s="129" t="n"/>
      <c r="AV1" s="129" t="n"/>
      <c r="AW1" s="129" t="n"/>
      <c r="AX1" s="129" t="n"/>
      <c r="AY1" s="129" t="n"/>
      <c r="AZ1" s="129" t="n"/>
      <c r="BA1" s="129" t="n"/>
      <c r="BB1" s="129" t="n"/>
      <c r="BC1" s="129" t="n"/>
      <c r="BD1" s="129" t="n"/>
      <c r="BE1" s="129" t="n"/>
      <c r="BF1" s="129" t="n"/>
      <c r="BG1" s="129" t="n"/>
      <c r="BH1" s="129" t="n"/>
      <c r="BI1" s="129" t="n"/>
      <c r="BJ1" s="129" t="n"/>
      <c r="BK1" s="129" t="n"/>
      <c r="BL1" s="129" t="n"/>
      <c r="BM1" s="129" t="n"/>
      <c r="BN1" s="129" t="n"/>
      <c r="BO1" s="129" t="n"/>
      <c r="BP1" s="129" t="n"/>
      <c r="BQ1" s="129" t="n"/>
      <c r="BR1" s="129" t="n"/>
      <c r="BS1" s="129" t="n"/>
      <c r="BT1" s="129" t="n"/>
      <c r="BU1" s="129" t="n"/>
      <c r="BV1" s="129" t="n"/>
      <c r="BW1" s="129" t="n"/>
      <c r="BX1" s="129" t="n"/>
      <c r="BY1" s="129" t="n"/>
      <c r="BZ1" s="129" t="n"/>
      <c r="CA1" s="129" t="n"/>
      <c r="CB1" s="129" t="n"/>
      <c r="CC1" s="129" t="n"/>
      <c r="CD1" s="129" t="n"/>
      <c r="CE1" s="129" t="n"/>
      <c r="CF1" s="129" t="n"/>
      <c r="CG1" s="129" t="n"/>
      <c r="CH1" s="129" t="n"/>
      <c r="CI1" s="129" t="n"/>
      <c r="CJ1" s="129" t="n"/>
      <c r="CK1" s="129" t="n"/>
      <c r="CL1" s="129" t="n"/>
      <c r="CM1" s="129" t="n"/>
    </row>
    <row r="2" ht="18" customHeight="1" s="102">
      <c r="A2" s="130" t="inlineStr">
        <is>
          <t>262 humanoids  ·  includes AIXZD/TAAFT net-new 28 Aug 2026</t>
        </is>
      </c>
      <c r="O2" s="131" t="n"/>
      <c r="P2" s="131" t="n"/>
      <c r="Q2" s="131" t="n"/>
      <c r="R2" s="131" t="n"/>
      <c r="S2" s="131" t="n"/>
      <c r="T2" s="131" t="n"/>
      <c r="U2" s="131" t="n"/>
      <c r="V2" s="131" t="n"/>
      <c r="W2" s="131" t="n"/>
      <c r="X2" s="131" t="n"/>
      <c r="Y2" s="131" t="n"/>
      <c r="Z2" s="131" t="n"/>
      <c r="AA2" s="131" t="n"/>
      <c r="AB2" s="131" t="n"/>
      <c r="AC2" s="131" t="n"/>
      <c r="AD2" s="131" t="n"/>
      <c r="AE2" s="131" t="n"/>
      <c r="AF2" s="131" t="n"/>
      <c r="AG2" s="131" t="n"/>
      <c r="AH2" s="131" t="n"/>
      <c r="AI2" s="131" t="n"/>
      <c r="AJ2" s="131" t="n"/>
      <c r="AK2" s="131" t="n"/>
      <c r="AL2" s="131" t="n"/>
      <c r="AM2" s="131" t="n"/>
      <c r="AN2" s="131" t="n"/>
      <c r="AO2" s="131" t="n"/>
      <c r="AP2" s="131" t="n"/>
      <c r="AQ2" s="131" t="n"/>
      <c r="AR2" s="131" t="n"/>
      <c r="AS2" s="131" t="n"/>
      <c r="AT2" s="131" t="n"/>
      <c r="AU2" s="131" t="n"/>
      <c r="AV2" s="131" t="n"/>
      <c r="AW2" s="131" t="n"/>
      <c r="AX2" s="131" t="n"/>
      <c r="AY2" s="131" t="n"/>
      <c r="AZ2" s="131" t="n"/>
      <c r="BA2" s="131" t="n"/>
      <c r="BB2" s="131" t="n"/>
      <c r="BC2" s="131" t="n"/>
      <c r="BD2" s="131" t="n"/>
      <c r="BE2" s="131" t="n"/>
      <c r="BF2" s="131" t="n"/>
      <c r="BG2" s="131" t="n"/>
      <c r="BH2" s="131" t="n"/>
      <c r="BI2" s="131" t="n"/>
      <c r="BJ2" s="131" t="n"/>
      <c r="BK2" s="131" t="n"/>
      <c r="BL2" s="131" t="n"/>
      <c r="BM2" s="131" t="n"/>
      <c r="BN2" s="131" t="n"/>
      <c r="BO2" s="131" t="n"/>
      <c r="BP2" s="131" t="n"/>
      <c r="BQ2" s="131" t="n"/>
      <c r="BR2" s="131" t="n"/>
      <c r="BS2" s="131" t="n"/>
      <c r="BT2" s="131" t="n"/>
      <c r="BU2" s="131" t="n"/>
      <c r="BV2" s="131" t="n"/>
      <c r="BW2" s="131" t="n"/>
      <c r="BX2" s="131" t="n"/>
      <c r="BY2" s="131" t="n"/>
      <c r="BZ2" s="131" t="n"/>
      <c r="CA2" s="131" t="n"/>
      <c r="CB2" s="131" t="n"/>
      <c r="CC2" s="131" t="n"/>
      <c r="CD2" s="131" t="n"/>
      <c r="CE2" s="131" t="n"/>
      <c r="CF2" s="131" t="n"/>
      <c r="CG2" s="131" t="n"/>
      <c r="CH2" s="131" t="n"/>
      <c r="CI2" s="131" t="n"/>
      <c r="CJ2" s="131" t="n"/>
      <c r="CK2" s="131" t="n"/>
      <c r="CL2" s="131" t="n"/>
      <c r="CM2" s="131" t="n"/>
    </row>
    <row r="3" ht="18" customHeight="1" s="102">
      <c r="A3" s="132" t="inlineStr">
        <is>
          <t>IDENTITY</t>
        </is>
      </c>
    </row>
    <row r="4" ht="36" customHeight="1" s="102">
      <c r="A4" s="193" t="inlineStr">
        <is>
          <t>Website ID</t>
        </is>
      </c>
      <c r="B4" s="193" t="inlineStr">
        <is>
          <t>Catalog Source</t>
        </is>
      </c>
      <c r="C4" s="193" t="inlineStr">
        <is>
          <t>Manufacturer</t>
        </is>
      </c>
      <c r="D4" s="193" t="inlineStr">
        <is>
          <t>Model Name</t>
        </is>
      </c>
      <c r="E4" s="193" t="inlineStr">
        <is>
          <t>Model Name (Website)</t>
        </is>
      </c>
      <c r="F4" s="193" t="inlineStr">
        <is>
          <t>Type</t>
        </is>
      </c>
      <c r="G4" s="193" t="inlineStr">
        <is>
          <t>Country of Origin</t>
        </is>
      </c>
      <c r="H4" s="193" t="inlineStr">
        <is>
          <t>First Year (YYYY)</t>
        </is>
      </c>
      <c r="I4" s="193" t="inlineStr">
        <is>
          <t>Approx. Cost (USD)</t>
        </is>
      </c>
      <c r="J4" s="193" t="inlineStr">
        <is>
          <t>Price Source</t>
        </is>
      </c>
      <c r="K4" s="193" t="inlineStr">
        <is>
          <t>Description (1 sentence)</t>
        </is>
      </c>
      <c r="L4" s="193" t="inlineStr">
        <is>
          <t>Unique Summary</t>
        </is>
      </c>
      <c r="M4" s="193" t="inlineStr">
        <is>
          <t>Bio / History</t>
        </is>
      </c>
      <c r="N4" s="193" t="inlineStr">
        <is>
          <t>Humanoid.guide URL</t>
        </is>
      </c>
      <c r="O4" s="193" t="inlineStr">
        <is>
          <t>OEM Website</t>
        </is>
      </c>
      <c r="P4" s="193" t="inlineStr">
        <is>
          <t>Height (ft in)</t>
        </is>
      </c>
      <c r="Q4" s="193" t="inlineStr">
        <is>
          <t>Height (cm)</t>
        </is>
      </c>
      <c r="R4" s="193" t="inlineStr">
        <is>
          <t>Weight (lb)</t>
        </is>
      </c>
      <c r="S4" s="193" t="inlineStr">
        <is>
          <t>Weight (kg)</t>
        </is>
      </c>
      <c r="T4" s="193" t="inlineStr">
        <is>
          <t>Standing Size / Envelope (in)</t>
        </is>
      </c>
      <c r="U4" s="193" t="inlineStr">
        <is>
          <t>Shipping Size</t>
        </is>
      </c>
      <c r="V4" s="193" t="inlineStr">
        <is>
          <t>Degrees of Freedom (DOF)</t>
        </is>
      </c>
      <c r="W4" s="193" t="inlineStr">
        <is>
          <t>DOF Hands</t>
        </is>
      </c>
      <c r="X4" s="193" t="inlineStr">
        <is>
          <t>Payload (lb)</t>
        </is>
      </c>
      <c r="Y4" s="193" t="inlineStr">
        <is>
          <t>Strength (kg)</t>
        </is>
      </c>
      <c r="Z4" s="193" t="inlineStr">
        <is>
          <t>Max Speed (mph)</t>
        </is>
      </c>
      <c r="AA4" s="193" t="inlineStr">
        <is>
          <t>Max Speed (km/h)</t>
        </is>
      </c>
      <c r="AB4" s="193" t="inlineStr">
        <is>
          <t>Walking Speed (km/h)</t>
        </is>
      </c>
      <c r="AC4" s="193" t="inlineStr">
        <is>
          <t>Battery / Runtime (Wh / h)</t>
        </is>
      </c>
      <c r="AD4" s="193" t="inlineStr">
        <is>
          <t>Runtime (hours)</t>
        </is>
      </c>
      <c r="AE4" s="193" t="inlineStr">
        <is>
          <t>Flight Time (min)</t>
        </is>
      </c>
      <c r="AF4" s="193" t="inlineStr">
        <is>
          <t>Charging</t>
        </is>
      </c>
      <c r="AG4" s="193" t="inlineStr">
        <is>
          <t>Hands / End-effectors</t>
        </is>
      </c>
      <c r="AH4" s="193" t="inlineStr">
        <is>
          <t>Number of Fingers</t>
        </is>
      </c>
      <c r="AI4" s="193" t="inlineStr">
        <is>
          <t>Manipulation Performance (1–4)</t>
        </is>
      </c>
      <c r="AJ4" s="193" t="inlineStr">
        <is>
          <t>Camera / Vision</t>
        </is>
      </c>
      <c r="AK4" s="193" t="inlineStr">
        <is>
          <t>Camera Resolution</t>
        </is>
      </c>
      <c r="AL4" s="193" t="inlineStr">
        <is>
          <t>Video</t>
        </is>
      </c>
      <c r="AM4" s="193" t="inlineStr">
        <is>
          <t>Gimbal</t>
        </is>
      </c>
      <c r="AN4" s="193" t="inlineStr">
        <is>
          <t>LiDAR</t>
        </is>
      </c>
      <c r="AO4" s="193" t="inlineStr">
        <is>
          <t>Audio</t>
        </is>
      </c>
      <c r="AP4" s="193" t="inlineStr">
        <is>
          <t>Sensors</t>
        </is>
      </c>
      <c r="AQ4" s="193" t="inlineStr">
        <is>
          <t>Tactile / Force Sensors</t>
        </is>
      </c>
      <c r="AR4" s="193" t="inlineStr">
        <is>
          <t>Obstacle Sensing</t>
        </is>
      </c>
      <c r="AS4" s="193" t="inlineStr">
        <is>
          <t>Compute (TOPS / class)</t>
        </is>
      </c>
      <c r="AT4" s="193" t="inlineStr">
        <is>
          <t>CPU / GPU</t>
        </is>
      </c>
      <c r="AU4" s="193" t="inlineStr">
        <is>
          <t>Connectivity</t>
        </is>
      </c>
      <c r="AV4" s="193" t="inlineStr">
        <is>
          <t>Control Interface</t>
        </is>
      </c>
      <c r="AW4" s="193" t="inlineStr">
        <is>
          <t>Navigation</t>
        </is>
      </c>
      <c r="AX4" s="193" t="inlineStr">
        <is>
          <t>Navigation Performance (1–4)</t>
        </is>
      </c>
      <c r="AY4" s="193" t="inlineStr">
        <is>
          <t>Operating System</t>
        </is>
      </c>
      <c r="AZ4" s="193" t="inlineStr">
        <is>
          <t>LLM Integration</t>
        </is>
      </c>
      <c r="BA4" s="193" t="inlineStr">
        <is>
          <t>Latency Glass-to-Action</t>
        </is>
      </c>
      <c r="BB4" s="193" t="inlineStr">
        <is>
          <t>Motor Tech</t>
        </is>
      </c>
      <c r="BC4" s="193" t="inlineStr">
        <is>
          <t>Gear Tech</t>
        </is>
      </c>
      <c r="BD4" s="193" t="inlineStr">
        <is>
          <t>Main Structural Material</t>
        </is>
      </c>
      <c r="BE4" s="193" t="inlineStr">
        <is>
          <t>IP Rating (IPxx)</t>
        </is>
      </c>
      <c r="BF4" s="193" t="inlineStr">
        <is>
          <t>Ingress Protection</t>
        </is>
      </c>
      <c r="BG4" s="193" t="inlineStr">
        <is>
          <t>Depth Rating (ft)</t>
        </is>
      </c>
      <c r="BH4" s="193" t="inlineStr">
        <is>
          <t>Range / Link (mi)</t>
        </is>
      </c>
      <c r="BI4" s="193" t="inlineStr">
        <is>
          <t>Lights</t>
        </is>
      </c>
      <c r="BJ4" s="193" t="inlineStr">
        <is>
          <t>Thrusters</t>
        </is>
      </c>
      <c r="BK4" s="193" t="inlineStr">
        <is>
          <t>Tether</t>
        </is>
      </c>
      <c r="BL4" s="193" t="inlineStr">
        <is>
          <t>Protection</t>
        </is>
      </c>
      <c r="BM4" s="193" t="inlineStr">
        <is>
          <t>Safe with Humans</t>
        </is>
      </c>
      <c r="BN4" s="193" t="inlineStr">
        <is>
          <t>Capable of Rising After Fall</t>
        </is>
      </c>
      <c r="BO4" s="193" t="inlineStr">
        <is>
          <t>Capabilities / Skills Summary</t>
        </is>
      </c>
      <c r="BP4" s="193" t="inlineStr">
        <is>
          <t>Operating Environment</t>
        </is>
      </c>
      <c r="BQ4" s="193" t="inlineStr">
        <is>
          <t>Primary Use / Main Market</t>
        </is>
      </c>
      <c r="BR4" s="193" t="inlineStr">
        <is>
          <t>Commercial Status</t>
        </is>
      </c>
      <c r="BS4" s="193" t="inlineStr">
        <is>
          <t>Availability (HG)</t>
        </is>
      </c>
      <c r="BT4" s="193" t="inlineStr">
        <is>
          <t>Color Options (HG)</t>
        </is>
      </c>
      <c r="BU4" s="193" t="inlineStr">
        <is>
          <t>Verified (HG)</t>
        </is>
      </c>
      <c r="BV4" s="193" t="inlineStr">
        <is>
          <t>Notes</t>
        </is>
      </c>
      <c r="BW4" s="193" t="inlineStr">
        <is>
          <t>Bullet Highlights</t>
        </is>
      </c>
      <c r="BX4" s="193" t="inlineStr">
        <is>
          <t>Variants (id|name|price|desc)</t>
        </is>
      </c>
      <c r="BY4" s="193" t="inlineStr">
        <is>
          <t>Colors (id|name|hex|premium)</t>
        </is>
      </c>
      <c r="BZ4" s="193" t="inlineStr">
        <is>
          <t>Platform Add-ons (IDs)</t>
        </is>
      </c>
      <c r="CA4" s="193" t="inlineStr">
        <is>
          <t>Key Upgrades / Accessories Summary</t>
        </is>
      </c>
      <c r="CB4" s="193" t="inlineStr">
        <is>
          <t>Manufacturer Warranty (label)</t>
        </is>
      </c>
      <c r="CC4" s="193" t="inlineStr">
        <is>
          <t>Manufacturer Warranty (months)</t>
        </is>
      </c>
      <c r="CD4" s="193" t="inlineStr">
        <is>
          <t>Default Extended Warranty</t>
        </is>
      </c>
      <c r="CE4" s="193" t="inlineStr">
        <is>
          <t>Warranty Source</t>
        </is>
      </c>
      <c r="CF4" s="193" t="inlineStr">
        <is>
          <t>Warranty Confidence</t>
        </is>
      </c>
      <c r="CG4" s="193" t="inlineStr">
        <is>
          <t>Warranty Notes</t>
        </is>
      </c>
      <c r="CH4" s="193" t="inlineStr">
        <is>
          <t>Extended Warranty +1yr (% of config)</t>
        </is>
      </c>
      <c r="CI4" s="193" t="inlineStr">
        <is>
          <t>Extended Warranty +2yr (% of config)</t>
        </is>
      </c>
      <c r="CJ4" s="193" t="inlineStr">
        <is>
          <t>Extended Warranty +3yr (% of config)</t>
        </is>
      </c>
      <c r="CK4" s="193" t="inlineStr">
        <is>
          <t>Extended Warranty Options</t>
        </is>
      </c>
      <c r="CL4" s="193" t="inlineStr">
        <is>
          <t>Extended Warranty Pricing Rationale</t>
        </is>
      </c>
      <c r="CM4" s="193" t="inlineStr">
        <is>
          <t>Warranty</t>
        </is>
      </c>
      <c r="CN4" s="202" t="inlineStr">
        <is>
          <t>AIXZD URL</t>
        </is>
      </c>
      <c r="CO4" s="202" t="inlineStr">
        <is>
          <t>TAAFT Directory</t>
        </is>
      </c>
      <c r="CP4" s="202" t="inlineStr">
        <is>
          <t>External Directory Notes</t>
        </is>
      </c>
      <c r="CQ4" s="193" t="inlineStr">
        <is>
          <t>Mini Specs (Amazon snapshot)</t>
        </is>
      </c>
    </row>
    <row r="5" ht="31.5" customHeight="1" s="102">
      <c r="A5" s="143" t="inlineStr">
        <is>
          <t>neo</t>
        </is>
      </c>
      <c r="B5" s="144" t="inlineStr">
        <is>
          <t>Major-player brief 11 Sep 2026</t>
        </is>
      </c>
      <c r="C5" s="145" t="inlineStr">
        <is>
          <t>1X Technologies</t>
        </is>
      </c>
      <c r="D5" s="145" t="inlineStr">
        <is>
          <t>NEO</t>
        </is>
      </c>
      <c r="E5" s="145" t="inlineStr">
        <is>
          <t>[1X] NEO (2026)</t>
        </is>
      </c>
      <c r="F5" s="146" t="inlineStr">
        <is>
          <t>humanoid</t>
        </is>
      </c>
      <c r="G5" s="145" t="inlineStr">
        <is>
          <t>USA</t>
        </is>
      </c>
      <c r="H5" s="147" t="n">
        <v>2026</v>
      </c>
      <c r="I5" s="148" t="n">
        <v>20000</v>
      </c>
      <c r="J5" s="145" t="inlineStr">
        <is>
          <t>Robot Price Index Aug 2026 · pre-order</t>
        </is>
      </c>
      <c r="K5" s="149" t="inlineStr">
        <is>
          <t>NEO is a soft-covered biped designed for the home, where it must handle everyday tasks in unpredictable environments.</t>
        </is>
      </c>
      <c r="L5" s="101" t="inlineStr">
        <is>
          <t>NEO is a soft-covered biped designed for the home, where it must handle everyday tasks in unpredictable environments.</t>
        </is>
      </c>
      <c r="M5" s="101" t="inlineStr">
        <is>
          <t>1X Technologies began in Norway as Halodi Robotics and now builds consumer humanoids from the United States. NEO is the 2026 home product that followed the NEO Beta and Gamma prototypes: a soft-covered, tendon-driven biped meant to live in ordinary houses rather than laboratories. It is offered as early-access ownership or a monthly subscription, with the design centered on conversation and everyday chores in unpredictable rooms.</t>
        </is>
      </c>
      <c r="N5" s="150" t="inlineStr">
        <is>
          <t>https://humanoid.guide/product/neo/</t>
        </is>
      </c>
      <c r="O5" s="150" t="inlineStr">
        <is>
          <t>https://www.1x.tech</t>
        </is>
      </c>
      <c r="P5" s="145" t="inlineStr">
        <is>
          <t>≈ 5 ft 6 in</t>
        </is>
      </c>
      <c r="Q5" s="145" t="n">
        <v>170</v>
      </c>
      <c r="R5" s="145" t="n">
        <v>66.09999999999999</v>
      </c>
      <c r="S5" s="145" t="n">
        <v>30</v>
      </c>
      <c r="T5" s="149" t="inlineStr">
        <is>
          <t>Not disclosed</t>
        </is>
      </c>
      <c r="U5" s="145" t="n"/>
      <c r="V5" s="145" t="inlineStr">
        <is>
          <t>≈ 75 total (hands ≈ 22×2 class)</t>
        </is>
      </c>
      <c r="W5" s="149" t="inlineStr">
        <is>
          <t>22</t>
        </is>
      </c>
      <c r="X5" s="145" t="n">
        <v>154.3</v>
      </c>
      <c r="Y5" s="145" t="n">
        <v>70</v>
      </c>
      <c r="Z5" s="145" t="n">
        <v>13.67</v>
      </c>
      <c r="AA5" s="145" t="n">
        <v>22</v>
      </c>
      <c r="AB5" s="145" t="n">
        <v>5</v>
      </c>
      <c r="AC5" s="149" t="inlineStr">
        <is>
          <t>≈ 842 Wh · ≈ 4 h class</t>
        </is>
      </c>
      <c r="AD5" s="149" t="inlineStr">
        <is>
          <t>4</t>
        </is>
      </c>
      <c r="AE5" s="145" t="n"/>
      <c r="AF5" s="145" t="inlineStr">
        <is>
          <t>842 Wh class pack; ~4 h class runtime</t>
        </is>
      </c>
      <c r="AG5" s="149" t="inlineStr">
        <is>
          <t>Tendon-driven hands (high DOF hand packages)</t>
        </is>
      </c>
      <c r="AH5" s="145" t="inlineStr">
        <is>
          <t>10</t>
        </is>
      </c>
      <c r="AI5" s="151" t="n">
        <v>3</v>
      </c>
      <c r="AJ5" s="149" t="inlineStr">
        <is>
          <t>Multi-camera head and body perception for household tasks</t>
        </is>
      </c>
      <c r="AK5" s="149" t="inlineStr">
        <is>
          <t>Dual 8.85 MP stereo fisheye at 90 Hz</t>
        </is>
      </c>
      <c r="AL5" s="145" t="inlineStr">
        <is>
          <t>Teleoperation and autonomy vision streams</t>
        </is>
      </c>
      <c r="AM5" s="145" t="n"/>
      <c r="AN5" s="145" t="inlineStr">
        <is>
          <t>Not disclosed</t>
        </is>
      </c>
      <c r="AO5" s="145" t="inlineStr">
        <is>
          <t>Voice interaction and far-field microphone array</t>
        </is>
      </c>
      <c r="AP5" s="145" t="inlineStr">
        <is>
          <t>Not disclosed</t>
        </is>
      </c>
      <c r="AQ5" s="145" t="inlineStr">
        <is>
          <t>Not disclosed</t>
        </is>
      </c>
      <c r="AR5" s="145" t="n"/>
      <c r="AS5" s="145" t="n"/>
      <c r="AT5" s="149" t="inlineStr">
        <is>
          <t>1X NEO Cortex (NVIDIA Jetson Thor)</t>
        </is>
      </c>
      <c r="AU5" s="149" t="inlineStr">
        <is>
          <t>Wi-Fi, Bluetooth, 5G</t>
        </is>
      </c>
      <c r="AV5" s="145" t="inlineStr">
        <is>
          <t>1X app / Expert Mode teleoperation; autonomy features expanding</t>
        </is>
      </c>
      <c r="AW5" s="149" t="inlineStr">
        <is>
          <t>Indoor bipedal navigation; household obstacle handling</t>
        </is>
      </c>
      <c r="AX5" s="151" t="n">
        <v>3</v>
      </c>
      <c r="AY5" s="149" t="inlineStr">
        <is>
          <t>Not disclosed</t>
        </is>
      </c>
      <c r="AZ5" s="149" t="inlineStr">
        <is>
          <t>Built-in LLM + Redwood AI vision-language model for learning &amp; chores.</t>
        </is>
      </c>
      <c r="BA5" s="149" t="inlineStr">
        <is>
          <t>teleop via app/VR is supported</t>
        </is>
      </c>
      <c r="BB5" s="149" t="inlineStr">
        <is>
          <t>Tendon-driven actuators; high torque-density motors</t>
        </is>
      </c>
      <c r="BC5" s="149" t="inlineStr">
        <is>
          <t>Tendon-based transmissions</t>
        </is>
      </c>
      <c r="BD5" s="145" t="inlineStr">
        <is>
          <t>Soft 3D-lattice polymer body; machine-washable nylon suit/shoes.</t>
        </is>
      </c>
      <c r="BE5" s="145" t="inlineStr">
        <is>
          <t>IP68</t>
        </is>
      </c>
      <c r="BF5" s="145" t="inlineStr">
        <is>
          <t>Hands IP68 (submersible); Body IP44 (splash-proof).</t>
        </is>
      </c>
      <c r="BG5" s="145" t="n"/>
      <c r="BH5" s="145" t="n"/>
      <c r="BI5" s="145" t="n"/>
      <c r="BJ5" s="145" t="n"/>
      <c r="BK5" s="145" t="n"/>
      <c r="BL5" s="145" t="n"/>
      <c r="BM5" s="145" t="inlineStr">
        <is>
          <t>Soft lattice body, low-inertia drives, no pinch points, HIC &lt; 250 class</t>
        </is>
      </c>
      <c r="BN5" s="145" t="inlineStr">
        <is>
          <t>Not disclosed</t>
        </is>
      </c>
      <c r="BO5" s="149" t="inlineStr">
        <is>
          <t>Market: Consumer home use · Manipulation 3/4 · Navigation 3/4 · Human-safe: Yes · AI: Built-in LLM + Redwood AI vision-language model for learning &amp; chores. · Actuation: Tendon-driven actuators; high torque-density motors · Peak 22 km/h · Walk 5 km/h · Runtime 4</t>
        </is>
      </c>
      <c r="BP5" s="145" t="n"/>
      <c r="BQ5" s="149" t="inlineStr">
        <is>
          <t>Consumer home use in unstructured households</t>
        </is>
      </c>
      <c r="BR5" s="149" t="inlineStr">
        <is>
          <t>Prototype</t>
        </is>
      </c>
      <c r="BS5" s="149" t="inlineStr">
        <is>
          <t>Prototype</t>
        </is>
      </c>
      <c r="BT5" s="145" t="n"/>
      <c r="BU5" s="145" t="inlineStr">
        <is>
          <t>Not verified</t>
        </is>
      </c>
      <c r="BV5" s="149" t="n"/>
      <c r="BW5" s="149" t="inlineStr">
        <is>
          <t>Origin &amp; status — USA · Prototype · 2026 | Manipulation — Tendon-driven hands (high DOF hand packages) · 10 fingers · Hand DOF 22 · Payload Arm ≈ 18 lb · Carry ≈ 55 lb | Sensing &amp; software — Multi-camera head and body perception for household tasks · Built-in LLM + Redwood AI vision-language model for learning &amp; chores. · 1X app / Expert Mode te… | Buying notes — From $20,000 · 12 months manufacturer standard (typical research/commercial humanoid) · Best fit: Consumer home use</t>
        </is>
      </c>
      <c r="BX5" s="149" t="inlineStr">
        <is>
          <t>early|Early Access Ownership|20000|Full ownership + 3-year warranty || sub|Subscription|499|$499 / month</t>
        </is>
      </c>
      <c r="BY5" s="145" t="inlineStr">
        <is>
          <t>tan|Tan|#d2b48c|0 || gray|Gray|#9ca3af|0 || brown|Dark Brown|#5c4033|0</t>
        </is>
      </c>
      <c r="BZ5" s="145" t="inlineStr">
        <is>
          <t>warranty_neo</t>
        </is>
      </c>
      <c r="CA5" s="149" t="inlineStr">
        <is>
          <t>2 configuration tiers; 3 color options; Multi-year extended warranty available</t>
        </is>
      </c>
      <c r="CB5" s="149" t="inlineStr">
        <is>
          <t>12 months manufacturer standard (typical research/commercial humanoid)</t>
        </is>
      </c>
      <c r="CC5" s="147" t="n">
        <v>12</v>
      </c>
      <c r="CD5" s="149" t="inlineStr">
        <is>
          <t>+3 Year Extended ≈24% of configuration (default in configurator)</t>
        </is>
      </c>
      <c r="CE5" s="145" t="inlineStr">
        <is>
          <t>Humanoid category norm 2025–2026</t>
        </is>
      </c>
      <c r="CF5" s="145" t="inlineStr">
        <is>
          <t>Estimated</t>
        </is>
      </c>
      <c r="CG5" s="149" t="inlineStr">
        <is>
          <t>EDU or enterprise packages may differ; confirm on formal quote.</t>
        </is>
      </c>
      <c r="CH5" s="145" t="inlineStr">
        <is>
          <t>10%</t>
        </is>
      </c>
      <c r="CI5" s="145" t="inlineStr">
        <is>
          <t>17%</t>
        </is>
      </c>
      <c r="CJ5" s="145" t="inlineStr">
        <is>
          <t>24%</t>
        </is>
      </c>
      <c r="CK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5" s="145" t="inlineStr">
        <is>
          <t>12 months manufacturer standard (typical research/commercial humanoid)</t>
        </is>
      </c>
      <c r="CQ5" s="101" t="inlineStr">
        <is>
          <t>Height: ≈ 5 ft 6 in | Weight: 66.1 | Degrees of Freedom: ≈ 75 total (hands ≈ 22×2 class) | Payload: 154.3 | Max Speed: 13.67 | Battery / Runtime: ≈ 842 Wh · ≈ 4 h class</t>
        </is>
      </c>
    </row>
    <row r="6" ht="31.5" customHeight="1" s="102">
      <c r="A6" s="152" t="inlineStr">
        <is>
          <t>h_1x_technologies_neo_beta</t>
        </is>
      </c>
      <c r="B6" s="153" t="inlineStr">
        <is>
          <t>Humanoid.guide</t>
        </is>
      </c>
      <c r="C6" s="152" t="inlineStr">
        <is>
          <t>1X Technologies</t>
        </is>
      </c>
      <c r="D6" s="152" t="inlineStr">
        <is>
          <t>NEO Beta</t>
        </is>
      </c>
      <c r="E6" s="152" t="inlineStr">
        <is>
          <t>[1X] NEO Beta (2023)</t>
        </is>
      </c>
      <c r="F6" s="146" t="inlineStr">
        <is>
          <t>humanoid</t>
        </is>
      </c>
      <c r="G6" s="152" t="inlineStr">
        <is>
          <t>USA</t>
        </is>
      </c>
      <c r="H6" s="154" t="n">
        <v>2023</v>
      </c>
      <c r="I6" s="155" t="n">
        <v>75000</v>
      </c>
      <c r="J6" s="152" t="inlineStr">
        <is>
          <t>Research/prototype estimate (NEO consumer list is $20,000)</t>
        </is>
      </c>
      <c r="K6" s="156" t="inlineStr">
        <is>
          <t>NEO Beta is 1X Technologies's humanoid — 5 ft 5 in class, 55 DOF, 43.9 lb payload. Aimed at research, commercial pilots, education, and professional deployment.</t>
        </is>
      </c>
      <c r="L6" s="101" t="inlineStr">
        <is>
          <t>NEO Beta is 1X Technologies's humanoid — 5 ft 5 in class, 55 DOF, 43.9 lb payload. Aimed at research, commercial pilots, education, and professional deployment.</t>
        </is>
      </c>
      <c r="M6" s="101" t="inlineStr">
        <is>
          <t>NEO Beta was 1X’s first public home-humanoid prototype, the machine that tested tendon-driven soft hardware and household teleoperation before the 2026 NEO product. It established the company’s argument that a consumer humanoid should be covered, compliant, and safe around people rather than a bare industrial frame.</t>
        </is>
      </c>
      <c r="N6" s="157" t="inlineStr">
        <is>
          <t>https://humanoid.guide/product/neo-beta/</t>
        </is>
      </c>
      <c r="O6" s="157" t="inlineStr">
        <is>
          <t>https://www.1x.tech</t>
        </is>
      </c>
      <c r="P6" s="152" t="inlineStr">
        <is>
          <t>5 ft 5 in</t>
        </is>
      </c>
      <c r="Q6" s="152" t="n">
        <v>165</v>
      </c>
      <c r="R6" s="152" t="n">
        <v>66.09999999999999</v>
      </c>
      <c r="S6" s="152" t="n">
        <v>30</v>
      </c>
      <c r="T6" s="156" t="inlineStr">
        <is>
          <t>Not disclosed</t>
        </is>
      </c>
      <c r="U6" s="152" t="n"/>
      <c r="V6" s="152" t="inlineStr">
        <is>
          <t>55</t>
        </is>
      </c>
      <c r="W6" s="156" t="inlineStr">
        <is>
          <t>Not disclosed</t>
        </is>
      </c>
      <c r="X6" s="152" t="n">
        <v>43.9</v>
      </c>
      <c r="Y6" s="152" t="n">
        <v>19.9</v>
      </c>
      <c r="Z6" s="152" t="n">
        <v>7.46</v>
      </c>
      <c r="AA6" s="152" t="n">
        <v>12</v>
      </c>
      <c r="AB6" s="152" t="n">
        <v>4</v>
      </c>
      <c r="AC6" s="156" t="inlineStr">
        <is>
          <t>≈ 4 hours</t>
        </is>
      </c>
      <c r="AD6" s="156" t="inlineStr">
        <is>
          <t>4</t>
        </is>
      </c>
      <c r="AE6" s="152" t="n"/>
      <c r="AF6" s="152" t="inlineStr">
        <is>
          <t>Not disclosed</t>
        </is>
      </c>
      <c r="AG6" s="156" t="inlineStr">
        <is>
          <t>Not disclosed</t>
        </is>
      </c>
      <c r="AH6" s="152" t="inlineStr">
        <is>
          <t>Not disclosed</t>
        </is>
      </c>
      <c r="AI6" s="151" t="n">
        <v>3</v>
      </c>
      <c r="AJ6" s="156" t="inlineStr">
        <is>
          <t>Not disclosed</t>
        </is>
      </c>
      <c r="AK6" s="156" t="n"/>
      <c r="AL6" s="152" t="inlineStr">
        <is>
          <t>Not disclosed</t>
        </is>
      </c>
      <c r="AM6" s="152" t="n"/>
      <c r="AN6" s="152" t="inlineStr">
        <is>
          <t>Not disclosed</t>
        </is>
      </c>
      <c r="AO6" s="152" t="inlineStr">
        <is>
          <t>Not disclosed</t>
        </is>
      </c>
      <c r="AP6" s="152" t="inlineStr">
        <is>
          <t>Not disclosed</t>
        </is>
      </c>
      <c r="AQ6" s="152" t="inlineStr">
        <is>
          <t>Not disclosed</t>
        </is>
      </c>
      <c r="AR6" s="152" t="n"/>
      <c r="AS6" s="152" t="n"/>
      <c r="AT6" s="156" t="inlineStr">
        <is>
          <t>Not disclosed</t>
        </is>
      </c>
      <c r="AU6" s="156" t="inlineStr">
        <is>
          <t>Not disclosed</t>
        </is>
      </c>
      <c r="AV6" s="152" t="inlineStr">
        <is>
          <t>Not disclosed</t>
        </is>
      </c>
      <c r="AW6" s="156" t="inlineStr">
        <is>
          <t>Not disclosed</t>
        </is>
      </c>
      <c r="AX6" s="151" t="n">
        <v>3</v>
      </c>
      <c r="AY6" s="156" t="inlineStr">
        <is>
          <t>Not disclosed</t>
        </is>
      </c>
      <c r="AZ6" s="156" t="inlineStr">
        <is>
          <t>Not disclosed</t>
        </is>
      </c>
      <c r="BA6" s="156" t="n"/>
      <c r="BB6" s="156" t="inlineStr">
        <is>
          <t>Not disclosed</t>
        </is>
      </c>
      <c r="BC6" s="156" t="inlineStr">
        <is>
          <t>Not disclosed</t>
        </is>
      </c>
      <c r="BD6" s="152" t="inlineStr">
        <is>
          <t>Not disclosed</t>
        </is>
      </c>
      <c r="BE6" s="152" t="inlineStr">
        <is>
          <t>Not disclosed</t>
        </is>
      </c>
      <c r="BF6" s="152" t="n"/>
      <c r="BG6" s="152" t="n"/>
      <c r="BH6" s="152" t="n"/>
      <c r="BI6" s="152" t="n"/>
      <c r="BJ6" s="152" t="n"/>
      <c r="BK6" s="152" t="n"/>
      <c r="BL6" s="152" t="n"/>
      <c r="BM6" s="152" t="inlineStr">
        <is>
          <t>Not disclosed</t>
        </is>
      </c>
      <c r="BN6" s="152" t="inlineStr">
        <is>
          <t>Not disclosed</t>
        </is>
      </c>
      <c r="BO6" s="156" t="inlineStr">
        <is>
          <t>Manipulation 3/4 · Navigation 3/4 · Peak 12 km/h · Walk 4 km/h · Runtime 4</t>
        </is>
      </c>
      <c r="BP6" s="152" t="n"/>
      <c r="BQ6" s="156" t="inlineStr">
        <is>
          <t>Research labs, commercial pilots, and education programs evaluating a humanoid from 1X Technologies (USA) now listed as prototype.</t>
        </is>
      </c>
      <c r="BR6" s="156" t="inlineStr">
        <is>
          <t>Prototype</t>
        </is>
      </c>
      <c r="BS6" s="156" t="inlineStr">
        <is>
          <t>Prototype</t>
        </is>
      </c>
      <c r="BT6" s="152" t="n"/>
      <c r="BU6" s="152" t="inlineStr">
        <is>
          <t>Not verified</t>
        </is>
      </c>
      <c r="BV6" s="156" t="n"/>
      <c r="BW6" s="156" t="inlineStr">
        <is>
          <t>Origin &amp; status — USA · Prototype · 2023 | Manipulation — Payload 43.9 lb | Sensing &amp; software — Sensor and compute package confirmed on formal quote | Buying notes — From $75,000 · 12 months manufacturer standard (typical research/commercial humanoid)</t>
        </is>
      </c>
      <c r="BX6" s="156" t="inlineStr">
        <is>
          <t>as_shipped|NEO Beta|75000|As shipped</t>
        </is>
      </c>
      <c r="BY6" s="152" t="inlineStr">
        <is>
          <t>neo_beta|Manufacturer finish|#e2e8f0|0</t>
        </is>
      </c>
      <c r="BZ6" s="152" t="inlineStr"/>
      <c r="CA6" s="156" t="n"/>
      <c r="CB6" s="156" t="inlineStr">
        <is>
          <t>12 months manufacturer standard (typical research/commercial humanoid)</t>
        </is>
      </c>
      <c r="CC6" s="154" t="n">
        <v>12</v>
      </c>
      <c r="CD6" s="156" t="inlineStr">
        <is>
          <t>+3 Year Extended ≈24% of configuration (default in configurator)</t>
        </is>
      </c>
      <c r="CE6" s="152" t="inlineStr">
        <is>
          <t>Humanoid category norm 2025–2026</t>
        </is>
      </c>
      <c r="CF6" s="152" t="inlineStr">
        <is>
          <t>Estimated</t>
        </is>
      </c>
      <c r="CG6" s="156" t="inlineStr">
        <is>
          <t>Confirm on formal OEM quote. EDU or enterprise packages may differ.</t>
        </is>
      </c>
      <c r="CH6" s="152" t="inlineStr">
        <is>
          <t>10%</t>
        </is>
      </c>
      <c r="CI6" s="152" t="inlineStr">
        <is>
          <t>17%</t>
        </is>
      </c>
      <c r="CJ6" s="152" t="inlineStr">
        <is>
          <t>24%</t>
        </is>
      </c>
      <c r="CK6" s="156" t="inlineStr">
        <is>
          <t>+1yr ≈10% | +2yr ≈17% | +3yr ≈24% of selected configuration price (parts &amp; labor beyond manufacturer standard).</t>
        </is>
      </c>
      <c r="CL6"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6" s="152" t="inlineStr">
        <is>
          <t>12 months manufacturer standard (typical research/commercial humanoid)</t>
        </is>
      </c>
      <c r="CQ6" s="101" t="inlineStr">
        <is>
          <t>Height: 5 ft 5 in | Weight: 66.1 | Degrees of Freedom: 55 | Payload: 43.9 | Max Speed: 7.46 | Battery / Runtime: ≈ 4 hours</t>
        </is>
      </c>
    </row>
    <row r="7" ht="31.5" customHeight="1" s="102">
      <c r="A7" s="145" t="inlineStr">
        <is>
          <t>h_1x_technologies_neo_gamma</t>
        </is>
      </c>
      <c r="B7" s="153" t="inlineStr">
        <is>
          <t>Humanoid.guide</t>
        </is>
      </c>
      <c r="C7" s="145" t="inlineStr">
        <is>
          <t>1X Technologies</t>
        </is>
      </c>
      <c r="D7" s="145" t="inlineStr">
        <is>
          <t>NEO Gamma</t>
        </is>
      </c>
      <c r="E7" s="145" t="inlineStr">
        <is>
          <t>[1X] NEO Gamma (2026)</t>
        </is>
      </c>
      <c r="F7" s="146" t="inlineStr">
        <is>
          <t>humanoid</t>
        </is>
      </c>
      <c r="G7" s="145" t="inlineStr">
        <is>
          <t>USA</t>
        </is>
      </c>
      <c r="H7" s="145" t="n"/>
      <c r="I7" s="148" t="n">
        <v>20000</v>
      </c>
      <c r="J7" s="145" t="inlineStr">
        <is>
          <t>Robot Price Index Aug 2026 · pre-order</t>
        </is>
      </c>
      <c r="K7" s="149" t="inlineStr">
        <is>
          <t>NEO Gamma is 1X Technologies's humanoid — 5 ft 5 in class, 25 DOF, 33.1 lb payload. Aimed at research, commercial pilots, education, and professional deployment.</t>
        </is>
      </c>
      <c r="L7" s="101" t="inlineStr">
        <is>
          <t>NEO Gamma is 1X Technologies's humanoid — 5 ft 5 in class, 25 DOF, 33.1 lb payload. Aimed at research, commercial pilots, education, and professional deployment.</t>
        </is>
      </c>
      <c r="M7" s="101" t="inlineStr">
        <is>
          <t>NEO Gamma sits between the Beta prototype and the 2026 NEO product. 1X used it to harden Redwood AI, the home chore stack, and the soft-body hardware that later shipped on NEO.</t>
        </is>
      </c>
      <c r="N7" s="150" t="inlineStr">
        <is>
          <t>https://humanoid.guide/product/neo-gamma/</t>
        </is>
      </c>
      <c r="O7" s="150" t="inlineStr">
        <is>
          <t>https://www.1x.tech</t>
        </is>
      </c>
      <c r="P7" s="145" t="inlineStr">
        <is>
          <t>5 ft 5 in</t>
        </is>
      </c>
      <c r="Q7" s="145" t="n">
        <v>165</v>
      </c>
      <c r="R7" s="145" t="n">
        <v>77.2</v>
      </c>
      <c r="S7" s="145" t="n">
        <v>35</v>
      </c>
      <c r="T7" s="149" t="inlineStr">
        <is>
          <t>Not disclosed</t>
        </is>
      </c>
      <c r="U7" s="145" t="n"/>
      <c r="V7" s="145" t="inlineStr">
        <is>
          <t>25</t>
        </is>
      </c>
      <c r="W7" s="149" t="inlineStr">
        <is>
          <t>Not disclosed</t>
        </is>
      </c>
      <c r="X7" s="145" t="n">
        <v>33.1</v>
      </c>
      <c r="Y7" s="145" t="n">
        <v>15</v>
      </c>
      <c r="Z7" s="145" t="n">
        <v>3.11</v>
      </c>
      <c r="AA7" s="145" t="n">
        <v>5</v>
      </c>
      <c r="AB7" s="145" t="n"/>
      <c r="AC7" s="149" t="inlineStr">
        <is>
          <t>Not disclosed</t>
        </is>
      </c>
      <c r="AD7" s="149" t="n"/>
      <c r="AE7" s="145" t="n"/>
      <c r="AF7" s="145" t="inlineStr">
        <is>
          <t>Not disclosed</t>
        </is>
      </c>
      <c r="AG7" s="149" t="inlineStr">
        <is>
          <t>Not disclosed</t>
        </is>
      </c>
      <c r="AH7" s="145" t="inlineStr">
        <is>
          <t>Not disclosed</t>
        </is>
      </c>
      <c r="AI7" s="151" t="n">
        <v>3</v>
      </c>
      <c r="AJ7" s="149" t="inlineStr">
        <is>
          <t>Not disclosed</t>
        </is>
      </c>
      <c r="AK7" s="149" t="n"/>
      <c r="AL7" s="145" t="inlineStr">
        <is>
          <t>Not disclosed</t>
        </is>
      </c>
      <c r="AM7" s="145" t="n"/>
      <c r="AN7" s="145" t="inlineStr">
        <is>
          <t>Not disclosed</t>
        </is>
      </c>
      <c r="AO7" s="145" t="inlineStr">
        <is>
          <t>Not disclosed</t>
        </is>
      </c>
      <c r="AP7" s="145" t="inlineStr">
        <is>
          <t>Not disclosed</t>
        </is>
      </c>
      <c r="AQ7" s="145" t="inlineStr">
        <is>
          <t>Not disclosed</t>
        </is>
      </c>
      <c r="AR7" s="145" t="n"/>
      <c r="AS7" s="145" t="n"/>
      <c r="AT7" s="149" t="inlineStr">
        <is>
          <t>Not disclosed</t>
        </is>
      </c>
      <c r="AU7" s="149" t="inlineStr">
        <is>
          <t>Not disclosed</t>
        </is>
      </c>
      <c r="AV7" s="145" t="inlineStr">
        <is>
          <t>Not disclosed</t>
        </is>
      </c>
      <c r="AW7" s="149" t="inlineStr">
        <is>
          <t>Not disclosed</t>
        </is>
      </c>
      <c r="AX7" s="151" t="n">
        <v>3</v>
      </c>
      <c r="AY7" s="149" t="inlineStr">
        <is>
          <t>Not disclosed</t>
        </is>
      </c>
      <c r="AZ7" s="149" t="inlineStr">
        <is>
          <t>Not disclosed</t>
        </is>
      </c>
      <c r="BA7" s="149" t="n"/>
      <c r="BB7" s="149" t="inlineStr">
        <is>
          <t>Not disclosed</t>
        </is>
      </c>
      <c r="BC7" s="149" t="inlineStr">
        <is>
          <t>Not disclosed</t>
        </is>
      </c>
      <c r="BD7" s="145" t="inlineStr">
        <is>
          <t>Not disclosed</t>
        </is>
      </c>
      <c r="BE7" s="145" t="inlineStr">
        <is>
          <t>Not disclosed</t>
        </is>
      </c>
      <c r="BF7" s="145" t="n"/>
      <c r="BG7" s="145" t="n"/>
      <c r="BH7" s="145" t="n"/>
      <c r="BI7" s="145" t="n"/>
      <c r="BJ7" s="145" t="n"/>
      <c r="BK7" s="145" t="n"/>
      <c r="BL7" s="145" t="n"/>
      <c r="BM7" s="145" t="inlineStr">
        <is>
          <t>Not disclosed</t>
        </is>
      </c>
      <c r="BN7" s="145" t="inlineStr">
        <is>
          <t>Not disclosed</t>
        </is>
      </c>
      <c r="BO7" s="149" t="inlineStr">
        <is>
          <t>Manipulation 3/4 · Navigation 3/4 · Peak 5 km/h</t>
        </is>
      </c>
      <c r="BP7" s="145" t="n"/>
      <c r="BQ7" s="149" t="inlineStr">
        <is>
          <t>Research labs, commercial pilots, and education programs evaluating a humanoid from 1X Technologies (USA) now listed as prototype.</t>
        </is>
      </c>
      <c r="BR7" s="149" t="inlineStr">
        <is>
          <t>Prototype</t>
        </is>
      </c>
      <c r="BS7" s="149" t="inlineStr">
        <is>
          <t>Prototype</t>
        </is>
      </c>
      <c r="BT7" s="145" t="n"/>
      <c r="BU7" s="145" t="inlineStr">
        <is>
          <t>Not verified</t>
        </is>
      </c>
      <c r="BV7" s="149" t="n"/>
      <c r="BW7" s="149" t="inlineStr">
        <is>
          <t>Origin &amp; status — USA · Prototype · 2026 | Manipulation — Payload 33.1 lb | Sensing &amp; software — Sensor and compute package confirmed on formal quote | Buying notes — From $20,000 · 12 months manufacturer standard (typical research/commercial humanoid)</t>
        </is>
      </c>
      <c r="BX7" s="149" t="inlineStr">
        <is>
          <t>as_shipped|NEO Gamma|20000|As shipped</t>
        </is>
      </c>
      <c r="BY7" s="145" t="inlineStr">
        <is>
          <t>neo_gamma|Manufacturer finish|#e2e8f0|0</t>
        </is>
      </c>
      <c r="BZ7" s="145" t="inlineStr"/>
      <c r="CA7" s="149" t="n"/>
      <c r="CB7" s="149" t="inlineStr">
        <is>
          <t>12 months manufacturer standard (typical research/commercial humanoid)</t>
        </is>
      </c>
      <c r="CC7" s="147" t="n">
        <v>12</v>
      </c>
      <c r="CD7" s="149" t="inlineStr">
        <is>
          <t>+3 Year Extended ≈24% of configuration (default in configurator)</t>
        </is>
      </c>
      <c r="CE7" s="145" t="inlineStr">
        <is>
          <t>Humanoid category norm 2025–2026</t>
        </is>
      </c>
      <c r="CF7" s="145" t="inlineStr">
        <is>
          <t>Estimated</t>
        </is>
      </c>
      <c r="CG7" s="149" t="inlineStr">
        <is>
          <t>Confirm on formal OEM quote. EDU or enterprise packages may differ.</t>
        </is>
      </c>
      <c r="CH7" s="145" t="inlineStr">
        <is>
          <t>10%</t>
        </is>
      </c>
      <c r="CI7" s="145" t="inlineStr">
        <is>
          <t>17%</t>
        </is>
      </c>
      <c r="CJ7" s="145" t="inlineStr">
        <is>
          <t>24%</t>
        </is>
      </c>
      <c r="CK7" s="149" t="inlineStr">
        <is>
          <t>+1yr ≈10% | +2yr ≈17% | +3yr ≈24% of selected configuration price (parts &amp; labor beyond manufacturer standard).</t>
        </is>
      </c>
      <c r="CL7"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7" s="145" t="inlineStr">
        <is>
          <t>12 months manufacturer standard (typical research/commercial humanoid)</t>
        </is>
      </c>
      <c r="CQ7" s="101" t="inlineStr">
        <is>
          <t>Height: 5 ft 5 in | Weight: 77.2 | Degrees of Freedom: 25 | Payload: 33.1 | Max Speed: 3.11 | Battery / Runtime: Not disclosed</t>
        </is>
      </c>
    </row>
    <row r="8" ht="31.5" customHeight="1" s="102">
      <c r="A8" s="152" t="inlineStr">
        <is>
          <t>aei_robot_alice</t>
        </is>
      </c>
      <c r="B8" s="153" t="inlineStr">
        <is>
          <t>Humanoid.guide</t>
        </is>
      </c>
      <c r="C8" s="152" t="inlineStr">
        <is>
          <t>AEI Robot</t>
        </is>
      </c>
      <c r="D8" s="152" t="inlineStr">
        <is>
          <t>Alice</t>
        </is>
      </c>
      <c r="E8" s="152" t="inlineStr">
        <is>
          <t>[AEI Robot] Alice (2026)</t>
        </is>
      </c>
      <c r="F8" s="146" t="inlineStr">
        <is>
          <t>humanoid</t>
        </is>
      </c>
      <c r="G8" s="152" t="inlineStr">
        <is>
          <t>China</t>
        </is>
      </c>
      <c r="H8" s="152" t="n"/>
      <c r="I8" s="155" t="n">
        <v>65000</v>
      </c>
      <c r="J8" s="152" t="inlineStr">
        <is>
          <t>Humanoid.guide list</t>
        </is>
      </c>
      <c r="K8" s="156" t="inlineStr">
        <is>
          <t>Alice is a humanoid robot by AEI Robot designed for human-robot interaction, research, and demonstrations, focusing on safe movement, intuitive behavior, and AI-assisted task execution.</t>
        </is>
      </c>
      <c r="L8" s="101" t="inlineStr">
        <is>
          <t>Alice is a humanoid robot by AEI Robot designed for human-robot interaction, research, and demonstrations, focusing on safe movement, intuitive behavior, and AI-assisted task execution.</t>
        </is>
      </c>
      <c r="M8" s="101" t="inlineStr">
        <is>
          <t>Alice is a humanoid robot by AEI Robot designed for human-robot interaction, research, and demonstrations, focusing on safe movement, intuitive behavior, and AI-assisted task execution. Public status is listed as prototype, and it is positioned for research institutions, robotics labs, AI development, demonstrations.</t>
        </is>
      </c>
      <c r="N8" s="157" t="inlineStr">
        <is>
          <t>https://humanoid.guide/product/alice/</t>
        </is>
      </c>
      <c r="O8" s="157" t="inlineStr">
        <is>
          <t>https://arobot4all.com</t>
        </is>
      </c>
      <c r="P8" s="152" t="inlineStr">
        <is>
          <t>5 ft 2 in</t>
        </is>
      </c>
      <c r="Q8" s="152" t="n">
        <v>157</v>
      </c>
      <c r="R8" s="152" t="n">
        <v>110.2</v>
      </c>
      <c r="S8" s="152" t="n">
        <v>50</v>
      </c>
      <c r="T8" s="156" t="inlineStr">
        <is>
          <t>Not disclosed</t>
        </is>
      </c>
      <c r="U8" s="152" t="n"/>
      <c r="V8" s="152" t="inlineStr">
        <is>
          <t>31</t>
        </is>
      </c>
      <c r="W8" s="156" t="inlineStr">
        <is>
          <t>7</t>
        </is>
      </c>
      <c r="X8" s="152" t="n">
        <v>22</v>
      </c>
      <c r="Y8" s="152" t="n">
        <v>10</v>
      </c>
      <c r="Z8" s="152" t="n">
        <v>1.86</v>
      </c>
      <c r="AA8" s="152" t="n">
        <v>3</v>
      </c>
      <c r="AB8" s="152" t="n">
        <v>2</v>
      </c>
      <c r="AC8" s="156" t="inlineStr">
        <is>
          <t>≈ 1.5 hours</t>
        </is>
      </c>
      <c r="AD8" s="156" t="inlineStr">
        <is>
          <t>1.5</t>
        </is>
      </c>
      <c r="AE8" s="152" t="n"/>
      <c r="AF8" s="152" t="inlineStr">
        <is>
          <t>Not disclosed</t>
        </is>
      </c>
      <c r="AG8" s="156" t="inlineStr">
        <is>
          <t>5 per hand</t>
        </is>
      </c>
      <c r="AH8" s="152" t="inlineStr">
        <is>
          <t>5 per hand</t>
        </is>
      </c>
      <c r="AI8" s="158" t="n">
        <v>2</v>
      </c>
      <c r="AJ8" s="156" t="inlineStr">
        <is>
          <t>1080p RGB + depth camera</t>
        </is>
      </c>
      <c r="AK8" s="156" t="inlineStr">
        <is>
          <t>1080p RGB + depth camera</t>
        </is>
      </c>
      <c r="AL8" s="152" t="inlineStr">
        <is>
          <t>Not disclosed</t>
        </is>
      </c>
      <c r="AM8" s="152" t="n"/>
      <c r="AN8" s="152" t="inlineStr">
        <is>
          <t>Not disclosed</t>
        </is>
      </c>
      <c r="AO8" s="152" t="inlineStr">
        <is>
          <t>Not disclosed</t>
        </is>
      </c>
      <c r="AP8" s="152" t="inlineStr">
        <is>
          <t>Not disclosed</t>
        </is>
      </c>
      <c r="AQ8" s="152" t="inlineStr">
        <is>
          <t>Not disclosed</t>
        </is>
      </c>
      <c r="AR8" s="152" t="n"/>
      <c r="AS8" s="152" t="n"/>
      <c r="AT8" s="156" t="inlineStr">
        <is>
          <t>NVIDIA Jetson Orin-class system</t>
        </is>
      </c>
      <c r="AU8" s="156" t="inlineStr">
        <is>
          <t>Ethernet; Wi‑Fi</t>
        </is>
      </c>
      <c r="AV8" s="152" t="inlineStr">
        <is>
          <t>Not disclosed</t>
        </is>
      </c>
      <c r="AW8" s="156" t="inlineStr">
        <is>
          <t>Not disclosed</t>
        </is>
      </c>
      <c r="AX8" s="158" t="n">
        <v>2</v>
      </c>
      <c r="AY8" s="156" t="inlineStr">
        <is>
          <t>Linux (ROS2-based)</t>
        </is>
      </c>
      <c r="AZ8" s="156" t="inlineStr">
        <is>
          <t>Likely via cloud API (OpenAI, Alibaba Qwen, Baidu, etc.)</t>
        </is>
      </c>
      <c r="BA8" s="156" t="inlineStr">
        <is>
          <t>250–450 ms</t>
        </is>
      </c>
      <c r="BB8" s="156" t="inlineStr">
        <is>
          <t>Brushless Motor</t>
        </is>
      </c>
      <c r="BC8" s="156" t="inlineStr">
        <is>
          <t>Harmonic Drive</t>
        </is>
      </c>
      <c r="BD8" s="152" t="inlineStr">
        <is>
          <t>Aluminum + plastic composites</t>
        </is>
      </c>
      <c r="BE8" s="152" t="inlineStr">
        <is>
          <t>IP20</t>
        </is>
      </c>
      <c r="BF8" s="152" t="inlineStr">
        <is>
          <t>IP20</t>
        </is>
      </c>
      <c r="BG8" s="152" t="n"/>
      <c r="BH8" s="152" t="n"/>
      <c r="BI8" s="152" t="n"/>
      <c r="BJ8" s="152" t="n"/>
      <c r="BK8" s="152" t="n"/>
      <c r="BL8" s="152" t="n"/>
      <c r="BM8" s="152" t="inlineStr">
        <is>
          <t>Yes</t>
        </is>
      </c>
      <c r="BN8" s="152" t="inlineStr">
        <is>
          <t>Not disclosed</t>
        </is>
      </c>
      <c r="BO8" s="156" t="inlineStr">
        <is>
          <t>Market: Research institutions, robotics labs, AI development, demonstrations · Manipulation 2/4 · Navigation 2/4 · Human-safe: Yes · AI: Likely via cloud API (OpenAI, Alibaba Qwen, Baidu, etc.) · Actuation: Brushless Motor · Peak 3 km/h · Walk 2 km/h · Runtime 1.5</t>
        </is>
      </c>
      <c r="BP8" s="152" t="n"/>
      <c r="BQ8" s="156" t="inlineStr">
        <is>
          <t>Research institutions, robotics labs, AI development, demonstrations</t>
        </is>
      </c>
      <c r="BR8" s="156" t="inlineStr">
        <is>
          <t>Prototype</t>
        </is>
      </c>
      <c r="BS8" s="156" t="inlineStr">
        <is>
          <t>Prototype</t>
        </is>
      </c>
      <c r="BT8" s="152" t="inlineStr">
        <is>
          <t>White</t>
        </is>
      </c>
      <c r="BU8" s="152" t="inlineStr">
        <is>
          <t>Not verified</t>
        </is>
      </c>
      <c r="BV8" s="156" t="n"/>
      <c r="BW8" s="156" t="inlineStr">
        <is>
          <t>Origin &amp; status — China · Prototype · 2026 | Manipulation — 5 per hand · 5 per hand fingers · Hand DOF 7 · Payload 22 lb | Sensing &amp; software — 1080p RGB + depth camera · Likely via cloud API (OpenAI, Alibaba Qwen, Baidu, etc.) · Linux (ROS2-based) | Buying notes — From $65,000 · 12 months manufacturer standard (typical research/commercial humanoid) · Best fit: Research institutions, robotics labs, AI development, demonstrat…</t>
        </is>
      </c>
      <c r="BX8" s="156" t="inlineStr">
        <is>
          <t>as_shipped|Alice|65000|As shipped</t>
        </is>
      </c>
      <c r="BY8" s="152" t="inlineStr">
        <is>
          <t>white|White|#e2e8f0|0</t>
        </is>
      </c>
      <c r="BZ8" s="152" t="inlineStr"/>
      <c r="CA8" s="156" t="n"/>
      <c r="CB8" s="156" t="inlineStr">
        <is>
          <t>12 months manufacturer standard (typical research/commercial humanoid)</t>
        </is>
      </c>
      <c r="CC8" s="154" t="n">
        <v>12</v>
      </c>
      <c r="CD8" s="156" t="inlineStr">
        <is>
          <t>+3 Year Extended ≈24% of configuration (default in configurator)</t>
        </is>
      </c>
      <c r="CE8" s="152" t="inlineStr">
        <is>
          <t>Humanoid category norm 2025–2026</t>
        </is>
      </c>
      <c r="CF8" s="152" t="inlineStr">
        <is>
          <t>Estimated</t>
        </is>
      </c>
      <c r="CG8" s="156" t="inlineStr">
        <is>
          <t>Confirm on formal OEM quote. EDU or enterprise packages may differ.</t>
        </is>
      </c>
      <c r="CH8" s="152" t="inlineStr">
        <is>
          <t>10%</t>
        </is>
      </c>
      <c r="CI8" s="152" t="inlineStr">
        <is>
          <t>17%</t>
        </is>
      </c>
      <c r="CJ8" s="152" t="inlineStr">
        <is>
          <t>24%</t>
        </is>
      </c>
      <c r="CK8" s="156" t="inlineStr">
        <is>
          <t>+1yr ≈10% | +2yr ≈17% | +3yr ≈24% of selected configuration price (parts &amp; labor beyond manufacturer standard).</t>
        </is>
      </c>
      <c r="CL8"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8" s="152" t="inlineStr">
        <is>
          <t>12 months manufacturer standard (typical research/commercial humanoid)</t>
        </is>
      </c>
      <c r="CQ8" s="101" t="inlineStr">
        <is>
          <t>Height: 5 ft 2 in | Weight: 110.2 | Degrees of Freedom: 31 | Payload: 22 | Max Speed: 1.86 | Battery / Runtime: ≈ 1.5 hours</t>
        </is>
      </c>
    </row>
    <row r="9" ht="31.5" customHeight="1" s="102">
      <c r="A9" s="145" t="inlineStr">
        <is>
          <t>aei_robot_alice_m1</t>
        </is>
      </c>
      <c r="B9" s="153" t="inlineStr">
        <is>
          <t>Humanoid.guide</t>
        </is>
      </c>
      <c r="C9" s="145" t="inlineStr">
        <is>
          <t>AEI Robot</t>
        </is>
      </c>
      <c r="D9" s="145" t="inlineStr">
        <is>
          <t>Alice M1</t>
        </is>
      </c>
      <c r="E9" s="145" t="inlineStr">
        <is>
          <t>[AEI Robot] Alice M1 (2026)</t>
        </is>
      </c>
      <c r="F9" s="146" t="inlineStr">
        <is>
          <t>humanoid</t>
        </is>
      </c>
      <c r="G9" s="145" t="inlineStr">
        <is>
          <t>South Korea</t>
        </is>
      </c>
      <c r="H9" s="145" t="n"/>
      <c r="I9" s="148" t="n">
        <v>45000</v>
      </c>
      <c r="J9" s="145" t="inlineStr">
        <is>
          <t>Humanoid.guide list</t>
        </is>
      </c>
      <c r="K9" s="149" t="inlineStr">
        <is>
          <t>A versatile mobile humanoid robot with an adjustable height system and high-DOF arms, optimized for industrial and manufacturing environments.</t>
        </is>
      </c>
      <c r="L9" s="101" t="inlineStr">
        <is>
          <t>A versatile mobile humanoid robot with an adjustable height system and high-DOF arms, optimized for industrial and manufacturing environments.</t>
        </is>
      </c>
      <c r="M9" s="101" t="inlineStr">
        <is>
          <t>Alice M1 is AEI Robot's humanoid, introduced around 2026 in South Korea. A versatile mobile humanoid robot with an adjustable height system and high-DOF arms, optimized for industrial and manufacturing environments. Public status is listed as in Production / Industrial Deployment, and it is positioned for construction; Manufacturing; Shipbuilding.</t>
        </is>
      </c>
      <c r="N9" s="150" t="inlineStr">
        <is>
          <t>https://humanoid.guide/product/alice-m1/</t>
        </is>
      </c>
      <c r="O9" s="150" t="inlineStr">
        <is>
          <t>https://arobot4all.com</t>
        </is>
      </c>
      <c r="P9" s="145" t="inlineStr">
        <is>
          <t>4 ft 3 in</t>
        </is>
      </c>
      <c r="Q9" s="145" t="n">
        <v>130</v>
      </c>
      <c r="R9" s="145" t="n">
        <v>213.8</v>
      </c>
      <c r="S9" s="145" t="n">
        <v>97</v>
      </c>
      <c r="T9" s="149" t="inlineStr">
        <is>
          <t>Not disclosed</t>
        </is>
      </c>
      <c r="U9" s="145" t="inlineStr">
        <is>
          <t>~1450 x 500 x 400 mm (Approx.)</t>
        </is>
      </c>
      <c r="V9" s="145" t="inlineStr">
        <is>
          <t>31</t>
        </is>
      </c>
      <c r="W9" s="149" t="inlineStr">
        <is>
          <t>12</t>
        </is>
      </c>
      <c r="X9" s="145" t="n">
        <v>17.6</v>
      </c>
      <c r="Y9" s="145" t="n">
        <v>8</v>
      </c>
      <c r="Z9" s="145" t="n">
        <v>1.86</v>
      </c>
      <c r="AA9" s="145" t="n">
        <v>3</v>
      </c>
      <c r="AB9" s="145" t="n"/>
      <c r="AC9" s="149" t="inlineStr">
        <is>
          <t>~1.5 - 2.0 hours (Estimated)</t>
        </is>
      </c>
      <c r="AD9" s="149" t="inlineStr">
        <is>
          <t>~1.5 - 2.0 hours (Estimated)</t>
        </is>
      </c>
      <c r="AE9" s="145" t="n"/>
      <c r="AF9" s="145" t="inlineStr">
        <is>
          <t>Not disclosed</t>
        </is>
      </c>
      <c r="AG9" s="149" t="inlineStr">
        <is>
          <t>5 per hand</t>
        </is>
      </c>
      <c r="AH9" s="145" t="inlineStr">
        <is>
          <t>5 per hand</t>
        </is>
      </c>
      <c r="AI9" s="145" t="n"/>
      <c r="AJ9" s="149" t="inlineStr">
        <is>
          <t>1080p (Stereo/Depth sensors)</t>
        </is>
      </c>
      <c r="AK9" s="149" t="inlineStr">
        <is>
          <t>1080p (Stereo/Depth sensors)</t>
        </is>
      </c>
      <c r="AL9" s="145" t="inlineStr">
        <is>
          <t>Not disclosed</t>
        </is>
      </c>
      <c r="AM9" s="145" t="n"/>
      <c r="AN9" s="145" t="inlineStr">
        <is>
          <t>Not disclosed</t>
        </is>
      </c>
      <c r="AO9" s="145" t="inlineStr">
        <is>
          <t>Not disclosed</t>
        </is>
      </c>
      <c r="AP9" s="145" t="inlineStr">
        <is>
          <t>Not disclosed</t>
        </is>
      </c>
      <c r="AQ9" s="145" t="inlineStr">
        <is>
          <t>Not disclosed</t>
        </is>
      </c>
      <c r="AR9" s="145" t="n"/>
      <c r="AS9" s="145" t="n"/>
      <c r="AT9" s="149" t="inlineStr">
        <is>
          <t>NVIDIA AGX Orin (AFE-R360)</t>
        </is>
      </c>
      <c r="AU9" s="149" t="inlineStr">
        <is>
          <t>Ethernet; Wi‑Fi</t>
        </is>
      </c>
      <c r="AV9" s="145" t="inlineStr">
        <is>
          <t>Not disclosed</t>
        </is>
      </c>
      <c r="AW9" s="149" t="inlineStr">
        <is>
          <t>Not disclosed</t>
        </is>
      </c>
      <c r="AX9" s="145" t="n"/>
      <c r="AY9" s="149" t="inlineStr">
        <is>
          <t>Linux / ROS2</t>
        </is>
      </c>
      <c r="AZ9" s="149" t="inlineStr">
        <is>
          <t>Supported (Via ROS2/AI API)</t>
        </is>
      </c>
      <c r="BA9" s="149" t="inlineStr">
        <is>
          <t>~250–450 ms</t>
        </is>
      </c>
      <c r="BB9" s="149" t="inlineStr">
        <is>
          <t>Brushless DC Motors</t>
        </is>
      </c>
      <c r="BC9" s="149" t="inlineStr">
        <is>
          <t>Harmonic Drive / Cycloidal</t>
        </is>
      </c>
      <c r="BD9" s="145" t="inlineStr">
        <is>
          <t>Aluminum and High-strength Composites</t>
        </is>
      </c>
      <c r="BE9" s="145" t="inlineStr">
        <is>
          <t>IP20</t>
        </is>
      </c>
      <c r="BF9" s="145" t="inlineStr">
        <is>
          <t>IP20 (Indoor industrial use)</t>
        </is>
      </c>
      <c r="BG9" s="145" t="n"/>
      <c r="BH9" s="145" t="n"/>
      <c r="BI9" s="145" t="n"/>
      <c r="BJ9" s="145" t="n"/>
      <c r="BK9" s="145" t="n"/>
      <c r="BL9" s="145" t="n"/>
      <c r="BM9" s="145" t="inlineStr">
        <is>
          <t>Yes</t>
        </is>
      </c>
      <c r="BN9" s="145" t="inlineStr">
        <is>
          <t>Not disclosed</t>
        </is>
      </c>
      <c r="BO9" s="149" t="inlineStr">
        <is>
          <t>Market: Construction; Manufacturing; Shipbuilding · Human-safe: Yes · AI: Supported (Via ROS2/AI API) · Actuation: Brushless DC Motors · Peak 3 km/h · Runtime ~1.5 - 2.0 hours (Estimated)</t>
        </is>
      </c>
      <c r="BP9" s="145" t="n"/>
      <c r="BQ9" s="149" t="inlineStr">
        <is>
          <t>Construction; Manufacturing; Shipbuilding</t>
        </is>
      </c>
      <c r="BR9" s="149" t="inlineStr">
        <is>
          <t>In Production / Industrial Deployment</t>
        </is>
      </c>
      <c r="BS9" s="149" t="inlineStr">
        <is>
          <t>In Production / Industrial Deployment</t>
        </is>
      </c>
      <c r="BT9" s="145" t="inlineStr">
        <is>
          <t>Orange + Grey</t>
        </is>
      </c>
      <c r="BU9" s="145" t="inlineStr">
        <is>
          <t>Not verified</t>
        </is>
      </c>
      <c r="BV9" s="149" t="n"/>
      <c r="BW9" s="149" t="inlineStr">
        <is>
          <t>Origin &amp; status — South Korea · In Production / Industrial Deployment · 2026 | Manipulation — 5 per hand · 5 per hand fingers · Hand DOF 12 · Payload 17.6 lb | Sensing &amp; software — 1080p (Stereo/Depth sensors) · Supported (Via ROS2/AI API) · Linux / ROS2 | Buying notes — From $45,000 · 12 months manufacturer standard (typical research/commercial humanoid) · Best fit: Construction</t>
        </is>
      </c>
      <c r="BX9" s="149" t="inlineStr">
        <is>
          <t>as_shipped|Alice M1|45000|As shipped</t>
        </is>
      </c>
      <c r="BY9" s="145" t="inlineStr">
        <is>
          <t>orange_grey|Orange + Grey|#e2e8f0|0</t>
        </is>
      </c>
      <c r="BZ9" s="145" t="inlineStr"/>
      <c r="CA9" s="149" t="n"/>
      <c r="CB9" s="149" t="inlineStr">
        <is>
          <t>12 months manufacturer standard (typical research/commercial humanoid)</t>
        </is>
      </c>
      <c r="CC9" s="147" t="n">
        <v>12</v>
      </c>
      <c r="CD9" s="149" t="inlineStr">
        <is>
          <t>+3 Year Extended ≈24% of configuration (default in configurator)</t>
        </is>
      </c>
      <c r="CE9" s="145" t="inlineStr">
        <is>
          <t>Humanoid category norm 2025–2026</t>
        </is>
      </c>
      <c r="CF9" s="145" t="inlineStr">
        <is>
          <t>Estimated</t>
        </is>
      </c>
      <c r="CG9" s="149" t="inlineStr">
        <is>
          <t>Confirm on formal OEM quote. EDU or enterprise packages may differ.</t>
        </is>
      </c>
      <c r="CH9" s="145" t="inlineStr">
        <is>
          <t>10%</t>
        </is>
      </c>
      <c r="CI9" s="145" t="inlineStr">
        <is>
          <t>17%</t>
        </is>
      </c>
      <c r="CJ9" s="145" t="inlineStr">
        <is>
          <t>24%</t>
        </is>
      </c>
      <c r="CK9" s="149" t="inlineStr">
        <is>
          <t>+1yr ≈10% | +2yr ≈17% | +3yr ≈24% of selected configuration price (parts &amp; labor beyond manufacturer standard).</t>
        </is>
      </c>
      <c r="CL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9" s="145" t="inlineStr">
        <is>
          <t>12 months manufacturer standard (typical research/commercial humanoid)</t>
        </is>
      </c>
      <c r="CQ9" s="101" t="inlineStr">
        <is>
          <t>Height: 4 ft 3 in | Weight: 213.8 | Degrees of Freedom: 31 | Payload: 17.6 | Max Speed: 1.86 | Battery / Runtime: ~1.5 - 2.0 hours (Estimated)</t>
        </is>
      </c>
    </row>
    <row r="10" ht="31.5" customHeight="1" s="102">
      <c r="A10" s="152" t="inlineStr">
        <is>
          <t>agibot_a2</t>
        </is>
      </c>
      <c r="B10" s="153" t="inlineStr">
        <is>
          <t>Humanoid.guide</t>
        </is>
      </c>
      <c r="C10" s="152" t="inlineStr">
        <is>
          <t>AgiBot</t>
        </is>
      </c>
      <c r="D10" s="152" t="inlineStr">
        <is>
          <t>A2</t>
        </is>
      </c>
      <c r="E10" s="152" t="inlineStr">
        <is>
          <t>[AgiBot] A2 (2026)</t>
        </is>
      </c>
      <c r="F10" s="146" t="inlineStr">
        <is>
          <t>humanoid</t>
        </is>
      </c>
      <c r="G10" s="152" t="inlineStr">
        <is>
          <t>China</t>
        </is>
      </c>
      <c r="H10" s="152" t="n"/>
      <c r="I10" s="155" t="n">
        <v>44560</v>
      </c>
      <c r="J10" s="152" t="inlineStr">
        <is>
          <t>Robot Price Index Aug 2026 · A2 entry</t>
        </is>
      </c>
      <c r="K10" s="156" t="inlineStr">
        <is>
          <t>Standing 1.7 meters tall, it integrates an AI-driven system with sensors for perception, navigation, and spatial understanding.</t>
        </is>
      </c>
      <c r="L10" s="101" t="inlineStr">
        <is>
          <t>Standing 1.7 meters tall, it integrates an AI-driven system with sensors for perception, navigation, and spatial understanding.</t>
        </is>
      </c>
      <c r="M10" s="101" t="inlineStr">
        <is>
          <t>A2 is AgiBot's humanoid, introduced around 2026 in China. Standing 1.7 meters tall, it integrates an AI-driven system with sensors for perception, navigation, and spatial understanding. Public status is listed as prototype.</t>
        </is>
      </c>
      <c r="N10" s="157" t="inlineStr">
        <is>
          <t>https://humanoid.guide/product/a2/</t>
        </is>
      </c>
      <c r="O10" s="157" t="inlineStr">
        <is>
          <t>https://www.agibot.com</t>
        </is>
      </c>
      <c r="P10" s="152" t="inlineStr">
        <is>
          <t>5 ft 7 in</t>
        </is>
      </c>
      <c r="Q10" s="152" t="n">
        <v>170</v>
      </c>
      <c r="R10" s="152" t="n">
        <v>132.3</v>
      </c>
      <c r="S10" s="152" t="n">
        <v>60</v>
      </c>
      <c r="T10" s="156" t="inlineStr">
        <is>
          <t>Not disclosed</t>
        </is>
      </c>
      <c r="U10" s="152" t="n"/>
      <c r="V10" s="152" t="inlineStr">
        <is>
          <t>20</t>
        </is>
      </c>
      <c r="W10" s="156" t="inlineStr">
        <is>
          <t>Not disclosed</t>
        </is>
      </c>
      <c r="X10" s="152" t="n">
        <v>22</v>
      </c>
      <c r="Y10" s="152" t="n">
        <v>10</v>
      </c>
      <c r="Z10" s="152" t="n">
        <v>2.49</v>
      </c>
      <c r="AA10" s="152" t="n">
        <v>4</v>
      </c>
      <c r="AB10" s="152" t="n">
        <v>3.5</v>
      </c>
      <c r="AC10" s="156" t="inlineStr">
        <is>
          <t>≈ 3 hours</t>
        </is>
      </c>
      <c r="AD10" s="156" t="inlineStr">
        <is>
          <t>3</t>
        </is>
      </c>
      <c r="AE10" s="152" t="n"/>
      <c r="AF10" s="152" t="inlineStr">
        <is>
          <t>Not disclosed</t>
        </is>
      </c>
      <c r="AG10" s="156" t="inlineStr">
        <is>
          <t>Not disclosed</t>
        </is>
      </c>
      <c r="AH10" s="152" t="inlineStr">
        <is>
          <t>Not disclosed</t>
        </is>
      </c>
      <c r="AI10" s="158" t="n">
        <v>2</v>
      </c>
      <c r="AJ10" s="156" t="inlineStr">
        <is>
          <t>Not disclosed</t>
        </is>
      </c>
      <c r="AK10" s="156" t="n"/>
      <c r="AL10" s="152" t="inlineStr">
        <is>
          <t>Not disclosed</t>
        </is>
      </c>
      <c r="AM10" s="152" t="n"/>
      <c r="AN10" s="152" t="inlineStr">
        <is>
          <t>Not disclosed</t>
        </is>
      </c>
      <c r="AO10" s="152" t="inlineStr">
        <is>
          <t>Not disclosed</t>
        </is>
      </c>
      <c r="AP10" s="152" t="inlineStr">
        <is>
          <t>Not disclosed</t>
        </is>
      </c>
      <c r="AQ10" s="152" t="inlineStr">
        <is>
          <t>Not disclosed</t>
        </is>
      </c>
      <c r="AR10" s="152" t="n"/>
      <c r="AS10" s="152" t="n"/>
      <c r="AT10" s="156" t="inlineStr">
        <is>
          <t>Not disclosed</t>
        </is>
      </c>
      <c r="AU10" s="156" t="inlineStr">
        <is>
          <t>Not disclosed</t>
        </is>
      </c>
      <c r="AV10" s="152" t="inlineStr">
        <is>
          <t>Not disclosed</t>
        </is>
      </c>
      <c r="AW10" s="156" t="inlineStr">
        <is>
          <t>Not disclosed</t>
        </is>
      </c>
      <c r="AX10" s="158" t="n">
        <v>2</v>
      </c>
      <c r="AY10" s="156" t="inlineStr">
        <is>
          <t>Not disclosed</t>
        </is>
      </c>
      <c r="AZ10" s="156" t="inlineStr">
        <is>
          <t>Not disclosed</t>
        </is>
      </c>
      <c r="BA10" s="156" t="n"/>
      <c r="BB10" s="156" t="inlineStr">
        <is>
          <t>Not disclosed</t>
        </is>
      </c>
      <c r="BC10" s="156" t="inlineStr">
        <is>
          <t>Not disclosed</t>
        </is>
      </c>
      <c r="BD10" s="152" t="inlineStr">
        <is>
          <t>Not disclosed</t>
        </is>
      </c>
      <c r="BE10" s="152" t="inlineStr">
        <is>
          <t>Not disclosed</t>
        </is>
      </c>
      <c r="BF10" s="152" t="n"/>
      <c r="BG10" s="152" t="n"/>
      <c r="BH10" s="152" t="n"/>
      <c r="BI10" s="152" t="n"/>
      <c r="BJ10" s="152" t="n"/>
      <c r="BK10" s="152" t="n"/>
      <c r="BL10" s="152" t="n"/>
      <c r="BM10" s="152" t="inlineStr">
        <is>
          <t>Not disclosed</t>
        </is>
      </c>
      <c r="BN10" s="152" t="inlineStr">
        <is>
          <t>Not disclosed</t>
        </is>
      </c>
      <c r="BO10" s="156" t="inlineStr">
        <is>
          <t>Manipulation 2/4 · Navigation 2/4 · Peak 4 km/h · Walk 3.5 km/h · Runtime 3</t>
        </is>
      </c>
      <c r="BP10" s="152" t="n"/>
      <c r="BQ10" s="156" t="inlineStr">
        <is>
          <t>Research labs, commercial pilots, and education programs evaluating a humanoid from AgiBot (China) now listed as prototype.</t>
        </is>
      </c>
      <c r="BR10" s="156" t="inlineStr">
        <is>
          <t>Prototype</t>
        </is>
      </c>
      <c r="BS10" s="156" t="inlineStr">
        <is>
          <t>Prototype</t>
        </is>
      </c>
      <c r="BT10" s="152" t="n"/>
      <c r="BU10" s="152" t="inlineStr">
        <is>
          <t>Not verified</t>
        </is>
      </c>
      <c r="BV10" s="156" t="n"/>
      <c r="BW10" s="156" t="inlineStr">
        <is>
          <t>Origin &amp; status — China · Prototype · 2026 | Manipulation — Payload 22 lb | Sensing &amp; software — Sensor and compute package confirmed on formal quote | Buying notes — From $44,560 · 12 months manufacturer standard (typical research/commercial humanoid)</t>
        </is>
      </c>
      <c r="BX10" s="156" t="inlineStr">
        <is>
          <t>as_shipped|A2|44560|As shipped</t>
        </is>
      </c>
      <c r="BY10" s="152" t="inlineStr">
        <is>
          <t>a2|Manufacturer finish|#e2e8f0|0</t>
        </is>
      </c>
      <c r="BZ10" s="152" t="inlineStr"/>
      <c r="CA10" s="156" t="n"/>
      <c r="CB10" s="156" t="inlineStr">
        <is>
          <t>12 months manufacturer standard (typical research/commercial humanoid)</t>
        </is>
      </c>
      <c r="CC10" s="154" t="n">
        <v>12</v>
      </c>
      <c r="CD10" s="156" t="inlineStr">
        <is>
          <t>+3 Year Extended ≈24% of configuration (default in configurator)</t>
        </is>
      </c>
      <c r="CE10" s="152" t="inlineStr">
        <is>
          <t>Humanoid category norm 2025–2026</t>
        </is>
      </c>
      <c r="CF10" s="152" t="inlineStr">
        <is>
          <t>Estimated</t>
        </is>
      </c>
      <c r="CG10" s="156" t="inlineStr">
        <is>
          <t>Confirm on formal OEM quote. EDU or enterprise packages may differ.</t>
        </is>
      </c>
      <c r="CH10" s="152" t="inlineStr">
        <is>
          <t>10%</t>
        </is>
      </c>
      <c r="CI10" s="152" t="inlineStr">
        <is>
          <t>17%</t>
        </is>
      </c>
      <c r="CJ10" s="152" t="inlineStr">
        <is>
          <t>24%</t>
        </is>
      </c>
      <c r="CK10" s="156" t="inlineStr">
        <is>
          <t>+1yr ≈10% | +2yr ≈17% | +3yr ≈24% of selected configuration price (parts &amp; labor beyond manufacturer standard).</t>
        </is>
      </c>
      <c r="CL10"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0" s="152" t="inlineStr">
        <is>
          <t>12 months manufacturer standard (typical research/commercial humanoid)</t>
        </is>
      </c>
      <c r="CQ10" s="101" t="inlineStr">
        <is>
          <t>Height: 5 ft 7 in | Weight: 132.3 | Degrees of Freedom: 20 | Payload: 22 | Max Speed: 2.49 | Battery / Runtime: ≈ 3 hours</t>
        </is>
      </c>
    </row>
    <row r="11" ht="31.5" customHeight="1" s="102">
      <c r="A11" s="145" t="inlineStr">
        <is>
          <t>agibot_a2_max</t>
        </is>
      </c>
      <c r="B11" s="153" t="inlineStr">
        <is>
          <t>Humanoid.guide</t>
        </is>
      </c>
      <c r="C11" s="145" t="inlineStr">
        <is>
          <t>AgiBot</t>
        </is>
      </c>
      <c r="D11" s="145" t="inlineStr">
        <is>
          <t>A2 Max</t>
        </is>
      </c>
      <c r="E11" s="145" t="inlineStr">
        <is>
          <t>[AgiBot] A2 Max (2026)</t>
        </is>
      </c>
      <c r="F11" s="146" t="inlineStr">
        <is>
          <t>humanoid</t>
        </is>
      </c>
      <c r="G11" s="145" t="inlineStr">
        <is>
          <t>China</t>
        </is>
      </c>
      <c r="H11" s="145" t="n"/>
      <c r="I11" s="148" t="n">
        <v>80000</v>
      </c>
      <c r="J11" s="145" t="inlineStr">
        <is>
          <t>Estimate · A2 Max above A2 entry</t>
        </is>
      </c>
      <c r="K11" s="149" t="inlineStr">
        <is>
          <t>The Agibot A2 Max by Agile Robots is a robust humanoid robot designed for complex, high-demand applications across industries like logistics and healthcare.</t>
        </is>
      </c>
      <c r="L11" s="101" t="inlineStr">
        <is>
          <t>The Agibot A2 Max by Agile Robots is a robust humanoid robot designed for complex, high-demand applications across industries like logistics and healthcare.</t>
        </is>
      </c>
      <c r="M11" s="101" t="inlineStr">
        <is>
          <t>A2 Max is AgiBot's humanoid, introduced around 2026 in China. The Agibot A2 Max by Agile Robots is a robust humanoid robot designed for complex, high-demand applications across industries like logistics and healthcare. Public status is listed as prototype.</t>
        </is>
      </c>
      <c r="N11" s="150" t="inlineStr">
        <is>
          <t>https://humanoid.guide/product/a2-max/</t>
        </is>
      </c>
      <c r="O11" s="150" t="inlineStr">
        <is>
          <t>https://www.agibot.com</t>
        </is>
      </c>
      <c r="P11" s="145" t="inlineStr">
        <is>
          <t>5 ft 10 in</t>
        </is>
      </c>
      <c r="Q11" s="145" t="n">
        <v>178</v>
      </c>
      <c r="R11" s="145" t="n">
        <v>187.4</v>
      </c>
      <c r="S11" s="145" t="n">
        <v>85</v>
      </c>
      <c r="T11" s="149" t="inlineStr">
        <is>
          <t>Not disclosed</t>
        </is>
      </c>
      <c r="U11" s="145" t="n"/>
      <c r="V11" s="145" t="inlineStr">
        <is>
          <t>25</t>
        </is>
      </c>
      <c r="W11" s="149" t="inlineStr">
        <is>
          <t>Not disclosed</t>
        </is>
      </c>
      <c r="X11" s="145" t="n">
        <v>22</v>
      </c>
      <c r="Y11" s="145" t="n">
        <v>10</v>
      </c>
      <c r="Z11" s="145" t="n">
        <v>3.11</v>
      </c>
      <c r="AA11" s="145" t="n">
        <v>5</v>
      </c>
      <c r="AB11" s="145" t="n">
        <v>4</v>
      </c>
      <c r="AC11" s="149" t="inlineStr">
        <is>
          <t>≈ 4 hours</t>
        </is>
      </c>
      <c r="AD11" s="149" t="inlineStr">
        <is>
          <t>4</t>
        </is>
      </c>
      <c r="AE11" s="145" t="n"/>
      <c r="AF11" s="145" t="inlineStr">
        <is>
          <t>Not disclosed</t>
        </is>
      </c>
      <c r="AG11" s="149" t="inlineStr">
        <is>
          <t>Not disclosed</t>
        </is>
      </c>
      <c r="AH11" s="145" t="inlineStr">
        <is>
          <t>Not disclosed</t>
        </is>
      </c>
      <c r="AI11" s="158" t="n">
        <v>2</v>
      </c>
      <c r="AJ11" s="149" t="inlineStr">
        <is>
          <t>Not disclosed</t>
        </is>
      </c>
      <c r="AK11" s="149" t="n"/>
      <c r="AL11" s="145" t="inlineStr">
        <is>
          <t>Not disclosed</t>
        </is>
      </c>
      <c r="AM11" s="145" t="n"/>
      <c r="AN11" s="145" t="inlineStr">
        <is>
          <t>Not disclosed</t>
        </is>
      </c>
      <c r="AO11" s="145" t="inlineStr">
        <is>
          <t>Not disclosed</t>
        </is>
      </c>
      <c r="AP11" s="145" t="inlineStr">
        <is>
          <t>Not disclosed</t>
        </is>
      </c>
      <c r="AQ11" s="145" t="inlineStr">
        <is>
          <t>Not disclosed</t>
        </is>
      </c>
      <c r="AR11" s="145" t="n"/>
      <c r="AS11" s="145" t="n"/>
      <c r="AT11" s="149" t="inlineStr">
        <is>
          <t>Not disclosed</t>
        </is>
      </c>
      <c r="AU11" s="149" t="inlineStr">
        <is>
          <t>Not disclosed</t>
        </is>
      </c>
      <c r="AV11" s="145" t="inlineStr">
        <is>
          <t>Not disclosed</t>
        </is>
      </c>
      <c r="AW11" s="149" t="inlineStr">
        <is>
          <t>Not disclosed</t>
        </is>
      </c>
      <c r="AX11" s="158" t="n">
        <v>2</v>
      </c>
      <c r="AY11" s="149" t="inlineStr">
        <is>
          <t>Not disclosed</t>
        </is>
      </c>
      <c r="AZ11" s="149" t="inlineStr">
        <is>
          <t>Not disclosed</t>
        </is>
      </c>
      <c r="BA11" s="149" t="n"/>
      <c r="BB11" s="149" t="inlineStr">
        <is>
          <t>Not disclosed</t>
        </is>
      </c>
      <c r="BC11" s="149" t="inlineStr">
        <is>
          <t>Not disclosed</t>
        </is>
      </c>
      <c r="BD11" s="145" t="inlineStr">
        <is>
          <t>Not disclosed</t>
        </is>
      </c>
      <c r="BE11" s="145" t="inlineStr">
        <is>
          <t>Not disclosed</t>
        </is>
      </c>
      <c r="BF11" s="145" t="n"/>
      <c r="BG11" s="145" t="n"/>
      <c r="BH11" s="145" t="n"/>
      <c r="BI11" s="145" t="n"/>
      <c r="BJ11" s="145" t="n"/>
      <c r="BK11" s="145" t="n"/>
      <c r="BL11" s="145" t="n"/>
      <c r="BM11" s="145" t="inlineStr">
        <is>
          <t>Not disclosed</t>
        </is>
      </c>
      <c r="BN11" s="145" t="inlineStr">
        <is>
          <t>Not disclosed</t>
        </is>
      </c>
      <c r="BO11" s="149" t="inlineStr">
        <is>
          <t>Manipulation 2/4 · Navigation 2/4 · Peak 5 km/h · Walk 4 km/h · Runtime 4</t>
        </is>
      </c>
      <c r="BP11" s="145" t="n"/>
      <c r="BQ11" s="149" t="inlineStr">
        <is>
          <t>Research labs, commercial pilots, and education programs evaluating a humanoid from AgiBot (China) now listed as prototype.</t>
        </is>
      </c>
      <c r="BR11" s="149" t="inlineStr">
        <is>
          <t>Prototype</t>
        </is>
      </c>
      <c r="BS11" s="149" t="inlineStr">
        <is>
          <t>Prototype</t>
        </is>
      </c>
      <c r="BT11" s="145" t="n"/>
      <c r="BU11" s="145" t="inlineStr">
        <is>
          <t>Not verified</t>
        </is>
      </c>
      <c r="BV11" s="149" t="n"/>
      <c r="BW11" s="149" t="inlineStr">
        <is>
          <t>Origin &amp; status — China · Prototype · 2026 | Manipulation — Payload 22 lb | Sensing &amp; software — Sensor and compute package confirmed on formal quote | Buying notes — From $80,000 · 12 months manufacturer standard (typical research/commercial humanoid)</t>
        </is>
      </c>
      <c r="BX11" s="149" t="inlineStr">
        <is>
          <t>as_shipped|A2 Max|80000|As shipped</t>
        </is>
      </c>
      <c r="BY11" s="145" t="inlineStr">
        <is>
          <t>a2_max|Manufacturer finish|#e2e8f0|0</t>
        </is>
      </c>
      <c r="BZ11" s="145" t="inlineStr"/>
      <c r="CA11" s="149" t="n"/>
      <c r="CB11" s="149" t="inlineStr">
        <is>
          <t>12 months manufacturer standard (typical research/commercial humanoid)</t>
        </is>
      </c>
      <c r="CC11" s="147" t="n">
        <v>12</v>
      </c>
      <c r="CD11" s="149" t="inlineStr">
        <is>
          <t>+3 Year Extended ≈24% of configuration (default in configurator)</t>
        </is>
      </c>
      <c r="CE11" s="145" t="inlineStr">
        <is>
          <t>Humanoid category norm 2025–2026</t>
        </is>
      </c>
      <c r="CF11" s="145" t="inlineStr">
        <is>
          <t>Estimated</t>
        </is>
      </c>
      <c r="CG11" s="149" t="inlineStr">
        <is>
          <t>Confirm on formal OEM quote. EDU or enterprise packages may differ.</t>
        </is>
      </c>
      <c r="CH11" s="145" t="inlineStr">
        <is>
          <t>10%</t>
        </is>
      </c>
      <c r="CI11" s="145" t="inlineStr">
        <is>
          <t>17%</t>
        </is>
      </c>
      <c r="CJ11" s="145" t="inlineStr">
        <is>
          <t>24%</t>
        </is>
      </c>
      <c r="CK11" s="149" t="inlineStr">
        <is>
          <t>+1yr ≈10% | +2yr ≈17% | +3yr ≈24% of selected configuration price (parts &amp; labor beyond manufacturer standard).</t>
        </is>
      </c>
      <c r="CL1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1" s="145" t="inlineStr">
        <is>
          <t>12 months manufacturer standard (typical research/commercial humanoid)</t>
        </is>
      </c>
      <c r="CQ11" s="101" t="inlineStr">
        <is>
          <t>Height: 5 ft 10 in | Weight: 187.4 | Degrees of Freedom: 25 | Payload: 22 | Max Speed: 3.11 | Battery / Runtime: ≈ 4 hours</t>
        </is>
      </c>
    </row>
    <row r="12" ht="31.5" customHeight="1" s="102">
      <c r="A12" s="152" t="inlineStr">
        <is>
          <t>agibot_agibot_a2_w</t>
        </is>
      </c>
      <c r="B12" s="153" t="inlineStr">
        <is>
          <t>Humanoid.guide</t>
        </is>
      </c>
      <c r="C12" s="152" t="inlineStr">
        <is>
          <t>AgiBot</t>
        </is>
      </c>
      <c r="D12" s="152" t="inlineStr">
        <is>
          <t>AGIBOT A2-W</t>
        </is>
      </c>
      <c r="E12" s="152" t="inlineStr">
        <is>
          <t>[AgiBot] AGIBOT A2-W (2026)</t>
        </is>
      </c>
      <c r="F12" s="146" t="inlineStr">
        <is>
          <t>humanoid</t>
        </is>
      </c>
      <c r="G12" s="152" t="inlineStr">
        <is>
          <t>China</t>
        </is>
      </c>
      <c r="H12" s="152" t="n"/>
      <c r="I12" s="155" t="n">
        <v>80000</v>
      </c>
      <c r="J12" s="152" t="inlineStr">
        <is>
          <t>Estimate · wheeled A2 above A2 entry</t>
        </is>
      </c>
      <c r="K12" s="156" t="inlineStr">
        <is>
          <t>AGIBOT A2-W is a wheeled humanoid robot designed for industrial automation, research, and safe human-robot collaboration in indoor environments.</t>
        </is>
      </c>
      <c r="L12" s="101" t="inlineStr">
        <is>
          <t>AGIBOT A2-W is a wheeled humanoid robot designed for industrial automation, research, and safe human-robot collaboration in indoor environments.</t>
        </is>
      </c>
      <c r="M12" s="101" t="inlineStr">
        <is>
          <t>AGIBOT A2-W is a wheeled humanoid robot designed for industrial automation, research, and safe human-robot collaboration in indoor environments. Public status is listed as limited production / pilot deployments, and it is positioned for industrial automation; logistics; Manufacturing; research labs.</t>
        </is>
      </c>
      <c r="N12" s="157" t="inlineStr">
        <is>
          <t>https://humanoid.guide/product/agibot-a2-w/</t>
        </is>
      </c>
      <c r="O12" s="157" t="inlineStr">
        <is>
          <t>https://www.agibot.com</t>
        </is>
      </c>
      <c r="P12" s="152" t="inlineStr">
        <is>
          <t>5 ft 4 in</t>
        </is>
      </c>
      <c r="Q12" s="152" t="n">
        <v>163</v>
      </c>
      <c r="R12" s="152" t="n">
        <v>507.1</v>
      </c>
      <c r="S12" s="152" t="n">
        <v>230</v>
      </c>
      <c r="T12" s="156" t="inlineStr">
        <is>
          <t>Not disclosed</t>
        </is>
      </c>
      <c r="U12" s="152" t="n"/>
      <c r="V12" s="152" t="inlineStr">
        <is>
          <t>22</t>
        </is>
      </c>
      <c r="W12" s="156" t="inlineStr">
        <is>
          <t>7 per arm</t>
        </is>
      </c>
      <c r="X12" s="152" t="n">
        <v>26.5</v>
      </c>
      <c r="Y12" s="152" t="n">
        <v>12</v>
      </c>
      <c r="Z12" s="152" t="n">
        <v>0</v>
      </c>
      <c r="AA12" s="152" t="n">
        <v>0</v>
      </c>
      <c r="AB12" s="152" t="n"/>
      <c r="AC12" s="156" t="inlineStr">
        <is>
          <t>≈ 5 hours</t>
        </is>
      </c>
      <c r="AD12" s="156" t="inlineStr">
        <is>
          <t>5</t>
        </is>
      </c>
      <c r="AE12" s="152" t="n"/>
      <c r="AF12" s="152" t="inlineStr">
        <is>
          <t>Not disclosed</t>
        </is>
      </c>
      <c r="AG12" s="156" t="inlineStr">
        <is>
          <t>5 per hand</t>
        </is>
      </c>
      <c r="AH12" s="152" t="inlineStr">
        <is>
          <t>5 per hand</t>
        </is>
      </c>
      <c r="AI12" s="152" t="n"/>
      <c r="AJ12" s="156" t="inlineStr">
        <is>
          <t>RGBD Cameras</t>
        </is>
      </c>
      <c r="AK12" s="156" t="inlineStr">
        <is>
          <t>RGBD Cameras</t>
        </is>
      </c>
      <c r="AL12" s="152" t="inlineStr">
        <is>
          <t>Not disclosed</t>
        </is>
      </c>
      <c r="AM12" s="152" t="n"/>
      <c r="AN12" s="152" t="inlineStr">
        <is>
          <t>Not disclosed</t>
        </is>
      </c>
      <c r="AO12" s="152" t="inlineStr">
        <is>
          <t>Not disclosed</t>
        </is>
      </c>
      <c r="AP12" s="152" t="inlineStr">
        <is>
          <t>Not disclosed</t>
        </is>
      </c>
      <c r="AQ12" s="152" t="inlineStr">
        <is>
          <t>Not disclosed</t>
        </is>
      </c>
      <c r="AR12" s="152" t="n"/>
      <c r="AS12" s="152" t="n"/>
      <c r="AT12" s="156" t="inlineStr">
        <is>
          <t>Not disclosed</t>
        </is>
      </c>
      <c r="AU12" s="156" t="inlineStr">
        <is>
          <t>5G; Ethernet; Wi‑Fi</t>
        </is>
      </c>
      <c r="AV12" s="152" t="inlineStr">
        <is>
          <t>Not disclosed</t>
        </is>
      </c>
      <c r="AW12" s="156" t="inlineStr">
        <is>
          <t>Not disclosed</t>
        </is>
      </c>
      <c r="AX12" s="152" t="n"/>
      <c r="AY12" s="156" t="inlineStr">
        <is>
          <t>Linux-based robotics framework (likely ROS/ROS2)</t>
        </is>
      </c>
      <c r="AZ12" s="156" t="inlineStr">
        <is>
          <t>Supports embodied AI and potential LLM integration</t>
        </is>
      </c>
      <c r="BA12" s="156" t="inlineStr">
        <is>
          <t>Real-time processing</t>
        </is>
      </c>
      <c r="BB12" s="156" t="inlineStr">
        <is>
          <t>High-torque electric servo actuators</t>
        </is>
      </c>
      <c r="BC12" s="156" t="inlineStr">
        <is>
          <t>Precision harmonic or planetary drives</t>
        </is>
      </c>
      <c r="BD12" s="152" t="inlineStr">
        <is>
          <t>Aluminum alloy frame with composite exterior panels</t>
        </is>
      </c>
      <c r="BE12" s="152" t="inlineStr">
        <is>
          <t>IP20</t>
        </is>
      </c>
      <c r="BF12" s="152" t="inlineStr">
        <is>
          <t>IP20</t>
        </is>
      </c>
      <c r="BG12" s="152" t="n"/>
      <c r="BH12" s="152" t="n"/>
      <c r="BI12" s="152" t="n"/>
      <c r="BJ12" s="152" t="n"/>
      <c r="BK12" s="152" t="n"/>
      <c r="BL12" s="152" t="n"/>
      <c r="BM12" s="152" t="inlineStr">
        <is>
          <t>Yes</t>
        </is>
      </c>
      <c r="BN12" s="152" t="inlineStr">
        <is>
          <t>Not disclosed</t>
        </is>
      </c>
      <c r="BO12" s="156" t="inlineStr">
        <is>
          <t>Market: Industrial automation; logistics; Manufacturing; research labs · Human-safe: Yes · AI: Supports embodied AI and potential LLM integration · Actuation: High-torque electric servo actuators · Runtime 5</t>
        </is>
      </c>
      <c r="BP12" s="152" t="n"/>
      <c r="BQ12" s="156" t="inlineStr">
        <is>
          <t>Industrial automation; logistics; Manufacturing; research labs</t>
        </is>
      </c>
      <c r="BR12" s="156" t="inlineStr">
        <is>
          <t>Limited production / pilot deployments</t>
        </is>
      </c>
      <c r="BS12" s="156" t="inlineStr">
        <is>
          <t>Limited production / pilot deployments</t>
        </is>
      </c>
      <c r="BT12" s="152" t="inlineStr">
        <is>
          <t>Silver</t>
        </is>
      </c>
      <c r="BU12" s="152" t="inlineStr">
        <is>
          <t>Not verified</t>
        </is>
      </c>
      <c r="BV12" s="156" t="n"/>
      <c r="BW12" s="156" t="inlineStr">
        <is>
          <t>Origin &amp; status — China · Limited production / pilot deployments · 2026 | Manipulation — 5 per hand · 5 per hand fingers · Hand DOF 7 per arm · Payload 26.5 lb | Sensing &amp; software — RGBD Cameras · Supports embodied AI and potential LLM integration · Linux-based robotics framework (likely ROS/ROS2) | Buying notes — From $80,000 · 12 months manufacturer standard (typical research/commercial humanoid) · Best fit: Industrial automation</t>
        </is>
      </c>
      <c r="BX12" s="156" t="inlineStr">
        <is>
          <t>as_shipped|AGIBOT A2-W|80000|As shipped</t>
        </is>
      </c>
      <c r="BY12" s="152" t="inlineStr">
        <is>
          <t>silver|Silver|#e2e8f0|0</t>
        </is>
      </c>
      <c r="BZ12" s="152" t="inlineStr"/>
      <c r="CA12" s="156" t="n"/>
      <c r="CB12" s="156" t="inlineStr">
        <is>
          <t>12 months manufacturer standard (typical research/commercial humanoid)</t>
        </is>
      </c>
      <c r="CC12" s="154" t="n">
        <v>12</v>
      </c>
      <c r="CD12" s="156" t="inlineStr">
        <is>
          <t>+3 Year Extended ≈24% of configuration (default in configurator)</t>
        </is>
      </c>
      <c r="CE12" s="152" t="inlineStr">
        <is>
          <t>Humanoid category norm 2025–2026</t>
        </is>
      </c>
      <c r="CF12" s="152" t="inlineStr">
        <is>
          <t>Estimated</t>
        </is>
      </c>
      <c r="CG12" s="156" t="inlineStr">
        <is>
          <t>Confirm on formal OEM quote. EDU or enterprise packages may differ.</t>
        </is>
      </c>
      <c r="CH12" s="152" t="inlineStr">
        <is>
          <t>10%</t>
        </is>
      </c>
      <c r="CI12" s="152" t="inlineStr">
        <is>
          <t>17%</t>
        </is>
      </c>
      <c r="CJ12" s="152" t="inlineStr">
        <is>
          <t>24%</t>
        </is>
      </c>
      <c r="CK12" s="156" t="inlineStr">
        <is>
          <t>+1yr ≈10% | +2yr ≈17% | +3yr ≈24% of selected configuration price (parts &amp; labor beyond manufacturer standard).</t>
        </is>
      </c>
      <c r="CL12"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2" s="152" t="inlineStr">
        <is>
          <t>12 months manufacturer standard (typical research/commercial humanoid)</t>
        </is>
      </c>
      <c r="CQ12" s="101" t="inlineStr">
        <is>
          <t>Height: 5 ft 4 in | Weight: 507.1 | Degrees of Freedom: 22 | Payload: 26.5 | Max Speed: 0 | Battery / Runtime: ≈ 5 hours</t>
        </is>
      </c>
    </row>
    <row r="13" ht="31.5" customHeight="1" s="102">
      <c r="A13" s="145" t="inlineStr">
        <is>
          <t>agibot_agibot_a3</t>
        </is>
      </c>
      <c r="B13" s="153" t="inlineStr">
        <is>
          <t>Humanoid.guide</t>
        </is>
      </c>
      <c r="C13" s="145" t="inlineStr">
        <is>
          <t>AgiBot</t>
        </is>
      </c>
      <c r="D13" s="145" t="inlineStr">
        <is>
          <t>AGIBOT A3</t>
        </is>
      </c>
      <c r="E13" s="145" t="inlineStr">
        <is>
          <t>[AgiBot] AGIBOT A3 (2026)</t>
        </is>
      </c>
      <c r="F13" s="146" t="inlineStr">
        <is>
          <t>humanoid</t>
        </is>
      </c>
      <c r="G13" s="145" t="inlineStr">
        <is>
          <t>China</t>
        </is>
      </c>
      <c r="H13" s="145" t="n"/>
      <c r="I13" s="148" t="n">
        <v>45000</v>
      </c>
      <c r="J13" s="145" t="inlineStr">
        <is>
          <t>Humanoid.guide list</t>
        </is>
      </c>
      <c r="K13" s="149" t="inlineStr">
        <is>
          <t>AGIBOT A3 is AgiBot's humanoid — 5 ft 8 in class, 31 DOF, 22 lb payload. 5 per hand; onboard AI: LinkSoul platform for persona, voice, knowledge base and skills.</t>
        </is>
      </c>
      <c r="L13" s="101" t="inlineStr">
        <is>
          <t>AGIBOT A3 is AgiBot's humanoid — 5 ft 8 in class, 31 DOF, 22 lb payload. 5 per hand; onboard AI: LinkSoul platform for persona, voice, knowledge base and skills.</t>
        </is>
      </c>
      <c r="M13" s="101" t="inlineStr">
        <is>
          <t>AGIBOT A3 is AgiBot's humanoid — 5 ft 8 in class, 31 DOF, 22 lb payload. 5 per hand; onboard AI: LinkSoul platform for persona, voice, knowledge base and skills. Public status is listed as in production, and it is positioned for commercial performance; guided tours and retail; interactive entertainment; research and education.</t>
        </is>
      </c>
      <c r="N13" s="150" t="inlineStr">
        <is>
          <t>https://humanoid.guide/product/agibot-a3/</t>
        </is>
      </c>
      <c r="O13" s="150" t="inlineStr">
        <is>
          <t>https://www.agibot.com</t>
        </is>
      </c>
      <c r="P13" s="145" t="inlineStr">
        <is>
          <t>5 ft 8 in</t>
        </is>
      </c>
      <c r="Q13" s="145" t="n">
        <v>173</v>
      </c>
      <c r="R13" s="145" t="n">
        <v>121.3</v>
      </c>
      <c r="S13" s="145" t="n">
        <v>55</v>
      </c>
      <c r="T13" s="149" t="inlineStr">
        <is>
          <t>Not disclosed</t>
        </is>
      </c>
      <c r="U13" s="145" t="n"/>
      <c r="V13" s="145" t="inlineStr">
        <is>
          <t>31</t>
        </is>
      </c>
      <c r="W13" s="149" t="inlineStr">
        <is>
          <t>12</t>
        </is>
      </c>
      <c r="X13" s="145" t="n">
        <v>22</v>
      </c>
      <c r="Y13" s="145" t="n">
        <v>10</v>
      </c>
      <c r="Z13" s="145" t="n">
        <v>11.18</v>
      </c>
      <c r="AA13" s="145" t="n">
        <v>18</v>
      </c>
      <c r="AB13" s="145" t="n">
        <v>6.5</v>
      </c>
      <c r="AC13" s="149" t="inlineStr">
        <is>
          <t>≈ 10 hours</t>
        </is>
      </c>
      <c r="AD13" s="149" t="inlineStr">
        <is>
          <t>10</t>
        </is>
      </c>
      <c r="AE13" s="145" t="n"/>
      <c r="AF13" s="145" t="inlineStr">
        <is>
          <t>Not disclosed</t>
        </is>
      </c>
      <c r="AG13" s="149" t="inlineStr">
        <is>
          <t>5 per hand</t>
        </is>
      </c>
      <c r="AH13" s="145" t="inlineStr">
        <is>
          <t>5 per hand</t>
        </is>
      </c>
      <c r="AI13" s="145" t="n"/>
      <c r="AJ13" s="149" t="inlineStr">
        <is>
          <t>Not disclosed</t>
        </is>
      </c>
      <c r="AK13" s="149" t="n"/>
      <c r="AL13" s="145" t="inlineStr">
        <is>
          <t>Not disclosed</t>
        </is>
      </c>
      <c r="AM13" s="145" t="n"/>
      <c r="AN13" s="145" t="inlineStr">
        <is>
          <t>Not disclosed</t>
        </is>
      </c>
      <c r="AO13" s="145" t="inlineStr">
        <is>
          <t>Not disclosed</t>
        </is>
      </c>
      <c r="AP13" s="145" t="inlineStr">
        <is>
          <t>Not disclosed</t>
        </is>
      </c>
      <c r="AQ13" s="145" t="inlineStr">
        <is>
          <t>Not disclosed</t>
        </is>
      </c>
      <c r="AR13" s="145" t="n"/>
      <c r="AS13" s="145" t="n"/>
      <c r="AT13" s="149" t="inlineStr">
        <is>
          <t>2 × Rockchip RK3588 (head HDU + torso MDU)</t>
        </is>
      </c>
      <c r="AU13" s="149" t="inlineStr">
        <is>
          <t>5G; Bluetooth; Wi‑Fi</t>
        </is>
      </c>
      <c r="AV13" s="145" t="inlineStr">
        <is>
          <t>Not disclosed</t>
        </is>
      </c>
      <c r="AW13" s="149" t="inlineStr">
        <is>
          <t>Not disclosed</t>
        </is>
      </c>
      <c r="AX13" s="145" t="n"/>
      <c r="AY13" s="149" t="inlineStr">
        <is>
          <t>AGIBOT Link-U-OS</t>
        </is>
      </c>
      <c r="AZ13" s="149" t="inlineStr">
        <is>
          <t>LinkSoul platform for persona, voice, knowledge base and skills. End-to-end voice interaction, no wake word</t>
        </is>
      </c>
      <c r="BA13" s="149" t="n"/>
      <c r="BB13" s="149" t="inlineStr">
        <is>
          <t>In-house quasi-direct-drive PMSM joints. 150 A peak current, 12 kW peak power, 0.218 kW/kg, 320 N·m knee torque.</t>
        </is>
      </c>
      <c r="BC13" s="149" t="inlineStr">
        <is>
          <t>Low-ratio planetary reduction (quasi-direct-drive architecture)</t>
        </is>
      </c>
      <c r="BD13" s="145" t="inlineStr">
        <is>
          <t>Magnesium alloy body, titanium alloy at stress points, TPU flexible elements</t>
        </is>
      </c>
      <c r="BE13" s="145" t="inlineStr">
        <is>
          <t>Not disclosed</t>
        </is>
      </c>
      <c r="BF13" s="145" t="n"/>
      <c r="BG13" s="145" t="n"/>
      <c r="BH13" s="145" t="n"/>
      <c r="BI13" s="145" t="n"/>
      <c r="BJ13" s="145" t="n"/>
      <c r="BK13" s="145" t="n"/>
      <c r="BL13" s="145" t="n"/>
      <c r="BM13" s="145" t="inlineStr">
        <is>
          <t>Yes</t>
        </is>
      </c>
      <c r="BN13" s="145" t="inlineStr">
        <is>
          <t>Not disclosed</t>
        </is>
      </c>
      <c r="BO13" s="149" t="inlineStr">
        <is>
          <t>Market: Commercial performance; guided tours and retail; interactive entertainment; research and education · Human-safe: Yes · AI: LinkSoul platform for persona, voice, knowledge base and skills. End-to-end voice interaction, no wake word · Actuation: In-house quasi-direct-drive PMSM joints. 150 A peak current, 12 kW peak power, 0.218 kW/kg, 320 N·m knee to… · Peak 18 km/h · Walk 6.5 km/h · Runtime 10</t>
        </is>
      </c>
      <c r="BP13" s="145" t="n"/>
      <c r="BQ13" s="149" t="inlineStr">
        <is>
          <t>Commercial performance; guided tours and retail; interactive entertainment; research and education</t>
        </is>
      </c>
      <c r="BR13" s="149" t="inlineStr">
        <is>
          <t>In production</t>
        </is>
      </c>
      <c r="BS13" s="149" t="inlineStr">
        <is>
          <t>In production</t>
        </is>
      </c>
      <c r="BT13" s="145" t="inlineStr">
        <is>
          <t>Silver / Black / White</t>
        </is>
      </c>
      <c r="BU13" s="145" t="inlineStr">
        <is>
          <t>Verified</t>
        </is>
      </c>
      <c r="BV13" s="149" t="n"/>
      <c r="BW13" s="149" t="inlineStr">
        <is>
          <t>Origin &amp; status — China · In production · 2026 | Manipulation — 5 per hand · 5 per hand fingers · Hand DOF 12 · Payload 22 lb | Sensing &amp; software — LinkSoul platform for persona, voice, knowledge base and skills. End-to-end voice interaction, no wake word · AGIBOT Link-U-OS | Buying notes — From $45,000 · 12 months manufacturer standard (typical research/commercial humanoid) · Best fit: Commercial performance</t>
        </is>
      </c>
      <c r="BX13" s="149" t="inlineStr">
        <is>
          <t>as_shipped|AGIBOT A3|45000|As shipped</t>
        </is>
      </c>
      <c r="BY13" s="145" t="inlineStr">
        <is>
          <t>silver|Silver|#e2e8f0|0 || black|Black|#1e293b|0 || white|White|#0891b2|0</t>
        </is>
      </c>
      <c r="BZ13" s="145" t="inlineStr"/>
      <c r="CA13" s="149" t="n"/>
      <c r="CB13" s="149" t="inlineStr">
        <is>
          <t>12 months manufacturer standard (typical research/commercial humanoid)</t>
        </is>
      </c>
      <c r="CC13" s="147" t="n">
        <v>12</v>
      </c>
      <c r="CD13" s="149" t="inlineStr">
        <is>
          <t>+3 Year Extended ≈24% of configuration (default in configurator)</t>
        </is>
      </c>
      <c r="CE13" s="145" t="inlineStr">
        <is>
          <t>Humanoid category norm 2025–2026</t>
        </is>
      </c>
      <c r="CF13" s="145" t="inlineStr">
        <is>
          <t>Estimated</t>
        </is>
      </c>
      <c r="CG13" s="149" t="inlineStr">
        <is>
          <t>Confirm on formal OEM quote. EDU or enterprise packages may differ.</t>
        </is>
      </c>
      <c r="CH13" s="145" t="inlineStr">
        <is>
          <t>10%</t>
        </is>
      </c>
      <c r="CI13" s="145" t="inlineStr">
        <is>
          <t>17%</t>
        </is>
      </c>
      <c r="CJ13" s="145" t="inlineStr">
        <is>
          <t>24%</t>
        </is>
      </c>
      <c r="CK13" s="149" t="inlineStr">
        <is>
          <t>+1yr ≈10% | +2yr ≈17% | +3yr ≈24% of selected configuration price (parts &amp; labor beyond manufacturer standard).</t>
        </is>
      </c>
      <c r="CL13"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3" s="145" t="inlineStr">
        <is>
          <t>12 months manufacturer standard (typical research/commercial humanoid)</t>
        </is>
      </c>
      <c r="CQ13" s="101" t="inlineStr">
        <is>
          <t>Height: 5 ft 8 in | Weight: 121.3 | Degrees of Freedom: 31 | Payload: 22 | Max Speed: 11.18 | Battery / Runtime: ≈ 10 hours</t>
        </is>
      </c>
    </row>
    <row r="14" ht="31.5" customHeight="1" s="102">
      <c r="A14" s="152" t="inlineStr">
        <is>
          <t>agibot_agibot_g1</t>
        </is>
      </c>
      <c r="B14" s="153" t="inlineStr">
        <is>
          <t>Humanoid.guide</t>
        </is>
      </c>
      <c r="C14" s="152" t="inlineStr">
        <is>
          <t>AgiBot</t>
        </is>
      </c>
      <c r="D14" s="152" t="inlineStr">
        <is>
          <t>AGIBOT G1</t>
        </is>
      </c>
      <c r="E14" s="152" t="inlineStr">
        <is>
          <t>[AgiBot] AGIBOT G1 (2026)</t>
        </is>
      </c>
      <c r="F14" s="146" t="inlineStr">
        <is>
          <t>humanoid</t>
        </is>
      </c>
      <c r="G14" s="152" t="inlineStr">
        <is>
          <t>China</t>
        </is>
      </c>
      <c r="H14" s="152" t="n"/>
      <c r="I14" s="155" t="n">
        <v>95000</v>
      </c>
      <c r="J14" s="152" t="inlineStr">
        <is>
          <t>Estimate · AgiBot G1 family</t>
        </is>
      </c>
      <c r="K14" s="156" t="inlineStr">
        <is>
          <t>AGIBOT G1 is a full-size humanoid robot built for embodied AI research, dynamic mobility, and advanced manipulation in structured indoor environments.</t>
        </is>
      </c>
      <c r="L14" s="101" t="inlineStr">
        <is>
          <t>AGIBOT G1 is a full-size humanoid robot built for embodied AI research, dynamic mobility, and advanced manipulation in structured indoor environments.</t>
        </is>
      </c>
      <c r="M14" s="101" t="inlineStr">
        <is>
          <t>AGIBOT G1 is a full-size humanoid robot built for embodied AI research, dynamic mobility, and advanced manipulation in structured indoor environments. Public status is listed as limited production / pilot deployments, and it is positioned for embodied AI development; Industrial; Manufacturing; Robotics research.</t>
        </is>
      </c>
      <c r="N14" s="157" t="inlineStr">
        <is>
          <t>https://humanoid.guide/product/agibot-g1/</t>
        </is>
      </c>
      <c r="O14" s="157" t="inlineStr">
        <is>
          <t>https://www.agibot.com</t>
        </is>
      </c>
      <c r="P14" s="152" t="inlineStr">
        <is>
          <t>4 ft 3 in</t>
        </is>
      </c>
      <c r="Q14" s="152" t="n">
        <v>130</v>
      </c>
      <c r="R14" s="152" t="n">
        <v>330.7</v>
      </c>
      <c r="S14" s="152" t="n">
        <v>150</v>
      </c>
      <c r="T14" s="156" t="inlineStr">
        <is>
          <t>Not disclosed</t>
        </is>
      </c>
      <c r="U14" s="152" t="n"/>
      <c r="V14" s="152" t="inlineStr">
        <is>
          <t>26</t>
        </is>
      </c>
      <c r="W14" s="156" t="inlineStr">
        <is>
          <t>6</t>
        </is>
      </c>
      <c r="X14" s="152" t="n">
        <v>26.5</v>
      </c>
      <c r="Y14" s="152" t="n">
        <v>12</v>
      </c>
      <c r="Z14" s="152" t="n">
        <v>2.49</v>
      </c>
      <c r="AA14" s="152" t="n">
        <v>4</v>
      </c>
      <c r="AB14" s="152" t="n"/>
      <c r="AC14" s="156" t="inlineStr">
        <is>
          <t>≈ 4 hours</t>
        </is>
      </c>
      <c r="AD14" s="156" t="inlineStr">
        <is>
          <t>4</t>
        </is>
      </c>
      <c r="AE14" s="152" t="n"/>
      <c r="AF14" s="152" t="inlineStr">
        <is>
          <t>Not disclosed</t>
        </is>
      </c>
      <c r="AG14" s="156" t="inlineStr">
        <is>
          <t>5 per hand</t>
        </is>
      </c>
      <c r="AH14" s="152" t="inlineStr">
        <is>
          <t>5 per hand</t>
        </is>
      </c>
      <c r="AI14" s="152" t="n"/>
      <c r="AJ14" s="156" t="inlineStr">
        <is>
          <t>RGBD Camera*3 &amp; Fisheye*5</t>
        </is>
      </c>
      <c r="AK14" s="156" t="inlineStr">
        <is>
          <t>RGBD Camera*3 &amp; Fisheye*5</t>
        </is>
      </c>
      <c r="AL14" s="152" t="inlineStr">
        <is>
          <t>Not disclosed</t>
        </is>
      </c>
      <c r="AM14" s="152" t="n"/>
      <c r="AN14" s="152" t="inlineStr">
        <is>
          <t>Not disclosed</t>
        </is>
      </c>
      <c r="AO14" s="152" t="inlineStr">
        <is>
          <t>Not disclosed</t>
        </is>
      </c>
      <c r="AP14" s="152" t="inlineStr">
        <is>
          <t>Not disclosed</t>
        </is>
      </c>
      <c r="AQ14" s="152" t="inlineStr">
        <is>
          <t>Not disclosed</t>
        </is>
      </c>
      <c r="AR14" s="152" t="n"/>
      <c r="AS14" s="152" t="n"/>
      <c r="AT14" s="156" t="inlineStr">
        <is>
          <t>Jetson AGX Orin 64GB</t>
        </is>
      </c>
      <c r="AU14" s="156" t="inlineStr">
        <is>
          <t>5G; Ethernet; Wi‑Fi</t>
        </is>
      </c>
      <c r="AV14" s="152" t="inlineStr">
        <is>
          <t>Not disclosed</t>
        </is>
      </c>
      <c r="AW14" s="156" t="inlineStr">
        <is>
          <t>Not disclosed</t>
        </is>
      </c>
      <c r="AX14" s="152" t="n"/>
      <c r="AY14" s="156" t="inlineStr">
        <is>
          <t>Linux-based robotics framework (likely ROS/ROS2)</t>
        </is>
      </c>
      <c r="AZ14" s="156" t="inlineStr">
        <is>
          <t>Supports embodied AI and potential LLM integration</t>
        </is>
      </c>
      <c r="BA14" s="156" t="inlineStr">
        <is>
          <t>Real-time processing</t>
        </is>
      </c>
      <c r="BB14" s="156" t="inlineStr">
        <is>
          <t>High-torque electric servo actuators</t>
        </is>
      </c>
      <c r="BC14" s="156" t="inlineStr">
        <is>
          <t>Precision harmonic or planetary drives</t>
        </is>
      </c>
      <c r="BD14" s="152" t="inlineStr">
        <is>
          <t>Aluminum alloy frame with composite outer panels</t>
        </is>
      </c>
      <c r="BE14" s="152" t="inlineStr">
        <is>
          <t>IP20</t>
        </is>
      </c>
      <c r="BF14" s="152" t="inlineStr">
        <is>
          <t>IP20</t>
        </is>
      </c>
      <c r="BG14" s="152" t="n"/>
      <c r="BH14" s="152" t="n"/>
      <c r="BI14" s="152" t="n"/>
      <c r="BJ14" s="152" t="n"/>
      <c r="BK14" s="152" t="n"/>
      <c r="BL14" s="152" t="n"/>
      <c r="BM14" s="152" t="inlineStr">
        <is>
          <t>Yes</t>
        </is>
      </c>
      <c r="BN14" s="152" t="inlineStr">
        <is>
          <t>Not disclosed</t>
        </is>
      </c>
      <c r="BO14" s="156" t="inlineStr">
        <is>
          <t>Market: embodied AI development; Industrial; Manufacturing; Robotics research · Human-safe: Yes · AI: Supports embodied AI and potential LLM integration · Actuation: High-torque electric servo actuators · Peak 4 km/h · Runtime 4</t>
        </is>
      </c>
      <c r="BP14" s="152" t="n"/>
      <c r="BQ14" s="156" t="inlineStr">
        <is>
          <t>embodied AI development; Industrial; Manufacturing; Robotics research</t>
        </is>
      </c>
      <c r="BR14" s="156" t="inlineStr">
        <is>
          <t>Limited production / pilot deployments</t>
        </is>
      </c>
      <c r="BS14" s="156" t="inlineStr">
        <is>
          <t>Limited production / pilot deployments</t>
        </is>
      </c>
      <c r="BT14" s="152" t="inlineStr">
        <is>
          <t>Silver / Black / White</t>
        </is>
      </c>
      <c r="BU14" s="152" t="inlineStr">
        <is>
          <t>Not verified</t>
        </is>
      </c>
      <c r="BV14" s="156" t="n"/>
      <c r="BW14" s="156" t="inlineStr">
        <is>
          <t>Origin &amp; status — China · Limited production / pilot deployments · 2026 | Manipulation — 5 per hand · 5 per hand fingers · Hand DOF 6 · Payload 26.5 lb | Sensing &amp; software — RGBD Camera*3 &amp; Fisheye*5 · Supports embodied AI and potential LLM integration · Linux-based robotics framework (likely ROS/ROS2) | Buying notes — From $95,000 · 12 months manufacturer standard (typical research/commercial humanoid) · Best fit: embodied AI development</t>
        </is>
      </c>
      <c r="BX14" s="156" t="inlineStr">
        <is>
          <t>as_shipped|AGIBOT G1|95000|As shipped</t>
        </is>
      </c>
      <c r="BY14" s="152" t="inlineStr">
        <is>
          <t>silver|Silver|#e2e8f0|0 || black|Black|#1e293b|0 || white|White|#0891b2|0</t>
        </is>
      </c>
      <c r="BZ14" s="152" t="inlineStr"/>
      <c r="CA14" s="156" t="n"/>
      <c r="CB14" s="156" t="inlineStr">
        <is>
          <t>12 months manufacturer standard (typical research/commercial humanoid)</t>
        </is>
      </c>
      <c r="CC14" s="154" t="n">
        <v>12</v>
      </c>
      <c r="CD14" s="156" t="inlineStr">
        <is>
          <t>+3 Year Extended ≈24% of configuration (default in configurator)</t>
        </is>
      </c>
      <c r="CE14" s="152" t="inlineStr">
        <is>
          <t>Humanoid category norm 2025–2026</t>
        </is>
      </c>
      <c r="CF14" s="152" t="inlineStr">
        <is>
          <t>Estimated</t>
        </is>
      </c>
      <c r="CG14" s="156" t="inlineStr">
        <is>
          <t>Confirm on formal OEM quote. EDU or enterprise packages may differ.</t>
        </is>
      </c>
      <c r="CH14" s="152" t="inlineStr">
        <is>
          <t>10%</t>
        </is>
      </c>
      <c r="CI14" s="152" t="inlineStr">
        <is>
          <t>17%</t>
        </is>
      </c>
      <c r="CJ14" s="152" t="inlineStr">
        <is>
          <t>24%</t>
        </is>
      </c>
      <c r="CK14" s="156" t="inlineStr">
        <is>
          <t>+1yr ≈10% | +2yr ≈17% | +3yr ≈24% of selected configuration price (parts &amp; labor beyond manufacturer standard).</t>
        </is>
      </c>
      <c r="CL14"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4" s="152" t="inlineStr">
        <is>
          <t>12 months manufacturer standard (typical research/commercial humanoid)</t>
        </is>
      </c>
      <c r="CQ14" s="101" t="inlineStr">
        <is>
          <t>Height: 4 ft 3 in | Weight: 330.7 | Degrees of Freedom: 26 | Payload: 26.5 | Max Speed: 2.49 | Battery / Runtime: ≈ 4 hours</t>
        </is>
      </c>
    </row>
    <row r="15" ht="31.5" customHeight="1" s="102">
      <c r="A15" s="145" t="inlineStr">
        <is>
          <t>agibot_agibot_x1</t>
        </is>
      </c>
      <c r="B15" s="153" t="inlineStr">
        <is>
          <t>Humanoid.guide</t>
        </is>
      </c>
      <c r="C15" s="145" t="inlineStr">
        <is>
          <t>AgiBot</t>
        </is>
      </c>
      <c r="D15" s="145" t="inlineStr">
        <is>
          <t>AgiBot X1</t>
        </is>
      </c>
      <c r="E15" s="145" t="inlineStr">
        <is>
          <t>[AgiBot] AgiBot X1 (2026)</t>
        </is>
      </c>
      <c r="F15" s="146" t="inlineStr">
        <is>
          <t>humanoid</t>
        </is>
      </c>
      <c r="G15" s="145" t="inlineStr">
        <is>
          <t>China</t>
        </is>
      </c>
      <c r="H15" s="145" t="n"/>
      <c r="I15" s="148" t="n">
        <v>19499</v>
      </c>
      <c r="J15" s="145" t="inlineStr">
        <is>
          <t>Robot Price Index Aug 2026</t>
        </is>
      </c>
      <c r="K15" s="149" t="inlineStr">
        <is>
          <t>The AgiBot X1 humanoid robot is a 130 cm, 33 kg open-source platform with 34 DOF, 0.5 kg arm payload and PowerFlow servo tech; it walks at 3.6 km h-¹, runs two hours per battery and costs under US $20 000—making advanced bipedal robotics attainable for research and maker communit.</t>
        </is>
      </c>
      <c r="L15" s="101" t="inlineStr">
        <is>
          <t>The AgiBot X1 humanoid robot is a 130 cm, 33 kg open-source platform with 34 DOF, 0.5 kg arm payload and PowerFlow servo tech; it walks at 3.6 km h-¹, runs two hours per battery and costs under US $20 000—making advanced bipedal robotics attainable for research and maker communit.</t>
        </is>
      </c>
      <c r="M15" s="101" t="inlineStr">
        <is>
          <t>The AgiBot X1 humanoid robot is a 130 cm, 33 kg open-source platform with 34 DOF, 0.5 kg arm payload and PowerFlow servo tech; it walks at 3.6 km h-¹, runs two hours per battery and costs under US $20 000—making advanced bipedal robotics attainable for research and maker communit. Public status is listed as prototype, and it is positioned for research &amp; education labs, maker spaces, developer communities.</t>
        </is>
      </c>
      <c r="N15" s="150" t="inlineStr">
        <is>
          <t>https://humanoid.guide/product/agibot-x1/</t>
        </is>
      </c>
      <c r="O15" s="150" t="inlineStr">
        <is>
          <t>https://www.agibot.com</t>
        </is>
      </c>
      <c r="P15" s="145" t="inlineStr">
        <is>
          <t>4 ft 3 in</t>
        </is>
      </c>
      <c r="Q15" s="145" t="n">
        <v>130</v>
      </c>
      <c r="R15" s="145" t="n">
        <v>72.8</v>
      </c>
      <c r="S15" s="145" t="n">
        <v>33</v>
      </c>
      <c r="T15" s="149" t="inlineStr">
        <is>
          <t>Not disclosed</t>
        </is>
      </c>
      <c r="U15" s="145" t="n"/>
      <c r="V15" s="145" t="inlineStr">
        <is>
          <t>34</t>
        </is>
      </c>
      <c r="W15" s="149" t="inlineStr">
        <is>
          <t>Not disclosed</t>
        </is>
      </c>
      <c r="X15" s="145" t="n">
        <v>1.1</v>
      </c>
      <c r="Y15" s="145" t="n">
        <v>0.5</v>
      </c>
      <c r="Z15" s="145" t="n">
        <v>2.24</v>
      </c>
      <c r="AA15" s="145" t="n">
        <v>3.6</v>
      </c>
      <c r="AB15" s="145" t="n"/>
      <c r="AC15" s="149" t="inlineStr">
        <is>
          <t>≈ 2 hours</t>
        </is>
      </c>
      <c r="AD15" s="149" t="inlineStr">
        <is>
          <t>2</t>
        </is>
      </c>
      <c r="AE15" s="145" t="n"/>
      <c r="AF15" s="145" t="inlineStr">
        <is>
          <t>Not disclosed</t>
        </is>
      </c>
      <c r="AG15" s="149" t="inlineStr">
        <is>
          <t>4</t>
        </is>
      </c>
      <c r="AH15" s="145" t="inlineStr">
        <is>
          <t>4</t>
        </is>
      </c>
      <c r="AI15" s="158" t="n">
        <v>2</v>
      </c>
      <c r="AJ15" s="149" t="inlineStr">
        <is>
          <t>Optional RGB-D camera</t>
        </is>
      </c>
      <c r="AK15" s="149" t="inlineStr">
        <is>
          <t>Optional RGB-D camera</t>
        </is>
      </c>
      <c r="AL15" s="145" t="inlineStr">
        <is>
          <t>Not disclosed</t>
        </is>
      </c>
      <c r="AM15" s="145" t="n"/>
      <c r="AN15" s="145" t="inlineStr">
        <is>
          <t>Not disclosed</t>
        </is>
      </c>
      <c r="AO15" s="145" t="inlineStr">
        <is>
          <t>Not disclosed</t>
        </is>
      </c>
      <c r="AP15" s="145" t="inlineStr">
        <is>
          <t>Not disclosed</t>
        </is>
      </c>
      <c r="AQ15" s="145" t="inlineStr">
        <is>
          <t>Not disclosed</t>
        </is>
      </c>
      <c r="AR15" s="145" t="n"/>
      <c r="AS15" s="145" t="n"/>
      <c r="AT15" s="149" t="inlineStr">
        <is>
          <t>Open architecture – user supplies host PC/Jetson; onboard DCU real-time controllers (1 kHz, 100 Mbps)</t>
        </is>
      </c>
      <c r="AU15" s="149" t="inlineStr">
        <is>
          <t>Ethernet; FDCAN/CAN-FD; GPIO; OTA firmware; UART</t>
        </is>
      </c>
      <c r="AV15" s="145" t="inlineStr">
        <is>
          <t>Not disclosed</t>
        </is>
      </c>
      <c r="AW15" s="149" t="inlineStr">
        <is>
          <t>Not disclosed</t>
        </is>
      </c>
      <c r="AX15" s="158" t="n">
        <v>2</v>
      </c>
      <c r="AY15" s="149" t="inlineStr">
        <is>
          <t>Linux</t>
        </is>
      </c>
      <c r="AZ15" s="149" t="inlineStr">
        <is>
          <t>DIY: hooks for external LLMs via ROS2/AimRT; no bundled model</t>
        </is>
      </c>
      <c r="BA15" s="149" t="inlineStr">
        <is>
          <t>Not specified</t>
        </is>
      </c>
      <c r="BB15" s="149" t="inlineStr">
        <is>
          <t>PowerFlow quasi-direct-drive servo modules (R86/R52/L28 series)</t>
        </is>
      </c>
      <c r="BC15" s="149" t="inlineStr">
        <is>
          <t>Integrated low-ratio (&amp;lt;10 : 1) planetary reducers inside servos</t>
        </is>
      </c>
      <c r="BD15" s="145" t="inlineStr">
        <is>
          <t>Aluminium; composite shell over alloy frame</t>
        </is>
      </c>
      <c r="BE15" s="145" t="inlineStr">
        <is>
          <t>Not disclosed</t>
        </is>
      </c>
      <c r="BF15" s="145" t="inlineStr">
        <is>
          <t>Not specified</t>
        </is>
      </c>
      <c r="BG15" s="145" t="n"/>
      <c r="BH15" s="145" t="n"/>
      <c r="BI15" s="145" t="n"/>
      <c r="BJ15" s="145" t="n"/>
      <c r="BK15" s="145" t="n"/>
      <c r="BL15" s="145" t="n"/>
      <c r="BM15" s="145" t="inlineStr">
        <is>
          <t>Yes</t>
        </is>
      </c>
      <c r="BN15" s="145" t="inlineStr">
        <is>
          <t>Not disclosed</t>
        </is>
      </c>
      <c r="BO15" s="149" t="inlineStr">
        <is>
          <t>Market: Research &amp; education labs, maker spaces, developer communities · Manipulation 2/4 · Navigation 2/4 · Human-safe: Yes · AI: DIY: hooks for external LLMs via ROS2/AimRT; no bundled model · Actuation: PowerFlow quasi-direct-drive servo modules (R86/R52/L28 series) · Peak 3.6 km/h · Runtime 2</t>
        </is>
      </c>
      <c r="BP15" s="145" t="n"/>
      <c r="BQ15" s="149" t="inlineStr">
        <is>
          <t>Research &amp; education labs, maker spaces, developer communities</t>
        </is>
      </c>
      <c r="BR15" s="149" t="inlineStr">
        <is>
          <t>Prototype</t>
        </is>
      </c>
      <c r="BS15" s="149" t="inlineStr">
        <is>
          <t>Prototype</t>
        </is>
      </c>
      <c r="BT15" s="145" t="n"/>
      <c r="BU15" s="145" t="inlineStr">
        <is>
          <t>Not verified</t>
        </is>
      </c>
      <c r="BV15" s="149" t="n"/>
      <c r="BW15" s="149" t="inlineStr">
        <is>
          <t>Origin &amp; status — China · Prototype · 2026 | Manipulation — 4 · 4 fingers · Payload 1.1 lb | Sensing &amp; software — Optional RGB-D camera · DIY: hooks for external LLMs via ROS2/AimRT; no bundled model · Linux | Buying notes — From $19,499 · 12 months manufacturer standard (typical research/commercial humanoid) · Best fit: Research &amp; education labs, maker spaces, developer communities</t>
        </is>
      </c>
      <c r="BX15" s="149" t="inlineStr">
        <is>
          <t>as_shipped|AgiBot X1|19499|As shipped</t>
        </is>
      </c>
      <c r="BY15" s="145" t="inlineStr">
        <is>
          <t>agibot_x1|Manufacturer finish|#e2e8f0|0</t>
        </is>
      </c>
      <c r="BZ15" s="145" t="inlineStr"/>
      <c r="CA15" s="149" t="n"/>
      <c r="CB15" s="149" t="inlineStr">
        <is>
          <t>12 months manufacturer standard (typical research/commercial humanoid)</t>
        </is>
      </c>
      <c r="CC15" s="147" t="n">
        <v>12</v>
      </c>
      <c r="CD15" s="149" t="inlineStr">
        <is>
          <t>+3 Year Extended ≈24% of configuration (default in configurator)</t>
        </is>
      </c>
      <c r="CE15" s="145" t="inlineStr">
        <is>
          <t>Humanoid category norm 2025–2026</t>
        </is>
      </c>
      <c r="CF15" s="145" t="inlineStr">
        <is>
          <t>Estimated</t>
        </is>
      </c>
      <c r="CG15" s="149" t="inlineStr">
        <is>
          <t>Confirm on formal OEM quote. EDU or enterprise packages may differ.</t>
        </is>
      </c>
      <c r="CH15" s="145" t="inlineStr">
        <is>
          <t>10%</t>
        </is>
      </c>
      <c r="CI15" s="145" t="inlineStr">
        <is>
          <t>17%</t>
        </is>
      </c>
      <c r="CJ15" s="145" t="inlineStr">
        <is>
          <t>24%</t>
        </is>
      </c>
      <c r="CK15" s="149" t="inlineStr">
        <is>
          <t>+1yr ≈10% | +2yr ≈17% | +3yr ≈24% of selected configuration price (parts &amp; labor beyond manufacturer standard).</t>
        </is>
      </c>
      <c r="CL1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5" s="145" t="inlineStr">
        <is>
          <t>12 months manufacturer standard (typical research/commercial humanoid)</t>
        </is>
      </c>
      <c r="CQ15" s="101" t="inlineStr">
        <is>
          <t>Height: 4 ft 3 in | Weight: 72.8 | Degrees of Freedom: 34 | Payload: 1.1 | Max Speed: 2.24 | Battery / Runtime: ≈ 2 hours</t>
        </is>
      </c>
    </row>
    <row r="16" ht="31.5" customHeight="1" s="102">
      <c r="A16" s="152" t="inlineStr">
        <is>
          <t>agibot_g2_genie</t>
        </is>
      </c>
      <c r="B16" s="153" t="inlineStr">
        <is>
          <t>Humanoid.guide</t>
        </is>
      </c>
      <c r="C16" s="152" t="inlineStr">
        <is>
          <t>AgiBot</t>
        </is>
      </c>
      <c r="D16" s="152" t="inlineStr">
        <is>
          <t>G2 Genie</t>
        </is>
      </c>
      <c r="E16" s="152" t="inlineStr">
        <is>
          <t>[AgiBot] G2 Genie (2026)</t>
        </is>
      </c>
      <c r="F16" s="146" t="inlineStr">
        <is>
          <t>humanoid</t>
        </is>
      </c>
      <c r="G16" s="152" t="inlineStr">
        <is>
          <t>China</t>
        </is>
      </c>
      <c r="H16" s="152" t="n"/>
      <c r="I16" s="155" t="n">
        <v>200000</v>
      </c>
      <c r="J16" s="152" t="inlineStr">
        <is>
          <t>Humanoid.guide list</t>
        </is>
      </c>
      <c r="K16" s="156" t="inlineStr">
        <is>
          <t>Agibot G2 “Genie” is a wheeled humanoid for industrial-grade, people-safe interaction—pairing 7-DoF arms, 360° perception (LiDAR, RGB-D, ultrasonics, mic array), and on-device embodied AI to handle manipulation, guidance, and service tasks.</t>
        </is>
      </c>
      <c r="L16" s="101" t="inlineStr">
        <is>
          <t>Agibot G2 “Genie” is a wheeled humanoid for industrial-grade, people-safe interaction—pairing 7-DoF arms, 360° perception (LiDAR, RGB-D, ultrasonics, mic array), and on-device embodied AI to handle manipulation, guidance, and service tasks.</t>
        </is>
      </c>
      <c r="M16" s="101" t="inlineStr">
        <is>
          <t>G2 Genie is AgiBot's humanoid, introduced around 2026 in China. Agibot G2 “Genie” is a wheeled humanoid for industrial-grade, people-safe interaction—pairing 7-DoF arms, 360° perception (LiDAR, RGB-D, ultrasonics, mic array), and on-device embodied AI to handle manipulation, guidance, and service tasks. Public status is listed as prototype, and it is positioned for industries; logistics; Research &amp; education.</t>
        </is>
      </c>
      <c r="N16" s="157" t="inlineStr">
        <is>
          <t>https://humanoid.guide/product/g2-genie/</t>
        </is>
      </c>
      <c r="O16" s="157" t="inlineStr">
        <is>
          <t>https://www.agibot.com</t>
        </is>
      </c>
      <c r="P16" s="152" t="inlineStr">
        <is>
          <t>5 ft 9 in</t>
        </is>
      </c>
      <c r="Q16" s="152" t="n">
        <v>175</v>
      </c>
      <c r="R16" s="152" t="n">
        <v>121.3</v>
      </c>
      <c r="S16" s="152" t="n">
        <v>55</v>
      </c>
      <c r="T16" s="156" t="inlineStr">
        <is>
          <t>Not disclosed</t>
        </is>
      </c>
      <c r="U16" s="152" t="inlineStr">
        <is>
          <t>Not specified</t>
        </is>
      </c>
      <c r="V16" s="152" t="inlineStr">
        <is>
          <t>Not disclosed</t>
        </is>
      </c>
      <c r="W16" s="156" t="inlineStr">
        <is>
          <t>12</t>
        </is>
      </c>
      <c r="X16" s="152" t="n">
        <v>11</v>
      </c>
      <c r="Y16" s="152" t="n">
        <v>5</v>
      </c>
      <c r="Z16" s="152" t="n">
        <v>4.35</v>
      </c>
      <c r="AA16" s="152" t="n">
        <v>7</v>
      </c>
      <c r="AB16" s="152" t="n">
        <v>7</v>
      </c>
      <c r="AC16" s="156" t="inlineStr">
        <is>
          <t>Not disclosed</t>
        </is>
      </c>
      <c r="AD16" s="156" t="inlineStr">
        <is>
          <t>Not specified</t>
        </is>
      </c>
      <c r="AE16" s="152" t="n"/>
      <c r="AF16" s="152" t="inlineStr">
        <is>
          <t>Not disclosed</t>
        </is>
      </c>
      <c r="AG16" s="156" t="inlineStr">
        <is>
          <t>10</t>
        </is>
      </c>
      <c r="AH16" s="152" t="inlineStr">
        <is>
          <t>10</t>
        </is>
      </c>
      <c r="AI16" s="151" t="n">
        <v>3</v>
      </c>
      <c r="AJ16" s="156" t="inlineStr">
        <is>
          <t>RGB-D camera</t>
        </is>
      </c>
      <c r="AK16" s="156" t="inlineStr">
        <is>
          <t>RGB-D camera</t>
        </is>
      </c>
      <c r="AL16" s="152" t="inlineStr">
        <is>
          <t>Not disclosed</t>
        </is>
      </c>
      <c r="AM16" s="152" t="n"/>
      <c r="AN16" s="152" t="inlineStr">
        <is>
          <t>Not disclosed</t>
        </is>
      </c>
      <c r="AO16" s="152" t="inlineStr">
        <is>
          <t>Not disclosed</t>
        </is>
      </c>
      <c r="AP16" s="152" t="inlineStr">
        <is>
          <t>Not disclosed</t>
        </is>
      </c>
      <c r="AQ16" s="152" t="inlineStr">
        <is>
          <t>Not disclosed</t>
        </is>
      </c>
      <c r="AR16" s="152" t="n"/>
      <c r="AS16" s="152" t="n"/>
      <c r="AT16" s="156" t="inlineStr">
        <is>
          <t>NVIDIA-based local AI compute (exact SKU N/D); ~200 TOPS stated</t>
        </is>
      </c>
      <c r="AU16" s="156" t="inlineStr">
        <is>
          <t>N/D (likely Wi-Fi/Ethernet typical of industrial platforms</t>
        </is>
      </c>
      <c r="AV16" s="152" t="inlineStr">
        <is>
          <t>Not disclosed</t>
        </is>
      </c>
      <c r="AW16" s="156" t="inlineStr">
        <is>
          <t>Not disclosed</t>
        </is>
      </c>
      <c r="AX16" s="151" t="n">
        <v>3</v>
      </c>
      <c r="AY16" s="156" t="inlineStr">
        <is>
          <t>Not disclosed</t>
        </is>
      </c>
      <c r="AZ16" s="156" t="inlineStr">
        <is>
          <t>WorkGPT/Genie multimodal mission-level model; VLM-enhanced.</t>
        </is>
      </c>
      <c r="BA16" s="156" t="inlineStr">
        <is>
          <t>Not specified</t>
        </is>
      </c>
      <c r="BB16" s="156" t="inlineStr">
        <is>
          <t>high-precision torque-sensing joints; vendor not disclosed</t>
        </is>
      </c>
      <c r="BC16" s="156" t="inlineStr">
        <is>
          <t>Not disclosed</t>
        </is>
      </c>
      <c r="BD16" s="152" t="inlineStr">
        <is>
          <t>Not disclosed</t>
        </is>
      </c>
      <c r="BE16" s="152" t="inlineStr">
        <is>
          <t>Not disclosed</t>
        </is>
      </c>
      <c r="BF16" s="152" t="inlineStr">
        <is>
          <t>Not specified</t>
        </is>
      </c>
      <c r="BG16" s="152" t="n"/>
      <c r="BH16" s="152" t="n"/>
      <c r="BI16" s="152" t="n"/>
      <c r="BJ16" s="152" t="n"/>
      <c r="BK16" s="152" t="n"/>
      <c r="BL16" s="152" t="n"/>
      <c r="BM16" s="152" t="inlineStr">
        <is>
          <t>Yes</t>
        </is>
      </c>
      <c r="BN16" s="152" t="inlineStr">
        <is>
          <t>Not disclosed</t>
        </is>
      </c>
      <c r="BO16" s="156" t="inlineStr">
        <is>
          <t>Market: Industries; logistics; Research &amp; education · Manipulation 3/4 · Navigation 3/4 · Human-safe: Yes · AI: WorkGPT/Genie multimodal mission-level model; VLM-enhanced. · Actuation: high-precision torque-sensing joints; vendor not disclosed · Peak 7 km/h · Walk 7 km/h · Runtime Not specified</t>
        </is>
      </c>
      <c r="BP16" s="152" t="n"/>
      <c r="BQ16" s="156" t="inlineStr">
        <is>
          <t>Industries; logistics; Research &amp; education</t>
        </is>
      </c>
      <c r="BR16" s="156" t="inlineStr">
        <is>
          <t>Prototype</t>
        </is>
      </c>
      <c r="BS16" s="156" t="inlineStr">
        <is>
          <t>Prototype</t>
        </is>
      </c>
      <c r="BT16" s="152" t="inlineStr">
        <is>
          <t>Not specified</t>
        </is>
      </c>
      <c r="BU16" s="152" t="inlineStr">
        <is>
          <t>Not verified</t>
        </is>
      </c>
      <c r="BV16" s="156" t="n"/>
      <c r="BW16" s="156" t="inlineStr">
        <is>
          <t>Origin &amp; status — China · Prototype · 2026 | Manipulation — 10 · 10 fingers · Hand DOF 12 · Payload 11 lb | Sensing &amp; software — RGB-D camera · WorkGPT/Genie multimodal mission-level model; VLM-enhanced. | Buying notes — From $200,000 · 12 months manufacturer standard (typical research/commercial humanoid) · Best fit: Industries</t>
        </is>
      </c>
      <c r="BX16" s="156" t="inlineStr">
        <is>
          <t>as_shipped|G2 Genie|200000|As shipped</t>
        </is>
      </c>
      <c r="BY16" s="152" t="inlineStr">
        <is>
          <t>not_specified|Not specified|#e2e8f0|0</t>
        </is>
      </c>
      <c r="BZ16" s="152" t="inlineStr"/>
      <c r="CA16" s="156" t="n"/>
      <c r="CB16" s="156" t="inlineStr">
        <is>
          <t>12 months manufacturer standard (typical research/commercial humanoid)</t>
        </is>
      </c>
      <c r="CC16" s="154" t="n">
        <v>12</v>
      </c>
      <c r="CD16" s="156" t="inlineStr">
        <is>
          <t>+3 Year Extended ≈24% of configuration (default in configurator)</t>
        </is>
      </c>
      <c r="CE16" s="152" t="inlineStr">
        <is>
          <t>Humanoid category norm 2025–2026</t>
        </is>
      </c>
      <c r="CF16" s="152" t="inlineStr">
        <is>
          <t>Estimated</t>
        </is>
      </c>
      <c r="CG16" s="156" t="inlineStr">
        <is>
          <t>Confirm on formal OEM quote. EDU or enterprise packages may differ.</t>
        </is>
      </c>
      <c r="CH16" s="152" t="inlineStr">
        <is>
          <t>10%</t>
        </is>
      </c>
      <c r="CI16" s="152" t="inlineStr">
        <is>
          <t>17%</t>
        </is>
      </c>
      <c r="CJ16" s="152" t="inlineStr">
        <is>
          <t>24%</t>
        </is>
      </c>
      <c r="CK16" s="156" t="inlineStr">
        <is>
          <t>+1yr ≈10% | +2yr ≈17% | +3yr ≈24% of selected configuration price (parts &amp; labor beyond manufacturer standard).</t>
        </is>
      </c>
      <c r="CL16"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6" s="152" t="inlineStr">
        <is>
          <t>12 months manufacturer standard (typical research/commercial humanoid)</t>
        </is>
      </c>
      <c r="CQ16" s="101" t="inlineStr">
        <is>
          <t>Height: 5 ft 9 in | Weight: 121.3 | Degrees of Freedom: Not disclosed | Payload: 11 | Max Speed: 4.35 | Battery / Runtime: Not disclosed</t>
        </is>
      </c>
    </row>
    <row r="17" ht="31.5" customHeight="1" s="102">
      <c r="A17" s="145" t="inlineStr">
        <is>
          <t>agibot_g2_max</t>
        </is>
      </c>
      <c r="B17" s="153" t="inlineStr">
        <is>
          <t>Humanoid.guide</t>
        </is>
      </c>
      <c r="C17" s="145" t="inlineStr">
        <is>
          <t>AgiBot</t>
        </is>
      </c>
      <c r="D17" s="145" t="inlineStr">
        <is>
          <t>G2 Max</t>
        </is>
      </c>
      <c r="E17" s="145" t="inlineStr">
        <is>
          <t>[AgiBot] G2 Max (2026)</t>
        </is>
      </c>
      <c r="F17" s="146" t="inlineStr">
        <is>
          <t>humanoid</t>
        </is>
      </c>
      <c r="G17" s="145" t="inlineStr">
        <is>
          <t>China</t>
        </is>
      </c>
      <c r="H17" s="145" t="n"/>
      <c r="I17" s="148" t="n">
        <v>135000</v>
      </c>
      <c r="J17" s="145" t="inlineStr">
        <is>
          <t>Humanoid.guide list</t>
        </is>
      </c>
      <c r="K17" s="149" t="inlineStr">
        <is>
          <t>The AgiBot G2 Max is an upgraded, heavy-payload version of the G2 industrial humanoid — a wheeled, force-controlled task robot built for material handling, palletizing, and precision factory work, powered by NVIDIA Jetson Thor onboard AI.</t>
        </is>
      </c>
      <c r="L17" s="101" t="inlineStr">
        <is>
          <t>The AgiBot G2 Max is an upgraded, heavy-payload version of the G2 industrial humanoid — a wheeled, force-controlled task robot built for material handling, palletizing, and precision factory work, powered by NVIDIA Jetson Thor onboard AI.</t>
        </is>
      </c>
      <c r="M17" s="101" t="inlineStr">
        <is>
          <t>G2 Max is AgiBot's humanoid, introduced around 2026 in China. The AgiBot G2 Max is an upgraded, heavy-payload version of the G2 industrial humanoid — a wheeled, force-controlled task robot built for material handling, palletizing, and precision factory work, powered by NVIDIA Jetson Thor onboard AI. Public status is listed as in production, and it is positioned for industrial; logistics; Manufacturing.</t>
        </is>
      </c>
      <c r="N17" s="150" t="inlineStr">
        <is>
          <t>https://humanoid.guide/product/g2-max/</t>
        </is>
      </c>
      <c r="O17" s="150" t="inlineStr">
        <is>
          <t>https://www.agibot.com</t>
        </is>
      </c>
      <c r="P17" s="145" t="inlineStr">
        <is>
          <t>5 ft 10 in</t>
        </is>
      </c>
      <c r="Q17" s="145" t="n">
        <v>179</v>
      </c>
      <c r="R17" s="145" t="n">
        <v>407.9</v>
      </c>
      <c r="S17" s="145" t="n">
        <v>185</v>
      </c>
      <c r="T17" s="149" t="inlineStr">
        <is>
          <t>Not disclosed</t>
        </is>
      </c>
      <c r="U17" s="145" t="n"/>
      <c r="V17" s="145" t="inlineStr">
        <is>
          <t>50</t>
        </is>
      </c>
      <c r="W17" s="149" t="inlineStr">
        <is>
          <t>24</t>
        </is>
      </c>
      <c r="X17" s="145" t="n">
        <v>44.1</v>
      </c>
      <c r="Y17" s="145" t="n">
        <v>20</v>
      </c>
      <c r="Z17" s="145" t="n">
        <v>3.36</v>
      </c>
      <c r="AA17" s="145" t="n">
        <v>5.4</v>
      </c>
      <c r="AB17" s="145" t="n"/>
      <c r="AC17" s="149" t="inlineStr">
        <is>
          <t>≈ 4 hours</t>
        </is>
      </c>
      <c r="AD17" s="149" t="inlineStr">
        <is>
          <t>4</t>
        </is>
      </c>
      <c r="AE17" s="145" t="n"/>
      <c r="AF17" s="145" t="inlineStr">
        <is>
          <t>Not disclosed</t>
        </is>
      </c>
      <c r="AG17" s="149" t="inlineStr">
        <is>
          <t>2-finger gripping claws</t>
        </is>
      </c>
      <c r="AH17" s="145" t="inlineStr">
        <is>
          <t>2-finger gripping claws</t>
        </is>
      </c>
      <c r="AI17" s="145" t="n"/>
      <c r="AJ17" s="149" t="inlineStr">
        <is>
          <t>Not disclosed</t>
        </is>
      </c>
      <c r="AK17" s="149" t="n"/>
      <c r="AL17" s="145" t="inlineStr">
        <is>
          <t>Not disclosed</t>
        </is>
      </c>
      <c r="AM17" s="145" t="n"/>
      <c r="AN17" s="145" t="inlineStr">
        <is>
          <t>Not disclosed</t>
        </is>
      </c>
      <c r="AO17" s="145" t="inlineStr">
        <is>
          <t>Not disclosed</t>
        </is>
      </c>
      <c r="AP17" s="145" t="inlineStr">
        <is>
          <t>Not disclosed</t>
        </is>
      </c>
      <c r="AQ17" s="145" t="inlineStr">
        <is>
          <t>Not disclosed</t>
        </is>
      </c>
      <c r="AR17" s="145" t="n"/>
      <c r="AS17" s="145" t="n"/>
      <c r="AT17" s="149" t="inlineStr">
        <is>
          <t>NVIDIA Jetson Thor T5000 (~2,070 TFLOPS FP4) + Rhino R1 (~500 TOPS)</t>
        </is>
      </c>
      <c r="AU17" s="149" t="inlineStr">
        <is>
          <t>4G; 5G; Bluetooth; Wi-Fi</t>
        </is>
      </c>
      <c r="AV17" s="145" t="inlineStr">
        <is>
          <t>Not disclosed</t>
        </is>
      </c>
      <c r="AW17" s="149" t="inlineStr">
        <is>
          <t>Not disclosed</t>
        </is>
      </c>
      <c r="AX17" s="145" t="n"/>
      <c r="AY17" s="149" t="inlineStr">
        <is>
          <t>Not disclosed</t>
        </is>
      </c>
      <c r="AZ17" s="149" t="inlineStr">
        <is>
          <t>Yes — runs VLA and LLM models on-device; LLM + RAG knowledge base for role switching</t>
        </is>
      </c>
      <c r="BA17" s="149" t="inlineStr">
        <is>
          <t>Under 10 ms (multi-sensor stream processing)</t>
        </is>
      </c>
      <c r="BB17" s="149" t="inlineStr">
        <is>
          <t>Electric servo actuators</t>
        </is>
      </c>
      <c r="BC17" s="149" t="inlineStr">
        <is>
          <t>Harmonic / Planetary reducers</t>
        </is>
      </c>
      <c r="BD17" s="145" t="inlineStr">
        <is>
          <t>Aluminum alloy frame with polymer shell</t>
        </is>
      </c>
      <c r="BE17" s="145" t="inlineStr">
        <is>
          <t>IP42</t>
        </is>
      </c>
      <c r="BF17" s="145" t="inlineStr">
        <is>
          <t>IP42</t>
        </is>
      </c>
      <c r="BG17" s="145" t="n"/>
      <c r="BH17" s="145" t="n"/>
      <c r="BI17" s="145" t="n"/>
      <c r="BJ17" s="145" t="n"/>
      <c r="BK17" s="145" t="n"/>
      <c r="BL17" s="145" t="n"/>
      <c r="BM17" s="145" t="inlineStr">
        <is>
          <t>Yes</t>
        </is>
      </c>
      <c r="BN17" s="145" t="inlineStr">
        <is>
          <t>Not disclosed</t>
        </is>
      </c>
      <c r="BO17" s="149" t="inlineStr">
        <is>
          <t>Market: Industrial; logistics; Manufacturing · Human-safe: Yes · AI: Yes — runs VLA and LLM models on-device; LLM + RAG knowledge base for role switching · Actuation: Electric servo actuators · Peak 5.4 km/h · Runtime 4</t>
        </is>
      </c>
      <c r="BP17" s="145" t="n"/>
      <c r="BQ17" s="149" t="inlineStr">
        <is>
          <t>Industrial; logistics; Manufacturing</t>
        </is>
      </c>
      <c r="BR17" s="149" t="inlineStr">
        <is>
          <t>In production</t>
        </is>
      </c>
      <c r="BS17" s="149" t="inlineStr">
        <is>
          <t>In production</t>
        </is>
      </c>
      <c r="BT17" s="145" t="n"/>
      <c r="BU17" s="145" t="n"/>
      <c r="BV17" s="149" t="n"/>
      <c r="BW17" s="149" t="inlineStr">
        <is>
          <t>Origin &amp; status — China · In production · 2026 | Manipulation — 2-finger gripping claws · Hand DOF 24 · Payload 44.1 lb | Sensing &amp; software — Yes — runs VLA and LLM models on-device; LLM + RAG knowledge base for role switching | Buying notes — From $135,000 · 12 months manufacturer standard (typical research/commercial humanoid) · Best fit: Industrial</t>
        </is>
      </c>
      <c r="BX17" s="149" t="inlineStr">
        <is>
          <t>as_shipped|G2 Max|135000|As shipped</t>
        </is>
      </c>
      <c r="BY17" s="145" t="inlineStr">
        <is>
          <t>g2_max|Manufacturer finish|#e2e8f0|0</t>
        </is>
      </c>
      <c r="BZ17" s="145" t="inlineStr"/>
      <c r="CA17" s="149" t="n"/>
      <c r="CB17" s="149" t="inlineStr">
        <is>
          <t>12 months manufacturer standard (typical research/commercial humanoid)</t>
        </is>
      </c>
      <c r="CC17" s="147" t="n">
        <v>12</v>
      </c>
      <c r="CD17" s="149" t="inlineStr">
        <is>
          <t>+3 Year Extended ≈24% of configuration (default in configurator)</t>
        </is>
      </c>
      <c r="CE17" s="145" t="inlineStr">
        <is>
          <t>Humanoid category norm 2025–2026</t>
        </is>
      </c>
      <c r="CF17" s="145" t="inlineStr">
        <is>
          <t>Estimated</t>
        </is>
      </c>
      <c r="CG17" s="149" t="inlineStr">
        <is>
          <t>Confirm on formal OEM quote. EDU or enterprise packages may differ.</t>
        </is>
      </c>
      <c r="CH17" s="145" t="inlineStr">
        <is>
          <t>10%</t>
        </is>
      </c>
      <c r="CI17" s="145" t="inlineStr">
        <is>
          <t>17%</t>
        </is>
      </c>
      <c r="CJ17" s="145" t="inlineStr">
        <is>
          <t>24%</t>
        </is>
      </c>
      <c r="CK17" s="149" t="inlineStr">
        <is>
          <t>+1yr ≈10% | +2yr ≈17% | +3yr ≈24% of selected configuration price (parts &amp; labor beyond manufacturer standard).</t>
        </is>
      </c>
      <c r="CL17"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7" s="145" t="inlineStr">
        <is>
          <t>12 months manufacturer standard (typical research/commercial humanoid)</t>
        </is>
      </c>
      <c r="CQ17" s="101" t="inlineStr">
        <is>
          <t>Height: 5 ft 10 in | Weight: 407.9 | Degrees of Freedom: 50 | Payload: 44.1 | Max Speed: 3.36 | Battery / Runtime: ≈ 4 hours</t>
        </is>
      </c>
    </row>
    <row r="18" ht="31.5" customHeight="1" s="102">
      <c r="A18" s="152" t="inlineStr">
        <is>
          <t>agibot_quester1_q1</t>
        </is>
      </c>
      <c r="B18" s="153" t="inlineStr">
        <is>
          <t>Humanoid.guide</t>
        </is>
      </c>
      <c r="C18" s="152" t="inlineStr">
        <is>
          <t>AgiBot</t>
        </is>
      </c>
      <c r="D18" s="152" t="inlineStr">
        <is>
          <t>QUESTER1 (Q1)</t>
        </is>
      </c>
      <c r="E18" s="152" t="inlineStr">
        <is>
          <t>[AgiBot] QUESTER1 Q1 (2026)</t>
        </is>
      </c>
      <c r="F18" s="146" t="inlineStr">
        <is>
          <t>humanoid</t>
        </is>
      </c>
      <c r="G18" s="152" t="inlineStr">
        <is>
          <t>China</t>
        </is>
      </c>
      <c r="H18" s="152" t="n"/>
      <c r="I18" s="155" t="n">
        <v>28000</v>
      </c>
      <c r="J18" s="152" t="inlineStr">
        <is>
          <t>Humanoid.guide list</t>
        </is>
      </c>
      <c r="K18" s="156" t="inlineStr">
        <is>
          <t>QUESTER1 (Q1) is a compact humanoid robot by AgiBot, standing about 79 cm tall. It supports embodied AI research with safe, precise manipulation in controlled environments.</t>
        </is>
      </c>
      <c r="L18" s="101" t="inlineStr">
        <is>
          <t>QUESTER1 (Q1) is a compact humanoid robot by AgiBot, standing about 79 cm tall. It supports embodied AI research with safe, precise manipulation in controlled environments.</t>
        </is>
      </c>
      <c r="M18" s="101" t="inlineStr">
        <is>
          <t>QUESTER1 Q1 is AgiBot's humanoid, introduced around 2026 in China. QUESTER1 (Q1) is a compact humanoid robot by AgiBot, standing about 79 cm tall. It supports embodied AI research with safe, precise manipulation in controlled environments. Public status is listed as prototype, and it is positioned for aI research; education.</t>
        </is>
      </c>
      <c r="N18" s="157" t="inlineStr">
        <is>
          <t>https://humanoid.guide/product/quester1-q1/</t>
        </is>
      </c>
      <c r="O18" s="157" t="inlineStr">
        <is>
          <t>https://www.agibot.com</t>
        </is>
      </c>
      <c r="P18" s="152" t="inlineStr">
        <is>
          <t>2 ft 7 in</t>
        </is>
      </c>
      <c r="Q18" s="152" t="n">
        <v>79</v>
      </c>
      <c r="R18" s="152" t="n">
        <v>44.1</v>
      </c>
      <c r="S18" s="152" t="n">
        <v>20</v>
      </c>
      <c r="T18" s="156" t="inlineStr">
        <is>
          <t>Not disclosed</t>
        </is>
      </c>
      <c r="U18" s="152" t="n"/>
      <c r="V18" s="152" t="inlineStr">
        <is>
          <t>~24–32</t>
        </is>
      </c>
      <c r="W18" s="156" t="inlineStr">
        <is>
          <t>~8–12</t>
        </is>
      </c>
      <c r="X18" s="152" t="n">
        <v>8.800000000000001</v>
      </c>
      <c r="Y18" s="152" t="n">
        <v>4</v>
      </c>
      <c r="Z18" s="152" t="n">
        <v>1.55</v>
      </c>
      <c r="AA18" s="152" t="n">
        <v>2.5</v>
      </c>
      <c r="AB18" s="152" t="n">
        <v>2</v>
      </c>
      <c r="AC18" s="156" t="inlineStr">
        <is>
          <t>≈ 3 hours</t>
        </is>
      </c>
      <c r="AD18" s="156" t="inlineStr">
        <is>
          <t>3</t>
        </is>
      </c>
      <c r="AE18" s="152" t="n"/>
      <c r="AF18" s="152" t="inlineStr">
        <is>
          <t>Not disclosed</t>
        </is>
      </c>
      <c r="AG18" s="156" t="inlineStr">
        <is>
          <t>5 per hand</t>
        </is>
      </c>
      <c r="AH18" s="152" t="inlineStr">
        <is>
          <t>5 per hand</t>
        </is>
      </c>
      <c r="AI18" s="152" t="n"/>
      <c r="AJ18" s="156" t="inlineStr">
        <is>
          <t>720p–1080p</t>
        </is>
      </c>
      <c r="AK18" s="156" t="inlineStr">
        <is>
          <t>720p–1080p</t>
        </is>
      </c>
      <c r="AL18" s="152" t="inlineStr">
        <is>
          <t>Not disclosed</t>
        </is>
      </c>
      <c r="AM18" s="152" t="n"/>
      <c r="AN18" s="152" t="inlineStr">
        <is>
          <t>Not disclosed</t>
        </is>
      </c>
      <c r="AO18" s="152" t="inlineStr">
        <is>
          <t>Not disclosed</t>
        </is>
      </c>
      <c r="AP18" s="152" t="inlineStr">
        <is>
          <t>Not disclosed</t>
        </is>
      </c>
      <c r="AQ18" s="152" t="inlineStr">
        <is>
          <t>Not disclosed</t>
        </is>
      </c>
      <c r="AR18" s="152" t="n"/>
      <c r="AS18" s="152" t="n"/>
      <c r="AT18" s="156" t="inlineStr">
        <is>
          <t>Embedded CPU + small AI accelerator</t>
        </is>
      </c>
      <c r="AU18" s="156" t="inlineStr">
        <is>
          <t>Ethernet; USB; Wi‑Fi</t>
        </is>
      </c>
      <c r="AV18" s="152" t="inlineStr">
        <is>
          <t>Not disclosed</t>
        </is>
      </c>
      <c r="AW18" s="156" t="inlineStr">
        <is>
          <t>Not disclosed</t>
        </is>
      </c>
      <c r="AX18" s="152" t="n"/>
      <c r="AY18" s="156" t="inlineStr">
        <is>
          <t>Linux-based robotics OS</t>
        </is>
      </c>
      <c r="AZ18" s="156" t="inlineStr">
        <is>
          <t>Possible via external system integration</t>
        </is>
      </c>
      <c r="BA18" s="156" t="inlineStr">
        <is>
          <t>Low, suitable for manipulation</t>
        </is>
      </c>
      <c r="BB18" s="156" t="inlineStr">
        <is>
          <t>Electric servo motors</t>
        </is>
      </c>
      <c r="BC18" s="156" t="inlineStr">
        <is>
          <t>Harmonic / precision gearboxes</t>
        </is>
      </c>
      <c r="BD18" s="152" t="inlineStr">
        <is>
          <t>Aluminum + plastic composites</t>
        </is>
      </c>
      <c r="BE18" s="152" t="inlineStr">
        <is>
          <t>IP20</t>
        </is>
      </c>
      <c r="BF18" s="152" t="inlineStr">
        <is>
          <t>IP20</t>
        </is>
      </c>
      <c r="BG18" s="152" t="n"/>
      <c r="BH18" s="152" t="n"/>
      <c r="BI18" s="152" t="n"/>
      <c r="BJ18" s="152" t="n"/>
      <c r="BK18" s="152" t="n"/>
      <c r="BL18" s="152" t="n"/>
      <c r="BM18" s="152" t="inlineStr">
        <is>
          <t>Yes</t>
        </is>
      </c>
      <c r="BN18" s="152" t="inlineStr">
        <is>
          <t>Not disclosed</t>
        </is>
      </c>
      <c r="BO18" s="156" t="inlineStr">
        <is>
          <t>Market: AI research; education · Human-safe: Yes · AI: Possible via external system integration · Actuation: Electric servo motors · Peak 2.5 km/h · Walk 2 km/h · Runtime 3</t>
        </is>
      </c>
      <c r="BP18" s="152" t="n"/>
      <c r="BQ18" s="156" t="inlineStr">
        <is>
          <t>AI research; education</t>
        </is>
      </c>
      <c r="BR18" s="156" t="inlineStr">
        <is>
          <t>Prototype</t>
        </is>
      </c>
      <c r="BS18" s="156" t="inlineStr">
        <is>
          <t>Prototype</t>
        </is>
      </c>
      <c r="BT18" s="152" t="inlineStr">
        <is>
          <t>Black</t>
        </is>
      </c>
      <c r="BU18" s="152" t="inlineStr">
        <is>
          <t>Not verified</t>
        </is>
      </c>
      <c r="BV18" s="156" t="n"/>
      <c r="BW18" s="156" t="inlineStr">
        <is>
          <t>Origin &amp; status — China · Prototype · 2026 | Manipulation — 5 per hand · 5 per hand fingers · Hand DOF ~8–12 · Payload 8.8 lb | Sensing &amp; software — 720p–1080p · Possible via external system integration · Linux-based robotics OS | Buying notes — From $28,000 · 12 months manufacturer standard (typical research/commercial humanoid) · Best fit: AI research</t>
        </is>
      </c>
      <c r="BX18" s="156" t="inlineStr">
        <is>
          <t>as_shipped|QUESTER1 Q1|28000|As shipped</t>
        </is>
      </c>
      <c r="BY18" s="152" t="inlineStr">
        <is>
          <t>black|Black|#e2e8f0|0</t>
        </is>
      </c>
      <c r="BZ18" s="152" t="inlineStr"/>
      <c r="CA18" s="156" t="n"/>
      <c r="CB18" s="156" t="inlineStr">
        <is>
          <t>12 months manufacturer standard (typical research/commercial humanoid)</t>
        </is>
      </c>
      <c r="CC18" s="154" t="n">
        <v>12</v>
      </c>
      <c r="CD18" s="156" t="inlineStr">
        <is>
          <t>+3 Year Extended ≈24% of configuration (default in configurator)</t>
        </is>
      </c>
      <c r="CE18" s="152" t="inlineStr">
        <is>
          <t>Humanoid category norm 2025–2026</t>
        </is>
      </c>
      <c r="CF18" s="152" t="inlineStr">
        <is>
          <t>Estimated</t>
        </is>
      </c>
      <c r="CG18" s="156" t="inlineStr">
        <is>
          <t>Confirm on formal OEM quote. EDU or enterprise packages may differ.</t>
        </is>
      </c>
      <c r="CH18" s="152" t="inlineStr">
        <is>
          <t>10%</t>
        </is>
      </c>
      <c r="CI18" s="152" t="inlineStr">
        <is>
          <t>17%</t>
        </is>
      </c>
      <c r="CJ18" s="152" t="inlineStr">
        <is>
          <t>24%</t>
        </is>
      </c>
      <c r="CK18" s="156" t="inlineStr">
        <is>
          <t>+1yr ≈10% | +2yr ≈17% | +3yr ≈24% of selected configuration price (parts &amp; labor beyond manufacturer standard).</t>
        </is>
      </c>
      <c r="CL18"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8" s="152" t="inlineStr">
        <is>
          <t>12 months manufacturer standard (typical research/commercial humanoid)</t>
        </is>
      </c>
      <c r="CQ18" s="101" t="inlineStr">
        <is>
          <t>Height: 2 ft 7 in | Weight: 44.1 | Degrees of Freedom: ~24–32 | Payload: 8.8 | Max Speed: 1.55 | Battery / Runtime: ≈ 3 hours</t>
        </is>
      </c>
    </row>
    <row r="19" ht="31.5" customHeight="1" s="102">
      <c r="A19" s="145" t="inlineStr">
        <is>
          <t>agibot_raise_a1</t>
        </is>
      </c>
      <c r="B19" s="153" t="inlineStr">
        <is>
          <t>Humanoid.guide</t>
        </is>
      </c>
      <c r="C19" s="145" t="inlineStr">
        <is>
          <t>AgiBot</t>
        </is>
      </c>
      <c r="D19" s="145" t="inlineStr">
        <is>
          <t>RAISE A1</t>
        </is>
      </c>
      <c r="E19" s="145" t="inlineStr">
        <is>
          <t>[AgiBot] RAISE A1 (2026)</t>
        </is>
      </c>
      <c r="F19" s="146" t="inlineStr">
        <is>
          <t>humanoid</t>
        </is>
      </c>
      <c r="G19" s="145" t="inlineStr">
        <is>
          <t>China</t>
        </is>
      </c>
      <c r="H19" s="145" t="n"/>
      <c r="I19" s="148" t="n">
        <v>30000</v>
      </c>
      <c r="J19" s="145" t="inlineStr">
        <is>
          <t>Humanoid.guide list</t>
        </is>
      </c>
      <c r="K19" s="149" t="inlineStr">
        <is>
          <t>AI‑powered humanoid robot (175 cm, 55 kg) with 49+ DoF, 7 km/h walking speed, dexterous five‑finger hands and 200 TOPS onboard AI—built for manufacturing, logistics and services.</t>
        </is>
      </c>
      <c r="L19" s="101" t="inlineStr">
        <is>
          <t>AI‑powered humanoid robot (175 cm, 55 kg) with 49+ DoF, 7 km/h walking speed, dexterous five‑finger hands and 200 TOPS onboard AI—built for manufacturing, logistics and services.</t>
        </is>
      </c>
      <c r="M19" s="101" t="inlineStr">
        <is>
          <t>RAISE A1 is AgiBot's humanoid, introduced around 2026 in China. AI‑powered humanoid robot (175 cm, 55 kg) with 49+ DoF, 7 km/h walking speed, dexterous five‑finger hands and 200 TOPS onboard AI—built for manufacturing, logistics and services. Public status is listed as prototype, and it is positioned for industries; Lgistics.; Manufacturing.</t>
        </is>
      </c>
      <c r="N19" s="150" t="inlineStr">
        <is>
          <t>https://humanoid.guide/product/raise-a1/</t>
        </is>
      </c>
      <c r="O19" s="150" t="inlineStr">
        <is>
          <t>https://www.agibot.com</t>
        </is>
      </c>
      <c r="P19" s="145" t="inlineStr">
        <is>
          <t>5 ft 9 in</t>
        </is>
      </c>
      <c r="Q19" s="145" t="n">
        <v>175</v>
      </c>
      <c r="R19" s="145" t="n">
        <v>121.3</v>
      </c>
      <c r="S19" s="145" t="n">
        <v>55</v>
      </c>
      <c r="T19" s="149" t="inlineStr">
        <is>
          <t>Not disclosed</t>
        </is>
      </c>
      <c r="U19" s="145" t="inlineStr">
        <is>
          <t>Not specified</t>
        </is>
      </c>
      <c r="V19" s="145" t="inlineStr">
        <is>
          <t>49</t>
        </is>
      </c>
      <c r="W19" s="149" t="inlineStr">
        <is>
          <t>12</t>
        </is>
      </c>
      <c r="X19" s="145" t="n">
        <v>11</v>
      </c>
      <c r="Y19" s="145" t="n">
        <v>5</v>
      </c>
      <c r="Z19" s="145" t="n">
        <v>4.35</v>
      </c>
      <c r="AA19" s="145" t="n">
        <v>7</v>
      </c>
      <c r="AB19" s="145" t="n">
        <v>7</v>
      </c>
      <c r="AC19" s="149" t="inlineStr">
        <is>
          <t>≈ 2 hours</t>
        </is>
      </c>
      <c r="AD19" s="149" t="inlineStr">
        <is>
          <t>2</t>
        </is>
      </c>
      <c r="AE19" s="145" t="n"/>
      <c r="AF19" s="145" t="inlineStr">
        <is>
          <t>Not disclosed</t>
        </is>
      </c>
      <c r="AG19" s="149" t="inlineStr">
        <is>
          <t>10</t>
        </is>
      </c>
      <c r="AH19" s="145" t="inlineStr">
        <is>
          <t>10</t>
        </is>
      </c>
      <c r="AI19" s="158" t="n">
        <v>2</v>
      </c>
      <c r="AJ19" s="149" t="inlineStr">
        <is>
          <t>RGB‑D camera</t>
        </is>
      </c>
      <c r="AK19" s="149" t="inlineStr">
        <is>
          <t>RGB‑D camera</t>
        </is>
      </c>
      <c r="AL19" s="145" t="inlineStr">
        <is>
          <t>Not disclosed</t>
        </is>
      </c>
      <c r="AM19" s="145" t="n"/>
      <c r="AN19" s="145" t="inlineStr">
        <is>
          <t>Not disclosed</t>
        </is>
      </c>
      <c r="AO19" s="145" t="inlineStr">
        <is>
          <t>Not disclosed</t>
        </is>
      </c>
      <c r="AP19" s="145" t="inlineStr">
        <is>
          <t>Not disclosed</t>
        </is>
      </c>
      <c r="AQ19" s="145" t="inlineStr">
        <is>
          <t>Not disclosed</t>
        </is>
      </c>
      <c r="AR19" s="145" t="n"/>
      <c r="AS19" s="145" t="n"/>
      <c r="AT19" s="149" t="inlineStr">
        <is>
          <t>Not disclosed</t>
        </is>
      </c>
      <c r="AU19" s="149" t="inlineStr">
        <is>
          <t>Not disclosed</t>
        </is>
      </c>
      <c r="AV19" s="145" t="inlineStr">
        <is>
          <t>Not disclosed</t>
        </is>
      </c>
      <c r="AW19" s="149" t="inlineStr">
        <is>
          <t>Not disclosed</t>
        </is>
      </c>
      <c r="AX19" s="158" t="n">
        <v>2</v>
      </c>
      <c r="AY19" s="149" t="inlineStr">
        <is>
          <t>Not disclosed</t>
        </is>
      </c>
      <c r="AZ19" s="149" t="inlineStr">
        <is>
          <t>WorkGPT</t>
        </is>
      </c>
      <c r="BA19" s="149" t="inlineStr">
        <is>
          <t>Not specified</t>
        </is>
      </c>
      <c r="BB19" s="149" t="inlineStr">
        <is>
          <t>PowerFlow quasi‑direct‑drive joint with high‑torque planetary reducer (&amp;lt;10:1), coaxial dual encoders, liquid‑cooling; peak joint torque ~350 N·m.</t>
        </is>
      </c>
      <c r="BC19" s="149" t="inlineStr">
        <is>
          <t>High‑torque planetary reducers</t>
        </is>
      </c>
      <c r="BD19" s="145" t="inlineStr">
        <is>
          <t>Not disclosed</t>
        </is>
      </c>
      <c r="BE19" s="145" t="inlineStr">
        <is>
          <t>Not disclosed</t>
        </is>
      </c>
      <c r="BF19" s="145" t="inlineStr">
        <is>
          <t>Not specified</t>
        </is>
      </c>
      <c r="BG19" s="145" t="n"/>
      <c r="BH19" s="145" t="n"/>
      <c r="BI19" s="145" t="n"/>
      <c r="BJ19" s="145" t="n"/>
      <c r="BK19" s="145" t="n"/>
      <c r="BL19" s="145" t="n"/>
      <c r="BM19" s="145" t="inlineStr">
        <is>
          <t>Not disclosed</t>
        </is>
      </c>
      <c r="BN19" s="145" t="inlineStr">
        <is>
          <t>Not disclosed</t>
        </is>
      </c>
      <c r="BO19" s="149" t="inlineStr">
        <is>
          <t>Market: Industries; Lgistics.; Manufacturing · Manipulation 2/4 · Navigation 2/4 · Human-safe: Not specified · AI: WorkGPT · Actuation: PowerFlow quasi‑direct‑drive joint with high‑torque planetary reducer (&amp;lt;10:1), coaxial dual encoders, li… · Peak 7 km/h · Walk 7 km/h · Runtime 2</t>
        </is>
      </c>
      <c r="BP19" s="145" t="n"/>
      <c r="BQ19" s="149" t="inlineStr">
        <is>
          <t>Industries; Lgistics.; Manufacturing</t>
        </is>
      </c>
      <c r="BR19" s="149" t="inlineStr">
        <is>
          <t>Prototype</t>
        </is>
      </c>
      <c r="BS19" s="149" t="inlineStr">
        <is>
          <t>Prototype</t>
        </is>
      </c>
      <c r="BT19" s="145" t="inlineStr">
        <is>
          <t>Not specified</t>
        </is>
      </c>
      <c r="BU19" s="145" t="inlineStr">
        <is>
          <t>Not verified</t>
        </is>
      </c>
      <c r="BV19" s="149" t="n"/>
      <c r="BW19" s="149" t="inlineStr">
        <is>
          <t>Origin &amp; status — China · Prototype · 2026 | Manipulation — 10 · 10 fingers · Hand DOF 12 · Payload 11 lb | Sensing &amp; software — RGB‑D camera · WorkGPT | Buying notes — From $30,000 · 12 months manufacturer standard (typical research/commercial humanoid) · Best fit: Industries</t>
        </is>
      </c>
      <c r="BX19" s="149" t="inlineStr">
        <is>
          <t>as_shipped|RAISE A1|30000|As shipped</t>
        </is>
      </c>
      <c r="BY19" s="145" t="inlineStr">
        <is>
          <t>not_specified|Not specified|#e2e8f0|0</t>
        </is>
      </c>
      <c r="BZ19" s="145" t="inlineStr"/>
      <c r="CA19" s="149" t="n"/>
      <c r="CB19" s="149" t="inlineStr">
        <is>
          <t>12 months manufacturer standard (typical research/commercial humanoid)</t>
        </is>
      </c>
      <c r="CC19" s="147" t="n">
        <v>12</v>
      </c>
      <c r="CD19" s="149" t="inlineStr">
        <is>
          <t>+3 Year Extended ≈24% of configuration (default in configurator)</t>
        </is>
      </c>
      <c r="CE19" s="145" t="inlineStr">
        <is>
          <t>Humanoid category norm 2025–2026</t>
        </is>
      </c>
      <c r="CF19" s="145" t="inlineStr">
        <is>
          <t>Estimated</t>
        </is>
      </c>
      <c r="CG19" s="149" t="inlineStr">
        <is>
          <t>Confirm on formal OEM quote. EDU or enterprise packages may differ.</t>
        </is>
      </c>
      <c r="CH19" s="145" t="inlineStr">
        <is>
          <t>10%</t>
        </is>
      </c>
      <c r="CI19" s="145" t="inlineStr">
        <is>
          <t>17%</t>
        </is>
      </c>
      <c r="CJ19" s="145" t="inlineStr">
        <is>
          <t>24%</t>
        </is>
      </c>
      <c r="CK19" s="149" t="inlineStr">
        <is>
          <t>+1yr ≈10% | +2yr ≈17% | +3yr ≈24% of selected configuration price (parts &amp; labor beyond manufacturer standard).</t>
        </is>
      </c>
      <c r="CL1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9" s="145" t="inlineStr">
        <is>
          <t>12 months manufacturer standard (typical research/commercial humanoid)</t>
        </is>
      </c>
      <c r="CQ19" s="101" t="inlineStr">
        <is>
          <t>Height: 5 ft 9 in | Weight: 121.3 | Degrees of Freedom: 49 | Payload: 11 | Max Speed: 4.35 | Battery / Runtime: ≈ 2 hours</t>
        </is>
      </c>
    </row>
    <row r="20" ht="31.5" customHeight="1" s="102">
      <c r="A20" s="159" t="inlineStr">
        <is>
          <t>a2lite</t>
        </is>
      </c>
      <c r="B20" s="160" t="inlineStr">
        <is>
          <t>Website</t>
        </is>
      </c>
      <c r="C20" s="152" t="inlineStr">
        <is>
          <t>AgiBot (Zhiyuan)</t>
        </is>
      </c>
      <c r="D20" s="152" t="inlineStr">
        <is>
          <t>A2 Lite</t>
        </is>
      </c>
      <c r="E20" s="152" t="inlineStr">
        <is>
          <t>[AgiBot] A2 Lite (2025)</t>
        </is>
      </c>
      <c r="F20" s="146" t="inlineStr">
        <is>
          <t>humanoid</t>
        </is>
      </c>
      <c r="G20" s="152" t="inlineStr">
        <is>
          <t>China</t>
        </is>
      </c>
      <c r="H20" s="154" t="n">
        <v>2025</v>
      </c>
      <c r="I20" s="155" t="n">
        <v>44560</v>
      </c>
      <c r="J20" s="152" t="inlineStr">
        <is>
          <t>Robot Price Index Aug 2026</t>
        </is>
      </c>
      <c r="K20" s="156" t="inlineStr">
        <is>
          <t>A2 Lite is AgiBot (Zhiyuan)'s humanoid — ≈ 5 ft 7 in class class, Full-size humanoid DOF class, Light commercial interaction payload class lb payload. RGB / depth class sensors for interaction.</t>
        </is>
      </c>
      <c r="L20" s="101" t="inlineStr">
        <is>
          <t>A2 Lite is AgiBot (Zhiyuan)'s humanoid — ≈ 5 ft 7 in class class, Full-size humanoid DOF class, Light commercial interaction payload class lb payload. RGB / depth class sensors for interaction.</t>
        </is>
      </c>
      <c r="M20" s="101" t="inlineStr">
        <is>
          <t>A2 Lite is AgiBot (Zhiyuan)'s humanoid — ≈ 5 ft 7 in class class, Full-size humanoid DOF class, Light commercial interaction payload class lb payload. RGB / depth class sensors for interaction.</t>
        </is>
      </c>
      <c r="N20" s="152" t="n"/>
      <c r="O20" s="152" t="inlineStr">
        <is>
          <t>https://www.agibot.com</t>
        </is>
      </c>
      <c r="P20" s="152" t="inlineStr">
        <is>
          <t>≈ 5 ft 7 in class</t>
        </is>
      </c>
      <c r="Q20" s="152" t="n">
        <v>170.2</v>
      </c>
      <c r="R20" s="152" t="inlineStr">
        <is>
          <t>≈ 121–132 lb class</t>
        </is>
      </c>
      <c r="S20" s="152" t="n">
        <v>59.9</v>
      </c>
      <c r="T20" s="156" t="inlineStr">
        <is>
          <t>Not disclosed</t>
        </is>
      </c>
      <c r="U20" s="152" t="n"/>
      <c r="V20" s="152" t="inlineStr">
        <is>
          <t>Full-size humanoid DOF class</t>
        </is>
      </c>
      <c r="W20" s="156" t="inlineStr">
        <is>
          <t>Not disclosed</t>
        </is>
      </c>
      <c r="X20" s="152" t="inlineStr">
        <is>
          <t>Light commercial interaction payload class</t>
        </is>
      </c>
      <c r="Y20" s="152" t="n"/>
      <c r="Z20" s="152" t="n"/>
      <c r="AA20" s="152" t="n"/>
      <c r="AB20" s="152" t="n"/>
      <c r="AC20" s="156" t="inlineStr">
        <is>
          <t>Not disclosed</t>
        </is>
      </c>
      <c r="AD20" s="156" t="n"/>
      <c r="AE20" s="152" t="n"/>
      <c r="AF20" s="152" t="inlineStr">
        <is>
          <t>Not disclosed</t>
        </is>
      </c>
      <c r="AG20" s="156" t="inlineStr">
        <is>
          <t>Not disclosed</t>
        </is>
      </c>
      <c r="AH20" s="152" t="inlineStr">
        <is>
          <t>Not disclosed</t>
        </is>
      </c>
      <c r="AI20" s="152" t="n"/>
      <c r="AJ20" s="156" t="inlineStr">
        <is>
          <t>RGB / depth class sensors for interaction</t>
        </is>
      </c>
      <c r="AK20" s="156" t="n"/>
      <c r="AL20" s="152" t="inlineStr">
        <is>
          <t>Not disclosed</t>
        </is>
      </c>
      <c r="AM20" s="152" t="n"/>
      <c r="AN20" s="152" t="inlineStr">
        <is>
          <t>Not disclosed</t>
        </is>
      </c>
      <c r="AO20" s="152" t="inlineStr">
        <is>
          <t>Voice interaction hardware on commercial builds</t>
        </is>
      </c>
      <c r="AP20" s="152" t="inlineStr">
        <is>
          <t>Not disclosed</t>
        </is>
      </c>
      <c r="AQ20" s="152" t="inlineStr">
        <is>
          <t>Not disclosed</t>
        </is>
      </c>
      <c r="AR20" s="152" t="n"/>
      <c r="AS20" s="152" t="n"/>
      <c r="AT20" s="156" t="inlineStr">
        <is>
          <t>Not disclosed</t>
        </is>
      </c>
      <c r="AU20" s="156" t="inlineStr">
        <is>
          <t>Not disclosed</t>
        </is>
      </c>
      <c r="AV20" s="152" t="inlineStr">
        <is>
          <t>Commercial demo and showroom software</t>
        </is>
      </c>
      <c r="AW20" s="156" t="inlineStr">
        <is>
          <t>Not disclosed</t>
        </is>
      </c>
      <c r="AX20" s="152" t="n"/>
      <c r="AY20" s="156" t="inlineStr">
        <is>
          <t>Not disclosed</t>
        </is>
      </c>
      <c r="AZ20" s="156" t="inlineStr">
        <is>
          <t>Not disclosed</t>
        </is>
      </c>
      <c r="BA20" s="156" t="n"/>
      <c r="BB20" s="156" t="inlineStr">
        <is>
          <t>Not disclosed</t>
        </is>
      </c>
      <c r="BC20" s="156" t="inlineStr">
        <is>
          <t>Not disclosed</t>
        </is>
      </c>
      <c r="BD20" s="152" t="inlineStr">
        <is>
          <t>Not disclosed</t>
        </is>
      </c>
      <c r="BE20" s="152" t="inlineStr">
        <is>
          <t>Not disclosed</t>
        </is>
      </c>
      <c r="BF20" s="152" t="n"/>
      <c r="BG20" s="152" t="n"/>
      <c r="BH20" s="152" t="n"/>
      <c r="BI20" s="152" t="n"/>
      <c r="BJ20" s="152" t="n"/>
      <c r="BK20" s="152" t="n"/>
      <c r="BL20" s="152" t="n"/>
      <c r="BM20" s="152" t="inlineStr">
        <is>
          <t>Not disclosed</t>
        </is>
      </c>
      <c r="BN20" s="152" t="inlineStr">
        <is>
          <t>Not disclosed</t>
        </is>
      </c>
      <c r="BO20" s="156" t="inlineStr">
        <is>
          <t>The A2 Lite is a bipedal humanoid robot from AgiBot, associated with development and availability timelines around 2025.</t>
        </is>
      </c>
      <c r="BP20" s="152" t="n"/>
      <c r="BQ20" s="156" t="inlineStr">
        <is>
          <t>Commercial demos, showrooms, and teams that want a more finished humanoid appearance with clearer pricing.</t>
        </is>
      </c>
      <c r="BR20" s="156" t="inlineStr">
        <is>
          <t>Not disclosed</t>
        </is>
      </c>
      <c r="BS20" s="156" t="n"/>
      <c r="BT20" s="152" t="n"/>
      <c r="BU20" s="152" t="n"/>
      <c r="BV20" s="156" t="n"/>
      <c r="BW20" s="156" t="inlineStr">
        <is>
          <t>Origin &amp; status — China · 2025 | Manipulation — Payload Light commercial interaction payload class lb | Sensing &amp; software — RGB / depth class sensors for interaction · Commercial demo and showroom software | Buying notes — From $44,560 · 12 months manufacturer standard (typical by tier)</t>
        </is>
      </c>
      <c r="BX20" s="156" t="inlineStr">
        <is>
          <t>lite|A2 Lite|44560|International store configuration || a2|A2 / A2 Ultra|120000|Full Yuanzheng flagship</t>
        </is>
      </c>
      <c r="BY20" s="152" t="inlineStr">
        <is>
          <t>white|Show White|#f8fafc|0 || black|Stage Black|#111111|0</t>
        </is>
      </c>
      <c r="BZ20" s="152" t="inlineStr">
        <is>
          <t>battery_a2l, hands, controller, case, warranty_a2l</t>
        </is>
      </c>
      <c r="CA20" s="156" t="inlineStr">
        <is>
          <t>2 configuration tiers; Add-ons: battery_a2l, hands, controller, case; 2 color options; Multi-year extended warranty available</t>
        </is>
      </c>
      <c r="CB20" s="156" t="inlineStr">
        <is>
          <t>12 months manufacturer standard (typical by tier)</t>
        </is>
      </c>
      <c r="CC20" s="154" t="n">
        <v>12</v>
      </c>
      <c r="CD20" s="156" t="inlineStr">
        <is>
          <t>+3 Year Extended ≈24% of configuration (default in configurator)</t>
        </is>
      </c>
      <c r="CE20" s="152" t="inlineStr">
        <is>
          <t>Category norm for AgiBot commercial platforms</t>
        </is>
      </c>
      <c r="CF20" s="152" t="inlineStr">
        <is>
          <t>Estimated</t>
        </is>
      </c>
      <c r="CG20" s="156" t="inlineStr">
        <is>
          <t>Confirm tier-specific term on formal quote.</t>
        </is>
      </c>
      <c r="CH20" s="152" t="inlineStr">
        <is>
          <t>10%</t>
        </is>
      </c>
      <c r="CI20" s="152" t="inlineStr">
        <is>
          <t>17%</t>
        </is>
      </c>
      <c r="CJ20" s="152" t="inlineStr">
        <is>
          <t>24%</t>
        </is>
      </c>
      <c r="CK20"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0"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0" s="152" t="inlineStr">
        <is>
          <t>12 months manufacturer standard (typical by tier)</t>
        </is>
      </c>
      <c r="CQ20" s="101" t="inlineStr">
        <is>
          <t>Height: ≈ 5 ft 7 in class | Weight: ≈ 121–132 lb class | Degrees of Freedom: Full-size humanoid DOF class | Payload: Light commercial interaction payload class | Max Speed: Not disclosed | Battery / Runtime: Not disclosed</t>
        </is>
      </c>
    </row>
    <row r="21" ht="31.5" customHeight="1" s="102">
      <c r="A21" s="143" t="inlineStr">
        <is>
          <t>x2</t>
        </is>
      </c>
      <c r="B21" s="144" t="inlineStr">
        <is>
          <t>Both</t>
        </is>
      </c>
      <c r="C21" s="145" t="inlineStr">
        <is>
          <t>AgiBot</t>
        </is>
      </c>
      <c r="D21" s="145" t="inlineStr">
        <is>
          <t>AgiBot X2</t>
        </is>
      </c>
      <c r="E21" s="145" t="inlineStr">
        <is>
          <t>[AgiBot] Lingxi X2 (2025)</t>
        </is>
      </c>
      <c r="F21" s="146" t="inlineStr">
        <is>
          <t>humanoid</t>
        </is>
      </c>
      <c r="G21" s="145" t="inlineStr">
        <is>
          <t>China</t>
        </is>
      </c>
      <c r="H21" s="147" t="n">
        <v>2025</v>
      </c>
      <c r="I21" s="148" t="n">
        <v>24240</v>
      </c>
      <c r="J21" s="145" t="inlineStr">
        <is>
          <t>Website store</t>
        </is>
      </c>
      <c r="K21" s="149" t="inlineStr">
        <is>
          <t>AgiBot X2 is a bipedal humanoid robot by AgiBot that combines fluid human-like movement, autonomous navigation, and multimodal interaction for versatile service, entertainment, and assistance roles.</t>
        </is>
      </c>
      <c r="L21" s="101" t="inlineStr">
        <is>
          <t>AgiBot X2 is a bipedal humanoid robot by AgiBot that combines fluid human-like movement, autonomous navigation, and multimodal interaction for versatile service, entertainment, and assistance roles.</t>
        </is>
      </c>
      <c r="M21" s="101" t="inlineStr">
        <is>
          <t>Lingxi X2 is AgiBot’s compact interaction humanoid, built as a lighter, more approachable counterpart to the company’s larger industrial A2 family.</t>
        </is>
      </c>
      <c r="N21" s="150" t="inlineStr">
        <is>
          <t>https://humanoid.guide/product/agibot-x2/</t>
        </is>
      </c>
      <c r="O21" s="150" t="inlineStr">
        <is>
          <t>https://www.agibot.com</t>
        </is>
      </c>
      <c r="P21" s="145" t="inlineStr">
        <is>
          <t>≈ 4 ft 4 in</t>
        </is>
      </c>
      <c r="Q21" s="145" t="n">
        <v>130</v>
      </c>
      <c r="R21" s="145" t="n">
        <v>77.2</v>
      </c>
      <c r="S21" s="145" t="n">
        <v>35</v>
      </c>
      <c r="T21" s="149" t="inlineStr">
        <is>
          <t>Not disclosed</t>
        </is>
      </c>
      <c r="U21" s="145" t="inlineStr">
        <is>
          <t>131 cm × 46 cm × 21 cm</t>
        </is>
      </c>
      <c r="V21" s="145" t="inlineStr">
        <is>
          <t>≈ 25–30 depending on trim</t>
        </is>
      </c>
      <c r="W21" s="149" t="inlineStr">
        <is>
          <t>5 DOF per arm on base X2, 7 DOF per arm on Pro/Ultra</t>
        </is>
      </c>
      <c r="X21" s="145" t="n">
        <v>6.6</v>
      </c>
      <c r="Y21" s="145" t="n">
        <v>3</v>
      </c>
      <c r="Z21" s="145" t="n">
        <v>3.36</v>
      </c>
      <c r="AA21" s="145" t="n">
        <v>5.4</v>
      </c>
      <c r="AB21" s="145" t="n">
        <v>5.4</v>
      </c>
      <c r="AC21" s="149" t="inlineStr">
        <is>
          <t>~2 hours at 0.5 m/s walking with 500 Wh battery</t>
        </is>
      </c>
      <c r="AD21" s="149" t="inlineStr">
        <is>
          <t>~2 hours at 0.5 m/s walking with 500 Wh battery</t>
        </is>
      </c>
      <c r="AE21" s="145" t="n"/>
      <c r="AF21" s="145" t="inlineStr">
        <is>
          <t>Not disclosed</t>
        </is>
      </c>
      <c r="AG21" s="149" t="inlineStr">
        <is>
          <t>5 per hand</t>
        </is>
      </c>
      <c r="AH21" s="145" t="inlineStr">
        <is>
          <t>5 per hand</t>
        </is>
      </c>
      <c r="AI21" s="151" t="n">
        <v>3</v>
      </c>
      <c r="AJ21" s="149" t="inlineStr">
        <is>
          <t>Interactive head/camera suite for engagement scenarios</t>
        </is>
      </c>
      <c r="AK21" s="149" t="inlineStr">
        <is>
          <t>Interactive RGB camera; flagship model includes RGB-D camera + multi-line LiDAR + head-touch sensor</t>
        </is>
      </c>
      <c r="AL21" s="145" t="inlineStr">
        <is>
          <t>Onboard capture for interaction and demo recording</t>
        </is>
      </c>
      <c r="AM21" s="145" t="n"/>
      <c r="AN21" s="145" t="inlineStr">
        <is>
          <t>Not disclosed</t>
        </is>
      </c>
      <c r="AO21" s="145" t="inlineStr">
        <is>
          <t>Microphone array for voice interaction</t>
        </is>
      </c>
      <c r="AP21" s="145" t="inlineStr">
        <is>
          <t>Not disclosed</t>
        </is>
      </c>
      <c r="AQ21" s="145" t="inlineStr">
        <is>
          <t>Not disclosed</t>
        </is>
      </c>
      <c r="AR21" s="145" t="n"/>
      <c r="AS21" s="145" t="n"/>
      <c r="AT21" s="149" t="inlineStr">
        <is>
          <t>Base: RK3588 ×2; Ultra: RK3588 ×2 + optional NVIDIA Orin NX 157 TOPS</t>
        </is>
      </c>
      <c r="AU21" s="149" t="inlineStr">
        <is>
          <t>Bluetooth; Pro/Ultra optional 4G/5G module; Wi‑Fi</t>
        </is>
      </c>
      <c r="AV21" s="145" t="inlineStr">
        <is>
          <t>Show / commercial control software paths</t>
        </is>
      </c>
      <c r="AW21" s="149" t="inlineStr">
        <is>
          <t>Bipedal walking for indoor commercial spaces</t>
        </is>
      </c>
      <c r="AX21" s="151" t="n">
        <v>3</v>
      </c>
      <c r="AY21" s="149" t="inlineStr">
        <is>
          <t>Not publicly specified; likely optimized for real-time interaction given demo responsiveness (assumption)</t>
        </is>
      </c>
      <c r="AZ21" s="149" t="inlineStr">
        <is>
          <t>AI-driven decision making, uses a foundation model (GO-1) for general intelligence</t>
        </is>
      </c>
      <c r="BA21" s="149" t="n"/>
      <c r="BB21" s="149" t="inlineStr">
        <is>
          <t>Joint modules with peak joint torque 120 N·m.</t>
        </is>
      </c>
      <c r="BC21" s="149" t="inlineStr">
        <is>
          <t>Not disclosed</t>
        </is>
      </c>
      <c r="BD21" s="145" t="inlineStr">
        <is>
          <t>flexible/impact-resistant materials for exterior</t>
        </is>
      </c>
      <c r="BE21" s="145" t="inlineStr">
        <is>
          <t>Not disclosed</t>
        </is>
      </c>
      <c r="BF21" s="145" t="inlineStr">
        <is>
          <t>Not specified</t>
        </is>
      </c>
      <c r="BG21" s="145" t="n"/>
      <c r="BH21" s="145" t="n"/>
      <c r="BI21" s="145" t="n"/>
      <c r="BJ21" s="145" t="n"/>
      <c r="BK21" s="145" t="n"/>
      <c r="BL21" s="145" t="n"/>
      <c r="BM21" s="145" t="inlineStr">
        <is>
          <t>Yes — designed for human environments, with force limits and obstacle avoidance.</t>
        </is>
      </c>
      <c r="BN21" s="145" t="inlineStr">
        <is>
          <t>Not disclosed</t>
        </is>
      </c>
      <c r="BO21" s="149" t="inlineStr">
        <is>
          <t>Market: Elderly-care; Entertainment; Home service; Light industrial assistance; Public interaction; Security · Manipulation 3/4 · Navigation 3/4 · Human-safe: Yes — designed for human environments, with force limits and obstacle avoidance. · AI: AI-driven decision making, uses a foundation model (GO-1) for general intelligence · Actuation: Joint modules with peak joint torque 120 N·m. · Peak 5.4 km/h · Walk 5.4 km/h · Runtime ~2 hours at 0.5 m/s walking with 500 Wh battery</t>
        </is>
      </c>
      <c r="BP21" s="145" t="n"/>
      <c r="BQ21" s="149" t="inlineStr">
        <is>
          <t>Elderly-care; Entertainment; Home service; Light industrial assistance; Public interaction; Security</t>
        </is>
      </c>
      <c r="BR21" s="149" t="inlineStr">
        <is>
          <t>In production</t>
        </is>
      </c>
      <c r="BS21" s="149" t="inlineStr">
        <is>
          <t>In production</t>
        </is>
      </c>
      <c r="BT21" s="145" t="inlineStr">
        <is>
          <t>Black; White</t>
        </is>
      </c>
      <c r="BU21" s="145" t="inlineStr">
        <is>
          <t>Verified</t>
        </is>
      </c>
      <c r="BV21" s="149" t="inlineStr">
        <is>
          <t>Humanoid.guide listed price $34,000.</t>
        </is>
      </c>
      <c r="BW21" s="149" t="inlineStr">
        <is>
          <t>Origin &amp; status — China · In production · 2025 | Manipulation — 5 per hand · 5 per hand fingers · Hand DOF 5 DOF per arm on base X2, 7 DOF per arm on Pro/Ultra · Payload ≈ 2–7 lb class per arm (compact interactive humanoid) | Sensing &amp; software — Interactive head/camera suite for engagement scenarios · AI-driven decision making, uses a foundation model (GO-1) for general intelligence · Not publicly s… | Buying notes — From $24,240 · 12 months manufacturer standard (typical by tier) · Best fit: Elderly-care</t>
        </is>
      </c>
      <c r="BX21" s="149" t="inlineStr">
        <is>
          <t>interactive|X2|24240|Interactive / performance || pro|X2 Explorer (Pro)|0|Research trim || ultra|X2 Ultra|56400|Flagship + LiDAR</t>
        </is>
      </c>
      <c r="BY21" s="145" t="inlineStr">
        <is>
          <t>white|Performance White|#f8fafc|0</t>
        </is>
      </c>
      <c r="BZ21" s="145" t="inlineStr">
        <is>
          <t>battery_x2, hands_x2, skin_x2, controller</t>
        </is>
      </c>
      <c r="CA21" s="149" t="inlineStr">
        <is>
          <t>3 configuration tiers; Add-ons: battery_x2, hands_x2, skin_x2, controller, case; 2 color options; Multi-year extended warranty available</t>
        </is>
      </c>
      <c r="CB21" s="149" t="inlineStr">
        <is>
          <t>12 months manufacturer standard (typical by tier)</t>
        </is>
      </c>
      <c r="CC21" s="147" t="n">
        <v>12</v>
      </c>
      <c r="CD21" s="149" t="inlineStr">
        <is>
          <t>+3 Year Extended ≈24% of configuration (default in configurator)</t>
        </is>
      </c>
      <c r="CE21" s="145" t="inlineStr">
        <is>
          <t>Category norm for AgiBot commercial platforms</t>
        </is>
      </c>
      <c r="CF21" s="145" t="inlineStr">
        <is>
          <t>Estimated</t>
        </is>
      </c>
      <c r="CG21" s="149" t="inlineStr">
        <is>
          <t>Confirm tier-specific term on formal quote.</t>
        </is>
      </c>
      <c r="CH21" s="145" t="inlineStr">
        <is>
          <t>10%</t>
        </is>
      </c>
      <c r="CI21" s="145" t="inlineStr">
        <is>
          <t>17%</t>
        </is>
      </c>
      <c r="CJ21" s="145" t="inlineStr">
        <is>
          <t>24%</t>
        </is>
      </c>
      <c r="CK2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1" s="145" t="inlineStr">
        <is>
          <t>12 months manufacturer standard (typical by tier)</t>
        </is>
      </c>
      <c r="CQ21" s="101" t="inlineStr">
        <is>
          <t>Height: ≈ 4 ft 4 in | Weight: 77.2 | Degrees of Freedom: ≈ 25–30 depending on trim | Payload: 6.6 | Max Speed: 3.36 | Battery / Runtime: ~2 hours at 0.5 m/s walking with 500 Wh battery</t>
        </is>
      </c>
    </row>
    <row r="22" ht="31.5" customHeight="1" s="102">
      <c r="A22" s="152" t="inlineStr">
        <is>
          <t>agile_robots_se_agile_one</t>
        </is>
      </c>
      <c r="B22" s="153" t="inlineStr">
        <is>
          <t>Humanoid.guide</t>
        </is>
      </c>
      <c r="C22" s="152" t="inlineStr">
        <is>
          <t>Agile Robots SE</t>
        </is>
      </c>
      <c r="D22" s="152" t="inlineStr">
        <is>
          <t>Agile One</t>
        </is>
      </c>
      <c r="E22" s="152" t="inlineStr">
        <is>
          <t>[Agile Robots SE] Agile One (2026)</t>
        </is>
      </c>
      <c r="F22" s="146" t="inlineStr">
        <is>
          <t>humanoid</t>
        </is>
      </c>
      <c r="G22" s="152" t="inlineStr">
        <is>
          <t>Germany</t>
        </is>
      </c>
      <c r="H22" s="152" t="n"/>
      <c r="I22" s="155" t="n">
        <v>100000</v>
      </c>
      <c r="J22" s="152" t="inlineStr">
        <is>
          <t>Humanoid.guide list</t>
        </is>
      </c>
      <c r="K22" s="156" t="inlineStr">
        <is>
          <t>Agile ONE is Agile Robots’ life-sized industrial humanoid with five-finger dexterous hands, Physical AI and factory-trained foundation models for manufacturing and logistics tasks.</t>
        </is>
      </c>
      <c r="L22" s="101" t="inlineStr">
        <is>
          <t>Agile ONE is Agile Robots’ life-sized industrial humanoid with five-finger dexterous hands, Physical AI and factory-trained foundation models for manufacturing and logistics tasks.</t>
        </is>
      </c>
      <c r="M22" s="101" t="inlineStr">
        <is>
          <t>Agile ONE is Agile Robots’ life-sized industrial humanoid with five-finger dexterous hands, Physical AI and factory-trained foundation models for manufacturing and logistics tasks. Public status is listed as prototype, and it is positioned for logistics; Manufacturing.</t>
        </is>
      </c>
      <c r="N22" s="157" t="inlineStr">
        <is>
          <t>https://humanoid.guide/product/agile-one/</t>
        </is>
      </c>
      <c r="O22" s="157" t="inlineStr">
        <is>
          <t>https://www.agile-robots.com</t>
        </is>
      </c>
      <c r="P22" s="152" t="inlineStr">
        <is>
          <t>5 ft 9 in</t>
        </is>
      </c>
      <c r="Q22" s="152" t="n">
        <v>174</v>
      </c>
      <c r="R22" s="152" t="n">
        <v>152.1</v>
      </c>
      <c r="S22" s="152" t="n">
        <v>69</v>
      </c>
      <c r="T22" s="156" t="inlineStr">
        <is>
          <t>Not disclosed</t>
        </is>
      </c>
      <c r="U22" s="152" t="n"/>
      <c r="V22" s="152" t="inlineStr">
        <is>
          <t>40</t>
        </is>
      </c>
      <c r="W22" s="156" t="inlineStr">
        <is>
          <t>21</t>
        </is>
      </c>
      <c r="X22" s="152" t="n">
        <v>44.1</v>
      </c>
      <c r="Y22" s="152" t="n">
        <v>20</v>
      </c>
      <c r="Z22" s="152" t="n">
        <v>4.47</v>
      </c>
      <c r="AA22" s="152" t="n">
        <v>7.2</v>
      </c>
      <c r="AB22" s="152" t="n">
        <v>7.2</v>
      </c>
      <c r="AC22" s="156" t="inlineStr">
        <is>
          <t>≈ 3 hours</t>
        </is>
      </c>
      <c r="AD22" s="156" t="inlineStr">
        <is>
          <t>3</t>
        </is>
      </c>
      <c r="AE22" s="152" t="n"/>
      <c r="AF22" s="152" t="inlineStr">
        <is>
          <t>Not disclosed</t>
        </is>
      </c>
      <c r="AG22" s="156" t="inlineStr">
        <is>
          <t>10</t>
        </is>
      </c>
      <c r="AH22" s="152" t="inlineStr">
        <is>
          <t>10</t>
        </is>
      </c>
      <c r="AI22" s="151" t="n">
        <v>3</v>
      </c>
      <c r="AJ22" s="156" t="inlineStr">
        <is>
          <t>Not disclosed</t>
        </is>
      </c>
      <c r="AK22" s="156" t="inlineStr">
        <is>
          <t>Not specified</t>
        </is>
      </c>
      <c r="AL22" s="152" t="inlineStr">
        <is>
          <t>Not disclosed</t>
        </is>
      </c>
      <c r="AM22" s="152" t="n"/>
      <c r="AN22" s="152" t="inlineStr">
        <is>
          <t>Not disclosed</t>
        </is>
      </c>
      <c r="AO22" s="152" t="inlineStr">
        <is>
          <t>Not disclosed</t>
        </is>
      </c>
      <c r="AP22" s="152" t="inlineStr">
        <is>
          <t>Not disclosed</t>
        </is>
      </c>
      <c r="AQ22" s="152" t="inlineStr">
        <is>
          <t>Not disclosed</t>
        </is>
      </c>
      <c r="AR22" s="152" t="n"/>
      <c r="AS22" s="152" t="n"/>
      <c r="AT22" s="156" t="inlineStr">
        <is>
          <t>Not disclosed</t>
        </is>
      </c>
      <c r="AU22" s="156" t="inlineStr">
        <is>
          <t>WiFi</t>
        </is>
      </c>
      <c r="AV22" s="152" t="inlineStr">
        <is>
          <t>Not disclosed</t>
        </is>
      </c>
      <c r="AW22" s="156" t="inlineStr">
        <is>
          <t>Not disclosed</t>
        </is>
      </c>
      <c r="AX22" s="151" t="n">
        <v>3</v>
      </c>
      <c r="AY22" s="156" t="inlineStr">
        <is>
          <t>Almost certainly a Linux-based robotics stack running AgileCore and foundation-model control</t>
        </is>
      </c>
      <c r="AZ22" s="156" t="inlineStr">
        <is>
          <t>Uses Robotic Foundation Models trained on large industrial datasets; voice / natural-language interaction is supported, but no specific general-purpose LLM is named.</t>
        </is>
      </c>
      <c r="BA22" s="156" t="inlineStr">
        <is>
          <t>Not specified</t>
        </is>
      </c>
      <c r="BB22" s="156" t="inlineStr">
        <is>
          <t>Electric motors</t>
        </is>
      </c>
      <c r="BC22" s="156" t="inlineStr">
        <is>
          <t>likely high-ratio precision gears such as harmonic/cycloidal, but not stated</t>
        </is>
      </c>
      <c r="BD22" s="152" t="inlineStr">
        <is>
          <t>Internal structure with rigid + elastic polymers, soft silicone outer shell</t>
        </is>
      </c>
      <c r="BE22" s="152" t="inlineStr">
        <is>
          <t>Not disclosed</t>
        </is>
      </c>
      <c r="BF22" s="152" t="inlineStr">
        <is>
          <t>Not specified</t>
        </is>
      </c>
      <c r="BG22" s="152" t="n"/>
      <c r="BH22" s="152" t="n"/>
      <c r="BI22" s="152" t="n"/>
      <c r="BJ22" s="152" t="n"/>
      <c r="BK22" s="152" t="n"/>
      <c r="BL22" s="152" t="n"/>
      <c r="BM22" s="152" t="inlineStr">
        <is>
          <t>Yes</t>
        </is>
      </c>
      <c r="BN22" s="152" t="inlineStr">
        <is>
          <t>Not disclosed</t>
        </is>
      </c>
      <c r="BO22" s="156" t="inlineStr">
        <is>
          <t>Market: logistics; Manufacturing · Manipulation 3/4 · Navigation 3/4 · Human-safe: Yes · AI: Uses Robotic Foundation Models trained on large industrial datasets; voice / natural-language interaction is supported, but no specific g… · Actuation: Electric motors · Peak 7.2 km/h · Walk 7.2 km/h · Runtime 3</t>
        </is>
      </c>
      <c r="BP22" s="152" t="n"/>
      <c r="BQ22" s="156" t="inlineStr">
        <is>
          <t>logistics; Manufacturing</t>
        </is>
      </c>
      <c r="BR22" s="156" t="inlineStr">
        <is>
          <t>Prototype</t>
        </is>
      </c>
      <c r="BS22" s="156" t="inlineStr">
        <is>
          <t>Prototype</t>
        </is>
      </c>
      <c r="BT22" s="152" t="n"/>
      <c r="BU22" s="152" t="inlineStr">
        <is>
          <t>Not verified</t>
        </is>
      </c>
      <c r="BV22" s="156" t="n"/>
      <c r="BW22" s="156" t="inlineStr">
        <is>
          <t>Origin &amp; status — Germany · Prototype · 2026 | Manipulation — 10 · 10 fingers · Hand DOF 21 · Payload 44.1 lb | Sensing &amp; software — Uses Robotic Foundation Models trained on large industrial datasets; voice / natural-language interaction is supported, but no specific general-purpose LLM… | Buying notes — From $100,000 · 12 months manufacturer standard (typical research/commercial humanoid) · Best fit: logistics</t>
        </is>
      </c>
      <c r="BX22" s="156" t="inlineStr">
        <is>
          <t>as_shipped|Agile One|100000|As shipped</t>
        </is>
      </c>
      <c r="BY22" s="152" t="inlineStr">
        <is>
          <t>agile_one|Manufacturer finish|#e2e8f0|0</t>
        </is>
      </c>
      <c r="BZ22" s="152" t="inlineStr"/>
      <c r="CA22" s="156" t="n"/>
      <c r="CB22" s="156" t="inlineStr">
        <is>
          <t>12 months manufacturer standard (typical research/commercial humanoid)</t>
        </is>
      </c>
      <c r="CC22" s="154" t="n">
        <v>12</v>
      </c>
      <c r="CD22" s="156" t="inlineStr">
        <is>
          <t>+3 Year Extended ≈24% of configuration (default in configurator)</t>
        </is>
      </c>
      <c r="CE22" s="152" t="inlineStr">
        <is>
          <t>Humanoid category norm 2025–2026</t>
        </is>
      </c>
      <c r="CF22" s="152" t="inlineStr">
        <is>
          <t>Estimated</t>
        </is>
      </c>
      <c r="CG22" s="156" t="inlineStr">
        <is>
          <t>Confirm on formal OEM quote. EDU or enterprise packages may differ.</t>
        </is>
      </c>
      <c r="CH22" s="152" t="inlineStr">
        <is>
          <t>10%</t>
        </is>
      </c>
      <c r="CI22" s="152" t="inlineStr">
        <is>
          <t>17%</t>
        </is>
      </c>
      <c r="CJ22" s="152" t="inlineStr">
        <is>
          <t>24%</t>
        </is>
      </c>
      <c r="CK22" s="156" t="inlineStr">
        <is>
          <t>+1yr ≈10% | +2yr ≈17% | +3yr ≈24% of selected configuration price (parts &amp; labor beyond manufacturer standard).</t>
        </is>
      </c>
      <c r="CL22"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2" s="152" t="inlineStr">
        <is>
          <t>12 months manufacturer standard (typical research/commercial humanoid)</t>
        </is>
      </c>
      <c r="CQ22" s="101" t="inlineStr">
        <is>
          <t>Height: 5 ft 9 in | Weight: 152.1 | Degrees of Freedom: 40 | Payload: 44.1 | Max Speed: 4.47 | Battery / Runtime: ≈ 3 hours</t>
        </is>
      </c>
    </row>
    <row r="23" ht="31.5" customHeight="1" s="102">
      <c r="A23" s="143" t="inlineStr">
        <is>
          <t>digit</t>
        </is>
      </c>
      <c r="B23" s="144" t="inlineStr">
        <is>
          <t>Major-player brief 11 Sep 2026</t>
        </is>
      </c>
      <c r="C23" s="145" t="inlineStr">
        <is>
          <t>Agility Robotics</t>
        </is>
      </c>
      <c r="D23" s="145" t="inlineStr">
        <is>
          <t>Digit</t>
        </is>
      </c>
      <c r="E23" s="145" t="inlineStr">
        <is>
          <t>[Agility] Digit (2023)</t>
        </is>
      </c>
      <c r="F23" s="146" t="inlineStr">
        <is>
          <t>humanoid</t>
        </is>
      </c>
      <c r="G23" s="145" t="inlineStr">
        <is>
          <t>USA</t>
        </is>
      </c>
      <c r="H23" s="147" t="n">
        <v>2023</v>
      </c>
      <c r="I23" s="148" t="n">
        <v>250000</v>
      </c>
      <c r="J23" s="145" t="inlineStr">
        <is>
          <t>Robot Price Index Aug 2026 · top of $100k–$250k enterprise band</t>
        </is>
      </c>
      <c r="K23" s="149" t="inlineStr">
        <is>
          <t>Digit is one of the most commercially advanced US humanoids, already working with logistics and manufacturing customers on repetitive material-handling tasks.</t>
        </is>
      </c>
      <c r="L23" s="101" t="inlineStr">
        <is>
          <t>Digit is one of the most commercially advanced US humanoids, already working with logistics and manufacturing customers on repetitive material-handling tasks.</t>
        </is>
      </c>
      <c r="M23" s="101" t="inlineStr">
        <is>
          <t>Agility Robotics developed Digit in Oregon out of the earlier Cassie biped from Oregon State research. Digit is one of the most commercially advanced US humanoids, already running repetitive material-handling work with logistics and manufacturing customers.</t>
        </is>
      </c>
      <c r="N23" s="150" t="inlineStr">
        <is>
          <t>https://humanoid.guide/product/digit/</t>
        </is>
      </c>
      <c r="O23" s="150" t="inlineStr">
        <is>
          <t>https://agilityrobotics.com</t>
        </is>
      </c>
      <c r="P23" s="145" t="inlineStr">
        <is>
          <t>≈ 5 ft 9 in</t>
        </is>
      </c>
      <c r="Q23" s="145" t="n">
        <v>180</v>
      </c>
      <c r="R23" s="145" t="n">
        <v>167.6</v>
      </c>
      <c r="S23" s="145" t="n">
        <v>76</v>
      </c>
      <c r="T23" s="149" t="inlineStr">
        <is>
          <t>Not disclosed</t>
        </is>
      </c>
      <c r="U23" s="145" t="n"/>
      <c r="V23" s="145" t="inlineStr">
        <is>
          <t>≈ 28–30 total (≈ 4 DOF per arm · ≈ 6 DOF per leg class)</t>
        </is>
      </c>
      <c r="W23" s="149" t="inlineStr">
        <is>
          <t>Not disclosed</t>
        </is>
      </c>
      <c r="X23" s="145" t="n">
        <v>34.8</v>
      </c>
      <c r="Y23" s="145" t="n">
        <v>15.8</v>
      </c>
      <c r="Z23" s="145" t="n">
        <v>3.36</v>
      </c>
      <c r="AA23" s="145" t="n">
        <v>5.4</v>
      </c>
      <c r="AB23" s="145" t="n">
        <v>5.4</v>
      </c>
      <c r="AC23" s="149" t="inlineStr">
        <is>
          <t>≈ 3.0 kWh class · up to ≈ 4–8 h depending on duty cycle and docking</t>
        </is>
      </c>
      <c r="AD23" s="149" t="inlineStr">
        <is>
          <t>1</t>
        </is>
      </c>
      <c r="AE23" s="145" t="n"/>
      <c r="AF23" s="145" t="inlineStr">
        <is>
          <t>Not disclosed</t>
        </is>
      </c>
      <c r="AG23" s="149" t="inlineStr">
        <is>
          <t>Exchangeable end-effectors for tote handling</t>
        </is>
      </c>
      <c r="AH23" s="145" t="inlineStr">
        <is>
          <t>Not disclosed</t>
        </is>
      </c>
      <c r="AI23" s="151" t="n">
        <v>3</v>
      </c>
      <c r="AJ23" s="149" t="inlineStr">
        <is>
          <t>LiDAR + Intel RealSense depth cameras + RGB cameras</t>
        </is>
      </c>
      <c r="AK23" s="149" t="n"/>
      <c r="AL23" s="145" t="inlineStr">
        <is>
          <t>Operational monitoring streams for warehouse deployments</t>
        </is>
      </c>
      <c r="AM23" s="145" t="n"/>
      <c r="AN23" s="145" t="inlineStr">
        <is>
          <t>Not disclosed</t>
        </is>
      </c>
      <c r="AO23" s="145" t="inlineStr">
        <is>
          <t>Not disclosed</t>
        </is>
      </c>
      <c r="AP23" s="145" t="inlineStr">
        <is>
          <t>LiDAR and depth cameras for warehouse navigation</t>
        </is>
      </c>
      <c r="AQ23" s="145" t="inlineStr">
        <is>
          <t>Not disclosed</t>
        </is>
      </c>
      <c r="AR23" s="145" t="n"/>
      <c r="AS23" s="145" t="n"/>
      <c r="AT23" s="149" t="inlineStr">
        <is>
          <t>Not disclosed</t>
        </is>
      </c>
      <c r="AU23" s="149" t="inlineStr">
        <is>
          <t>Not disclosed</t>
        </is>
      </c>
      <c r="AV23" s="145" t="inlineStr">
        <is>
          <t>Agility Arc and fleet software for warehouse integration</t>
        </is>
      </c>
      <c r="AW23" s="149" t="inlineStr">
        <is>
          <t>Bipedal navigation in structured warehouse aisles</t>
        </is>
      </c>
      <c r="AX23" s="151" t="n">
        <v>3</v>
      </c>
      <c r="AY23" s="149" t="inlineStr">
        <is>
          <t>Not disclosed</t>
        </is>
      </c>
      <c r="AZ23" s="149" t="inlineStr">
        <is>
          <t>Not disclosed</t>
        </is>
      </c>
      <c r="BA23" s="149" t="n"/>
      <c r="BB23" s="149" t="inlineStr">
        <is>
          <t>Not disclosed</t>
        </is>
      </c>
      <c r="BC23" s="149" t="inlineStr">
        <is>
          <t>Not disclosed</t>
        </is>
      </c>
      <c r="BD23" s="145" t="inlineStr">
        <is>
          <t>Not disclosed</t>
        </is>
      </c>
      <c r="BE23" s="145" t="inlineStr">
        <is>
          <t>Not disclosed</t>
        </is>
      </c>
      <c r="BF23" s="145" t="n"/>
      <c r="BG23" s="145" t="n"/>
      <c r="BH23" s="145" t="n"/>
      <c r="BI23" s="145" t="n"/>
      <c r="BJ23" s="145" t="n"/>
      <c r="BK23" s="145" t="n"/>
      <c r="BL23" s="145" t="n"/>
      <c r="BM23" s="145" t="inlineStr">
        <is>
          <t>Not disclosed</t>
        </is>
      </c>
      <c r="BN23" s="145" t="inlineStr">
        <is>
          <t>Not disclosed</t>
        </is>
      </c>
      <c r="BO23" s="149" t="inlineStr">
        <is>
          <t>Manipulation 3/4 · Navigation 3/4 · Peak 5.4 km/h · Walk 5.4 km/h · Runtime 1</t>
        </is>
      </c>
      <c r="BP23" s="145" t="inlineStr">
        <is>
          <t>Indoor industrial / logistics facilities</t>
        </is>
      </c>
      <c r="BQ23" s="149" t="inlineStr">
        <is>
          <t>Logistics and manufacturing material handling</t>
        </is>
      </c>
      <c r="BR23" s="149" t="inlineStr">
        <is>
          <t>In production</t>
        </is>
      </c>
      <c r="BS23" s="149" t="inlineStr">
        <is>
          <t>In production</t>
        </is>
      </c>
      <c r="BT23" s="145" t="n"/>
      <c r="BU23" s="145" t="inlineStr">
        <is>
          <t>Verified</t>
        </is>
      </c>
      <c r="BV23" s="149" t="inlineStr">
        <is>
          <t>Humanoid.guide listed price $45,000.</t>
        </is>
      </c>
      <c r="BW23" s="149" t="inlineStr">
        <is>
          <t>Origin &amp; status — USA · In production · 2023 | Manipulation — Exchangeable end-effectors for tote handling · Payload ≈ 35 lb | Sensing &amp; software — LiDAR + Intel RealSense depth cameras + RGB cameras · Agility Arc and fleet software for warehouse integration | Buying notes — From $250,000 · 12 months / enterprise contract &amp; RaaS agreement dependent</t>
        </is>
      </c>
      <c r="BX23" s="149" t="inlineStr">
        <is>
          <t>raas|Digit RaaS (illustrative)|250000|Annual RaaS class || capital|Digit Capital|250000|Capital purchase estimate</t>
        </is>
      </c>
      <c r="BY23" s="145" t="inlineStr">
        <is>
          <t>orange|Agility Orange|#f97316|0 || black|Industrial Black|#1a1a1a|0</t>
        </is>
      </c>
      <c r="BZ23" s="145" t="inlineStr">
        <is>
          <t>warranty_digit</t>
        </is>
      </c>
      <c r="CA23" s="149" t="inlineStr">
        <is>
          <t>2 configuration tiers; 2 color options; Multi-year extended warranty available</t>
        </is>
      </c>
      <c r="CB23" s="149" t="inlineStr">
        <is>
          <t>12 months / enterprise contract &amp; RaaS agreement dependent</t>
        </is>
      </c>
      <c r="CC23" s="147" t="n">
        <v>12</v>
      </c>
      <c r="CD23" s="149" t="inlineStr">
        <is>
          <t>+3 Year Extended ≈24% of configuration (default in configurator)</t>
        </is>
      </c>
      <c r="CE23" s="145" t="inlineStr">
        <is>
          <t>Enterprise deployment model (no public consumer warranty sheet)</t>
        </is>
      </c>
      <c r="CF23" s="145" t="inlineStr">
        <is>
          <t>Estimated</t>
        </is>
      </c>
      <c r="CG23" s="149" t="inlineStr">
        <is>
          <t>Digit is sold/leased under enterprise terms; support often bundled in service contract.</t>
        </is>
      </c>
      <c r="CH23" s="145" t="inlineStr">
        <is>
          <t>10%</t>
        </is>
      </c>
      <c r="CI23" s="145" t="inlineStr">
        <is>
          <t>17%</t>
        </is>
      </c>
      <c r="CJ23" s="145" t="inlineStr">
        <is>
          <t>24%</t>
        </is>
      </c>
      <c r="CK23"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3"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3" s="145" t="inlineStr">
        <is>
          <t>12 months / enterprise contract &amp; RaaS agreement dependent</t>
        </is>
      </c>
      <c r="CQ23" s="101" t="inlineStr">
        <is>
          <t>Height: ≈ 5 ft 9 in | Weight: 167.6 | Degrees of Freedom: ≈ 28–30 total (≈ 4 DOF per arm · ≈ 6 DOF per leg class) | Payload: 34.8 | Max Speed: 3.36 | Battery / Runtime: ≈ 3.0 kWh class · up to ≈ 4–8 h depending on duty cycle and docking</t>
        </is>
      </c>
    </row>
    <row r="24" ht="31.5" customHeight="1" s="102">
      <c r="A24" s="152" t="inlineStr">
        <is>
          <t>akinrobotics_akinci_5</t>
        </is>
      </c>
      <c r="B24" s="153" t="inlineStr">
        <is>
          <t>Humanoid.guide</t>
        </is>
      </c>
      <c r="C24" s="152" t="inlineStr">
        <is>
          <t>AKINROBOTICS</t>
        </is>
      </c>
      <c r="D24" s="152" t="inlineStr">
        <is>
          <t>AKINCI-5</t>
        </is>
      </c>
      <c r="E24" s="152" t="inlineStr">
        <is>
          <t>[AKINROBOTICS] AKINCI-5 (2026)</t>
        </is>
      </c>
      <c r="F24" s="146" t="inlineStr">
        <is>
          <t>humanoid</t>
        </is>
      </c>
      <c r="G24" s="152" t="inlineStr">
        <is>
          <t>Turkey</t>
        </is>
      </c>
      <c r="H24" s="152" t="n"/>
      <c r="I24" s="155" t="n">
        <v>95000</v>
      </c>
      <c r="J24" s="152" t="inlineStr">
        <is>
          <t>Humanoid.guide list</t>
        </is>
      </c>
      <c r="K24" s="156" t="inlineStr">
        <is>
          <t>AKINCI-5 is the first humanoid robot from Turkey’s first humanoid robot factory, developed by AKINROBOTICS.</t>
        </is>
      </c>
      <c r="L24" s="101" t="inlineStr">
        <is>
          <t>AKINCI-5 is the first humanoid robot from Turkey’s first humanoid robot factory, developed by AKINROBOTICS.</t>
        </is>
      </c>
      <c r="M24" s="101" t="inlineStr">
        <is>
          <t>AKINCI-5 is the first humanoid robot from Turkey’s first humanoid robot factory, developed by AKINROBOTICS. Public status is listed as prototype, and it is positioned for robotics R&amp;D and automation industry.</t>
        </is>
      </c>
      <c r="N24" s="157" t="inlineStr">
        <is>
          <t>https://humanoid.guide/product/akinci-5/</t>
        </is>
      </c>
      <c r="O24" s="157" t="inlineStr">
        <is>
          <t>https://www.akinrobotics.com</t>
        </is>
      </c>
      <c r="P24" s="152" t="inlineStr">
        <is>
          <t>4 ft 3 in</t>
        </is>
      </c>
      <c r="Q24" s="152" t="n">
        <v>129</v>
      </c>
      <c r="R24" s="152" t="n">
        <v>92.59999999999999</v>
      </c>
      <c r="S24" s="152" t="n">
        <v>42</v>
      </c>
      <c r="T24" s="156" t="inlineStr">
        <is>
          <t>Not disclosed</t>
        </is>
      </c>
      <c r="U24" s="152" t="n"/>
      <c r="V24" s="152" t="inlineStr">
        <is>
          <t>19</t>
        </is>
      </c>
      <c r="W24" s="156" t="inlineStr">
        <is>
          <t>6</t>
        </is>
      </c>
      <c r="X24" s="152" t="n">
        <v>4.4</v>
      </c>
      <c r="Y24" s="152" t="n">
        <v>2</v>
      </c>
      <c r="Z24" s="152" t="n">
        <v>2.17</v>
      </c>
      <c r="AA24" s="152" t="n">
        <v>3.5</v>
      </c>
      <c r="AB24" s="152" t="n">
        <v>2.5</v>
      </c>
      <c r="AC24" s="156" t="inlineStr">
        <is>
          <t>≈ 1 hours</t>
        </is>
      </c>
      <c r="AD24" s="156" t="inlineStr">
        <is>
          <t>1</t>
        </is>
      </c>
      <c r="AE24" s="152" t="n"/>
      <c r="AF24" s="152" t="inlineStr">
        <is>
          <t>Not disclosed</t>
        </is>
      </c>
      <c r="AG24" s="156" t="inlineStr">
        <is>
          <t>0</t>
        </is>
      </c>
      <c r="AH24" s="152" t="inlineStr">
        <is>
          <t>0</t>
        </is>
      </c>
      <c r="AI24" s="152" t="n"/>
      <c r="AJ24" s="156" t="inlineStr">
        <is>
          <t>848 X 800 D:163</t>
        </is>
      </c>
      <c r="AK24" s="156" t="inlineStr">
        <is>
          <t>848 X 800 D:163</t>
        </is>
      </c>
      <c r="AL24" s="152" t="inlineStr">
        <is>
          <t>Not disclosed</t>
        </is>
      </c>
      <c r="AM24" s="152" t="n"/>
      <c r="AN24" s="152" t="inlineStr">
        <is>
          <t>Not disclosed</t>
        </is>
      </c>
      <c r="AO24" s="152" t="inlineStr">
        <is>
          <t>Not disclosed</t>
        </is>
      </c>
      <c r="AP24" s="152" t="inlineStr">
        <is>
          <t>Not disclosed</t>
        </is>
      </c>
      <c r="AQ24" s="152" t="inlineStr">
        <is>
          <t>Not disclosed</t>
        </is>
      </c>
      <c r="AR24" s="152" t="n"/>
      <c r="AS24" s="152" t="n"/>
      <c r="AT24" s="156" t="inlineStr">
        <is>
          <t>AMD Ryzen™ 9 PRO 6950H</t>
        </is>
      </c>
      <c r="AU24" s="156" t="inlineStr">
        <is>
          <t>3× USB 3.0, 3× USB+DP, 2× USB 2.0, 2× Gigabit Ethernet, high-power speakers, Wi-Fi 6</t>
        </is>
      </c>
      <c r="AV24" s="152" t="inlineStr">
        <is>
          <t>Not disclosed</t>
        </is>
      </c>
      <c r="AW24" s="156" t="inlineStr">
        <is>
          <t>Not disclosed</t>
        </is>
      </c>
      <c r="AX24" s="152" t="n"/>
      <c r="AY24" s="156" t="inlineStr">
        <is>
          <t>Linux</t>
        </is>
      </c>
      <c r="AZ24" s="156" t="inlineStr">
        <is>
          <t>Custom in-house LLM</t>
        </is>
      </c>
      <c r="BA24" s="156" t="inlineStr">
        <is>
          <t>~500 ms (estimated)</t>
        </is>
      </c>
      <c r="BB24" s="156" t="inlineStr">
        <is>
          <t>In-house designed/manufactured motors</t>
        </is>
      </c>
      <c r="BC24" s="156" t="inlineStr">
        <is>
          <t>Low-inertia high-speed inner-rotor permanent magnet BLDC motors</t>
        </is>
      </c>
      <c r="BD24" s="152" t="inlineStr">
        <is>
          <t>Aluminum alloy + composites</t>
        </is>
      </c>
      <c r="BE24" s="152" t="inlineStr">
        <is>
          <t>IP30</t>
        </is>
      </c>
      <c r="BF24" s="152" t="inlineStr">
        <is>
          <t>Estimate IP30–IP40 (dust-/touch-protected, not water-rated)</t>
        </is>
      </c>
      <c r="BG24" s="152" t="n"/>
      <c r="BH24" s="152" t="n"/>
      <c r="BI24" s="152" t="n"/>
      <c r="BJ24" s="152" t="n"/>
      <c r="BK24" s="152" t="n"/>
      <c r="BL24" s="152" t="n"/>
      <c r="BM24" s="152" t="inlineStr">
        <is>
          <t>Yes</t>
        </is>
      </c>
      <c r="BN24" s="152" t="inlineStr">
        <is>
          <t>Not disclosed</t>
        </is>
      </c>
      <c r="BO24" s="156" t="inlineStr">
        <is>
          <t>Market: Robotics R&amp;D and automation industry · Human-safe: Yes · AI: Custom in-house LLM · Actuation: In-house designed/manufactured motors · Peak 3.5 km/h · Walk 2.5 km/h · Runtime 1</t>
        </is>
      </c>
      <c r="BP24" s="152" t="n"/>
      <c r="BQ24" s="156" t="inlineStr">
        <is>
          <t>Robotics R&amp;D and automation industry</t>
        </is>
      </c>
      <c r="BR24" s="156" t="inlineStr">
        <is>
          <t>Prototype</t>
        </is>
      </c>
      <c r="BS24" s="156" t="inlineStr">
        <is>
          <t>Prototype</t>
        </is>
      </c>
      <c r="BT24" s="152" t="n"/>
      <c r="BU24" s="152" t="inlineStr">
        <is>
          <t>Verified</t>
        </is>
      </c>
      <c r="BV24" s="156" t="n"/>
      <c r="BW24" s="156" t="inlineStr">
        <is>
          <t>Origin &amp; status — Turkey · Prototype · 2026 | Manipulation — 0 · 0 fingers · Hand DOF 6 · Payload 4.4 lb | Sensing &amp; software — 848 X 800 D:163 · Custom in-house LLM · Linux | Buying notes — From $95,000 · 12 months manufacturer standard (typical research/commercial humanoid) · Best fit: Robotics R&amp;D and automation industry</t>
        </is>
      </c>
      <c r="BX24" s="156" t="inlineStr">
        <is>
          <t>as_shipped|AKINCI-5|95000|As shipped</t>
        </is>
      </c>
      <c r="BY24" s="152" t="inlineStr">
        <is>
          <t>akinci_5|Manufacturer finish|#e2e8f0|0</t>
        </is>
      </c>
      <c r="BZ24" s="152" t="inlineStr"/>
      <c r="CA24" s="156" t="n"/>
      <c r="CB24" s="156" t="inlineStr">
        <is>
          <t>12 months manufacturer standard (typical research/commercial humanoid)</t>
        </is>
      </c>
      <c r="CC24" s="154" t="n">
        <v>12</v>
      </c>
      <c r="CD24" s="156" t="inlineStr">
        <is>
          <t>+3 Year Extended ≈24% of configuration (default in configurator)</t>
        </is>
      </c>
      <c r="CE24" s="152" t="inlineStr">
        <is>
          <t>Humanoid category norm 2025–2026</t>
        </is>
      </c>
      <c r="CF24" s="152" t="inlineStr">
        <is>
          <t>Estimated</t>
        </is>
      </c>
      <c r="CG24" s="156" t="inlineStr">
        <is>
          <t>Confirm on formal OEM quote. EDU or enterprise packages may differ.</t>
        </is>
      </c>
      <c r="CH24" s="152" t="inlineStr">
        <is>
          <t>10%</t>
        </is>
      </c>
      <c r="CI24" s="152" t="inlineStr">
        <is>
          <t>17%</t>
        </is>
      </c>
      <c r="CJ24" s="152" t="inlineStr">
        <is>
          <t>24%</t>
        </is>
      </c>
      <c r="CK24" s="156" t="inlineStr">
        <is>
          <t>+1yr ≈10% | +2yr ≈17% | +3yr ≈24% of selected configuration price (parts &amp; labor beyond manufacturer standard).</t>
        </is>
      </c>
      <c r="CL24"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4" s="152" t="inlineStr">
        <is>
          <t>12 months manufacturer standard (typical research/commercial humanoid)</t>
        </is>
      </c>
      <c r="CQ24" s="101" t="inlineStr">
        <is>
          <t>Height: 4 ft 3 in | Weight: 92.6 | Degrees of Freedom: 19 | Payload: 4.4 | Max Speed: 2.17 | Battery / Runtime: ≈ 1 hours</t>
        </is>
      </c>
    </row>
    <row r="25" ht="31.5" customHeight="1" s="102">
      <c r="A25" s="145" t="inlineStr">
        <is>
          <t>andromeda_robotics_abi</t>
        </is>
      </c>
      <c r="B25" s="153" t="inlineStr">
        <is>
          <t>Humanoid.guide</t>
        </is>
      </c>
      <c r="C25" s="145" t="inlineStr">
        <is>
          <t>Andromeda Robotics</t>
        </is>
      </c>
      <c r="D25" s="145" t="inlineStr">
        <is>
          <t>Abi</t>
        </is>
      </c>
      <c r="E25" s="145" t="inlineStr">
        <is>
          <t>[Andromeda Robotics] Abi (2026)</t>
        </is>
      </c>
      <c r="F25" s="146" t="inlineStr">
        <is>
          <t>humanoid</t>
        </is>
      </c>
      <c r="G25" s="145" t="inlineStr">
        <is>
          <t>Australia</t>
        </is>
      </c>
      <c r="H25" s="145" t="n"/>
      <c r="I25" s="148" t="n">
        <v>25000</v>
      </c>
      <c r="J25" s="145" t="inlineStr">
        <is>
          <t>Humanoid.guide list</t>
        </is>
      </c>
      <c r="K25" s="149" t="inlineStr">
        <is>
          <t>Abi is a wheeled humanoid social robot built for human interaction, customer engagement, and assistive roles in indoor environments.</t>
        </is>
      </c>
      <c r="L25" s="101" t="inlineStr">
        <is>
          <t>Abi is a wheeled humanoid social robot built for human interaction, customer engagement, and assistive roles in indoor environments.</t>
        </is>
      </c>
      <c r="M25" s="101" t="inlineStr">
        <is>
          <t>Abi is a wheeled humanoid social robot built for human interaction, customer engagement, and assistive roles in indoor environments. Public status is listed as in production, and it is positioned for education; healthcare; Hospitality; retail.</t>
        </is>
      </c>
      <c r="N25" s="150" t="inlineStr">
        <is>
          <t>https://humanoid.guide/product/abi/</t>
        </is>
      </c>
      <c r="O25" s="150" t="inlineStr">
        <is>
          <t>https://andromedarobotics.ai</t>
        </is>
      </c>
      <c r="P25" s="145" t="inlineStr">
        <is>
          <t>3 ft 11 in</t>
        </is>
      </c>
      <c r="Q25" s="145" t="n">
        <v>120</v>
      </c>
      <c r="R25" s="145" t="n">
        <v>110.2</v>
      </c>
      <c r="S25" s="145" t="n">
        <v>50</v>
      </c>
      <c r="T25" s="149" t="inlineStr">
        <is>
          <t>Not disclosed</t>
        </is>
      </c>
      <c r="U25" s="145" t="n"/>
      <c r="V25" s="145" t="inlineStr">
        <is>
          <t>12</t>
        </is>
      </c>
      <c r="W25" s="149" t="inlineStr">
        <is>
          <t>4</t>
        </is>
      </c>
      <c r="X25" s="145" t="n">
        <v>8.800000000000001</v>
      </c>
      <c r="Y25" s="145" t="n">
        <v>4</v>
      </c>
      <c r="Z25" s="145" t="n">
        <v>1.86</v>
      </c>
      <c r="AA25" s="145" t="n">
        <v>3</v>
      </c>
      <c r="AB25" s="145" t="n"/>
      <c r="AC25" s="149" t="inlineStr">
        <is>
          <t>≈ 2 hours</t>
        </is>
      </c>
      <c r="AD25" s="149" t="inlineStr">
        <is>
          <t>2</t>
        </is>
      </c>
      <c r="AE25" s="145" t="n"/>
      <c r="AF25" s="145" t="inlineStr">
        <is>
          <t>Not disclosed</t>
        </is>
      </c>
      <c r="AG25" s="149" t="inlineStr">
        <is>
          <t>5 per hand</t>
        </is>
      </c>
      <c r="AH25" s="145" t="inlineStr">
        <is>
          <t>5 per hand</t>
        </is>
      </c>
      <c r="AI25" s="145" t="n"/>
      <c r="AJ25" s="149" t="inlineStr">
        <is>
          <t>Not disclosed</t>
        </is>
      </c>
      <c r="AK25" s="149" t="n"/>
      <c r="AL25" s="145" t="inlineStr">
        <is>
          <t>Not disclosed</t>
        </is>
      </c>
      <c r="AM25" s="145" t="n"/>
      <c r="AN25" s="145" t="inlineStr">
        <is>
          <t>Not disclosed</t>
        </is>
      </c>
      <c r="AO25" s="145" t="inlineStr">
        <is>
          <t>Not disclosed</t>
        </is>
      </c>
      <c r="AP25" s="145" t="inlineStr">
        <is>
          <t>Not disclosed</t>
        </is>
      </c>
      <c r="AQ25" s="145" t="inlineStr">
        <is>
          <t>Not disclosed</t>
        </is>
      </c>
      <c r="AR25" s="145" t="n"/>
      <c r="AS25" s="145" t="n"/>
      <c r="AT25" s="149" t="inlineStr">
        <is>
          <t>Likely ARM-based CPU + edge AI accelerator</t>
        </is>
      </c>
      <c r="AU25" s="149" t="inlineStr">
        <is>
          <t>Bluetooth; Wi‑Fi</t>
        </is>
      </c>
      <c r="AV25" s="145" t="inlineStr">
        <is>
          <t>Not disclosed</t>
        </is>
      </c>
      <c r="AW25" s="149" t="inlineStr">
        <is>
          <t>Not disclosed</t>
        </is>
      </c>
      <c r="AX25" s="145" t="n"/>
      <c r="AY25" s="149" t="inlineStr">
        <is>
          <t>Not disclosed</t>
        </is>
      </c>
      <c r="AZ25" s="149" t="inlineStr">
        <is>
          <t>Yes</t>
        </is>
      </c>
      <c r="BA25" s="149" t="n"/>
      <c r="BB25" s="149" t="inlineStr">
        <is>
          <t>Electric servo motors</t>
        </is>
      </c>
      <c r="BC25" s="149" t="inlineStr">
        <is>
          <t>Standard harmonic/planetary (light-duty)</t>
        </is>
      </c>
      <c r="BD25" s="145" t="inlineStr">
        <is>
          <t>Plastic + aluminum frame</t>
        </is>
      </c>
      <c r="BE25" s="145" t="inlineStr">
        <is>
          <t>IP20</t>
        </is>
      </c>
      <c r="BF25" s="145" t="inlineStr">
        <is>
          <t>Indoor use (approx. IP20)</t>
        </is>
      </c>
      <c r="BG25" s="145" t="n"/>
      <c r="BH25" s="145" t="n"/>
      <c r="BI25" s="145" t="n"/>
      <c r="BJ25" s="145" t="n"/>
      <c r="BK25" s="145" t="n"/>
      <c r="BL25" s="145" t="n"/>
      <c r="BM25" s="145" t="inlineStr">
        <is>
          <t>Yes</t>
        </is>
      </c>
      <c r="BN25" s="145" t="inlineStr">
        <is>
          <t>Not disclosed</t>
        </is>
      </c>
      <c r="BO25" s="149" t="inlineStr">
        <is>
          <t>Market: education; healthcare; Hospitality; retail · Human-safe: Yes · AI: Yes · Actuation: Electric servo motors · Peak 3 km/h · Runtime 2</t>
        </is>
      </c>
      <c r="BP25" s="145" t="n"/>
      <c r="BQ25" s="149" t="inlineStr">
        <is>
          <t>education; healthcare; Hospitality; retail</t>
        </is>
      </c>
      <c r="BR25" s="149" t="inlineStr">
        <is>
          <t>In production</t>
        </is>
      </c>
      <c r="BS25" s="149" t="inlineStr">
        <is>
          <t>In production</t>
        </is>
      </c>
      <c r="BT25" s="145" t="n"/>
      <c r="BU25" s="145" t="n"/>
      <c r="BV25" s="149" t="n"/>
      <c r="BW25" s="149" t="inlineStr">
        <is>
          <t>Origin &amp; status — Australia · In production · 2026 | Manipulation — 5 per hand · 5 per hand fingers · Hand DOF 4 · Payload 8.8 lb | Sensing &amp; software — Yes | Buying notes — From $25,000 · 12 months manufacturer standard (typical research/commercial humanoid) · Best fit: education</t>
        </is>
      </c>
      <c r="BX25" s="149" t="inlineStr">
        <is>
          <t>as_shipped|Abi|25000|As shipped</t>
        </is>
      </c>
      <c r="BY25" s="145" t="inlineStr">
        <is>
          <t>abi|Manufacturer finish|#e2e8f0|0</t>
        </is>
      </c>
      <c r="BZ25" s="145" t="inlineStr"/>
      <c r="CA25" s="149" t="n"/>
      <c r="CB25" s="149" t="inlineStr">
        <is>
          <t>12 months manufacturer standard (typical research/commercial humanoid)</t>
        </is>
      </c>
      <c r="CC25" s="147" t="n">
        <v>12</v>
      </c>
      <c r="CD25" s="149" t="inlineStr">
        <is>
          <t>+3 Year Extended ≈24% of configuration (default in configurator)</t>
        </is>
      </c>
      <c r="CE25" s="145" t="inlineStr">
        <is>
          <t>Humanoid category norm 2025–2026</t>
        </is>
      </c>
      <c r="CF25" s="145" t="inlineStr">
        <is>
          <t>Estimated</t>
        </is>
      </c>
      <c r="CG25" s="149" t="inlineStr">
        <is>
          <t>Confirm on formal OEM quote. EDU or enterprise packages may differ.</t>
        </is>
      </c>
      <c r="CH25" s="145" t="inlineStr">
        <is>
          <t>10%</t>
        </is>
      </c>
      <c r="CI25" s="145" t="inlineStr">
        <is>
          <t>17%</t>
        </is>
      </c>
      <c r="CJ25" s="145" t="inlineStr">
        <is>
          <t>24%</t>
        </is>
      </c>
      <c r="CK25" s="149" t="inlineStr">
        <is>
          <t>+1yr ≈10% | +2yr ≈17% | +3yr ≈24% of selected configuration price (parts &amp; labor beyond manufacturer standard).</t>
        </is>
      </c>
      <c r="CL2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5" s="145" t="inlineStr">
        <is>
          <t>12 months manufacturer standard (typical research/commercial humanoid)</t>
        </is>
      </c>
      <c r="CQ25" s="101" t="inlineStr">
        <is>
          <t>Height: 3 ft 11 in | Weight: 110.2 | Degrees of Freedom: 12 | Payload: 8.8 | Max Speed: 1.86 | Battery / Runtime: ≈ 2 hours</t>
        </is>
      </c>
    </row>
    <row r="26" ht="31.5" customHeight="1" s="102">
      <c r="A26" s="159" t="inlineStr">
        <is>
          <t>apollo</t>
        </is>
      </c>
      <c r="B26" s="144" t="inlineStr">
        <is>
          <t>Both</t>
        </is>
      </c>
      <c r="C26" s="152" t="inlineStr">
        <is>
          <t>Apptronik</t>
        </is>
      </c>
      <c r="D26" s="152" t="inlineStr">
        <is>
          <t>Apollo</t>
        </is>
      </c>
      <c r="E26" s="152" t="inlineStr">
        <is>
          <t>[Apptronik] Apollo (2024)</t>
        </is>
      </c>
      <c r="F26" s="146" t="inlineStr">
        <is>
          <t>humanoid</t>
        </is>
      </c>
      <c r="G26" s="152" t="inlineStr">
        <is>
          <t>USA</t>
        </is>
      </c>
      <c r="H26" s="154" t="n">
        <v>2024</v>
      </c>
      <c r="I26" s="155" t="n">
        <v>50000</v>
      </c>
      <c r="J26" s="152" t="inlineStr">
        <is>
          <t>Website store</t>
        </is>
      </c>
      <c r="K26" s="156" t="inlineStr">
        <is>
          <t>Apollo is an advanced humanoid robot developed by Apptronik, a robotics company based in Austin, Texas.</t>
        </is>
      </c>
      <c r="L26" s="101" t="inlineStr">
        <is>
          <t>Apollo is an advanced humanoid robot developed by Apptronik, a robotics company based in Austin, Texas.</t>
        </is>
      </c>
      <c r="M26" s="101" t="inlineStr">
        <is>
          <t>Apptronik spun Apollo out of years of NASA and University of Texas humanoid research in Austin. Apollo is the company’s industrial humanoid platform; Apollo 2 later added a legs-or-wheeled-base choice.</t>
        </is>
      </c>
      <c r="N26" s="157" t="inlineStr">
        <is>
          <t>https://humanoid.guide/product/apollo/</t>
        </is>
      </c>
      <c r="O26" s="157" t="inlineStr">
        <is>
          <t>https://www.apptronik.com</t>
        </is>
      </c>
      <c r="P26" s="152" t="inlineStr">
        <is>
          <t>≈ 5 ft 8 in</t>
        </is>
      </c>
      <c r="Q26" s="152" t="n">
        <v>173</v>
      </c>
      <c r="R26" s="152" t="n">
        <v>158.7</v>
      </c>
      <c r="S26" s="152" t="n">
        <v>72</v>
      </c>
      <c r="T26" s="156" t="inlineStr">
        <is>
          <t>Not disclosed</t>
        </is>
      </c>
      <c r="U26" s="152" t="n"/>
      <c r="V26" s="152" t="inlineStr">
        <is>
          <t>≈ 71 total</t>
        </is>
      </c>
      <c r="W26" s="156" t="inlineStr">
        <is>
          <t>Not disclosed</t>
        </is>
      </c>
      <c r="X26" s="152" t="n">
        <v>54.9</v>
      </c>
      <c r="Y26" s="152" t="n">
        <v>24.9</v>
      </c>
      <c r="Z26" s="152" t="n">
        <v>2.11</v>
      </c>
      <c r="AA26" s="152" t="n">
        <v>3.4</v>
      </c>
      <c r="AB26" s="152" t="n">
        <v>3.4</v>
      </c>
      <c r="AC26" s="156" t="inlineStr">
        <is>
          <t>≈ 4 h per hot-swappable pack</t>
        </is>
      </c>
      <c r="AD26" s="156" t="inlineStr">
        <is>
          <t>4</t>
        </is>
      </c>
      <c r="AE26" s="152" t="n"/>
      <c r="AF26" s="152" t="inlineStr">
        <is>
          <t>Not disclosed</t>
        </is>
      </c>
      <c r="AG26" s="156" t="inlineStr">
        <is>
          <t>Industrial-grade manipulation hands</t>
        </is>
      </c>
      <c r="AH26" s="152" t="inlineStr">
        <is>
          <t>Not disclosed</t>
        </is>
      </c>
      <c r="AI26" s="151" t="n">
        <v>3</v>
      </c>
      <c r="AJ26" s="156" t="inlineStr">
        <is>
          <t>Multi-camera stereo RGB + depth / ToF class</t>
        </is>
      </c>
      <c r="AK26" s="156" t="n"/>
      <c r="AL26" s="152" t="inlineStr">
        <is>
          <t>Teleoperation and autonomy vision</t>
        </is>
      </c>
      <c r="AM26" s="152" t="n"/>
      <c r="AN26" s="152" t="inlineStr">
        <is>
          <t>Not disclosed</t>
        </is>
      </c>
      <c r="AO26" s="152" t="inlineStr">
        <is>
          <t>Not disclosed</t>
        </is>
      </c>
      <c r="AP26" s="152" t="inlineStr">
        <is>
          <t>Not disclosed</t>
        </is>
      </c>
      <c r="AQ26" s="152" t="inlineStr">
        <is>
          <t>Not disclosed</t>
        </is>
      </c>
      <c r="AR26" s="152" t="n"/>
      <c r="AS26" s="152" t="n"/>
      <c r="AT26" s="156" t="inlineStr">
        <is>
          <t>Not disclosed</t>
        </is>
      </c>
      <c r="AU26" s="156" t="inlineStr">
        <is>
          <t>Not disclosed</t>
        </is>
      </c>
      <c r="AV26" s="152" t="inlineStr">
        <is>
          <t>Apptronik control stack for enterprise pilots</t>
        </is>
      </c>
      <c r="AW26" s="156" t="inlineStr">
        <is>
          <t>Human-scale bipedal navigation in industrial settings</t>
        </is>
      </c>
      <c r="AX26" s="151" t="n">
        <v>3</v>
      </c>
      <c r="AY26" s="156" t="inlineStr">
        <is>
          <t>Not disclosed</t>
        </is>
      </c>
      <c r="AZ26" s="156" t="inlineStr">
        <is>
          <t>Not disclosed</t>
        </is>
      </c>
      <c r="BA26" s="156" t="n"/>
      <c r="BB26" s="156" t="inlineStr">
        <is>
          <t>Not disclosed</t>
        </is>
      </c>
      <c r="BC26" s="156" t="inlineStr">
        <is>
          <t>Not disclosed</t>
        </is>
      </c>
      <c r="BD26" s="152" t="inlineStr">
        <is>
          <t>Not disclosed</t>
        </is>
      </c>
      <c r="BE26" s="152" t="inlineStr">
        <is>
          <t>Not disclosed</t>
        </is>
      </c>
      <c r="BF26" s="152" t="n"/>
      <c r="BG26" s="152" t="n"/>
      <c r="BH26" s="152" t="n"/>
      <c r="BI26" s="152" t="n"/>
      <c r="BJ26" s="152" t="n"/>
      <c r="BK26" s="152" t="n"/>
      <c r="BL26" s="152" t="n"/>
      <c r="BM26" s="152" t="inlineStr">
        <is>
          <t>Not disclosed</t>
        </is>
      </c>
      <c r="BN26" s="152" t="inlineStr">
        <is>
          <t>Not disclosed</t>
        </is>
      </c>
      <c r="BO26" s="156" t="inlineStr">
        <is>
          <t>Manipulation 3/4 · Navigation 3/4 · Peak 3.4 km/h · Walk 3.4 km/h · Runtime 4</t>
        </is>
      </c>
      <c r="BP26" s="152" t="n"/>
      <c r="BQ26" s="156" t="inlineStr">
        <is>
          <t>Manufacturing and logistics enterprises running or evaluating humanoid pilots.</t>
        </is>
      </c>
      <c r="BR26" s="156" t="inlineStr">
        <is>
          <t>Prototype</t>
        </is>
      </c>
      <c r="BS26" s="156" t="inlineStr">
        <is>
          <t>Prototype</t>
        </is>
      </c>
      <c r="BT26" s="152" t="n"/>
      <c r="BU26" s="152" t="inlineStr">
        <is>
          <t>Not verified</t>
        </is>
      </c>
      <c r="BV26" s="156" t="n"/>
      <c r="BW26" s="156" t="inlineStr">
        <is>
          <t>Origin &amp; status — USA · Prototype · 2024 | Manipulation — Industrial-grade manipulation hands · Payload ≈ 55 lb | Sensing &amp; software — Multi-camera stereo RGB + depth / ToF class · Apptronik control stack for enterprise pilots | Buying notes — From $50,000 · 12 months manufacturer standard (typical research/commercial humanoid)</t>
        </is>
      </c>
      <c r="BX26" s="156" t="inlineStr">
        <is>
          <t>apollo2|Apollo 2 (Bipedal / Wheeled)|50000|Pilot / commercial configuration || enterprise|Enterprise Deployment Package|120000|Full support package</t>
        </is>
      </c>
      <c r="BY26" s="152" t="inlineStr">
        <is>
          <t>white|Industrial White|#f8fafc|0 || black|Factory Black|#111111|0</t>
        </is>
      </c>
      <c r="BZ26" s="152" t="inlineStr">
        <is>
          <t>warranty_apollo</t>
        </is>
      </c>
      <c r="CA26" s="156" t="inlineStr">
        <is>
          <t>2 configuration tiers; 2 color options; Multi-year extended warranty available</t>
        </is>
      </c>
      <c r="CB26" s="156" t="inlineStr">
        <is>
          <t>12 months manufacturer standard (typical research/commercial humanoid)</t>
        </is>
      </c>
      <c r="CC26" s="154" t="n">
        <v>12</v>
      </c>
      <c r="CD26" s="156" t="inlineStr">
        <is>
          <t>+3 Year Extended ≈24% of configuration (default in configurator)</t>
        </is>
      </c>
      <c r="CE26" s="152" t="inlineStr">
        <is>
          <t>Humanoid category norm 2025–2026</t>
        </is>
      </c>
      <c r="CF26" s="152" t="inlineStr">
        <is>
          <t>Estimated</t>
        </is>
      </c>
      <c r="CG26" s="156" t="inlineStr">
        <is>
          <t>EDU or enterprise packages may differ; confirm on formal quote.</t>
        </is>
      </c>
      <c r="CH26" s="152" t="inlineStr">
        <is>
          <t>10%</t>
        </is>
      </c>
      <c r="CI26" s="152" t="inlineStr">
        <is>
          <t>17%</t>
        </is>
      </c>
      <c r="CJ26" s="152" t="inlineStr">
        <is>
          <t>24%</t>
        </is>
      </c>
      <c r="CK26"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6"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6" s="152" t="inlineStr">
        <is>
          <t>12 months manufacturer standard (typical research/commercial humanoid)</t>
        </is>
      </c>
      <c r="CQ26" s="101" t="inlineStr">
        <is>
          <t>Height: ≈ 5 ft 8 in | Weight: 158.7 | Degrees of Freedom: ≈ 71 total | Payload: 54.9 | Max Speed: 2.11 | Battery / Runtime: ≈ 4 h per hot-swappable pack</t>
        </is>
      </c>
    </row>
    <row r="27" ht="31.5" customHeight="1" s="102">
      <c r="A27" s="143" t="inlineStr">
        <is>
          <t>apptronik_apollo_2</t>
        </is>
      </c>
      <c r="B27" s="153" t="inlineStr">
        <is>
          <t>Major-player brief 11 Sep 2026</t>
        </is>
      </c>
      <c r="C27" s="145" t="inlineStr">
        <is>
          <t>Apptronik</t>
        </is>
      </c>
      <c r="D27" s="145" t="inlineStr">
        <is>
          <t>Apollo 2</t>
        </is>
      </c>
      <c r="E27" s="145" t="inlineStr">
        <is>
          <t>[Apptronik] Apollo 2 (2026)</t>
        </is>
      </c>
      <c r="F27" s="146" t="inlineStr">
        <is>
          <t>humanoid</t>
        </is>
      </c>
      <c r="G27" s="145" t="inlineStr">
        <is>
          <t>USA</t>
        </is>
      </c>
      <c r="H27" s="198" t="n">
        <v>2026</v>
      </c>
      <c r="I27" s="148" t="n">
        <v>85000</v>
      </c>
      <c r="J27" s="145" t="inlineStr">
        <is>
          <t>Humanoid.guide list</t>
        </is>
      </c>
      <c r="K27" s="149" t="inlineStr">
        <is>
          <t>Apollo 2 can be configured with legs or a wheeled base, allowing customers to choose between human-like mobility and greater stability.</t>
        </is>
      </c>
      <c r="L27" s="101" t="inlineStr">
        <is>
          <t>Apollo 2 can be configured with legs or a wheeled base, allowing customers to choose between human-like mobility and greater stability.</t>
        </is>
      </c>
      <c r="M27" s="101" t="inlineStr">
        <is>
          <t>Apollo 2 is Apptronik’s modular follow-on to Apollo. Customers can specify legs or a wheeled base, trading human-like mobility for greater stability depending on the floor and the job.</t>
        </is>
      </c>
      <c r="N27" s="150" t="inlineStr">
        <is>
          <t>https://humanoid.guide/product/apollo-2/</t>
        </is>
      </c>
      <c r="O27" s="150" t="inlineStr">
        <is>
          <t>https://www.apptronik.com</t>
        </is>
      </c>
      <c r="P27" s="145" t="inlineStr">
        <is>
          <t>5 ft 8 in</t>
        </is>
      </c>
      <c r="Q27" s="145" t="n">
        <v>173</v>
      </c>
      <c r="R27" s="145" t="n">
        <v>165.3</v>
      </c>
      <c r="S27" s="145" t="n">
        <v>75</v>
      </c>
      <c r="T27" s="149" t="inlineStr">
        <is>
          <t>Not disclosed</t>
        </is>
      </c>
      <c r="U27" s="145" t="n"/>
      <c r="V27" s="145" t="inlineStr">
        <is>
          <t>35</t>
        </is>
      </c>
      <c r="W27" s="149" t="inlineStr">
        <is>
          <t>12</t>
        </is>
      </c>
      <c r="X27" s="145" t="n">
        <v>55.1</v>
      </c>
      <c r="Y27" s="145" t="n">
        <v>25</v>
      </c>
      <c r="Z27" s="145" t="n">
        <v>3.11</v>
      </c>
      <c r="AA27" s="145" t="n">
        <v>5</v>
      </c>
      <c r="AB27" s="145" t="n"/>
      <c r="AC27" s="149" t="inlineStr">
        <is>
          <t>≈ 4 hours</t>
        </is>
      </c>
      <c r="AD27" s="149" t="inlineStr">
        <is>
          <t>4</t>
        </is>
      </c>
      <c r="AE27" s="145" t="n"/>
      <c r="AF27" s="145" t="inlineStr">
        <is>
          <t>Not disclosed</t>
        </is>
      </c>
      <c r="AG27" s="149" t="inlineStr">
        <is>
          <t>10 (5 per hand)</t>
        </is>
      </c>
      <c r="AH27" s="145" t="inlineStr">
        <is>
          <t>10 (5 per hand)</t>
        </is>
      </c>
      <c r="AI27" s="145" t="n"/>
      <c r="AJ27" s="149" t="inlineStr">
        <is>
          <t>Not disclosed</t>
        </is>
      </c>
      <c r="AK27" s="149" t="n"/>
      <c r="AL27" s="145" t="inlineStr">
        <is>
          <t>Not disclosed</t>
        </is>
      </c>
      <c r="AM27" s="145" t="n"/>
      <c r="AN27" s="145" t="inlineStr">
        <is>
          <t>Not disclosed</t>
        </is>
      </c>
      <c r="AO27" s="145" t="inlineStr">
        <is>
          <t>Not disclosed</t>
        </is>
      </c>
      <c r="AP27" s="145" t="inlineStr">
        <is>
          <t>Not disclosed</t>
        </is>
      </c>
      <c r="AQ27" s="145" t="inlineStr">
        <is>
          <t>Not disclosed</t>
        </is>
      </c>
      <c r="AR27" s="145" t="n"/>
      <c r="AS27" s="145" t="n"/>
      <c r="AT27" s="149" t="inlineStr">
        <is>
          <t>Not disclosed</t>
        </is>
      </c>
      <c r="AU27" s="149" t="inlineStr">
        <is>
          <t>Ethernet; Wi-Fi</t>
        </is>
      </c>
      <c r="AV27" s="145" t="inlineStr">
        <is>
          <t>Not disclosed</t>
        </is>
      </c>
      <c r="AW27" s="149" t="inlineStr">
        <is>
          <t>Not disclosed</t>
        </is>
      </c>
      <c r="AX27" s="145" t="n"/>
      <c r="AY27" s="149" t="inlineStr">
        <is>
          <t>Apptronik Artemis (proprietary control/AI stack)</t>
        </is>
      </c>
      <c r="AZ27" s="149" t="inlineStr">
        <is>
          <t>Yes, partnership with Google DeepMind / Gemini Robotics foundation models</t>
        </is>
      </c>
      <c r="BA27" s="149" t="n"/>
      <c r="BB27" s="149" t="inlineStr">
        <is>
          <t>Apptronik patented actuators (electric, 90%+ efficiency target)</t>
        </is>
      </c>
      <c r="BC27" s="149" t="inlineStr">
        <is>
          <t>Not disclosed</t>
        </is>
      </c>
      <c r="BD27" s="145" t="inlineStr">
        <is>
          <t>Aluminum alloy + composites</t>
        </is>
      </c>
      <c r="BE27" s="145" t="inlineStr">
        <is>
          <t>Not disclosed</t>
        </is>
      </c>
      <c r="BF27" s="145" t="n"/>
      <c r="BG27" s="145" t="n"/>
      <c r="BH27" s="145" t="n"/>
      <c r="BI27" s="145" t="n"/>
      <c r="BJ27" s="145" t="n"/>
      <c r="BK27" s="145" t="n"/>
      <c r="BL27" s="145" t="n"/>
      <c r="BM27" s="145" t="inlineStr">
        <is>
          <t>Yes</t>
        </is>
      </c>
      <c r="BN27" s="145" t="inlineStr">
        <is>
          <t>Not disclosed</t>
        </is>
      </c>
      <c r="BO27" s="149" t="inlineStr">
        <is>
          <t>Market: logistics; Manufacturing; retail · Human-safe: Yes · AI: Yes, partnership with Google DeepMind / Gemini Robotics foundation models · Actuation: Apptronik patented actuators (electric, 90%+ efficiency target) · Peak 5 km/h · Runtime 4</t>
        </is>
      </c>
      <c r="BP27" s="145" t="n"/>
      <c r="BQ27" s="149" t="inlineStr">
        <is>
          <t>Modular industrial humanoid — biped or wheeled base</t>
        </is>
      </c>
      <c r="BR27" s="149" t="inlineStr">
        <is>
          <t>Prototype</t>
        </is>
      </c>
      <c r="BS27" s="149" t="inlineStr">
        <is>
          <t>Prototype</t>
        </is>
      </c>
      <c r="BT27" s="145" t="inlineStr">
        <is>
          <t>White</t>
        </is>
      </c>
      <c r="BU27" s="145" t="n"/>
      <c r="BV27" s="149" t="n"/>
      <c r="BW27" s="149" t="inlineStr">
        <is>
          <t>Origin &amp; status — USA · Prototype · 2026 | Manipulation — 10 (5 per hand) · 10 (5 per hand) fingers · Hand DOF 12 · Payload 55.1 lb | Sensing &amp; software — Yes, partnership with Google DeepMind / Gemini Robotics foundation models · Apptronik Artemis (proprietary control/AI stack) | Buying notes — From $85,000 · 12 months manufacturer standard (typical research/commercial humanoid) · Best fit: logistics</t>
        </is>
      </c>
      <c r="BX27" s="149" t="inlineStr">
        <is>
          <t>as_shipped|Apollo 2|85000|As shipped</t>
        </is>
      </c>
      <c r="BY27" s="145" t="inlineStr">
        <is>
          <t>white|White|#e2e8f0|0</t>
        </is>
      </c>
      <c r="BZ27" s="145" t="inlineStr"/>
      <c r="CA27" s="149" t="n"/>
      <c r="CB27" s="149" t="inlineStr">
        <is>
          <t>12 months manufacturer standard (typical research/commercial humanoid)</t>
        </is>
      </c>
      <c r="CC27" s="147" t="n">
        <v>12</v>
      </c>
      <c r="CD27" s="149" t="inlineStr">
        <is>
          <t>+3 Year Extended ≈24% of configuration (default in configurator)</t>
        </is>
      </c>
      <c r="CE27" s="145" t="inlineStr">
        <is>
          <t>Humanoid category norm 2025–2026</t>
        </is>
      </c>
      <c r="CF27" s="145" t="inlineStr">
        <is>
          <t>Estimated</t>
        </is>
      </c>
      <c r="CG27" s="149" t="inlineStr">
        <is>
          <t>Confirm on formal OEM quote. EDU or enterprise packages may differ.</t>
        </is>
      </c>
      <c r="CH27" s="145" t="inlineStr">
        <is>
          <t>10%</t>
        </is>
      </c>
      <c r="CI27" s="145" t="inlineStr">
        <is>
          <t>17%</t>
        </is>
      </c>
      <c r="CJ27" s="145" t="inlineStr">
        <is>
          <t>24%</t>
        </is>
      </c>
      <c r="CK27" s="149" t="inlineStr">
        <is>
          <t>+1yr ≈10% | +2yr ≈17% | +3yr ≈24% of selected configuration price (parts &amp; labor beyond manufacturer standard).</t>
        </is>
      </c>
      <c r="CL27"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7" s="145" t="inlineStr">
        <is>
          <t>12 months manufacturer standard (typical research/commercial humanoid)</t>
        </is>
      </c>
      <c r="CQ27" s="101" t="inlineStr">
        <is>
          <t>Height: 5 ft 8 in | Weight: 165.3 | Degrees of Freedom: 35 | Payload: 55.1 | Max Speed: 3.11 | Battery / Runtime: ≈ 4 hours</t>
        </is>
      </c>
    </row>
    <row r="28" ht="31.5" customHeight="1" s="102">
      <c r="A28" s="152" t="inlineStr">
        <is>
          <t>apptronik_astra</t>
        </is>
      </c>
      <c r="B28" s="153" t="inlineStr">
        <is>
          <t>Humanoid.guide</t>
        </is>
      </c>
      <c r="C28" s="152" t="inlineStr">
        <is>
          <t>Apptronik</t>
        </is>
      </c>
      <c r="D28" s="152" t="inlineStr">
        <is>
          <t>Astra</t>
        </is>
      </c>
      <c r="E28" s="152" t="inlineStr">
        <is>
          <t>[Apptronik] Astra (2026)</t>
        </is>
      </c>
      <c r="F28" s="146" t="inlineStr">
        <is>
          <t>humanoid</t>
        </is>
      </c>
      <c r="G28" s="152" t="inlineStr">
        <is>
          <t>USA</t>
        </is>
      </c>
      <c r="H28" s="152" t="n"/>
      <c r="I28" s="155" t="n">
        <v>45000</v>
      </c>
      <c r="J28" s="152" t="inlineStr">
        <is>
          <t>Humanoid.guide list</t>
        </is>
      </c>
      <c r="K28" s="156" t="inlineStr">
        <is>
          <t>Astra is Apptronik's humanoid — 3 ft 3 in class, 24 DOF, 22 lb payload. 5 per hand; onboard AI: Possible (via external AI stack).</t>
        </is>
      </c>
      <c r="L28" s="101" t="inlineStr">
        <is>
          <t>Astra is Apptronik's humanoid — 3 ft 3 in class, 24 DOF, 22 lb payload. 5 per hand; onboard AI: Possible (via external AI stack).</t>
        </is>
      </c>
      <c r="M28" s="101" t="inlineStr">
        <is>
          <t>Astra is Apptronik's humanoid — 3 ft 3 in class, 24 DOF, 22 lb payload. 5 per hand; onboard AI: Possible (via external AI stack). Public status is listed as prototype, and it is positioned for interactive service; Manufacturing.</t>
        </is>
      </c>
      <c r="N28" s="157" t="inlineStr">
        <is>
          <t>https://humanoid.guide/product/astra/</t>
        </is>
      </c>
      <c r="O28" s="157" t="inlineStr">
        <is>
          <t>https://www.apptronik.com</t>
        </is>
      </c>
      <c r="P28" s="152" t="inlineStr">
        <is>
          <t>3 ft 3 in</t>
        </is>
      </c>
      <c r="Q28" s="152" t="n">
        <v>100</v>
      </c>
      <c r="R28" s="152" t="n">
        <v>55.1</v>
      </c>
      <c r="S28" s="152" t="n">
        <v>25</v>
      </c>
      <c r="T28" s="156" t="inlineStr">
        <is>
          <t>Not disclosed</t>
        </is>
      </c>
      <c r="U28" s="152" t="n"/>
      <c r="V28" s="152" t="inlineStr">
        <is>
          <t>24</t>
        </is>
      </c>
      <c r="W28" s="156" t="inlineStr">
        <is>
          <t>12</t>
        </is>
      </c>
      <c r="X28" s="152" t="n">
        <v>22</v>
      </c>
      <c r="Y28" s="152" t="n">
        <v>10</v>
      </c>
      <c r="Z28" s="152" t="n">
        <v>0</v>
      </c>
      <c r="AA28" s="152" t="n">
        <v>0</v>
      </c>
      <c r="AB28" s="152" t="n"/>
      <c r="AC28" s="156" t="inlineStr">
        <is>
          <t>≈ 2 hours</t>
        </is>
      </c>
      <c r="AD28" s="156" t="inlineStr">
        <is>
          <t>2</t>
        </is>
      </c>
      <c r="AE28" s="152" t="n"/>
      <c r="AF28" s="152" t="inlineStr">
        <is>
          <t>Not disclosed</t>
        </is>
      </c>
      <c r="AG28" s="156" t="inlineStr">
        <is>
          <t>5 per hand</t>
        </is>
      </c>
      <c r="AH28" s="152" t="inlineStr">
        <is>
          <t>5 per hand</t>
        </is>
      </c>
      <c r="AI28" s="152" t="n"/>
      <c r="AJ28" s="156" t="inlineStr">
        <is>
          <t>Likely HD–4K stereo vision (estimated)</t>
        </is>
      </c>
      <c r="AK28" s="156" t="inlineStr">
        <is>
          <t>Likely HD–4K stereo vision (estimated)</t>
        </is>
      </c>
      <c r="AL28" s="152" t="inlineStr">
        <is>
          <t>Not disclosed</t>
        </is>
      </c>
      <c r="AM28" s="152" t="n"/>
      <c r="AN28" s="152" t="inlineStr">
        <is>
          <t>Not disclosed</t>
        </is>
      </c>
      <c r="AO28" s="152" t="inlineStr">
        <is>
          <t>Not disclosed</t>
        </is>
      </c>
      <c r="AP28" s="152" t="inlineStr">
        <is>
          <t>Not disclosed</t>
        </is>
      </c>
      <c r="AQ28" s="152" t="inlineStr">
        <is>
          <t>Not disclosed</t>
        </is>
      </c>
      <c r="AR28" s="152" t="n"/>
      <c r="AS28" s="152" t="n"/>
      <c r="AT28" s="156" t="inlineStr">
        <is>
          <t>Likely NVIDIA-based edge AI (Jetson class, estimated)</t>
        </is>
      </c>
      <c r="AU28" s="156" t="inlineStr">
        <is>
          <t>Ethernet; Wi‑Fi</t>
        </is>
      </c>
      <c r="AV28" s="152" t="inlineStr">
        <is>
          <t>Not disclosed</t>
        </is>
      </c>
      <c r="AW28" s="156" t="inlineStr">
        <is>
          <t>Not disclosed</t>
        </is>
      </c>
      <c r="AX28" s="152" t="n"/>
      <c r="AY28" s="156" t="inlineStr">
        <is>
          <t>ROS-based (Robot Operating System, assumed)</t>
        </is>
      </c>
      <c r="AZ28" s="156" t="inlineStr">
        <is>
          <t>Possible (via external AI stack)</t>
        </is>
      </c>
      <c r="BA28" s="156" t="inlineStr">
        <is>
          <t>~100–300 ms (estimated)</t>
        </is>
      </c>
      <c r="BB28" s="156" t="inlineStr">
        <is>
          <t>Electric actuators (high-torque, compact)</t>
        </is>
      </c>
      <c r="BC28" s="156" t="inlineStr">
        <is>
          <t>Harmonic drive / planetary gears (assumed)</t>
        </is>
      </c>
      <c r="BD28" s="152" t="inlineStr">
        <is>
          <t>Aluminum + composites</t>
        </is>
      </c>
      <c r="BE28" s="152" t="inlineStr">
        <is>
          <t>Not disclosed</t>
        </is>
      </c>
      <c r="BF28" s="152" t="n"/>
      <c r="BG28" s="152" t="n"/>
      <c r="BH28" s="152" t="n"/>
      <c r="BI28" s="152" t="n"/>
      <c r="BJ28" s="152" t="n"/>
      <c r="BK28" s="152" t="n"/>
      <c r="BL28" s="152" t="n"/>
      <c r="BM28" s="152" t="inlineStr">
        <is>
          <t>Yes</t>
        </is>
      </c>
      <c r="BN28" s="152" t="inlineStr">
        <is>
          <t>Not disclosed</t>
        </is>
      </c>
      <c r="BO28" s="156" t="inlineStr">
        <is>
          <t>Market: Interactive service; Manufacturing · Human-safe: Yes · AI: Possible (via external AI stack) · Actuation: Electric actuators (high-torque, compact) · Runtime 2</t>
        </is>
      </c>
      <c r="BP28" s="152" t="n"/>
      <c r="BQ28" s="156" t="inlineStr">
        <is>
          <t>Interactive service; Manufacturing</t>
        </is>
      </c>
      <c r="BR28" s="156" t="inlineStr">
        <is>
          <t>Prototype</t>
        </is>
      </c>
      <c r="BS28" s="156" t="inlineStr">
        <is>
          <t>Prototype</t>
        </is>
      </c>
      <c r="BT28" s="152" t="n"/>
      <c r="BU28" s="152" t="n"/>
      <c r="BV28" s="156" t="n"/>
      <c r="BW28" s="156" t="inlineStr">
        <is>
          <t>Origin &amp; status — USA · Prototype · 2026 | Manipulation — 5 per hand · 5 per hand fingers · Hand DOF 12 · Payload 22 lb | Sensing &amp; software — Likely HD–4K stereo vision (estimated) · Possible (via external AI stack) · ROS-based (Robot Operating System, assumed) | Buying notes — From $45,000 · 12 months manufacturer standard (typical research/commercial humanoid) · Best fit: Interactive service</t>
        </is>
      </c>
      <c r="BX28" s="156" t="inlineStr">
        <is>
          <t>as_shipped|Astra|45000|As shipped</t>
        </is>
      </c>
      <c r="BY28" s="152" t="inlineStr">
        <is>
          <t>astra|Manufacturer finish|#e2e8f0|0</t>
        </is>
      </c>
      <c r="BZ28" s="152" t="inlineStr"/>
      <c r="CA28" s="156" t="n"/>
      <c r="CB28" s="156" t="inlineStr">
        <is>
          <t>12 months manufacturer standard (typical research/commercial humanoid)</t>
        </is>
      </c>
      <c r="CC28" s="154" t="n">
        <v>12</v>
      </c>
      <c r="CD28" s="156" t="inlineStr">
        <is>
          <t>+3 Year Extended ≈24% of configuration (default in configurator)</t>
        </is>
      </c>
      <c r="CE28" s="152" t="inlineStr">
        <is>
          <t>Humanoid category norm 2025–2026</t>
        </is>
      </c>
      <c r="CF28" s="152" t="inlineStr">
        <is>
          <t>Estimated</t>
        </is>
      </c>
      <c r="CG28" s="156" t="inlineStr">
        <is>
          <t>Confirm on formal OEM quote. EDU or enterprise packages may differ.</t>
        </is>
      </c>
      <c r="CH28" s="152" t="inlineStr">
        <is>
          <t>10%</t>
        </is>
      </c>
      <c r="CI28" s="152" t="inlineStr">
        <is>
          <t>17%</t>
        </is>
      </c>
      <c r="CJ28" s="152" t="inlineStr">
        <is>
          <t>24%</t>
        </is>
      </c>
      <c r="CK28" s="156" t="inlineStr">
        <is>
          <t>+1yr ≈10% | +2yr ≈17% | +3yr ≈24% of selected configuration price (parts &amp; labor beyond manufacturer standard).</t>
        </is>
      </c>
      <c r="CL28"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8" s="152" t="inlineStr">
        <is>
          <t>12 months manufacturer standard (typical research/commercial humanoid)</t>
        </is>
      </c>
      <c r="CQ28" s="101" t="inlineStr">
        <is>
          <t>Height: 3 ft 3 in | Weight: 55.1 | Degrees of Freedom: 24 | Payload: 22 | Max Speed: 0 | Battery / Runtime: ≈ 2 hours</t>
        </is>
      </c>
    </row>
    <row r="29" ht="31.5" customHeight="1" s="102">
      <c r="A29" s="145" t="inlineStr">
        <is>
          <t>apptronik_qdh</t>
        </is>
      </c>
      <c r="B29" s="153" t="inlineStr">
        <is>
          <t>Humanoid.guide</t>
        </is>
      </c>
      <c r="C29" s="145" t="inlineStr">
        <is>
          <t>Apptronik</t>
        </is>
      </c>
      <c r="D29" s="145" t="inlineStr">
        <is>
          <t>QDH</t>
        </is>
      </c>
      <c r="E29" s="145" t="inlineStr">
        <is>
          <t>[Apptronik] QDH (2026)</t>
        </is>
      </c>
      <c r="F29" s="146" t="inlineStr">
        <is>
          <t>humanoid</t>
        </is>
      </c>
      <c r="G29" s="145" t="inlineStr">
        <is>
          <t>USA</t>
        </is>
      </c>
      <c r="H29" s="145" t="n"/>
      <c r="I29" s="148" t="n">
        <v>80000</v>
      </c>
      <c r="J29" s="145" t="inlineStr">
        <is>
          <t>Humanoid.guide list</t>
        </is>
      </c>
      <c r="K29" s="149" t="inlineStr">
        <is>
          <t>QDH is a versatile humanoid robot by Apptronik designed for real-world work environments, focusing on safe human interaction, adaptability, and scalable automation.</t>
        </is>
      </c>
      <c r="L29" s="101" t="inlineStr">
        <is>
          <t>QDH is a versatile humanoid robot by Apptronik designed for real-world work environments, focusing on safe human interaction, adaptability, and scalable automation.</t>
        </is>
      </c>
      <c r="M29" s="101" t="inlineStr">
        <is>
          <t>QDH is a versatile humanoid robot by Apptronik designed for real-world work environments, focusing on safe human interaction, adaptability, and scalable automation. Public status is listed as prototype, and it is positioned for logistics; Manufacturing; Research.</t>
        </is>
      </c>
      <c r="N29" s="150" t="inlineStr">
        <is>
          <t>https://humanoid.guide/product/qdh/</t>
        </is>
      </c>
      <c r="O29" s="150" t="inlineStr">
        <is>
          <t>https://www.apptronik.com</t>
        </is>
      </c>
      <c r="P29" s="145" t="inlineStr">
        <is>
          <t>5 ft 5 in</t>
        </is>
      </c>
      <c r="Q29" s="145" t="n">
        <v>165</v>
      </c>
      <c r="R29" s="145" t="n">
        <v>132.3</v>
      </c>
      <c r="S29" s="145" t="n">
        <v>60</v>
      </c>
      <c r="T29" s="149" t="inlineStr">
        <is>
          <t>Not disclosed</t>
        </is>
      </c>
      <c r="U29" s="145" t="n"/>
      <c r="V29" s="145" t="inlineStr">
        <is>
          <t>14</t>
        </is>
      </c>
      <c r="W29" s="149" t="inlineStr">
        <is>
          <t>0</t>
        </is>
      </c>
      <c r="X29" s="145" t="n">
        <v>22</v>
      </c>
      <c r="Y29" s="145" t="n">
        <v>10</v>
      </c>
      <c r="Z29" s="145" t="n">
        <v>1.86</v>
      </c>
      <c r="AA29" s="145" t="n">
        <v>3</v>
      </c>
      <c r="AB29" s="145" t="n">
        <v>3</v>
      </c>
      <c r="AC29" s="149" t="inlineStr">
        <is>
          <t>≈ 2 hours</t>
        </is>
      </c>
      <c r="AD29" s="149" t="inlineStr">
        <is>
          <t>2</t>
        </is>
      </c>
      <c r="AE29" s="145" t="n"/>
      <c r="AF29" s="145" t="inlineStr">
        <is>
          <t>Not disclosed</t>
        </is>
      </c>
      <c r="AG29" s="149" t="inlineStr">
        <is>
          <t>0</t>
        </is>
      </c>
      <c r="AH29" s="145" t="inlineStr">
        <is>
          <t>0</t>
        </is>
      </c>
      <c r="AI29" s="145" t="n"/>
      <c r="AJ29" s="149" t="inlineStr">
        <is>
          <t>HD / stereo vision (estimated)</t>
        </is>
      </c>
      <c r="AK29" s="149" t="inlineStr">
        <is>
          <t>HD / stereo vision (estimated)</t>
        </is>
      </c>
      <c r="AL29" s="145" t="inlineStr">
        <is>
          <t>Not disclosed</t>
        </is>
      </c>
      <c r="AM29" s="145" t="n"/>
      <c r="AN29" s="145" t="inlineStr">
        <is>
          <t>Not disclosed</t>
        </is>
      </c>
      <c r="AO29" s="145" t="inlineStr">
        <is>
          <t>Not disclosed</t>
        </is>
      </c>
      <c r="AP29" s="145" t="inlineStr">
        <is>
          <t>Not disclosed</t>
        </is>
      </c>
      <c r="AQ29" s="145" t="inlineStr">
        <is>
          <t>Not disclosed</t>
        </is>
      </c>
      <c r="AR29" s="145" t="n"/>
      <c r="AS29" s="145" t="n"/>
      <c r="AT29" s="149" t="inlineStr">
        <is>
          <t>Not disclosed</t>
        </is>
      </c>
      <c r="AU29" s="149" t="inlineStr">
        <is>
          <t>Ethernet; Wi‑Fi</t>
        </is>
      </c>
      <c r="AV29" s="145" t="inlineStr">
        <is>
          <t>Not disclosed</t>
        </is>
      </c>
      <c r="AW29" s="149" t="inlineStr">
        <is>
          <t>Not disclosed</t>
        </is>
      </c>
      <c r="AX29" s="145" t="n"/>
      <c r="AY29" s="149" t="inlineStr">
        <is>
          <t>Likely ROS-based system</t>
        </is>
      </c>
      <c r="AZ29" s="149" t="inlineStr">
        <is>
          <t>Possible (via external AI stack)</t>
        </is>
      </c>
      <c r="BA29" s="149" t="inlineStr">
        <is>
          <t>~100–300 ms (estimated)</t>
        </is>
      </c>
      <c r="BB29" s="149" t="inlineStr">
        <is>
          <t>Electric actuators</t>
        </is>
      </c>
      <c r="BC29" s="149" t="inlineStr">
        <is>
          <t>Harmonic drive / planetary gears (assumed)</t>
        </is>
      </c>
      <c r="BD29" s="145" t="inlineStr">
        <is>
          <t>Aluminum + composites</t>
        </is>
      </c>
      <c r="BE29" s="145" t="inlineStr">
        <is>
          <t>Not disclosed</t>
        </is>
      </c>
      <c r="BF29" s="145" t="n"/>
      <c r="BG29" s="145" t="n"/>
      <c r="BH29" s="145" t="n"/>
      <c r="BI29" s="145" t="n"/>
      <c r="BJ29" s="145" t="n"/>
      <c r="BK29" s="145" t="n"/>
      <c r="BL29" s="145" t="n"/>
      <c r="BM29" s="145" t="inlineStr">
        <is>
          <t>Yes</t>
        </is>
      </c>
      <c r="BN29" s="145" t="inlineStr">
        <is>
          <t>Not disclosed</t>
        </is>
      </c>
      <c r="BO29" s="149" t="inlineStr">
        <is>
          <t>Market: logistics; Manufacturing; Research · Human-safe: Yes · AI: Possible (via external AI stack) · Actuation: Electric actuators · Peak 3 km/h · Walk 3 km/h · Runtime 2</t>
        </is>
      </c>
      <c r="BP29" s="145" t="n"/>
      <c r="BQ29" s="149" t="inlineStr">
        <is>
          <t>logistics; Manufacturing; Research</t>
        </is>
      </c>
      <c r="BR29" s="149" t="inlineStr">
        <is>
          <t>Prototype</t>
        </is>
      </c>
      <c r="BS29" s="149" t="inlineStr">
        <is>
          <t>Prototype</t>
        </is>
      </c>
      <c r="BT29" s="145" t="n"/>
      <c r="BU29" s="145" t="n"/>
      <c r="BV29" s="149" t="n"/>
      <c r="BW29" s="149" t="inlineStr">
        <is>
          <t>Origin &amp; status — USA · Prototype · 2026 | Manipulation — 0 · 0 fingers · Hand DOF 0 · Payload 22 lb | Sensing &amp; software — HD / stereo vision (estimated) · Possible (via external AI stack) · Likely ROS-based system | Buying notes — From $80,000 · 12 months manufacturer standard (typical research/commercial humanoid) · Best fit: logistics</t>
        </is>
      </c>
      <c r="BX29" s="149" t="inlineStr">
        <is>
          <t>as_shipped|QDH|80000|As shipped</t>
        </is>
      </c>
      <c r="BY29" s="145" t="inlineStr">
        <is>
          <t>qdh|Manufacturer finish|#e2e8f0|0</t>
        </is>
      </c>
      <c r="BZ29" s="145" t="inlineStr"/>
      <c r="CA29" s="149" t="n"/>
      <c r="CB29" s="149" t="inlineStr">
        <is>
          <t>12 months manufacturer standard (typical research/commercial humanoid)</t>
        </is>
      </c>
      <c r="CC29" s="147" t="n">
        <v>12</v>
      </c>
      <c r="CD29" s="149" t="inlineStr">
        <is>
          <t>+3 Year Extended ≈24% of configuration (default in configurator)</t>
        </is>
      </c>
      <c r="CE29" s="145" t="inlineStr">
        <is>
          <t>Humanoid category norm 2025–2026</t>
        </is>
      </c>
      <c r="CF29" s="145" t="inlineStr">
        <is>
          <t>Estimated</t>
        </is>
      </c>
      <c r="CG29" s="149" t="inlineStr">
        <is>
          <t>Confirm on formal OEM quote. EDU or enterprise packages may differ.</t>
        </is>
      </c>
      <c r="CH29" s="145" t="inlineStr">
        <is>
          <t>10%</t>
        </is>
      </c>
      <c r="CI29" s="145" t="inlineStr">
        <is>
          <t>17%</t>
        </is>
      </c>
      <c r="CJ29" s="145" t="inlineStr">
        <is>
          <t>24%</t>
        </is>
      </c>
      <c r="CK29" s="149" t="inlineStr">
        <is>
          <t>+1yr ≈10% | +2yr ≈17% | +3yr ≈24% of selected configuration price (parts &amp; labor beyond manufacturer standard).</t>
        </is>
      </c>
      <c r="CL2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9" s="145" t="inlineStr">
        <is>
          <t>12 months manufacturer standard (typical research/commercial humanoid)</t>
        </is>
      </c>
      <c r="CQ29" s="101" t="inlineStr">
        <is>
          <t>Height: 5 ft 5 in | Weight: 132.3 | Degrees of Freedom: 14 | Payload: 22 | Max Speed: 1.86 | Battery / Runtime: ≈ 2 hours</t>
        </is>
      </c>
    </row>
    <row r="30" ht="31.5" customHeight="1" s="102">
      <c r="A30" s="152" t="inlineStr">
        <is>
          <t>artificial_intelligence_dynamic_organism_lab_aid</t>
        </is>
      </c>
      <c r="B30" s="153" t="inlineStr">
        <is>
          <t>Humanoid.guide</t>
        </is>
      </c>
      <c r="C30" s="152" t="inlineStr">
        <is>
          <t>Artificial Intelligence Dynamic Organism Lab</t>
        </is>
      </c>
      <c r="D30" s="152" t="inlineStr">
        <is>
          <t>AIDOL</t>
        </is>
      </c>
      <c r="E30" s="152" t="inlineStr">
        <is>
          <t>[Artificial Intelligence Dynamic Organism Lab] AIDOL (2026)</t>
        </is>
      </c>
      <c r="F30" s="146" t="inlineStr">
        <is>
          <t>humanoid</t>
        </is>
      </c>
      <c r="G30" s="152" t="inlineStr">
        <is>
          <t>Russia</t>
        </is>
      </c>
      <c r="H30" s="152" t="n"/>
      <c r="I30" s="155" t="n">
        <v>60000</v>
      </c>
      <c r="J30" s="152" t="inlineStr">
        <is>
          <t>Humanoid.guide list</t>
        </is>
      </c>
      <c r="K30" s="156" t="inlineStr">
        <is>
          <t>AIDOL is a Russian humanoid robot designed for industrial and service work, best known for its dramatic on-stage fall but built to walk, carry loads and interact with people using expressive, AI-driven dialogue.</t>
        </is>
      </c>
      <c r="L30" s="101" t="inlineStr">
        <is>
          <t>AIDOL is a Russian humanoid robot designed for industrial and service work, best known for its dramatic on-stage fall but built to walk, carry loads and interact with people using expressive, AI-driven dialogue.</t>
        </is>
      </c>
      <c r="M30" s="101" t="inlineStr">
        <is>
          <t>AIDOL is a Russian humanoid robot designed for industrial and service work, best known for its dramatic on-stage fall but built to walk, carry loads and interact with people using expressive, AI-driven dialogue. Public status is listed as prototype, and it is positioned for industrial automation; logistics.</t>
        </is>
      </c>
      <c r="N30" s="157" t="inlineStr">
        <is>
          <t>https://humanoid.guide/product/aidol/</t>
        </is>
      </c>
      <c r="O30" s="157" t="inlineStr">
        <is>
          <t>https://aidoltech.ru/</t>
        </is>
      </c>
      <c r="P30" s="152" t="inlineStr">
        <is>
          <t>6 ft 1 in</t>
        </is>
      </c>
      <c r="Q30" s="152" t="n">
        <v>186</v>
      </c>
      <c r="R30" s="152" t="n">
        <v>209.4</v>
      </c>
      <c r="S30" s="152" t="n">
        <v>95</v>
      </c>
      <c r="T30" s="156" t="inlineStr">
        <is>
          <t>Not disclosed</t>
        </is>
      </c>
      <c r="U30" s="152" t="n"/>
      <c r="V30" s="152" t="inlineStr">
        <is>
          <t>67</t>
        </is>
      </c>
      <c r="W30" s="156" t="inlineStr">
        <is>
          <t>Not disclosed</t>
        </is>
      </c>
      <c r="X30" s="152" t="n">
        <v>22</v>
      </c>
      <c r="Y30" s="152" t="n">
        <v>10</v>
      </c>
      <c r="Z30" s="152" t="n">
        <v>3.73</v>
      </c>
      <c r="AA30" s="152" t="n">
        <v>6</v>
      </c>
      <c r="AB30" s="152" t="n">
        <v>6</v>
      </c>
      <c r="AC30" s="156" t="inlineStr">
        <is>
          <t>≈ 6 hours</t>
        </is>
      </c>
      <c r="AD30" s="156" t="inlineStr">
        <is>
          <t>6</t>
        </is>
      </c>
      <c r="AE30" s="152" t="n"/>
      <c r="AF30" s="152" t="inlineStr">
        <is>
          <t>Not disclosed</t>
        </is>
      </c>
      <c r="AG30" s="156" t="inlineStr">
        <is>
          <t>10</t>
        </is>
      </c>
      <c r="AH30" s="152" t="inlineStr">
        <is>
          <t>10</t>
        </is>
      </c>
      <c r="AI30" s="158" t="n">
        <v>2</v>
      </c>
      <c r="AJ30" s="156" t="inlineStr">
        <is>
          <t>Not disclosed</t>
        </is>
      </c>
      <c r="AK30" s="156" t="inlineStr">
        <is>
          <t>Not specified</t>
        </is>
      </c>
      <c r="AL30" s="152" t="inlineStr">
        <is>
          <t>Not disclosed</t>
        </is>
      </c>
      <c r="AM30" s="152" t="n"/>
      <c r="AN30" s="152" t="inlineStr">
        <is>
          <t>Not disclosed</t>
        </is>
      </c>
      <c r="AO30" s="152" t="inlineStr">
        <is>
          <t>Not disclosed</t>
        </is>
      </c>
      <c r="AP30" s="152" t="inlineStr">
        <is>
          <t>Not disclosed</t>
        </is>
      </c>
      <c r="AQ30" s="152" t="inlineStr">
        <is>
          <t>Not disclosed</t>
        </is>
      </c>
      <c r="AR30" s="152" t="n"/>
      <c r="AS30" s="152" t="n"/>
      <c r="AT30" s="156" t="inlineStr">
        <is>
          <t>Computing module based on a graphics processor</t>
        </is>
      </c>
      <c r="AU30" s="156" t="inlineStr">
        <is>
          <t>Not disclosed</t>
        </is>
      </c>
      <c r="AV30" s="152" t="inlineStr">
        <is>
          <t>Not disclosed</t>
        </is>
      </c>
      <c r="AW30" s="156" t="inlineStr">
        <is>
          <t>Not disclosed</t>
        </is>
      </c>
      <c r="AX30" s="158" t="n">
        <v>2</v>
      </c>
      <c r="AY30" s="156" t="inlineStr">
        <is>
          <t>Not disclosed</t>
        </is>
      </c>
      <c r="AZ30" s="156" t="inlineStr">
        <is>
          <t>Local, context-aware dialogue; proprietary system, no named LLM announced</t>
        </is>
      </c>
      <c r="BA30" s="156" t="inlineStr">
        <is>
          <t>Not specified</t>
        </is>
      </c>
      <c r="BB30" s="156" t="inlineStr">
        <is>
          <t>Not disclosed</t>
        </is>
      </c>
      <c r="BC30" s="156" t="inlineStr">
        <is>
          <t>Not disclosed</t>
        </is>
      </c>
      <c r="BD30" s="152" t="inlineStr">
        <is>
          <t>Metal frame with plastic/composite outer shells</t>
        </is>
      </c>
      <c r="BE30" s="152" t="inlineStr">
        <is>
          <t>Not disclosed</t>
        </is>
      </c>
      <c r="BF30" s="152" t="inlineStr">
        <is>
          <t>Not specified</t>
        </is>
      </c>
      <c r="BG30" s="152" t="n"/>
      <c r="BH30" s="152" t="n"/>
      <c r="BI30" s="152" t="n"/>
      <c r="BJ30" s="152" t="n"/>
      <c r="BK30" s="152" t="n"/>
      <c r="BL30" s="152" t="n"/>
      <c r="BM30" s="152" t="inlineStr">
        <is>
          <t>No formal safety rating</t>
        </is>
      </c>
      <c r="BN30" s="152" t="inlineStr">
        <is>
          <t>Not disclosed</t>
        </is>
      </c>
      <c r="BO30" s="156" t="inlineStr">
        <is>
          <t>Market: Industrial automation; logistics · Manipulation 2/4 · Navigation 2/4 · Human-safe: No formal safety rating · AI: Local, context-aware dialogue; proprietary system, no named LLM announced · Actuation: Not specified · Peak 6 km/h · Walk 6 km/h · Runtime 6</t>
        </is>
      </c>
      <c r="BP30" s="152" t="n"/>
      <c r="BQ30" s="156" t="inlineStr">
        <is>
          <t>Industrial automation; logistics</t>
        </is>
      </c>
      <c r="BR30" s="156" t="inlineStr">
        <is>
          <t>Prototype</t>
        </is>
      </c>
      <c r="BS30" s="156" t="inlineStr">
        <is>
          <t>Prototype</t>
        </is>
      </c>
      <c r="BT30" s="152" t="n"/>
      <c r="BU30" s="152" t="inlineStr">
        <is>
          <t>Not verified</t>
        </is>
      </c>
      <c r="BV30" s="156" t="n"/>
      <c r="BW30" s="156" t="inlineStr">
        <is>
          <t>Origin &amp; status — Russia · Prototype · 2026 | Manipulation — 10 · 10 fingers · Payload 22 lb | Sensing &amp; software — Local, context-aware dialogue; proprietary system, no named LLM announced | Buying notes — From $60,000 · 12 months manufacturer standard (typical research/commercial humanoid) · Best fit: Industrial automation</t>
        </is>
      </c>
      <c r="BX30" s="156" t="inlineStr">
        <is>
          <t>as_shipped|AIDOL|60000|As shipped</t>
        </is>
      </c>
      <c r="BY30" s="152" t="inlineStr">
        <is>
          <t>aidol|Manufacturer finish|#e2e8f0|0</t>
        </is>
      </c>
      <c r="BZ30" s="152" t="inlineStr"/>
      <c r="CA30" s="156" t="n"/>
      <c r="CB30" s="156" t="inlineStr">
        <is>
          <t>12 months manufacturer standard (typical research/commercial humanoid)</t>
        </is>
      </c>
      <c r="CC30" s="154" t="n">
        <v>12</v>
      </c>
      <c r="CD30" s="156" t="inlineStr">
        <is>
          <t>+3 Year Extended ≈24% of configuration (default in configurator)</t>
        </is>
      </c>
      <c r="CE30" s="152" t="inlineStr">
        <is>
          <t>Humanoid category norm 2025–2026</t>
        </is>
      </c>
      <c r="CF30" s="152" t="inlineStr">
        <is>
          <t>Estimated</t>
        </is>
      </c>
      <c r="CG30" s="156" t="inlineStr">
        <is>
          <t>Confirm on formal OEM quote. EDU or enterprise packages may differ.</t>
        </is>
      </c>
      <c r="CH30" s="152" t="inlineStr">
        <is>
          <t>10%</t>
        </is>
      </c>
      <c r="CI30" s="152" t="inlineStr">
        <is>
          <t>17%</t>
        </is>
      </c>
      <c r="CJ30" s="152" t="inlineStr">
        <is>
          <t>24%</t>
        </is>
      </c>
      <c r="CK30" s="156" t="inlineStr">
        <is>
          <t>+1yr ≈10% | +2yr ≈17% | +3yr ≈24% of selected configuration price (parts &amp; labor beyond manufacturer standard).</t>
        </is>
      </c>
      <c r="CL30"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0" s="152" t="inlineStr">
        <is>
          <t>12 months manufacturer standard (typical research/commercial humanoid)</t>
        </is>
      </c>
      <c r="CQ30" s="101" t="inlineStr">
        <is>
          <t>Height: 6 ft 1 in | Weight: 209.4 | Degrees of Freedom: 67 | Payload: 22 | Max Speed: 3.73 | Battery / Runtime: ≈ 6 hours</t>
        </is>
      </c>
    </row>
    <row r="31" ht="31.5" customHeight="1" s="102">
      <c r="A31" s="143" t="inlineStr">
        <is>
          <t>astribot_s1</t>
        </is>
      </c>
      <c r="B31" s="144" t="inlineStr">
        <is>
          <t>Both</t>
        </is>
      </c>
      <c r="C31" s="145" t="inlineStr">
        <is>
          <t>Astribot</t>
        </is>
      </c>
      <c r="D31" s="145" t="inlineStr">
        <is>
          <t>Astribot S1</t>
        </is>
      </c>
      <c r="E31" s="145" t="inlineStr">
        <is>
          <t>[Astribot] S1 (2025)</t>
        </is>
      </c>
      <c r="F31" s="146" t="inlineStr">
        <is>
          <t>humanoid</t>
        </is>
      </c>
      <c r="G31" s="145" t="inlineStr">
        <is>
          <t>China</t>
        </is>
      </c>
      <c r="H31" s="147" t="n">
        <v>2025</v>
      </c>
      <c r="I31" s="148" t="n">
        <v>50000</v>
      </c>
      <c r="J31" s="145" t="inlineStr">
        <is>
          <t>Robot Price Index Aug 2026 · enterprise entry</t>
        </is>
      </c>
      <c r="K31" s="149" t="inlineStr">
        <is>
          <t>A humanoid robot designed for real-world environments, combining dexterous dual-arm manipulation, advanced perception, and human-like interaction for service and industrial tasks.</t>
        </is>
      </c>
      <c r="L31" s="101" t="inlineStr">
        <is>
          <t>A humanoid robot designed for real-world environments, combining dexterous dual-arm manipulation, advanced perception, and human-like interaction for service and industrial tasks.</t>
        </is>
      </c>
      <c r="M31" s="101" t="inlineStr">
        <is>
          <t>S1 is Astribot's humanoid, introduced around 2025 in China. A humanoid robot designed for real-world environments, combining dexterous dual-arm manipulation, advanced perception, and human-like interaction for service and industrial tasks. Public status is listed as enterprise only.</t>
        </is>
      </c>
      <c r="N31" s="150" t="inlineStr">
        <is>
          <t>https://humanoid.guide/product/astribot-s1/</t>
        </is>
      </c>
      <c r="O31" s="150" t="inlineStr">
        <is>
          <t>https://www.astribot.com</t>
        </is>
      </c>
      <c r="P31" s="145" t="inlineStr">
        <is>
          <t>5 ft 7 in</t>
        </is>
      </c>
      <c r="Q31" s="145" t="n">
        <v>170</v>
      </c>
      <c r="R31" s="145" t="n">
        <v>176.4</v>
      </c>
      <c r="S31" s="145" t="n">
        <v>80</v>
      </c>
      <c r="T31" s="149" t="inlineStr">
        <is>
          <t>Not disclosed</t>
        </is>
      </c>
      <c r="U31" s="145" t="n"/>
      <c r="V31" s="145" t="inlineStr">
        <is>
          <t>23</t>
        </is>
      </c>
      <c r="W31" s="149" t="inlineStr">
        <is>
          <t>14</t>
        </is>
      </c>
      <c r="X31" s="145" t="n">
        <v>22</v>
      </c>
      <c r="Y31" s="145" t="n">
        <v>10</v>
      </c>
      <c r="Z31" s="145" t="n">
        <v>3.73</v>
      </c>
      <c r="AA31" s="145" t="n">
        <v>6</v>
      </c>
      <c r="AB31" s="145" t="n">
        <v>4</v>
      </c>
      <c r="AC31" s="149" t="inlineStr">
        <is>
          <t>4-6</t>
        </is>
      </c>
      <c r="AD31" s="149" t="inlineStr">
        <is>
          <t>4-6</t>
        </is>
      </c>
      <c r="AE31" s="145" t="n"/>
      <c r="AF31" s="145" t="inlineStr">
        <is>
          <t>Not disclosed</t>
        </is>
      </c>
      <c r="AG31" s="149" t="inlineStr">
        <is>
          <t>High-speed dual-arm manipulation emphasis</t>
        </is>
      </c>
      <c r="AH31" s="145" t="inlineStr">
        <is>
          <t>2-finger gripping claws</t>
        </is>
      </c>
      <c r="AI31" s="145" t="n"/>
      <c r="AJ31" s="149" t="inlineStr">
        <is>
          <t>Manipulation-focused vision</t>
        </is>
      </c>
      <c r="AK31" s="149" t="inlineStr">
        <is>
          <t>RGB-D camera / Stereo vision camera / LiDAR</t>
        </is>
      </c>
      <c r="AL31" s="145" t="inlineStr">
        <is>
          <t>Not disclosed</t>
        </is>
      </c>
      <c r="AM31" s="145" t="n"/>
      <c r="AN31" s="145" t="inlineStr">
        <is>
          <t>Not disclosed</t>
        </is>
      </c>
      <c r="AO31" s="145" t="inlineStr">
        <is>
          <t>Not disclosed</t>
        </is>
      </c>
      <c r="AP31" s="145" t="inlineStr">
        <is>
          <t>Not disclosed</t>
        </is>
      </c>
      <c r="AQ31" s="145" t="inlineStr">
        <is>
          <t>Not disclosed</t>
        </is>
      </c>
      <c r="AR31" s="145" t="n"/>
      <c r="AS31" s="145" t="n"/>
      <c r="AT31" s="149" t="inlineStr">
        <is>
          <t>Not disclosed</t>
        </is>
      </c>
      <c r="AU31" s="149" t="inlineStr">
        <is>
          <t>Ethernet; Wi‑Fi</t>
        </is>
      </c>
      <c r="AV31" s="145" t="inlineStr">
        <is>
          <t>Astribot control software</t>
        </is>
      </c>
      <c r="AW31" s="149" t="inlineStr">
        <is>
          <t>Not disclosed</t>
        </is>
      </c>
      <c r="AX31" s="145" t="n"/>
      <c r="AY31" s="149" t="inlineStr">
        <is>
          <t>Not disclosed</t>
        </is>
      </c>
      <c r="AZ31" s="149" t="inlineStr">
        <is>
          <t>likely compatible with AI/LLM systems</t>
        </is>
      </c>
      <c r="BA31" s="149" t="n"/>
      <c r="BB31" s="149" t="inlineStr">
        <is>
          <t>Electric motors (high-speed servo actuators)</t>
        </is>
      </c>
      <c r="BC31" s="149" t="inlineStr">
        <is>
          <t>Cable-driven + motor-driven hybrid system</t>
        </is>
      </c>
      <c r="BD31" s="145" t="inlineStr">
        <is>
          <t>Likely aluminum alloy + composite materials</t>
        </is>
      </c>
      <c r="BE31" s="145" t="inlineStr">
        <is>
          <t>indoor use, low IP rating</t>
        </is>
      </c>
      <c r="BF31" s="145" t="inlineStr">
        <is>
          <t>indoor use, low IP rating</t>
        </is>
      </c>
      <c r="BG31" s="145" t="n"/>
      <c r="BH31" s="145" t="n"/>
      <c r="BI31" s="145" t="n"/>
      <c r="BJ31" s="145" t="n"/>
      <c r="BK31" s="145" t="n"/>
      <c r="BL31" s="145" t="n"/>
      <c r="BM31" s="145" t="inlineStr">
        <is>
          <t>Yes</t>
        </is>
      </c>
      <c r="BN31" s="145" t="inlineStr">
        <is>
          <t>Not disclosed</t>
        </is>
      </c>
      <c r="BO31" s="149" t="inlineStr">
        <is>
          <t>Market: Industrial · Human-safe: Yes · AI: likely compatible with AI/LLM systems · Actuation: Electric motors (high-speed servo actuators) · Peak 6 km/h · Walk 4 km/h · Runtime 4-6</t>
        </is>
      </c>
      <c r="BP31" s="145" t="n"/>
      <c r="BQ31" s="149" t="inlineStr">
        <is>
          <t>Industrial</t>
        </is>
      </c>
      <c r="BR31" s="149" t="inlineStr">
        <is>
          <t>Enterprise only</t>
        </is>
      </c>
      <c r="BS31" s="149" t="inlineStr">
        <is>
          <t>In production</t>
        </is>
      </c>
      <c r="BT31" s="145" t="inlineStr">
        <is>
          <t>White</t>
        </is>
      </c>
      <c r="BU31" s="145" t="inlineStr">
        <is>
          <t>Not verified</t>
        </is>
      </c>
      <c r="BV31" s="149" t="inlineStr">
        <is>
          <t>Humanoid.guide listed price $99,000.</t>
        </is>
      </c>
      <c r="BW31" s="149" t="inlineStr">
        <is>
          <t>Origin &amp; status — China · Enterprise only · 2025 | Manipulation — High-speed dual-arm manipulation emphasis · 2-finger gripping claws · Hand DOF 14 · Payload 22 lb (10 kg) | Sensing &amp; software — Manipulation-focused vision · likely compatible with AI/LLM systems · Astribot control software | Buying notes — From $50,000 · 12 months manufacturer standard (typical research/commercial humanoid) · Best fit: Industrial</t>
        </is>
      </c>
      <c r="BX31" s="149" t="inlineStr">
        <is>
          <t>as_shipped|S1|50000|As shipped</t>
        </is>
      </c>
      <c r="BY31" s="145" t="inlineStr">
        <is>
          <t>white|White|#f8fafc|0</t>
        </is>
      </c>
      <c r="BZ31" s="145" t="inlineStr"/>
      <c r="CA31" s="149" t="inlineStr">
        <is>
          <t>Add-ons: case; 2 color options; Multi-year extended warranty available</t>
        </is>
      </c>
      <c r="CB31" s="149" t="inlineStr">
        <is>
          <t>12 months manufacturer standard (typical research/commercial humanoid)</t>
        </is>
      </c>
      <c r="CC31" s="147" t="n">
        <v>12</v>
      </c>
      <c r="CD31" s="149" t="inlineStr">
        <is>
          <t>+3 Year Extended ≈24% of configuration (default in configurator)</t>
        </is>
      </c>
      <c r="CE31" s="145" t="inlineStr">
        <is>
          <t>Humanoid category norm 2025–2026</t>
        </is>
      </c>
      <c r="CF31" s="145" t="inlineStr">
        <is>
          <t>Estimated</t>
        </is>
      </c>
      <c r="CG31" s="149" t="inlineStr">
        <is>
          <t>EDU or enterprise packages may differ; confirm on formal quote.</t>
        </is>
      </c>
      <c r="CH31" s="145" t="inlineStr">
        <is>
          <t>10%</t>
        </is>
      </c>
      <c r="CI31" s="145" t="inlineStr">
        <is>
          <t>17%</t>
        </is>
      </c>
      <c r="CJ31" s="145" t="inlineStr">
        <is>
          <t>24%</t>
        </is>
      </c>
      <c r="CK3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3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1" s="145" t="inlineStr">
        <is>
          <t>12 months manufacturer standard (typical research/commercial humanoid)</t>
        </is>
      </c>
      <c r="CQ31" s="101" t="inlineStr">
        <is>
          <t>Height: 5 ft 7 in | Weight: 176.4 | Degrees of Freedom: 23 | Payload: 22 | Max Speed: 3.73 | Battery / Runtime: 4-6</t>
        </is>
      </c>
    </row>
    <row r="32" ht="31.5" customHeight="1" s="102">
      <c r="A32" s="152" t="inlineStr">
        <is>
          <t>astribot_astribot_t1</t>
        </is>
      </c>
      <c r="B32" s="153" t="inlineStr">
        <is>
          <t>Humanoid.guide</t>
        </is>
      </c>
      <c r="C32" s="152" t="inlineStr">
        <is>
          <t>Astribot</t>
        </is>
      </c>
      <c r="D32" s="152" t="inlineStr">
        <is>
          <t>Astribot T1</t>
        </is>
      </c>
      <c r="E32" s="152" t="inlineStr">
        <is>
          <t>[Astribot] Astribot T1 (2026)</t>
        </is>
      </c>
      <c r="F32" s="146" t="inlineStr">
        <is>
          <t>humanoid</t>
        </is>
      </c>
      <c r="G32" s="152" t="inlineStr">
        <is>
          <t>China</t>
        </is>
      </c>
      <c r="H32" s="152" t="n"/>
      <c r="I32" s="155" t="n">
        <v>13500</v>
      </c>
      <c r="J32" s="152" t="inlineStr">
        <is>
          <t>Humanoid.guide list</t>
        </is>
      </c>
      <c r="K32" s="156" t="inlineStr">
        <is>
          <t>A humanoid robot designed for real-world environments, combining dexterous dual-arm manipulation, advanced perception, and human-like interaction for service and industrial tasks.</t>
        </is>
      </c>
      <c r="L32" s="101" t="inlineStr">
        <is>
          <t>A humanoid robot designed for real-world environments, combining dexterous dual-arm manipulation, advanced perception, and human-like interaction for service and industrial tasks.</t>
        </is>
      </c>
      <c r="M32" s="101" t="inlineStr">
        <is>
          <t>Astribot T1 is Astribot's humanoid, introduced around 2026 in China. A humanoid robot designed for real-world environments, combining dexterous dual-arm manipulation, advanced perception, and human-like interaction for service and industrial tasks. Public status is listed as in production, and it is positioned for commercial Service; Education &amp; research; Home service; Industrial.</t>
        </is>
      </c>
      <c r="N32" s="157" t="inlineStr">
        <is>
          <t>https://humanoid.guide/product/astribot-t1/</t>
        </is>
      </c>
      <c r="O32" s="157" t="inlineStr">
        <is>
          <t>https://www.astribot.com</t>
        </is>
      </c>
      <c r="P32" s="152" t="inlineStr">
        <is>
          <t>5 ft 1 in</t>
        </is>
      </c>
      <c r="Q32" s="152" t="n">
        <v>155</v>
      </c>
      <c r="R32" s="152" t="n">
        <v>145.5</v>
      </c>
      <c r="S32" s="152" t="n">
        <v>66</v>
      </c>
      <c r="T32" s="156" t="inlineStr">
        <is>
          <t>Not disclosed</t>
        </is>
      </c>
      <c r="U32" s="152" t="n"/>
      <c r="V32" s="152" t="inlineStr">
        <is>
          <t>23</t>
        </is>
      </c>
      <c r="W32" s="156" t="inlineStr">
        <is>
          <t>16</t>
        </is>
      </c>
      <c r="X32" s="152" t="n">
        <v>22</v>
      </c>
      <c r="Y32" s="152" t="n">
        <v>10</v>
      </c>
      <c r="Z32" s="152" t="n">
        <v>3.11</v>
      </c>
      <c r="AA32" s="152" t="n">
        <v>5</v>
      </c>
      <c r="AB32" s="152" t="n"/>
      <c r="AC32" s="156" t="inlineStr">
        <is>
          <t>4-6</t>
        </is>
      </c>
      <c r="AD32" s="156" t="inlineStr">
        <is>
          <t>4-6</t>
        </is>
      </c>
      <c r="AE32" s="152" t="n"/>
      <c r="AF32" s="152" t="inlineStr">
        <is>
          <t>Not disclosed</t>
        </is>
      </c>
      <c r="AG32" s="156" t="inlineStr">
        <is>
          <t>5 per hand</t>
        </is>
      </c>
      <c r="AH32" s="152" t="inlineStr">
        <is>
          <t>5 per hand</t>
        </is>
      </c>
      <c r="AI32" s="152" t="n"/>
      <c r="AJ32" s="156" t="inlineStr">
        <is>
          <t>Not disclosed</t>
        </is>
      </c>
      <c r="AK32" s="156" t="n"/>
      <c r="AL32" s="152" t="inlineStr">
        <is>
          <t>Not disclosed</t>
        </is>
      </c>
      <c r="AM32" s="152" t="n"/>
      <c r="AN32" s="152" t="inlineStr">
        <is>
          <t>Not disclosed</t>
        </is>
      </c>
      <c r="AO32" s="152" t="inlineStr">
        <is>
          <t>Not disclosed</t>
        </is>
      </c>
      <c r="AP32" s="152" t="inlineStr">
        <is>
          <t>Not disclosed</t>
        </is>
      </c>
      <c r="AQ32" s="152" t="inlineStr">
        <is>
          <t>Not disclosed</t>
        </is>
      </c>
      <c r="AR32" s="152" t="n"/>
      <c r="AS32" s="152" t="n"/>
      <c r="AT32" s="156" t="inlineStr">
        <is>
          <t>Not disclosed</t>
        </is>
      </c>
      <c r="AU32" s="156" t="inlineStr">
        <is>
          <t>Ethernet; Wi‑Fi</t>
        </is>
      </c>
      <c r="AV32" s="152" t="inlineStr">
        <is>
          <t>Not disclosed</t>
        </is>
      </c>
      <c r="AW32" s="156" t="inlineStr">
        <is>
          <t>Not disclosed</t>
        </is>
      </c>
      <c r="AX32" s="152" t="n"/>
      <c r="AY32" s="156" t="inlineStr">
        <is>
          <t>Not disclosed</t>
        </is>
      </c>
      <c r="AZ32" s="156" t="inlineStr">
        <is>
          <t>Not disclosed</t>
        </is>
      </c>
      <c r="BA32" s="156" t="n"/>
      <c r="BB32" s="156" t="inlineStr">
        <is>
          <t>Cable-driven architecture</t>
        </is>
      </c>
      <c r="BC32" s="156" t="inlineStr">
        <is>
          <t>Not disclosed</t>
        </is>
      </c>
      <c r="BD32" s="152" t="inlineStr">
        <is>
          <t>Aluminum alloy frame with polymer covers</t>
        </is>
      </c>
      <c r="BE32" s="152" t="inlineStr">
        <is>
          <t>indoor use, low IP rating</t>
        </is>
      </c>
      <c r="BF32" s="152" t="inlineStr">
        <is>
          <t>indoor use, low IP rating</t>
        </is>
      </c>
      <c r="BG32" s="152" t="n"/>
      <c r="BH32" s="152" t="n"/>
      <c r="BI32" s="152" t="n"/>
      <c r="BJ32" s="152" t="n"/>
      <c r="BK32" s="152" t="n"/>
      <c r="BL32" s="152" t="n"/>
      <c r="BM32" s="152" t="inlineStr">
        <is>
          <t>Yes</t>
        </is>
      </c>
      <c r="BN32" s="152" t="inlineStr">
        <is>
          <t>Not disclosed</t>
        </is>
      </c>
      <c r="BO32" s="156" t="inlineStr">
        <is>
          <t>Market: Commercial Service; Education &amp; research; Home service; Industrial · Human-safe: Yes · Actuation: Cable-driven architecture · Peak 5 km/h · Runtime 4-6</t>
        </is>
      </c>
      <c r="BP32" s="152" t="n"/>
      <c r="BQ32" s="156" t="inlineStr">
        <is>
          <t>Commercial Service; Education &amp; research; Home service; Industrial</t>
        </is>
      </c>
      <c r="BR32" s="156" t="inlineStr">
        <is>
          <t>In production</t>
        </is>
      </c>
      <c r="BS32" s="156" t="inlineStr">
        <is>
          <t>In production</t>
        </is>
      </c>
      <c r="BT32" s="152" t="inlineStr">
        <is>
          <t>White</t>
        </is>
      </c>
      <c r="BU32" s="152" t="inlineStr">
        <is>
          <t>Not verified</t>
        </is>
      </c>
      <c r="BV32" s="156" t="n"/>
      <c r="BW32" s="156" t="inlineStr">
        <is>
          <t>Origin &amp; status — China · In production · 2026 | Manipulation — 5 per hand · 5 per hand fingers · Hand DOF 16 · Payload 22 lb | Sensing &amp; software — Sensor and compute package confirmed on formal quote | Buying notes — From $13,500 · 12 months manufacturer standard (typical research/commercial humanoid) · Best fit: Commercial Service</t>
        </is>
      </c>
      <c r="BX32" s="156" t="inlineStr">
        <is>
          <t>as_shipped|Astribot T1|13500|As shipped</t>
        </is>
      </c>
      <c r="BY32" s="152" t="inlineStr">
        <is>
          <t>white|White|#e2e8f0|0</t>
        </is>
      </c>
      <c r="BZ32" s="152" t="inlineStr"/>
      <c r="CA32" s="156" t="n"/>
      <c r="CB32" s="156" t="inlineStr">
        <is>
          <t>12 months manufacturer standard (typical research/commercial humanoid)</t>
        </is>
      </c>
      <c r="CC32" s="154" t="n">
        <v>12</v>
      </c>
      <c r="CD32" s="156" t="inlineStr">
        <is>
          <t>+3 Year Extended ≈24% of configuration (default in configurator)</t>
        </is>
      </c>
      <c r="CE32" s="152" t="inlineStr">
        <is>
          <t>Humanoid category norm 2025–2026</t>
        </is>
      </c>
      <c r="CF32" s="152" t="inlineStr">
        <is>
          <t>Estimated</t>
        </is>
      </c>
      <c r="CG32" s="156" t="inlineStr">
        <is>
          <t>Confirm on formal OEM quote. EDU or enterprise packages may differ.</t>
        </is>
      </c>
      <c r="CH32" s="152" t="inlineStr">
        <is>
          <t>10%</t>
        </is>
      </c>
      <c r="CI32" s="152" t="inlineStr">
        <is>
          <t>17%</t>
        </is>
      </c>
      <c r="CJ32" s="152" t="inlineStr">
        <is>
          <t>24%</t>
        </is>
      </c>
      <c r="CK32" s="156" t="inlineStr">
        <is>
          <t>+1yr ≈10% | +2yr ≈17% | +3yr ≈24% of selected configuration price (parts &amp; labor beyond manufacturer standard).</t>
        </is>
      </c>
      <c r="CL32"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2" s="152" t="inlineStr">
        <is>
          <t>12 months manufacturer standard (typical research/commercial humanoid)</t>
        </is>
      </c>
      <c r="CQ32" s="101" t="inlineStr">
        <is>
          <t>Height: 5 ft 1 in | Weight: 145.5 | Degrees of Freedom: 23 | Payload: 22 | Max Speed: 3.11 | Battery / Runtime: 4-6</t>
        </is>
      </c>
    </row>
    <row r="33" ht="31.5" customHeight="1" s="102">
      <c r="A33" s="145" t="inlineStr">
        <is>
          <t>beijing_galbot_ai_co_ltd_galbot_et1</t>
        </is>
      </c>
      <c r="B33" s="153" t="inlineStr">
        <is>
          <t>Humanoid.guide</t>
        </is>
      </c>
      <c r="C33" s="145" t="inlineStr">
        <is>
          <t>Beijing Galbot AI Co., Ltd.</t>
        </is>
      </c>
      <c r="D33" s="145" t="inlineStr">
        <is>
          <t>Galbot ET1</t>
        </is>
      </c>
      <c r="E33" s="145" t="inlineStr">
        <is>
          <t>[Beijing Galbot AI Co., Ltd.] Galbot ET1 (2026)</t>
        </is>
      </c>
      <c r="F33" s="146" t="inlineStr">
        <is>
          <t>humanoid</t>
        </is>
      </c>
      <c r="G33" s="145" t="inlineStr">
        <is>
          <t>China</t>
        </is>
      </c>
      <c r="H33" s="147" t="n">
        <v>2026</v>
      </c>
      <c r="I33" s="148" t="n">
        <v>95000</v>
      </c>
      <c r="J33" s="145" t="inlineStr">
        <is>
          <t>Humanoid.guide list</t>
        </is>
      </c>
      <c r="K33" s="149" t="inlineStr">
        <is>
          <t>Galbot’s first bipedal humanoid, revealed in August 2026 with tennis-ready athletic agility and the company’s AstraBrain embodied AI.</t>
        </is>
      </c>
      <c r="L33" s="101" t="inlineStr">
        <is>
          <t>Galbot’s first bipedal humanoid, revealed in August 2026 with tennis-ready athletic agility and the company’s AstraBrain embodied AI.</t>
        </is>
      </c>
      <c r="M33" s="101" t="inlineStr">
        <is>
          <t>Galbot ET1 is Beijing Galbot AI Co., Ltd.'s humanoid, introduced around 2026 in China. Galbot’s first bipedal humanoid, revealed in August 2026 with tennis-ready athletic agility and the company’s AstraBrain embodied AI. Public status is listed as prototype, and it is positioned for automotive Industries; Industrial automation; Manufacturing.</t>
        </is>
      </c>
      <c r="N33" s="150" t="inlineStr">
        <is>
          <t>https://humanoid.guide/product/galbot-et1/</t>
        </is>
      </c>
      <c r="O33" s="150" t="inlineStr">
        <is>
          <t>https://www.galbot.com</t>
        </is>
      </c>
      <c r="P33" s="145" t="inlineStr">
        <is>
          <t>5 ft 8 in</t>
        </is>
      </c>
      <c r="Q33" s="145" t="n">
        <v>173</v>
      </c>
      <c r="R33" s="145" t="n">
        <v>143.3</v>
      </c>
      <c r="S33" s="145" t="n">
        <v>65</v>
      </c>
      <c r="T33" s="149" t="inlineStr">
        <is>
          <t>Not disclosed</t>
        </is>
      </c>
      <c r="U33" s="145" t="n"/>
      <c r="V33" s="145" t="inlineStr">
        <is>
          <t>48</t>
        </is>
      </c>
      <c r="W33" s="149" t="inlineStr">
        <is>
          <t>24</t>
        </is>
      </c>
      <c r="X33" s="145" t="n">
        <v>33.1</v>
      </c>
      <c r="Y33" s="145" t="n">
        <v>15</v>
      </c>
      <c r="Z33" s="145" t="n">
        <v>12.43</v>
      </c>
      <c r="AA33" s="145" t="n">
        <v>20</v>
      </c>
      <c r="AB33" s="145" t="n">
        <v>4</v>
      </c>
      <c r="AC33" s="149" t="inlineStr">
        <is>
          <t>≈ 2 hours</t>
        </is>
      </c>
      <c r="AD33" s="149" t="inlineStr">
        <is>
          <t>2</t>
        </is>
      </c>
      <c r="AE33" s="145" t="n"/>
      <c r="AF33" s="145" t="inlineStr">
        <is>
          <t>Not disclosed</t>
        </is>
      </c>
      <c r="AG33" s="149" t="inlineStr">
        <is>
          <t>5 per hand</t>
        </is>
      </c>
      <c r="AH33" s="145" t="inlineStr">
        <is>
          <t>5 per hand</t>
        </is>
      </c>
      <c r="AI33" s="145" t="n"/>
      <c r="AJ33" s="149" t="inlineStr">
        <is>
          <t>Not disclosed</t>
        </is>
      </c>
      <c r="AK33" s="149" t="n"/>
      <c r="AL33" s="145" t="inlineStr">
        <is>
          <t>Not disclosed</t>
        </is>
      </c>
      <c r="AM33" s="145" t="n"/>
      <c r="AN33" s="145" t="inlineStr">
        <is>
          <t>Not disclosed</t>
        </is>
      </c>
      <c r="AO33" s="145" t="inlineStr">
        <is>
          <t>Not disclosed</t>
        </is>
      </c>
      <c r="AP33" s="145" t="inlineStr">
        <is>
          <t>Not disclosed</t>
        </is>
      </c>
      <c r="AQ33" s="145" t="inlineStr">
        <is>
          <t>Not disclosed</t>
        </is>
      </c>
      <c r="AR33" s="145" t="n"/>
      <c r="AS33" s="145" t="n"/>
      <c r="AT33" s="149" t="inlineStr">
        <is>
          <t>NVIDIA Jetson Thor</t>
        </is>
      </c>
      <c r="AU33" s="149" t="inlineStr">
        <is>
          <t>WiFi 2.4/5GHz, Bluetooth 5.2</t>
        </is>
      </c>
      <c r="AV33" s="145" t="inlineStr">
        <is>
          <t>Not disclosed</t>
        </is>
      </c>
      <c r="AW33" s="149" t="inlineStr">
        <is>
          <t>Not disclosed</t>
        </is>
      </c>
      <c r="AX33" s="145" t="n"/>
      <c r="AY33" s="149" t="inlineStr">
        <is>
          <t>Linux-based, ROS 2-compatible, OTA-updatable</t>
        </is>
      </c>
      <c r="AZ33" s="149" t="inlineStr">
        <is>
          <t>Yes — Galbot AstraBrain (vision-language-action embodied model)</t>
        </is>
      </c>
      <c r="BA33" s="149" t="inlineStr">
        <is>
          <t>&amp;lt;100 ms</t>
        </is>
      </c>
      <c r="BB33" s="149" t="inlineStr">
        <is>
          <t>Quasi-direct-drive brushless servomotors</t>
        </is>
      </c>
      <c r="BC33" s="149" t="inlineStr">
        <is>
          <t>Planetary + harmonic (strain-wave) gearboxes</t>
        </is>
      </c>
      <c r="BD33" s="145" t="inlineStr">
        <is>
          <t>Aluminum-alloy skeleton, polymer (ABS/PC) outer shell</t>
        </is>
      </c>
      <c r="BE33" s="145" t="inlineStr">
        <is>
          <t>IP54</t>
        </is>
      </c>
      <c r="BF33" s="145" t="inlineStr">
        <is>
          <t>IP54</t>
        </is>
      </c>
      <c r="BG33" s="145" t="n"/>
      <c r="BH33" s="145" t="n"/>
      <c r="BI33" s="145" t="n"/>
      <c r="BJ33" s="145" t="n"/>
      <c r="BK33" s="145" t="n"/>
      <c r="BL33" s="145" t="n"/>
      <c r="BM33" s="145" t="inlineStr">
        <is>
          <t>Yes</t>
        </is>
      </c>
      <c r="BN33" s="145" t="inlineStr">
        <is>
          <t>Not disclosed</t>
        </is>
      </c>
      <c r="BO33" s="149" t="inlineStr">
        <is>
          <t>Market: Automotive Industries; Industrial automation; Manufacturing · Human-safe: Yes · AI: Yes — Galbot AstraBrain (vision-language-action embodied model) · Actuation: Quasi-direct-drive brushless servomotors · Peak 20 km/h · Walk 4 km/h · Runtime 2</t>
        </is>
      </c>
      <c r="BP33" s="145" t="n"/>
      <c r="BQ33" s="149" t="inlineStr">
        <is>
          <t>Automotive Industries; Industrial automation; Manufacturing</t>
        </is>
      </c>
      <c r="BR33" s="149" t="inlineStr">
        <is>
          <t>Prototype</t>
        </is>
      </c>
      <c r="BS33" s="149" t="inlineStr">
        <is>
          <t>Prototype</t>
        </is>
      </c>
      <c r="BT33" s="145" t="n"/>
      <c r="BU33" s="145" t="inlineStr">
        <is>
          <t>Not verified</t>
        </is>
      </c>
      <c r="BV33" s="149" t="n"/>
      <c r="BW33" s="149" t="inlineStr">
        <is>
          <t>Origin &amp; status — China · Prototype · 2026 | Manipulation — 5 per hand · 5 per hand fingers · Hand DOF 24 · Payload 33.1 lb | Sensing &amp; software — Yes — Galbot AstraBrain (vision-language-action embodied model) · Linux-based, ROS 2-compatible, OTA-updatable | Buying notes — From $95,000 · 12 months manufacturer standard (typical research/commercial humanoid) · Best fit: Automotive Industries</t>
        </is>
      </c>
      <c r="BX33" s="149" t="inlineStr">
        <is>
          <t>as_shipped|Galbot ET1|95000|As shipped</t>
        </is>
      </c>
      <c r="BY33" s="145" t="inlineStr">
        <is>
          <t>galbot_et1|Manufacturer finish|#e2e8f0|0</t>
        </is>
      </c>
      <c r="BZ33" s="145" t="inlineStr"/>
      <c r="CA33" s="149" t="n"/>
      <c r="CB33" s="149" t="inlineStr">
        <is>
          <t>12 months manufacturer standard (typical research/commercial humanoid)</t>
        </is>
      </c>
      <c r="CC33" s="147" t="n">
        <v>12</v>
      </c>
      <c r="CD33" s="149" t="inlineStr">
        <is>
          <t>+3 Year Extended ≈24% of configuration (default in configurator)</t>
        </is>
      </c>
      <c r="CE33" s="145" t="inlineStr">
        <is>
          <t>Humanoid category norm 2025–2026</t>
        </is>
      </c>
      <c r="CF33" s="145" t="inlineStr">
        <is>
          <t>Estimated</t>
        </is>
      </c>
      <c r="CG33" s="149" t="inlineStr">
        <is>
          <t>Confirm on formal OEM quote. EDU or enterprise packages may differ.</t>
        </is>
      </c>
      <c r="CH33" s="145" t="inlineStr">
        <is>
          <t>10%</t>
        </is>
      </c>
      <c r="CI33" s="145" t="inlineStr">
        <is>
          <t>17%</t>
        </is>
      </c>
      <c r="CJ33" s="145" t="inlineStr">
        <is>
          <t>24%</t>
        </is>
      </c>
      <c r="CK33" s="149" t="inlineStr">
        <is>
          <t>+1yr ≈10% | +2yr ≈17% | +3yr ≈24% of selected configuration price (parts &amp; labor beyond manufacturer standard).</t>
        </is>
      </c>
      <c r="CL33"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3" s="145" t="inlineStr">
        <is>
          <t>12 months manufacturer standard (typical research/commercial humanoid)</t>
        </is>
      </c>
      <c r="CQ33" s="101" t="inlineStr">
        <is>
          <t>Height: 5 ft 8 in | Weight: 143.3 | Degrees of Freedom: 48 | Payload: 33.1 | Max Speed: 12.43 | Battery / Runtime: ≈ 2 hours</t>
        </is>
      </c>
    </row>
    <row r="34" ht="31.5" customHeight="1" s="102">
      <c r="A34" s="152" t="inlineStr">
        <is>
          <t>beijing_galbot_ai_co_ltd_galbot_s1</t>
        </is>
      </c>
      <c r="B34" s="153" t="inlineStr">
        <is>
          <t>Humanoid.guide</t>
        </is>
      </c>
      <c r="C34" s="152" t="inlineStr">
        <is>
          <t>Beijing Galbot AI Co., Ltd.</t>
        </is>
      </c>
      <c r="D34" s="152" t="inlineStr">
        <is>
          <t>Galbot S1</t>
        </is>
      </c>
      <c r="E34" s="152" t="inlineStr">
        <is>
          <t>[Beijing Galbot AI Co., Ltd.] Galbot S1 (2026)</t>
        </is>
      </c>
      <c r="F34" s="146" t="inlineStr">
        <is>
          <t>humanoid</t>
        </is>
      </c>
      <c r="G34" s="152" t="inlineStr">
        <is>
          <t>China</t>
        </is>
      </c>
      <c r="H34" s="152" t="n"/>
      <c r="I34" s="155" t="n">
        <v>55000</v>
      </c>
      <c r="J34" s="152" t="inlineStr">
        <is>
          <t>Humanoid.guide list</t>
        </is>
      </c>
      <c r="K34" s="156" t="inlineStr">
        <is>
          <t>The Galbot S1 is a powerful industrial humanoid robot built for heavy duty work and real-world factory use.</t>
        </is>
      </c>
      <c r="L34" s="101" t="inlineStr">
        <is>
          <t>The Galbot S1 is a powerful industrial humanoid robot built for heavy duty work and real-world factory use.</t>
        </is>
      </c>
      <c r="M34" s="101" t="inlineStr">
        <is>
          <t>The Galbot S1 is a powerful industrial humanoid robot built for heavy duty work and real-world factory use. Public status is listed as in production, and it is positioned for industrial automation; Manufacturing.</t>
        </is>
      </c>
      <c r="N34" s="157" t="inlineStr">
        <is>
          <t>https://humanoid.guide/product/galbot-s1/</t>
        </is>
      </c>
      <c r="O34" s="157" t="inlineStr">
        <is>
          <t>https://www.galbot.com</t>
        </is>
      </c>
      <c r="P34" s="152" t="inlineStr">
        <is>
          <t>5 ft 10 in</t>
        </is>
      </c>
      <c r="Q34" s="152" t="n">
        <v>179</v>
      </c>
      <c r="R34" s="152" t="n">
        <v>705.5</v>
      </c>
      <c r="S34" s="152" t="n">
        <v>320</v>
      </c>
      <c r="T34" s="156" t="inlineStr">
        <is>
          <t>Not disclosed</t>
        </is>
      </c>
      <c r="U34" s="152" t="n"/>
      <c r="V34" s="152" t="inlineStr">
        <is>
          <t>Not disclosed</t>
        </is>
      </c>
      <c r="W34" s="156" t="inlineStr">
        <is>
          <t>6</t>
        </is>
      </c>
      <c r="X34" s="152" t="n">
        <v>66.09999999999999</v>
      </c>
      <c r="Y34" s="152" t="n">
        <v>30</v>
      </c>
      <c r="Z34" s="152" t="n">
        <v>3.36</v>
      </c>
      <c r="AA34" s="152" t="n">
        <v>5.4</v>
      </c>
      <c r="AB34" s="152" t="n">
        <v>4</v>
      </c>
      <c r="AC34" s="156" t="inlineStr">
        <is>
          <t>≈ 8 hours</t>
        </is>
      </c>
      <c r="AD34" s="156" t="inlineStr">
        <is>
          <t>8</t>
        </is>
      </c>
      <c r="AE34" s="152" t="n"/>
      <c r="AF34" s="152" t="inlineStr">
        <is>
          <t>Not disclosed</t>
        </is>
      </c>
      <c r="AG34" s="156" t="inlineStr">
        <is>
          <t>2-finger gripping claws</t>
        </is>
      </c>
      <c r="AH34" s="152" t="inlineStr">
        <is>
          <t>2-finger gripping claws</t>
        </is>
      </c>
      <c r="AI34" s="152" t="n"/>
      <c r="AJ34" s="156" t="inlineStr">
        <is>
          <t>Dual RGB Cameras x1 / 3D Radar x2</t>
        </is>
      </c>
      <c r="AK34" s="156" t="inlineStr">
        <is>
          <t>Dual RGB Cameras x1 / 3D Radar x2</t>
        </is>
      </c>
      <c r="AL34" s="152" t="inlineStr">
        <is>
          <t>Not disclosed</t>
        </is>
      </c>
      <c r="AM34" s="152" t="n"/>
      <c r="AN34" s="152" t="inlineStr">
        <is>
          <t>Not disclosed</t>
        </is>
      </c>
      <c r="AO34" s="152" t="inlineStr">
        <is>
          <t>Not disclosed</t>
        </is>
      </c>
      <c r="AP34" s="152" t="inlineStr">
        <is>
          <t>Not disclosed</t>
        </is>
      </c>
      <c r="AQ34" s="152" t="inlineStr">
        <is>
          <t>Not disclosed</t>
        </is>
      </c>
      <c r="AR34" s="152" t="n"/>
      <c r="AS34" s="152" t="n"/>
      <c r="AT34" s="156" t="inlineStr">
        <is>
          <t>NVIDIA AGX Orin 64GB 275TOPS</t>
        </is>
      </c>
      <c r="AU34" s="156" t="inlineStr">
        <is>
          <t>WiFi 2.4/5GHz, Bluetooth 5.2</t>
        </is>
      </c>
      <c r="AV34" s="152" t="inlineStr">
        <is>
          <t>Not disclosed</t>
        </is>
      </c>
      <c r="AW34" s="156" t="inlineStr">
        <is>
          <t>Not disclosed</t>
        </is>
      </c>
      <c r="AX34" s="152" t="n"/>
      <c r="AY34" s="156" t="inlineStr">
        <is>
          <t>Not disclosed</t>
        </is>
      </c>
      <c r="AZ34" s="156" t="inlineStr">
        <is>
          <t>Not disclosed</t>
        </is>
      </c>
      <c r="BA34" s="156" t="n"/>
      <c r="BB34" s="156" t="inlineStr">
        <is>
          <t>Compliant motors with software torque limits</t>
        </is>
      </c>
      <c r="BC34" s="156" t="inlineStr">
        <is>
          <t>Not disclosed</t>
        </is>
      </c>
      <c r="BD34" s="152" t="inlineStr">
        <is>
          <t>Industrial-grade materials</t>
        </is>
      </c>
      <c r="BE34" s="152" t="inlineStr">
        <is>
          <t>Not disclosed</t>
        </is>
      </c>
      <c r="BF34" s="152" t="n"/>
      <c r="BG34" s="152" t="n"/>
      <c r="BH34" s="152" t="n"/>
      <c r="BI34" s="152" t="n"/>
      <c r="BJ34" s="152" t="n"/>
      <c r="BK34" s="152" t="n"/>
      <c r="BL34" s="152" t="n"/>
      <c r="BM34" s="152" t="inlineStr">
        <is>
          <t>Yes</t>
        </is>
      </c>
      <c r="BN34" s="152" t="inlineStr">
        <is>
          <t>Not disclosed</t>
        </is>
      </c>
      <c r="BO34" s="156" t="inlineStr">
        <is>
          <t>Market: Industrial automation; Manufacturing · Human-safe: Yes · Actuation: Compliant motors with software torque limits · Peak 5.4 km/h · Walk 4 km/h · Runtime 8</t>
        </is>
      </c>
      <c r="BP34" s="152" t="n"/>
      <c r="BQ34" s="156" t="inlineStr">
        <is>
          <t>Industrial automation; Manufacturing</t>
        </is>
      </c>
      <c r="BR34" s="156" t="inlineStr">
        <is>
          <t>In production</t>
        </is>
      </c>
      <c r="BS34" s="156" t="inlineStr">
        <is>
          <t>In production</t>
        </is>
      </c>
      <c r="BT34" s="152" t="n"/>
      <c r="BU34" s="152" t="inlineStr">
        <is>
          <t>Not verified</t>
        </is>
      </c>
      <c r="BV34" s="156" t="n"/>
      <c r="BW34" s="156" t="inlineStr">
        <is>
          <t>Origin &amp; status — China · In production · 2026 | Manipulation — 2-finger gripping claws · Hand DOF 6 · Payload 66.1 lb | Sensing &amp; software — Dual RGB Cameras x1 / 3D Radar x2 | Buying notes — From $55,000 · 12 months manufacturer standard (typical research/commercial humanoid) · Best fit: Industrial automation</t>
        </is>
      </c>
      <c r="BX34" s="156" t="inlineStr">
        <is>
          <t>as_shipped|Galbot S1|55000|As shipped</t>
        </is>
      </c>
      <c r="BY34" s="152" t="inlineStr">
        <is>
          <t>galbot_s1|Manufacturer finish|#e2e8f0|0</t>
        </is>
      </c>
      <c r="BZ34" s="152" t="inlineStr"/>
      <c r="CA34" s="156" t="n"/>
      <c r="CB34" s="156" t="inlineStr">
        <is>
          <t>12 months manufacturer standard (typical research/commercial humanoid)</t>
        </is>
      </c>
      <c r="CC34" s="154" t="n">
        <v>12</v>
      </c>
      <c r="CD34" s="156" t="inlineStr">
        <is>
          <t>+3 Year Extended ≈24% of configuration (default in configurator)</t>
        </is>
      </c>
      <c r="CE34" s="152" t="inlineStr">
        <is>
          <t>Humanoid category norm 2025–2026</t>
        </is>
      </c>
      <c r="CF34" s="152" t="inlineStr">
        <is>
          <t>Estimated</t>
        </is>
      </c>
      <c r="CG34" s="156" t="inlineStr">
        <is>
          <t>Confirm on formal OEM quote. EDU or enterprise packages may differ.</t>
        </is>
      </c>
      <c r="CH34" s="152" t="inlineStr">
        <is>
          <t>10%</t>
        </is>
      </c>
      <c r="CI34" s="152" t="inlineStr">
        <is>
          <t>17%</t>
        </is>
      </c>
      <c r="CJ34" s="152" t="inlineStr">
        <is>
          <t>24%</t>
        </is>
      </c>
      <c r="CK34" s="156" t="inlineStr">
        <is>
          <t>+1yr ≈10% | +2yr ≈17% | +3yr ≈24% of selected configuration price (parts &amp; labor beyond manufacturer standard).</t>
        </is>
      </c>
      <c r="CL34"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4" s="152" t="inlineStr">
        <is>
          <t>12 months manufacturer standard (typical research/commercial humanoid)</t>
        </is>
      </c>
      <c r="CQ34" s="101" t="inlineStr">
        <is>
          <t>Height: 5 ft 10 in | Weight: 705.5 | Degrees of Freedom: Not disclosed | Payload: 66.1 | Max Speed: 3.36 | Battery / Runtime: ≈ 8 hours</t>
        </is>
      </c>
    </row>
    <row r="35" ht="31.5" customHeight="1" s="102">
      <c r="A35" s="145" t="inlineStr">
        <is>
          <t>booster_robotics_booster_t1</t>
        </is>
      </c>
      <c r="B35" s="153" t="inlineStr">
        <is>
          <t>Humanoid.guide</t>
        </is>
      </c>
      <c r="C35" s="145" t="inlineStr">
        <is>
          <t>Booster Robotics</t>
        </is>
      </c>
      <c r="D35" s="145" t="inlineStr">
        <is>
          <t>Booster T1</t>
        </is>
      </c>
      <c r="E35" s="145" t="inlineStr">
        <is>
          <t>[Booster Robotics] Booster T1 (2026)</t>
        </is>
      </c>
      <c r="F35" s="146" t="inlineStr">
        <is>
          <t>humanoid</t>
        </is>
      </c>
      <c r="G35" s="145" t="inlineStr">
        <is>
          <t>China</t>
        </is>
      </c>
      <c r="H35" s="145" t="n"/>
      <c r="I35" s="148" t="n">
        <v>22000</v>
      </c>
      <c r="J35" s="145" t="inlineStr">
        <is>
          <t>Robot Price Index Aug 2026 · entry</t>
        </is>
      </c>
      <c r="K35" s="149" t="inlineStr">
        <is>
          <t>The Booster T1 is a versatile, open-source humanoid robot developed by Booster Robotics, aimed at developers and researchers.</t>
        </is>
      </c>
      <c r="L35" s="101" t="inlineStr">
        <is>
          <t>The Booster T1 is a versatile, open-source humanoid robot developed by Booster Robotics, aimed at developers and researchers.</t>
        </is>
      </c>
      <c r="M35" s="101" t="inlineStr">
        <is>
          <t>The Booster T1 is a versatile, open-source humanoid robot developed by Booster Robotics, aimed at developers and researchers. Public status is listed as prototype.</t>
        </is>
      </c>
      <c r="N35" s="150" t="inlineStr">
        <is>
          <t>https://humanoid.guide/product/booster-t1/</t>
        </is>
      </c>
      <c r="O35" s="150" t="inlineStr">
        <is>
          <t>https://www.boosterobotics.com</t>
        </is>
      </c>
      <c r="P35" s="145" t="inlineStr">
        <is>
          <t>3 ft 10 in</t>
        </is>
      </c>
      <c r="Q35" s="145" t="n">
        <v>118</v>
      </c>
      <c r="R35" s="145" t="n">
        <v>66.09999999999999</v>
      </c>
      <c r="S35" s="145" t="n">
        <v>30</v>
      </c>
      <c r="T35" s="149" t="inlineStr">
        <is>
          <t>Not disclosed</t>
        </is>
      </c>
      <c r="U35" s="145" t="n"/>
      <c r="V35" s="145" t="inlineStr">
        <is>
          <t>23</t>
        </is>
      </c>
      <c r="W35" s="149" t="inlineStr">
        <is>
          <t>Not disclosed</t>
        </is>
      </c>
      <c r="X35" s="145" t="n">
        <v>11</v>
      </c>
      <c r="Y35" s="145" t="n">
        <v>5</v>
      </c>
      <c r="Z35" s="145" t="n">
        <v>2.17</v>
      </c>
      <c r="AA35" s="145" t="n">
        <v>3.5</v>
      </c>
      <c r="AB35" s="145" t="n">
        <v>3.5</v>
      </c>
      <c r="AC35" s="149" t="inlineStr">
        <is>
          <t>≈ 1.5 hours</t>
        </is>
      </c>
      <c r="AD35" s="149" t="inlineStr">
        <is>
          <t>1.5</t>
        </is>
      </c>
      <c r="AE35" s="145" t="n"/>
      <c r="AF35" s="145" t="inlineStr">
        <is>
          <t>Not disclosed</t>
        </is>
      </c>
      <c r="AG35" s="149" t="inlineStr">
        <is>
          <t>Not disclosed</t>
        </is>
      </c>
      <c r="AH35" s="145" t="inlineStr">
        <is>
          <t>Not disclosed</t>
        </is>
      </c>
      <c r="AI35" s="158" t="n">
        <v>2</v>
      </c>
      <c r="AJ35" s="149" t="inlineStr">
        <is>
          <t>Not disclosed</t>
        </is>
      </c>
      <c r="AK35" s="149" t="n"/>
      <c r="AL35" s="145" t="inlineStr">
        <is>
          <t>Not disclosed</t>
        </is>
      </c>
      <c r="AM35" s="145" t="n"/>
      <c r="AN35" s="145" t="inlineStr">
        <is>
          <t>Not disclosed</t>
        </is>
      </c>
      <c r="AO35" s="145" t="inlineStr">
        <is>
          <t>Not disclosed</t>
        </is>
      </c>
      <c r="AP35" s="145" t="inlineStr">
        <is>
          <t>Not disclosed</t>
        </is>
      </c>
      <c r="AQ35" s="145" t="inlineStr">
        <is>
          <t>Not disclosed</t>
        </is>
      </c>
      <c r="AR35" s="145" t="n"/>
      <c r="AS35" s="145" t="n"/>
      <c r="AT35" s="149" t="inlineStr">
        <is>
          <t>Not disclosed</t>
        </is>
      </c>
      <c r="AU35" s="149" t="inlineStr">
        <is>
          <t>Not disclosed</t>
        </is>
      </c>
      <c r="AV35" s="145" t="inlineStr">
        <is>
          <t>Not disclosed</t>
        </is>
      </c>
      <c r="AW35" s="149" t="inlineStr">
        <is>
          <t>Not disclosed</t>
        </is>
      </c>
      <c r="AX35" s="158" t="n">
        <v>2</v>
      </c>
      <c r="AY35" s="149" t="inlineStr">
        <is>
          <t>Not disclosed</t>
        </is>
      </c>
      <c r="AZ35" s="149" t="inlineStr">
        <is>
          <t>Not disclosed</t>
        </is>
      </c>
      <c r="BA35" s="149" t="n"/>
      <c r="BB35" s="149" t="inlineStr">
        <is>
          <t>Not disclosed</t>
        </is>
      </c>
      <c r="BC35" s="149" t="inlineStr">
        <is>
          <t>Not disclosed</t>
        </is>
      </c>
      <c r="BD35" s="145" t="inlineStr">
        <is>
          <t>Not disclosed</t>
        </is>
      </c>
      <c r="BE35" s="145" t="inlineStr">
        <is>
          <t>Not disclosed</t>
        </is>
      </c>
      <c r="BF35" s="145" t="n"/>
      <c r="BG35" s="145" t="n"/>
      <c r="BH35" s="145" t="n"/>
      <c r="BI35" s="145" t="n"/>
      <c r="BJ35" s="145" t="n"/>
      <c r="BK35" s="145" t="n"/>
      <c r="BL35" s="145" t="n"/>
      <c r="BM35" s="145" t="inlineStr">
        <is>
          <t>Not disclosed</t>
        </is>
      </c>
      <c r="BN35" s="145" t="inlineStr">
        <is>
          <t>Not disclosed</t>
        </is>
      </c>
      <c r="BO35" s="149" t="inlineStr">
        <is>
          <t>Manipulation 2/4 · Navigation 2/4 · Peak 3.5 km/h · Walk 3.5 km/h · Runtime 1.5</t>
        </is>
      </c>
      <c r="BP35" s="145" t="n"/>
      <c r="BQ35" s="149" t="inlineStr">
        <is>
          <t>Research labs, commercial pilots, and education programs evaluating a humanoid from Booster Robotics (China) now listed as prototype.</t>
        </is>
      </c>
      <c r="BR35" s="149" t="inlineStr">
        <is>
          <t>Prototype</t>
        </is>
      </c>
      <c r="BS35" s="149" t="inlineStr">
        <is>
          <t>Prototype</t>
        </is>
      </c>
      <c r="BT35" s="145" t="n"/>
      <c r="BU35" s="145" t="inlineStr">
        <is>
          <t>Not verified</t>
        </is>
      </c>
      <c r="BV35" s="149" t="n"/>
      <c r="BW35" s="149" t="inlineStr">
        <is>
          <t>Origin &amp; status — China · Prototype · 2026 | Manipulation — Payload 11 lb | Sensing &amp; software — Sensor and compute package confirmed on formal quote | Buying notes — From $22,000 · 12 months manufacturer standard (typical research/commercial humanoid)</t>
        </is>
      </c>
      <c r="BX35" s="149" t="inlineStr">
        <is>
          <t>as_shipped|Booster T1|22000|As shipped</t>
        </is>
      </c>
      <c r="BY35" s="145" t="inlineStr">
        <is>
          <t>booster_t1|Manufacturer finish|#e2e8f0|0</t>
        </is>
      </c>
      <c r="BZ35" s="145" t="inlineStr"/>
      <c r="CA35" s="149" t="n"/>
      <c r="CB35" s="149" t="inlineStr">
        <is>
          <t>12 months manufacturer standard (typical research/commercial humanoid)</t>
        </is>
      </c>
      <c r="CC35" s="147" t="n">
        <v>12</v>
      </c>
      <c r="CD35" s="149" t="inlineStr">
        <is>
          <t>+3 Year Extended ≈24% of configuration (default in configurator)</t>
        </is>
      </c>
      <c r="CE35" s="145" t="inlineStr">
        <is>
          <t>Humanoid category norm 2025–2026</t>
        </is>
      </c>
      <c r="CF35" s="145" t="inlineStr">
        <is>
          <t>Estimated</t>
        </is>
      </c>
      <c r="CG35" s="149" t="inlineStr">
        <is>
          <t>Confirm on formal OEM quote. EDU or enterprise packages may differ.</t>
        </is>
      </c>
      <c r="CH35" s="145" t="inlineStr">
        <is>
          <t>10%</t>
        </is>
      </c>
      <c r="CI35" s="145" t="inlineStr">
        <is>
          <t>17%</t>
        </is>
      </c>
      <c r="CJ35" s="145" t="inlineStr">
        <is>
          <t>24%</t>
        </is>
      </c>
      <c r="CK35" s="149" t="inlineStr">
        <is>
          <t>+1yr ≈10% | +2yr ≈17% | +3yr ≈24% of selected configuration price (parts &amp; labor beyond manufacturer standard).</t>
        </is>
      </c>
      <c r="CL3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5" s="145" t="inlineStr">
        <is>
          <t>12 months manufacturer standard (typical research/commercial humanoid)</t>
        </is>
      </c>
      <c r="CQ35" s="101" t="inlineStr">
        <is>
          <t>Height: 3 ft 10 in | Weight: 66.1 | Degrees of Freedom: 23 | Payload: 11 | Max Speed: 2.17 | Battery / Runtime: ≈ 1.5 hours</t>
        </is>
      </c>
    </row>
    <row r="36" ht="31.5" customHeight="1" s="102">
      <c r="A36" s="159" t="inlineStr">
        <is>
          <t>booster_robotics_t1_t2</t>
        </is>
      </c>
      <c r="B36" s="144" t="inlineStr">
        <is>
          <t>Both</t>
        </is>
      </c>
      <c r="C36" s="152" t="inlineStr">
        <is>
          <t>Booster Robotics</t>
        </is>
      </c>
      <c r="D36" s="152" t="inlineStr">
        <is>
          <t>Booster T2</t>
        </is>
      </c>
      <c r="E36" s="152" t="inlineStr">
        <is>
          <t>[Booster] T2 (2024)</t>
        </is>
      </c>
      <c r="F36" s="146" t="inlineStr">
        <is>
          <t>humanoid</t>
        </is>
      </c>
      <c r="G36" s="152" t="inlineStr">
        <is>
          <t>China</t>
        </is>
      </c>
      <c r="H36" s="154" t="n">
        <v>2024</v>
      </c>
      <c r="I36" s="155" t="n">
        <v>35000</v>
      </c>
      <c r="J36" s="152" t="inlineStr">
        <is>
          <t>Estimate vs T1 published band</t>
        </is>
      </c>
      <c r="K36" s="156" t="inlineStr">
        <is>
          <t>Booster T2 is Booster Robotics’ flagship embodied-AI development platform, built for researchers and developers who need strong compute, agile motion, and configurable end effectors.</t>
        </is>
      </c>
      <c r="L36" s="101" t="inlineStr">
        <is>
          <t>Booster T2 is Booster Robotics’ flagship embodied-AI development platform, built for researchers and developers who need strong compute, agile motion, and configurable end effectors.</t>
        </is>
      </c>
      <c r="M36" s="101" t="inlineStr">
        <is>
          <t>Booster T2 is Booster Robotics’ flagship embodied-AI development platform, built for researchers and developers who need strong compute, agile motion, and configurable end effectors. Public status is listed as orderable, and it is positioned for research / Competition / Formation.</t>
        </is>
      </c>
      <c r="N36" s="157" t="inlineStr">
        <is>
          <t>https://humanoid.guide/product/booster-t2/</t>
        </is>
      </c>
      <c r="O36" s="157" t="inlineStr">
        <is>
          <t>https://www.boosterobotics.com</t>
        </is>
      </c>
      <c r="P36" s="152" t="inlineStr">
        <is>
          <t>3 ft 10 in</t>
        </is>
      </c>
      <c r="Q36" s="152" t="n">
        <v>140</v>
      </c>
      <c r="R36" s="152" t="n">
        <v>94.8</v>
      </c>
      <c r="S36" s="152" t="n">
        <v>43</v>
      </c>
      <c r="T36" s="156" t="inlineStr">
        <is>
          <t>Not disclosed</t>
        </is>
      </c>
      <c r="U36" s="152" t="n"/>
      <c r="V36" s="152" t="inlineStr">
        <is>
          <t>23–41</t>
        </is>
      </c>
      <c r="W36" s="156" t="inlineStr">
        <is>
          <t>12</t>
        </is>
      </c>
      <c r="X36" s="152" t="inlineStr">
        <is>
          <t>5 lb</t>
        </is>
      </c>
      <c r="Y36" s="152" t="n">
        <v>10</v>
      </c>
      <c r="Z36" s="152" t="n">
        <v>4.35</v>
      </c>
      <c r="AA36" s="152" t="n">
        <v>7</v>
      </c>
      <c r="AB36" s="152" t="n">
        <v>5</v>
      </c>
      <c r="AC36" s="156" t="inlineStr">
        <is>
          <t>≈ 2 hours</t>
        </is>
      </c>
      <c r="AD36" s="156" t="inlineStr">
        <is>
          <t>2</t>
        </is>
      </c>
      <c r="AE36" s="152" t="n"/>
      <c r="AF36" s="152" t="inlineStr">
        <is>
          <t>Not disclosed</t>
        </is>
      </c>
      <c r="AG36" s="156" t="inlineStr">
        <is>
          <t>5 per hand</t>
        </is>
      </c>
      <c r="AH36" s="152" t="inlineStr">
        <is>
          <t>5 per hand</t>
        </is>
      </c>
      <c r="AI36" s="152" t="n"/>
      <c r="AJ36" s="156" t="inlineStr">
        <is>
          <t>Education/research cameras</t>
        </is>
      </c>
      <c r="AK36" s="156" t="n"/>
      <c r="AL36" s="152" t="inlineStr">
        <is>
          <t>Not disclosed</t>
        </is>
      </c>
      <c r="AM36" s="152" t="n"/>
      <c r="AN36" s="152" t="inlineStr">
        <is>
          <t>Not disclosed</t>
        </is>
      </c>
      <c r="AO36" s="152" t="inlineStr">
        <is>
          <t>Not disclosed</t>
        </is>
      </c>
      <c r="AP36" s="152" t="inlineStr">
        <is>
          <t>Not disclosed</t>
        </is>
      </c>
      <c r="AQ36" s="152" t="inlineStr">
        <is>
          <t>Not disclosed</t>
        </is>
      </c>
      <c r="AR36" s="152" t="n"/>
      <c r="AS36" s="152" t="n"/>
      <c r="AT36" s="156" t="inlineStr">
        <is>
          <t>Thor T5000 compute platform</t>
        </is>
      </c>
      <c r="AU36" s="156" t="inlineStr">
        <is>
          <t>Bluetooth 5.2; Ethernet; Type-C; USB; Wi-Fi 6</t>
        </is>
      </c>
      <c r="AV36" s="152" t="inlineStr">
        <is>
          <t>Booster education and research tools</t>
        </is>
      </c>
      <c r="AW36" s="156" t="inlineStr">
        <is>
          <t>Not disclosed</t>
        </is>
      </c>
      <c r="AX36" s="152" t="n"/>
      <c r="AY36" s="156" t="inlineStr">
        <is>
          <t>Not disclosed</t>
        </is>
      </c>
      <c r="AZ36" s="156" t="inlineStr">
        <is>
          <t>Not disclosed</t>
        </is>
      </c>
      <c r="BA36" s="156" t="n"/>
      <c r="BB36" s="156" t="inlineStr">
        <is>
          <t>High-speed internal-rotor PMSM</t>
        </is>
      </c>
      <c r="BC36" s="156" t="inlineStr">
        <is>
          <t>Not disclosed</t>
        </is>
      </c>
      <c r="BD36" s="152" t="inlineStr">
        <is>
          <t>Not disclosed</t>
        </is>
      </c>
      <c r="BE36" s="152" t="inlineStr">
        <is>
          <t>Not disclosed</t>
        </is>
      </c>
      <c r="BF36" s="152" t="n"/>
      <c r="BG36" s="152" t="n"/>
      <c r="BH36" s="152" t="n"/>
      <c r="BI36" s="152" t="n"/>
      <c r="BJ36" s="152" t="n"/>
      <c r="BK36" s="152" t="n"/>
      <c r="BL36" s="152" t="n"/>
      <c r="BM36" s="152" t="inlineStr">
        <is>
          <t>Yes</t>
        </is>
      </c>
      <c r="BN36" s="152" t="inlineStr">
        <is>
          <t>Not disclosed</t>
        </is>
      </c>
      <c r="BO36" s="156" t="inlineStr">
        <is>
          <t>Market: Research / Competition / Formation · Human-safe: Yes · Actuation: High-speed internal-rotor PMSM · Peak 7 km/h · Walk 5 km/h · Runtime 2</t>
        </is>
      </c>
      <c r="BP36" s="152" t="n"/>
      <c r="BQ36" s="156" t="inlineStr">
        <is>
          <t>Research / Competition / Formation</t>
        </is>
      </c>
      <c r="BR36" s="156" t="inlineStr">
        <is>
          <t>Orderable</t>
        </is>
      </c>
      <c r="BS36" s="156" t="inlineStr">
        <is>
          <t>In production</t>
        </is>
      </c>
      <c r="BT36" s="152" t="n"/>
      <c r="BU36" s="152" t="n"/>
      <c r="BV36" s="156" t="inlineStr">
        <is>
          <t>Strong WHRG 2026 formations (~80 units); RoboCup pedigree Humanoid.guide listed price $45,000.</t>
        </is>
      </c>
      <c r="BW36" s="156" t="inlineStr">
        <is>
          <t>Origin &amp; status — China · Orderable · 2024 | Manipulation — 5 per hand · 5 per hand fingers · Hand DOF 12 · Payload 5 lb | Sensing &amp; software — Education/research cameras · Booster education and research tools | Buying notes — From $35,000 · 12 months manufacturer standard (typical research/commercial humanoid) · Best fit: Research</t>
        </is>
      </c>
      <c r="BX36" s="156" t="inlineStr">
        <is>
          <t>as_shipped|T2|35000|As shipped</t>
        </is>
      </c>
      <c r="BY36" s="152" t="inlineStr">
        <is>
          <t>t2|Manufacturer finish|#e2e8f0|0</t>
        </is>
      </c>
      <c r="BZ36" s="152" t="inlineStr"/>
      <c r="CA36" s="156" t="inlineStr">
        <is>
          <t>Add-ons: case; 2 color options; Multi-year extended warranty available</t>
        </is>
      </c>
      <c r="CB36" s="156" t="inlineStr">
        <is>
          <t>12 months manufacturer standard (typical research/commercial humanoid)</t>
        </is>
      </c>
      <c r="CC36" s="154" t="n">
        <v>12</v>
      </c>
      <c r="CD36" s="156" t="inlineStr">
        <is>
          <t>+3 Year Extended ≈24% of configuration (default in configurator)</t>
        </is>
      </c>
      <c r="CE36" s="152" t="inlineStr">
        <is>
          <t>Humanoid category norm 2025–2026</t>
        </is>
      </c>
      <c r="CF36" s="152" t="inlineStr">
        <is>
          <t>Estimated</t>
        </is>
      </c>
      <c r="CG36" s="156" t="inlineStr">
        <is>
          <t>EDU or enterprise packages may differ; confirm on formal quote.</t>
        </is>
      </c>
      <c r="CH36" s="152" t="inlineStr">
        <is>
          <t>10%</t>
        </is>
      </c>
      <c r="CI36" s="152" t="inlineStr">
        <is>
          <t>17%</t>
        </is>
      </c>
      <c r="CJ36" s="152" t="inlineStr">
        <is>
          <t>24%</t>
        </is>
      </c>
      <c r="CK36"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36"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6" s="152" t="inlineStr">
        <is>
          <t>12 months manufacturer standard (typical research/commercial humanoid)</t>
        </is>
      </c>
      <c r="CQ36" s="101" t="inlineStr">
        <is>
          <t>Height: 3 ft 10 in | Weight: 94.8 | Degrees of Freedom: 23–41 | Payload: 5 lb | Max Speed: 4.35 | Battery / Runtime: ≈ 2 hours</t>
        </is>
      </c>
    </row>
    <row r="37" ht="31.5" customHeight="1" s="102">
      <c r="A37" s="143" t="inlineStr">
        <is>
          <t>k1</t>
        </is>
      </c>
      <c r="B37" s="144" t="inlineStr">
        <is>
          <t>Both</t>
        </is>
      </c>
      <c r="C37" s="145" t="inlineStr">
        <is>
          <t>Booster Robotics</t>
        </is>
      </c>
      <c r="D37" s="145" t="inlineStr">
        <is>
          <t>K1</t>
        </is>
      </c>
      <c r="E37" s="145" t="inlineStr">
        <is>
          <t>[Booster] K1 (2025)</t>
        </is>
      </c>
      <c r="F37" s="146" t="inlineStr">
        <is>
          <t>humanoid</t>
        </is>
      </c>
      <c r="G37" s="145" t="inlineStr">
        <is>
          <t>China</t>
        </is>
      </c>
      <c r="H37" s="147" t="n">
        <v>2025</v>
      </c>
      <c r="I37" s="148" t="n">
        <v>5999</v>
      </c>
      <c r="J37" s="145" t="inlineStr">
        <is>
          <t>Robot Price Index Aug 2026</t>
        </is>
      </c>
      <c r="K37" s="149" t="inlineStr">
        <is>
          <t>K1 is Booster Robotics's humanoid — ≈ 3 ft 1 in class, ≈ 22 (excl. end-effectors) DOF, Light educational payload class (confirm configuration) lb payload.</t>
        </is>
      </c>
      <c r="L37" s="101" t="inlineStr">
        <is>
          <t>K1 is Booster Robotics's humanoid — ≈ 3 ft 1 in class, ≈ 22 (excl. end-effectors) DOF, Light educational payload class (confirm configuration) lb payload.</t>
        </is>
      </c>
      <c r="M37" s="101" t="inlineStr">
        <is>
          <t>K1 is Booster Robotics's humanoid — ≈ 3 ft 1 in class, ≈ 22 (excl. end-effectors) DOF, Light educational payload class (confirm configuration) lb payload. Public status is listed as in production, and it is positioned for education, research labs, competitive robotics.</t>
        </is>
      </c>
      <c r="N37" s="150" t="inlineStr">
        <is>
          <t>https://humanoid.guide/product/k1/</t>
        </is>
      </c>
      <c r="O37" s="150" t="inlineStr">
        <is>
          <t>https://www.boosterobotics.com</t>
        </is>
      </c>
      <c r="P37" s="145" t="inlineStr">
        <is>
          <t>≈ 3 ft 1 in</t>
        </is>
      </c>
      <c r="Q37" s="145" t="n">
        <v>95</v>
      </c>
      <c r="R37" s="145" t="n">
        <v>43</v>
      </c>
      <c r="S37" s="145" t="n">
        <v>19.5</v>
      </c>
      <c r="T37" s="149" t="inlineStr">
        <is>
          <t>Not disclosed</t>
        </is>
      </c>
      <c r="U37" s="145" t="n"/>
      <c r="V37" s="145" t="inlineStr">
        <is>
          <t>≈ 22 (excl. end-effectors)</t>
        </is>
      </c>
      <c r="W37" s="149" t="inlineStr">
        <is>
          <t>4 per arm</t>
        </is>
      </c>
      <c r="X37" s="145" t="n">
        <v>6.6</v>
      </c>
      <c r="Y37" s="145" t="n">
        <v>3</v>
      </c>
      <c r="Z37" s="145" t="n">
        <v>0.87</v>
      </c>
      <c r="AA37" s="145" t="n">
        <v>1.4</v>
      </c>
      <c r="AB37" s="145" t="n">
        <v>1.4</v>
      </c>
      <c r="AC37" s="149" t="inlineStr">
        <is>
          <t>30–80 min depending on pack</t>
        </is>
      </c>
      <c r="AD37" s="149" t="inlineStr">
        <is>
          <t>2</t>
        </is>
      </c>
      <c r="AE37" s="145" t="n"/>
      <c r="AF37" s="145" t="inlineStr">
        <is>
          <t>Not disclosed</t>
        </is>
      </c>
      <c r="AG37" s="149" t="inlineStr">
        <is>
          <t>No fingers</t>
        </is>
      </c>
      <c r="AH37" s="145" t="inlineStr">
        <is>
          <t>No fingers</t>
        </is>
      </c>
      <c r="AI37" s="145" t="n"/>
      <c r="AJ37" s="149" t="inlineStr">
        <is>
          <t>Head/body cameras for education and demo use</t>
        </is>
      </c>
      <c r="AK37" s="149" t="inlineStr">
        <is>
          <t>Stereo Depth Camera</t>
        </is>
      </c>
      <c r="AL37" s="145" t="inlineStr">
        <is>
          <t>Demo and classroom capture paths</t>
        </is>
      </c>
      <c r="AM37" s="145" t="n"/>
      <c r="AN37" s="145" t="inlineStr">
        <is>
          <t>Not disclosed</t>
        </is>
      </c>
      <c r="AO37" s="145" t="inlineStr">
        <is>
          <t>Microphone support on education tiers</t>
        </is>
      </c>
      <c r="AP37" s="145" t="inlineStr">
        <is>
          <t>Not disclosed</t>
        </is>
      </c>
      <c r="AQ37" s="145" t="inlineStr">
        <is>
          <t>Not disclosed</t>
        </is>
      </c>
      <c r="AR37" s="145" t="n"/>
      <c r="AS37" s="145" t="n"/>
      <c r="AT37" s="149" t="inlineStr">
        <is>
          <t>48(Dense)/117/200 TOPS</t>
        </is>
      </c>
      <c r="AU37" s="149" t="inlineStr">
        <is>
          <t>Bluetooth; Ethernet; Wi-Fi 6</t>
        </is>
      </c>
      <c r="AV37" s="145" t="inlineStr">
        <is>
          <t>Education SDK and app tiers (Seek / Education / Professional)</t>
        </is>
      </c>
      <c r="AW37" s="149" t="inlineStr">
        <is>
          <t>Compact bipedal walking for indoor spaces</t>
        </is>
      </c>
      <c r="AX37" s="145" t="n"/>
      <c r="AY37" s="149" t="inlineStr">
        <is>
          <t>Linux-based robotics framework (likely ROS/ROS2)</t>
        </is>
      </c>
      <c r="AZ37" s="149" t="inlineStr">
        <is>
          <t>Doubao LLM</t>
        </is>
      </c>
      <c r="BA37" s="149" t="inlineStr">
        <is>
          <t>Estimated &amp;lt;100 ms (edge compute, real-time control)</t>
        </is>
      </c>
      <c r="BB37" s="149" t="inlineStr">
        <is>
          <t>60N·m Dual Encoder</t>
        </is>
      </c>
      <c r="BC37" s="149" t="inlineStr">
        <is>
          <t>Not disclosed</t>
        </is>
      </c>
      <c r="BD37" s="145" t="inlineStr">
        <is>
          <t>Aluminum alloy and engineering plastics</t>
        </is>
      </c>
      <c r="BE37" s="145" t="inlineStr">
        <is>
          <t>Not disclosed</t>
        </is>
      </c>
      <c r="BF37" s="145" t="n"/>
      <c r="BG37" s="145" t="n"/>
      <c r="BH37" s="145" t="n"/>
      <c r="BI37" s="145" t="n"/>
      <c r="BJ37" s="145" t="n"/>
      <c r="BK37" s="145" t="n"/>
      <c r="BL37" s="145" t="n"/>
      <c r="BM37" s="145" t="inlineStr">
        <is>
          <t>Yes</t>
        </is>
      </c>
      <c r="BN37" s="145" t="inlineStr">
        <is>
          <t>Not disclosed</t>
        </is>
      </c>
      <c r="BO37" s="149" t="inlineStr">
        <is>
          <t>Market: Education, research labs, competitive robotics · Human-safe: Yes · AI: Doubao LLM · Actuation: 60N·m Dual Encoder · Peak 1.4 km/h · Walk 1.4 km/h · Runtime 2</t>
        </is>
      </c>
      <c r="BP37" s="145" t="n"/>
      <c r="BQ37" s="149" t="inlineStr">
        <is>
          <t>Education, research labs, competitive robotics</t>
        </is>
      </c>
      <c r="BR37" s="149" t="inlineStr">
        <is>
          <t>In production</t>
        </is>
      </c>
      <c r="BS37" s="149" t="inlineStr">
        <is>
          <t>In production</t>
        </is>
      </c>
      <c r="BT37" s="145" t="inlineStr">
        <is>
          <t>Black; Silver</t>
        </is>
      </c>
      <c r="BU37" s="145" t="inlineStr">
        <is>
          <t>Not verified</t>
        </is>
      </c>
      <c r="BV37" s="149" t="inlineStr">
        <is>
          <t>Humanoid.guide listed price $6,000.</t>
        </is>
      </c>
      <c r="BW37" s="149" t="inlineStr">
        <is>
          <t>Origin &amp; status — China · In production · 2025 | Manipulation — No fingers · Hand DOF 4 per arm · Payload Light educational payload class (confirm configuration) lb | Sensing &amp; software — Head/body cameras for education and demo use · Doubao LLM · Linux-based robotics framework (likely ROS/ROS2) · Education SDK and app tiers (Seek / Education… | Buying notes — From $5,999 · 12 months manufacturer standard (typical research/commercial humanoid) · Best fit: Education, research labs, competitive robotics</t>
        </is>
      </c>
      <c r="BX37" s="149" t="inlineStr">
        <is>
          <t>geek|K1 Geek|5999|Entry / maker tier || edu|K1 Education|12500|Classroom &amp; lab standard || pro|K1 Professional|16000|Research compute</t>
        </is>
      </c>
      <c r="BY37" s="145" t="inlineStr">
        <is>
          <t>white|Lab White|#f8fafc|0 || black|Demo Black|#1a1a1a|0</t>
        </is>
      </c>
      <c r="BZ37" s="145" t="inlineStr">
        <is>
          <t>battery_k1, case, compute, warranty_k1</t>
        </is>
      </c>
      <c r="CA37" s="149" t="inlineStr">
        <is>
          <t>3 configuration tiers; Add-ons: battery_k1, case, compute; 2 color options; Multi-year extended warranty available</t>
        </is>
      </c>
      <c r="CB37" s="149" t="inlineStr">
        <is>
          <t>12 months manufacturer standard (typical research/commercial humanoid)</t>
        </is>
      </c>
      <c r="CC37" s="147" t="n">
        <v>12</v>
      </c>
      <c r="CD37" s="149" t="inlineStr">
        <is>
          <t>+3 Year Extended ≈24% of configuration (default in configurator)</t>
        </is>
      </c>
      <c r="CE37" s="145" t="inlineStr">
        <is>
          <t>Humanoid category norm 2025–2026</t>
        </is>
      </c>
      <c r="CF37" s="145" t="inlineStr">
        <is>
          <t>Estimated</t>
        </is>
      </c>
      <c r="CG37" s="149" t="inlineStr">
        <is>
          <t>EDU or enterprise packages may differ; confirm on formal quote.</t>
        </is>
      </c>
      <c r="CH37" s="145" t="inlineStr">
        <is>
          <t>10%</t>
        </is>
      </c>
      <c r="CI37" s="145" t="inlineStr">
        <is>
          <t>17%</t>
        </is>
      </c>
      <c r="CJ37" s="145" t="inlineStr">
        <is>
          <t>24%</t>
        </is>
      </c>
      <c r="CK37"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37"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7" s="145" t="inlineStr">
        <is>
          <t>12 months manufacturer standard (typical research/commercial humanoid)</t>
        </is>
      </c>
      <c r="CQ37" s="101" t="inlineStr">
        <is>
          <t>Height: ≈ 3 ft 1 in | Weight: 43 | Degrees of Freedom: ≈ 22 (excl. end-effectors) | Payload: 6.6 | Max Speed: 0.87 | Battery / Runtime: 30–80 min depending on pack</t>
        </is>
      </c>
    </row>
    <row r="38" ht="31.5" customHeight="1" s="102">
      <c r="A38" s="152" t="inlineStr">
        <is>
          <t>borg_robotics_borg_01</t>
        </is>
      </c>
      <c r="B38" s="153" t="inlineStr">
        <is>
          <t>Humanoid.guide</t>
        </is>
      </c>
      <c r="C38" s="152" t="inlineStr">
        <is>
          <t>Borg Robotics</t>
        </is>
      </c>
      <c r="D38" s="152" t="inlineStr">
        <is>
          <t>Borg 01</t>
        </is>
      </c>
      <c r="E38" s="152" t="inlineStr">
        <is>
          <t>[Borg Robotics] Borg 01 (2026)</t>
        </is>
      </c>
      <c r="F38" s="146" t="inlineStr">
        <is>
          <t>humanoid</t>
        </is>
      </c>
      <c r="G38" s="152" t="inlineStr">
        <is>
          <t>USA</t>
        </is>
      </c>
      <c r="H38" s="152" t="n"/>
      <c r="I38" s="155" t="n">
        <v>100000</v>
      </c>
      <c r="J38" s="152" t="inlineStr">
        <is>
          <t>Humanoid.guide list</t>
        </is>
      </c>
      <c r="K38" s="156" t="inlineStr">
        <is>
          <t>Borg 01 is a Detroit-built, modular humanoid robot designed to address the challenges of repetitive and labor-intensive tasks in manufacturing and warehouses.</t>
        </is>
      </c>
      <c r="L38" s="101" t="inlineStr">
        <is>
          <t>Borg 01 is a Detroit-built, modular humanoid robot designed to address the challenges of repetitive and labor-intensive tasks in manufacturing and warehouses.</t>
        </is>
      </c>
      <c r="M38" s="101" t="inlineStr">
        <is>
          <t>Borg 01 is a Detroit-built, modular humanoid robot designed to address the challenges of repetitive and labor-intensive tasks in manufacturing and warehouses. Public status is listed as prototype.</t>
        </is>
      </c>
      <c r="N38" s="157" t="inlineStr">
        <is>
          <t>https://humanoid.guide/product/borg-01/</t>
        </is>
      </c>
      <c r="O38" s="157" t="inlineStr">
        <is>
          <t>https://www.borgrobotic.com/</t>
        </is>
      </c>
      <c r="P38" s="152" t="inlineStr">
        <is>
          <t>5 ft 8 in</t>
        </is>
      </c>
      <c r="Q38" s="152" t="n">
        <v>173</v>
      </c>
      <c r="R38" s="152" t="n">
        <v>136.7</v>
      </c>
      <c r="S38" s="152" t="n">
        <v>62</v>
      </c>
      <c r="T38" s="156" t="inlineStr">
        <is>
          <t>Not disclosed</t>
        </is>
      </c>
      <c r="U38" s="152" t="n"/>
      <c r="V38" s="152" t="inlineStr">
        <is>
          <t>23</t>
        </is>
      </c>
      <c r="W38" s="156" t="inlineStr">
        <is>
          <t>Not disclosed</t>
        </is>
      </c>
      <c r="X38" s="152" t="n">
        <v>26.5</v>
      </c>
      <c r="Y38" s="152" t="n">
        <v>12</v>
      </c>
      <c r="Z38" s="152" t="n">
        <v>1.86</v>
      </c>
      <c r="AA38" s="152" t="n">
        <v>3</v>
      </c>
      <c r="AB38" s="152" t="n"/>
      <c r="AC38" s="156" t="inlineStr">
        <is>
          <t>≈ 6 hours</t>
        </is>
      </c>
      <c r="AD38" s="156" t="inlineStr">
        <is>
          <t>6</t>
        </is>
      </c>
      <c r="AE38" s="152" t="n"/>
      <c r="AF38" s="152" t="inlineStr">
        <is>
          <t>Not disclosed</t>
        </is>
      </c>
      <c r="AG38" s="156" t="inlineStr">
        <is>
          <t>Not disclosed</t>
        </is>
      </c>
      <c r="AH38" s="152" t="inlineStr">
        <is>
          <t>Not disclosed</t>
        </is>
      </c>
      <c r="AI38" s="158" t="n">
        <v>2</v>
      </c>
      <c r="AJ38" s="156" t="inlineStr">
        <is>
          <t>Not disclosed</t>
        </is>
      </c>
      <c r="AK38" s="156" t="n"/>
      <c r="AL38" s="152" t="inlineStr">
        <is>
          <t>Not disclosed</t>
        </is>
      </c>
      <c r="AM38" s="152" t="n"/>
      <c r="AN38" s="152" t="inlineStr">
        <is>
          <t>Not disclosed</t>
        </is>
      </c>
      <c r="AO38" s="152" t="inlineStr">
        <is>
          <t>Not disclosed</t>
        </is>
      </c>
      <c r="AP38" s="152" t="inlineStr">
        <is>
          <t>Not disclosed</t>
        </is>
      </c>
      <c r="AQ38" s="152" t="inlineStr">
        <is>
          <t>Not disclosed</t>
        </is>
      </c>
      <c r="AR38" s="152" t="n"/>
      <c r="AS38" s="152" t="n"/>
      <c r="AT38" s="156" t="inlineStr">
        <is>
          <t>Not disclosed</t>
        </is>
      </c>
      <c r="AU38" s="156" t="inlineStr">
        <is>
          <t>Not disclosed</t>
        </is>
      </c>
      <c r="AV38" s="152" t="inlineStr">
        <is>
          <t>Not disclosed</t>
        </is>
      </c>
      <c r="AW38" s="156" t="inlineStr">
        <is>
          <t>Not disclosed</t>
        </is>
      </c>
      <c r="AX38" s="158" t="n">
        <v>2</v>
      </c>
      <c r="AY38" s="156" t="inlineStr">
        <is>
          <t>Not disclosed</t>
        </is>
      </c>
      <c r="AZ38" s="156" t="inlineStr">
        <is>
          <t>Not disclosed</t>
        </is>
      </c>
      <c r="BA38" s="156" t="n"/>
      <c r="BB38" s="156" t="inlineStr">
        <is>
          <t>Not disclosed</t>
        </is>
      </c>
      <c r="BC38" s="156" t="inlineStr">
        <is>
          <t>Not disclosed</t>
        </is>
      </c>
      <c r="BD38" s="152" t="inlineStr">
        <is>
          <t>Not disclosed</t>
        </is>
      </c>
      <c r="BE38" s="152" t="inlineStr">
        <is>
          <t>Not disclosed</t>
        </is>
      </c>
      <c r="BF38" s="152" t="n"/>
      <c r="BG38" s="152" t="n"/>
      <c r="BH38" s="152" t="n"/>
      <c r="BI38" s="152" t="n"/>
      <c r="BJ38" s="152" t="n"/>
      <c r="BK38" s="152" t="n"/>
      <c r="BL38" s="152" t="n"/>
      <c r="BM38" s="152" t="inlineStr">
        <is>
          <t>Not disclosed</t>
        </is>
      </c>
      <c r="BN38" s="152" t="inlineStr">
        <is>
          <t>Not disclosed</t>
        </is>
      </c>
      <c r="BO38" s="156" t="inlineStr">
        <is>
          <t>Manipulation 2/4 · Navigation 2/4 · Peak 3 km/h · Runtime 6</t>
        </is>
      </c>
      <c r="BP38" s="152" t="n"/>
      <c r="BQ38" s="156" t="inlineStr">
        <is>
          <t>Research labs, commercial pilots, and education programs evaluating a humanoid from Borg Robotics (USA) now listed as prototype.</t>
        </is>
      </c>
      <c r="BR38" s="156" t="inlineStr">
        <is>
          <t>Prototype</t>
        </is>
      </c>
      <c r="BS38" s="156" t="inlineStr">
        <is>
          <t>Prototype</t>
        </is>
      </c>
      <c r="BT38" s="152" t="n"/>
      <c r="BU38" s="152" t="inlineStr">
        <is>
          <t>Not verified</t>
        </is>
      </c>
      <c r="BV38" s="156" t="n"/>
      <c r="BW38" s="156" t="inlineStr">
        <is>
          <t>Origin &amp; status — USA · Prototype · 2026 | Manipulation — Payload 26.5 lb | Sensing &amp; software — Sensor and compute package confirmed on formal quote | Buying notes — From $100,000 · 12 months manufacturer standard (typical research/commercial humanoid)</t>
        </is>
      </c>
      <c r="BX38" s="156" t="inlineStr">
        <is>
          <t>as_shipped|Borg 01|100000|As shipped</t>
        </is>
      </c>
      <c r="BY38" s="152" t="inlineStr">
        <is>
          <t>borg_01|Manufacturer finish|#e2e8f0|0</t>
        </is>
      </c>
      <c r="BZ38" s="152" t="inlineStr"/>
      <c r="CA38" s="156" t="n"/>
      <c r="CB38" s="156" t="inlineStr">
        <is>
          <t>12 months manufacturer standard (typical research/commercial humanoid)</t>
        </is>
      </c>
      <c r="CC38" s="154" t="n">
        <v>12</v>
      </c>
      <c r="CD38" s="156" t="inlineStr">
        <is>
          <t>+3 Year Extended ≈24% of configuration (default in configurator)</t>
        </is>
      </c>
      <c r="CE38" s="152" t="inlineStr">
        <is>
          <t>Humanoid category norm 2025–2026</t>
        </is>
      </c>
      <c r="CF38" s="152" t="inlineStr">
        <is>
          <t>Estimated</t>
        </is>
      </c>
      <c r="CG38" s="156" t="inlineStr">
        <is>
          <t>Confirm on formal OEM quote. EDU or enterprise packages may differ.</t>
        </is>
      </c>
      <c r="CH38" s="152" t="inlineStr">
        <is>
          <t>10%</t>
        </is>
      </c>
      <c r="CI38" s="152" t="inlineStr">
        <is>
          <t>17%</t>
        </is>
      </c>
      <c r="CJ38" s="152" t="inlineStr">
        <is>
          <t>24%</t>
        </is>
      </c>
      <c r="CK38" s="156" t="inlineStr">
        <is>
          <t>+1yr ≈10% | +2yr ≈17% | +3yr ≈24% of selected configuration price (parts &amp; labor beyond manufacturer standard).</t>
        </is>
      </c>
      <c r="CL38"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8" s="152" t="inlineStr">
        <is>
          <t>12 months manufacturer standard (typical research/commercial humanoid)</t>
        </is>
      </c>
      <c r="CQ38" s="101" t="inlineStr">
        <is>
          <t>Height: 5 ft 8 in | Weight: 136.7 | Degrees of Freedom: 23 | Payload: 26.5 | Max Speed: 1.86 | Battery / Runtime: ≈ 6 hours</t>
        </is>
      </c>
    </row>
    <row r="39" ht="31.5" customHeight="1" s="102">
      <c r="A39" s="145" t="inlineStr">
        <is>
          <t>boshiac_harbin_china_dexbot</t>
        </is>
      </c>
      <c r="B39" s="153" t="inlineStr">
        <is>
          <t>Humanoid.guide</t>
        </is>
      </c>
      <c r="C39" s="145" t="inlineStr">
        <is>
          <t>BOSHIAC (Harbin, China)</t>
        </is>
      </c>
      <c r="D39" s="145" t="inlineStr">
        <is>
          <t>DexBot</t>
        </is>
      </c>
      <c r="E39" s="145" t="inlineStr">
        <is>
          <t>[BOSHIAC] DexBot (2026)</t>
        </is>
      </c>
      <c r="F39" s="146" t="inlineStr">
        <is>
          <t>humanoid</t>
        </is>
      </c>
      <c r="G39" s="145" t="inlineStr">
        <is>
          <t>China</t>
        </is>
      </c>
      <c r="H39" s="145" t="n"/>
      <c r="I39" s="148" t="n">
        <v>120000</v>
      </c>
      <c r="J39" s="145" t="inlineStr">
        <is>
          <t>Humanoid.guide list</t>
        </is>
      </c>
      <c r="K39" s="149" t="inlineStr">
        <is>
          <t>DexBot is a hybrid humanoid robotics platform developed by BOSHIAC and Harbin Institute of Technology.</t>
        </is>
      </c>
      <c r="L39" s="101" t="inlineStr">
        <is>
          <t>DexBot is a hybrid humanoid robotics platform developed by BOSHIAC and Harbin Institute of Technology.</t>
        </is>
      </c>
      <c r="M39" s="101" t="inlineStr">
        <is>
          <t>DexBot is a hybrid humanoid robotics platform developed by BOSHIAC and Harbin Institute of Technology. Public status is listed as prototype, and it is positioned for industrial automation; Industrial logistics; Manufacturing.</t>
        </is>
      </c>
      <c r="N39" s="150" t="inlineStr">
        <is>
          <t>https://humanoid.guide/product/dexbot/</t>
        </is>
      </c>
      <c r="O39" s="150" t="inlineStr">
        <is>
          <t>https://en.boshi.cn/</t>
        </is>
      </c>
      <c r="P39" s="145" t="inlineStr">
        <is>
          <t>5 ft 3 in</t>
        </is>
      </c>
      <c r="Q39" s="145" t="n">
        <v>160</v>
      </c>
      <c r="R39" s="145" t="n">
        <v>176.4</v>
      </c>
      <c r="S39" s="145" t="n">
        <v>80</v>
      </c>
      <c r="T39" s="149" t="inlineStr">
        <is>
          <t>Not disclosed</t>
        </is>
      </c>
      <c r="U39" s="145" t="n"/>
      <c r="V39" s="145" t="inlineStr">
        <is>
          <t>Assumed ~30–50</t>
        </is>
      </c>
      <c r="W39" s="149" t="inlineStr">
        <is>
          <t>Assumed 15–20 DoF</t>
        </is>
      </c>
      <c r="X39" s="145" t="n">
        <v>33.1</v>
      </c>
      <c r="Y39" s="145" t="n">
        <v>15</v>
      </c>
      <c r="Z39" s="145" t="n">
        <v>1.86</v>
      </c>
      <c r="AA39" s="145" t="n">
        <v>3</v>
      </c>
      <c r="AB39" s="145" t="n">
        <v>3</v>
      </c>
      <c r="AC39" s="149" t="inlineStr">
        <is>
          <t>≈ 3 hours</t>
        </is>
      </c>
      <c r="AD39" s="149" t="inlineStr">
        <is>
          <t>3</t>
        </is>
      </c>
      <c r="AE39" s="145" t="n"/>
      <c r="AF39" s="145" t="inlineStr">
        <is>
          <t>Not disclosed</t>
        </is>
      </c>
      <c r="AG39" s="149" t="inlineStr">
        <is>
          <t>5 per hand</t>
        </is>
      </c>
      <c r="AH39" s="145" t="inlineStr">
        <is>
          <t>5 per hand</t>
        </is>
      </c>
      <c r="AI39" s="145" t="n"/>
      <c r="AJ39" s="149" t="inlineStr">
        <is>
          <t>RGB + depth, ~1080p</t>
        </is>
      </c>
      <c r="AK39" s="149" t="inlineStr">
        <is>
          <t>RGB + depth, ~1080p</t>
        </is>
      </c>
      <c r="AL39" s="145" t="inlineStr">
        <is>
          <t>Not disclosed</t>
        </is>
      </c>
      <c r="AM39" s="145" t="n"/>
      <c r="AN39" s="145" t="inlineStr">
        <is>
          <t>Not disclosed</t>
        </is>
      </c>
      <c r="AO39" s="145" t="inlineStr">
        <is>
          <t>Not disclosed</t>
        </is>
      </c>
      <c r="AP39" s="145" t="inlineStr">
        <is>
          <t>Not disclosed</t>
        </is>
      </c>
      <c r="AQ39" s="145" t="inlineStr">
        <is>
          <t>Not disclosed</t>
        </is>
      </c>
      <c r="AR39" s="145" t="n"/>
      <c r="AS39" s="145" t="n"/>
      <c r="AT39" s="149" t="inlineStr">
        <is>
          <t>Assumed onboard compute + optional edge AI</t>
        </is>
      </c>
      <c r="AU39" s="149" t="inlineStr">
        <is>
          <t>Ethernet; Wi‑Fi</t>
        </is>
      </c>
      <c r="AV39" s="145" t="inlineStr">
        <is>
          <t>Not disclosed</t>
        </is>
      </c>
      <c r="AW39" s="149" t="inlineStr">
        <is>
          <t>Not disclosed</t>
        </is>
      </c>
      <c r="AX39" s="145" t="n"/>
      <c r="AY39" s="149" t="inlineStr">
        <is>
          <t>Linux-based industrial OS / ROS</t>
        </is>
      </c>
      <c r="AZ39" s="149" t="inlineStr">
        <is>
          <t>Possible via external system integration</t>
        </is>
      </c>
      <c r="BA39" s="149" t="n"/>
      <c r="BB39" s="149" t="inlineStr">
        <is>
          <t>Electric servo actuators</t>
        </is>
      </c>
      <c r="BC39" s="149" t="inlineStr">
        <is>
          <t>High-ratio industrial gears</t>
        </is>
      </c>
      <c r="BD39" s="145" t="inlineStr">
        <is>
          <t>Metal alloys + composites</t>
        </is>
      </c>
      <c r="BE39" s="145" t="inlineStr">
        <is>
          <t>IP20</t>
        </is>
      </c>
      <c r="BF39" s="145" t="inlineStr">
        <is>
          <t>IP20</t>
        </is>
      </c>
      <c r="BG39" s="145" t="n"/>
      <c r="BH39" s="145" t="n"/>
      <c r="BI39" s="145" t="n"/>
      <c r="BJ39" s="145" t="n"/>
      <c r="BK39" s="145" t="n"/>
      <c r="BL39" s="145" t="n"/>
      <c r="BM39" s="145" t="inlineStr">
        <is>
          <t>Yes</t>
        </is>
      </c>
      <c r="BN39" s="145" t="inlineStr">
        <is>
          <t>Not disclosed</t>
        </is>
      </c>
      <c r="BO39" s="149" t="inlineStr">
        <is>
          <t>Market: Industrial automation; Industrial logistics; Manufacturing · Human-safe: Yes · AI: Possible via external system integration · Actuation: Electric servo actuators · Peak 3 km/h · Walk 3 km/h · Runtime 3</t>
        </is>
      </c>
      <c r="BP39" s="145" t="n"/>
      <c r="BQ39" s="149" t="inlineStr">
        <is>
          <t>Industrial automation; Industrial logistics; Manufacturing</t>
        </is>
      </c>
      <c r="BR39" s="149" t="inlineStr">
        <is>
          <t>Prototype</t>
        </is>
      </c>
      <c r="BS39" s="149" t="inlineStr">
        <is>
          <t>Prototype</t>
        </is>
      </c>
      <c r="BT39" s="145" t="inlineStr">
        <is>
          <t>Black; Grey</t>
        </is>
      </c>
      <c r="BU39" s="145" t="inlineStr">
        <is>
          <t>Not verified</t>
        </is>
      </c>
      <c r="BV39" s="149" t="n"/>
      <c r="BW39" s="149" t="inlineStr">
        <is>
          <t>Origin &amp; status — China · Prototype · 2026 | Manipulation — 5 per hand · 5 per hand fingers · Hand DOF Assumed 15–20 DoF · Payload 33.1 lb | Sensing &amp; software — RGB + depth, ~1080p · Possible via external system integration · Linux-based industrial OS / ROS | Buying notes — From $120,000 · 12 months manufacturer standard (typical research/commercial humanoid) · Best fit: Industrial automation</t>
        </is>
      </c>
      <c r="BX39" s="149" t="inlineStr">
        <is>
          <t>as_shipped|DexBot|120000|As shipped</t>
        </is>
      </c>
      <c r="BY39" s="145" t="inlineStr">
        <is>
          <t>black|Black|#e2e8f0|0 || grey|Grey|#1e293b|0</t>
        </is>
      </c>
      <c r="BZ39" s="145" t="inlineStr"/>
      <c r="CA39" s="149" t="n"/>
      <c r="CB39" s="149" t="inlineStr">
        <is>
          <t>12 months manufacturer standard (typical research/commercial humanoid)</t>
        </is>
      </c>
      <c r="CC39" s="147" t="n">
        <v>12</v>
      </c>
      <c r="CD39" s="149" t="inlineStr">
        <is>
          <t>+3 Year Extended ≈24% of configuration (default in configurator)</t>
        </is>
      </c>
      <c r="CE39" s="145" t="inlineStr">
        <is>
          <t>Humanoid category norm 2025–2026</t>
        </is>
      </c>
      <c r="CF39" s="145" t="inlineStr">
        <is>
          <t>Estimated</t>
        </is>
      </c>
      <c r="CG39" s="149" t="inlineStr">
        <is>
          <t>Confirm on formal OEM quote. EDU or enterprise packages may differ.</t>
        </is>
      </c>
      <c r="CH39" s="145" t="inlineStr">
        <is>
          <t>10%</t>
        </is>
      </c>
      <c r="CI39" s="145" t="inlineStr">
        <is>
          <t>17%</t>
        </is>
      </c>
      <c r="CJ39" s="145" t="inlineStr">
        <is>
          <t>24%</t>
        </is>
      </c>
      <c r="CK39" s="149" t="inlineStr">
        <is>
          <t>+1yr ≈10% | +2yr ≈17% | +3yr ≈24% of selected configuration price (parts &amp; labor beyond manufacturer standard).</t>
        </is>
      </c>
      <c r="CL3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9" s="145" t="inlineStr">
        <is>
          <t>12 months manufacturer standard (typical research/commercial humanoid)</t>
        </is>
      </c>
      <c r="CQ39" s="101" t="inlineStr">
        <is>
          <t>Height: 5 ft 3 in | Weight: 176.4 | Degrees of Freedom: Assumed ~30–50 | Payload: 33.1 | Max Speed: 1.86 | Battery / Runtime: ≈ 3 hours</t>
        </is>
      </c>
    </row>
    <row r="40" ht="31.5" customHeight="1" s="102">
      <c r="A40" s="159" t="inlineStr">
        <is>
          <t>atlas</t>
        </is>
      </c>
      <c r="B40" s="144" t="inlineStr">
        <is>
          <t>Major-player brief 11 Sep 2026</t>
        </is>
      </c>
      <c r="C40" s="152" t="inlineStr">
        <is>
          <t>Boston Dynamics</t>
        </is>
      </c>
      <c r="D40" s="152" t="inlineStr">
        <is>
          <t>Atlas</t>
        </is>
      </c>
      <c r="E40" s="152" t="inlineStr">
        <is>
          <t>[Boston Dynamics] Atlas (2024)</t>
        </is>
      </c>
      <c r="F40" s="146" t="inlineStr">
        <is>
          <t>humanoid</t>
        </is>
      </c>
      <c r="G40" s="152" t="inlineStr">
        <is>
          <t>USA</t>
        </is>
      </c>
      <c r="H40" s="154" t="n">
        <v>2024</v>
      </c>
      <c r="I40" s="155" t="n">
        <v>250000</v>
      </c>
      <c r="J40" s="152" t="inlineStr">
        <is>
          <t>Website store</t>
        </is>
      </c>
      <c r="K40" s="156" t="inlineStr">
        <is>
          <t>Atlas builds on years of research into dynamic robot movement and is now being developed for practical industrial and manufacturing work.</t>
        </is>
      </c>
      <c r="L40" s="101" t="inlineStr">
        <is>
          <t>Atlas builds on years of research into dynamic robot movement and is now being developed for practical industrial and manufacturing work.</t>
        </is>
      </c>
      <c r="M40" s="101" t="inlineStr">
        <is>
          <t>Atlas began as Boston Dynamics’ hydraulic research gymnast and was rebuilt as a fully electric industrial humanoid in 2024. The current Atlas is no longer a parkour showpiece; it is being developed for practical manufacturing and factory work after decades of dynamic-locomotion research.</t>
        </is>
      </c>
      <c r="N40" s="157" t="inlineStr">
        <is>
          <t>https://humanoid.guide/product/atlas/</t>
        </is>
      </c>
      <c r="O40" s="157" t="inlineStr">
        <is>
          <t>https://www.bostondynamics.com</t>
        </is>
      </c>
      <c r="P40" s="152" t="inlineStr">
        <is>
          <t>≈ 6 ft 3 in</t>
        </is>
      </c>
      <c r="Q40" s="152" t="n">
        <v>190</v>
      </c>
      <c r="R40" s="152" t="n">
        <v>198.4</v>
      </c>
      <c r="S40" s="152" t="n">
        <v>90</v>
      </c>
      <c r="T40" s="156" t="inlineStr">
        <is>
          <t>Not disclosed</t>
        </is>
      </c>
      <c r="U40" s="152" t="n"/>
      <c r="V40" s="152" t="inlineStr">
        <is>
          <t>56</t>
        </is>
      </c>
      <c r="W40" s="156" t="inlineStr">
        <is>
          <t>Part of overall 56 (exact split not published; tactile hands)</t>
        </is>
      </c>
      <c r="X40" s="152" t="n">
        <v>66.09999999999999</v>
      </c>
      <c r="Y40" s="152" t="n">
        <v>30</v>
      </c>
      <c r="Z40" s="152" t="n">
        <v>4.97</v>
      </c>
      <c r="AA40" s="152" t="n">
        <v>8</v>
      </c>
      <c r="AB40" s="152" t="n">
        <v>9</v>
      </c>
      <c r="AC40" s="156" t="inlineStr">
        <is>
          <t>≈ 4 h typical · ≈ 2 h with heavy lifting · autonomous battery swap ≈ 3 min</t>
        </is>
      </c>
      <c r="AD40" s="156" t="inlineStr">
        <is>
          <t>~4 hours typical; ~2 hrs heavy use</t>
        </is>
      </c>
      <c r="AE40" s="152" t="n"/>
      <c r="AF40" s="152" t="inlineStr">
        <is>
          <t>Not disclosed</t>
        </is>
      </c>
      <c r="AG40" s="156" t="inlineStr">
        <is>
          <t>High-DOF hands with tactile fingers and palm</t>
        </is>
      </c>
      <c r="AH40" s="152" t="inlineStr">
        <is>
          <t>3 per hand</t>
        </is>
      </c>
      <c r="AI40" s="152" t="n"/>
      <c r="AJ40" s="156" t="inlineStr">
        <is>
          <t>360° camera view + tactile fingers and palm sensing</t>
        </is>
      </c>
      <c r="AK40" s="156" t="inlineStr">
        <is>
          <t>Not officially detailed; 360° vision system</t>
        </is>
      </c>
      <c r="AL40" s="152" t="inlineStr">
        <is>
          <t>Research and demo multi-view capture</t>
        </is>
      </c>
      <c r="AM40" s="152" t="n"/>
      <c r="AN40" s="152" t="inlineStr">
        <is>
          <t>Not disclosed</t>
        </is>
      </c>
      <c r="AO40" s="152" t="inlineStr">
        <is>
          <t>Not disclosed</t>
        </is>
      </c>
      <c r="AP40" s="152" t="inlineStr">
        <is>
          <t>Not disclosed</t>
        </is>
      </c>
      <c r="AQ40" s="152" t="inlineStr">
        <is>
          <t>Not disclosed</t>
        </is>
      </c>
      <c r="AR40" s="152" t="n"/>
      <c r="AS40" s="152" t="n"/>
      <c r="AT40" s="156" t="inlineStr">
        <is>
          <t>Not publicly specified (custom robot compute likely). Assumed advanced embedded robotics processors.</t>
        </is>
      </c>
      <c r="AU40" s="156" t="inlineStr">
        <is>
          <t>enterprise integration (Orbit software); Wi‑Fi</t>
        </is>
      </c>
      <c r="AV40" s="152" t="inlineStr">
        <is>
          <t>Boston Dynamics research and demo control stack</t>
        </is>
      </c>
      <c r="AW40" s="156" t="inlineStr">
        <is>
          <t>Dynamic bipedal athletics, parkour-class behaviors in controlled settings</t>
        </is>
      </c>
      <c r="AX40" s="152" t="n"/>
      <c r="AY40" s="156" t="inlineStr">
        <is>
          <t>Custom robotics OS with integration support</t>
        </is>
      </c>
      <c r="AZ40" s="156" t="inlineStr">
        <is>
          <t>Not officially confirmed; partnerships with DeepMind suggest future AI integration</t>
        </is>
      </c>
      <c r="BA40" s="156" t="inlineStr">
        <is>
          <t>Not publicly available; robotics systems optimized for real-time motion</t>
        </is>
      </c>
      <c r="BB40" s="156" t="inlineStr">
        <is>
          <t>Fully electric actuators</t>
        </is>
      </c>
      <c r="BC40" s="156" t="inlineStr">
        <is>
          <t>Unspecified (likely harmonic or precision gear systems in joints)</t>
        </is>
      </c>
      <c r="BD40" s="152" t="inlineStr">
        <is>
          <t>Titanium, aluminum components</t>
        </is>
      </c>
      <c r="BE40" s="152" t="inlineStr">
        <is>
          <t>IP67</t>
        </is>
      </c>
      <c r="BF40" s="152" t="inlineStr">
        <is>
          <t>IP67</t>
        </is>
      </c>
      <c r="BG40" s="152" t="n"/>
      <c r="BH40" s="152" t="n"/>
      <c r="BI40" s="152" t="n"/>
      <c r="BJ40" s="152" t="n"/>
      <c r="BK40" s="152" t="n"/>
      <c r="BL40" s="152" t="n"/>
      <c r="BM40" s="152" t="inlineStr">
        <is>
          <t>Yes</t>
        </is>
      </c>
      <c r="BN40" s="152" t="inlineStr">
        <is>
          <t>Not disclosed</t>
        </is>
      </c>
      <c r="BO40" s="156" t="inlineStr">
        <is>
          <t>Market: Industrial automation; logistics; Manufacturing · Human-safe: Yes · AI: Not officially confirmed; partnerships with DeepMind suggest future AI integration · Actuation: Fully electric actuators · Peak 8 km/h · Walk 9 km/h · Runtime ~4 hours typical; ~2 hrs heavy use</t>
        </is>
      </c>
      <c r="BP40" s="152" t="inlineStr">
        <is>
          <t>−4°F to 104°F · industrial workspaces</t>
        </is>
      </c>
      <c r="BQ40" s="156" t="inlineStr">
        <is>
          <t>Industrial and manufacturing work</t>
        </is>
      </c>
      <c r="BR40" s="156" t="inlineStr">
        <is>
          <t>Early production / limited release</t>
        </is>
      </c>
      <c r="BS40" s="156" t="inlineStr">
        <is>
          <t>Early production / limited release</t>
        </is>
      </c>
      <c r="BT40" s="152" t="inlineStr">
        <is>
          <t>Blue; White</t>
        </is>
      </c>
      <c r="BU40" s="152" t="inlineStr">
        <is>
          <t>Verified</t>
        </is>
      </c>
      <c r="BV40" s="156" t="inlineStr">
        <is>
          <t>Humanoid.guide listed price $120,000.</t>
        </is>
      </c>
      <c r="BW40" s="156" t="inlineStr">
        <is>
          <t>Origin &amp; status — USA · Early production / limited release · 2024 | Manipulation — High-DOF hands with tactile fingers and palm · 3 per hand fingers · Hand DOF Part of overall 56 (exact split not published; tactile hands) · Payload ≈ 66 lb susta… | Sensing &amp; software — 360° camera view + tactile fingers and palm sensing · Not officially confirmed; partnerships with DeepMind suggest future AI integration · Custom robotics O… | Buying notes — From $250,000 · 12 months / program- and contract-dependent · Best fit: Industrial automation</t>
        </is>
      </c>
      <c r="BX40" s="156" t="inlineStr">
        <is>
          <t>production|Atlas Production (illustrative)|250000|Partner allocation estimate || research|Atlas Research / Partner|320000|Higher support package</t>
        </is>
      </c>
      <c r="BY40" s="152" t="inlineStr">
        <is>
          <t>black|BD Black|#0f172a|0</t>
        </is>
      </c>
      <c r="BZ40" s="152" t="inlineStr">
        <is>
          <t>warranty_atlas</t>
        </is>
      </c>
      <c r="CA40" s="156" t="inlineStr">
        <is>
          <t>2 configuration tiers; Multi-year extended warranty available</t>
        </is>
      </c>
      <c r="CB40" s="156" t="inlineStr">
        <is>
          <t>12 months / program- and contract-dependent</t>
        </is>
      </c>
      <c r="CC40" s="154" t="n">
        <v>12</v>
      </c>
      <c r="CD40" s="156" t="inlineStr">
        <is>
          <t>+3 Year Extended ≈24% of configuration (default in configurator)</t>
        </is>
      </c>
      <c r="CE40" s="152" t="inlineStr">
        <is>
          <t>Enterprise program norms; no public consumer warranty sheet</t>
        </is>
      </c>
      <c r="CF40" s="152" t="inlineStr">
        <is>
          <t>Estimated</t>
        </is>
      </c>
      <c r="CG40" s="156" t="inlineStr">
        <is>
          <t>Atlas deployments are program-based; warranty is contractual.</t>
        </is>
      </c>
      <c r="CH40" s="152" t="inlineStr">
        <is>
          <t>10%</t>
        </is>
      </c>
      <c r="CI40" s="152" t="inlineStr">
        <is>
          <t>17%</t>
        </is>
      </c>
      <c r="CJ40" s="152" t="inlineStr">
        <is>
          <t>24%</t>
        </is>
      </c>
      <c r="CK40"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40"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40" s="152" t="inlineStr">
        <is>
          <t>12 months / program- and contract-dependent</t>
        </is>
      </c>
      <c r="CQ40" s="101" t="inlineStr">
        <is>
          <t>Height: ≈ 6 ft 3 in | Weight: 198.4 | Degrees of Freedom: 56 | Payload: 66.1 | Max Speed: 4.97 | Battery / Runtime: ≈ 4 h typical · ≈ 2 h with heavy lifting · autonomous battery swap ≈ 3 min</t>
        </is>
      </c>
    </row>
    <row r="41" ht="31.5" customHeight="1" s="102">
      <c r="A41" s="145" t="inlineStr">
        <is>
          <t>boston_dynamics_atlas_old</t>
        </is>
      </c>
      <c r="B41" s="153" t="inlineStr">
        <is>
          <t>Humanoid.guide</t>
        </is>
      </c>
      <c r="C41" s="145" t="inlineStr">
        <is>
          <t>Boston Dynamics</t>
        </is>
      </c>
      <c r="D41" s="145" t="inlineStr">
        <is>
          <t>Atlas (old)</t>
        </is>
      </c>
      <c r="E41" s="145" t="inlineStr">
        <is>
          <t>[Boston Dynamics] Atlas Hydraulic (2016)</t>
        </is>
      </c>
      <c r="F41" s="146" t="inlineStr">
        <is>
          <t>humanoid</t>
        </is>
      </c>
      <c r="G41" s="145" t="inlineStr">
        <is>
          <t>USA</t>
        </is>
      </c>
      <c r="H41" s="145" t="n"/>
      <c r="I41" s="148" t="n">
        <v>39000</v>
      </c>
      <c r="J41" s="145" t="inlineStr">
        <is>
          <t>Humanoid.guide list</t>
        </is>
      </c>
      <c r="K41" s="149" t="inlineStr">
        <is>
          <t>Atlas is an advanced humanoid robot developed by Boston Dynamics, a leading robotics company based in the United States.</t>
        </is>
      </c>
      <c r="L41" s="101" t="inlineStr">
        <is>
          <t>Atlas is an advanced humanoid robot developed by Boston Dynamics, a leading robotics company based in the United States.</t>
        </is>
      </c>
      <c r="M41" s="101" t="inlineStr">
        <is>
          <t>The hydraulic Atlas (2013–2023) was Boston Dynamics’ public research humanoid, famous for parkour, backflips, and rough-terrain walking. It is the ancestor of the 2024 electric Atlas now aimed at factory work.</t>
        </is>
      </c>
      <c r="N41" s="150" t="inlineStr">
        <is>
          <t>https://humanoid.guide/product/atlas-2013/</t>
        </is>
      </c>
      <c r="O41" s="150" t="inlineStr">
        <is>
          <t>https://www.bostondynamics.com</t>
        </is>
      </c>
      <c r="P41" s="145" t="inlineStr">
        <is>
          <t>4 ft 11 in</t>
        </is>
      </c>
      <c r="Q41" s="145" t="n">
        <v>150</v>
      </c>
      <c r="R41" s="145" t="n">
        <v>196.2</v>
      </c>
      <c r="S41" s="145" t="n">
        <v>89</v>
      </c>
      <c r="T41" s="149" t="inlineStr">
        <is>
          <t>Not disclosed</t>
        </is>
      </c>
      <c r="U41" s="145" t="n"/>
      <c r="V41" s="145" t="inlineStr">
        <is>
          <t>50</t>
        </is>
      </c>
      <c r="W41" s="149" t="inlineStr">
        <is>
          <t>Not disclosed</t>
        </is>
      </c>
      <c r="X41" s="145" t="n">
        <v>39.7</v>
      </c>
      <c r="Y41" s="145" t="n">
        <v>18</v>
      </c>
      <c r="Z41" s="145" t="n">
        <v>5.59</v>
      </c>
      <c r="AA41" s="145" t="n">
        <v>9</v>
      </c>
      <c r="AB41" s="145" t="n">
        <v>6</v>
      </c>
      <c r="AC41" s="149" t="inlineStr">
        <is>
          <t>≈ 3 hours</t>
        </is>
      </c>
      <c r="AD41" s="149" t="inlineStr">
        <is>
          <t>3</t>
        </is>
      </c>
      <c r="AE41" s="145" t="n"/>
      <c r="AF41" s="145" t="inlineStr">
        <is>
          <t>Not disclosed</t>
        </is>
      </c>
      <c r="AG41" s="149" t="inlineStr">
        <is>
          <t>Not disclosed</t>
        </is>
      </c>
      <c r="AH41" s="145" t="inlineStr">
        <is>
          <t>Not disclosed</t>
        </is>
      </c>
      <c r="AI41" s="151" t="n">
        <v>3</v>
      </c>
      <c r="AJ41" s="149" t="inlineStr">
        <is>
          <t>Not disclosed</t>
        </is>
      </c>
      <c r="AK41" s="149" t="n"/>
      <c r="AL41" s="145" t="inlineStr">
        <is>
          <t>Not disclosed</t>
        </is>
      </c>
      <c r="AM41" s="145" t="n"/>
      <c r="AN41" s="145" t="inlineStr">
        <is>
          <t>Not disclosed</t>
        </is>
      </c>
      <c r="AO41" s="145" t="inlineStr">
        <is>
          <t>Not disclosed</t>
        </is>
      </c>
      <c r="AP41" s="145" t="inlineStr">
        <is>
          <t>Not disclosed</t>
        </is>
      </c>
      <c r="AQ41" s="145" t="inlineStr">
        <is>
          <t>Not disclosed</t>
        </is>
      </c>
      <c r="AR41" s="145" t="n"/>
      <c r="AS41" s="145" t="n"/>
      <c r="AT41" s="149" t="inlineStr">
        <is>
          <t>Not disclosed</t>
        </is>
      </c>
      <c r="AU41" s="149" t="inlineStr">
        <is>
          <t>Not disclosed</t>
        </is>
      </c>
      <c r="AV41" s="145" t="inlineStr">
        <is>
          <t>Not disclosed</t>
        </is>
      </c>
      <c r="AW41" s="149" t="inlineStr">
        <is>
          <t>Not disclosed</t>
        </is>
      </c>
      <c r="AX41" s="151" t="n">
        <v>3</v>
      </c>
      <c r="AY41" s="149" t="inlineStr">
        <is>
          <t>Not disclosed</t>
        </is>
      </c>
      <c r="AZ41" s="149" t="inlineStr">
        <is>
          <t>Not disclosed</t>
        </is>
      </c>
      <c r="BA41" s="149" t="n"/>
      <c r="BB41" s="149" t="inlineStr">
        <is>
          <t>Not disclosed</t>
        </is>
      </c>
      <c r="BC41" s="149" t="inlineStr">
        <is>
          <t>Not disclosed</t>
        </is>
      </c>
      <c r="BD41" s="145" t="inlineStr">
        <is>
          <t>Not disclosed</t>
        </is>
      </c>
      <c r="BE41" s="145" t="inlineStr">
        <is>
          <t>Not disclosed</t>
        </is>
      </c>
      <c r="BF41" s="145" t="n"/>
      <c r="BG41" s="145" t="n"/>
      <c r="BH41" s="145" t="n"/>
      <c r="BI41" s="145" t="n"/>
      <c r="BJ41" s="145" t="n"/>
      <c r="BK41" s="145" t="n"/>
      <c r="BL41" s="145" t="n"/>
      <c r="BM41" s="145" t="inlineStr">
        <is>
          <t>Not disclosed</t>
        </is>
      </c>
      <c r="BN41" s="145" t="inlineStr">
        <is>
          <t>Not disclosed</t>
        </is>
      </c>
      <c r="BO41" s="149" t="inlineStr">
        <is>
          <t>Manipulation 3/4 · Navigation 3/4 · Peak 9 km/h · Walk 6 km/h · Runtime 3</t>
        </is>
      </c>
      <c r="BP41" s="145" t="n"/>
      <c r="BQ41" s="149" t="inlineStr">
        <is>
          <t>Research labs, commercial pilots, and education programs evaluating a humanoid from Boston Dynamics (USA) now listed as prototype.</t>
        </is>
      </c>
      <c r="BR41" s="149" t="inlineStr">
        <is>
          <t>Prototype</t>
        </is>
      </c>
      <c r="BS41" s="149" t="inlineStr">
        <is>
          <t>Prototype</t>
        </is>
      </c>
      <c r="BT41" s="145" t="n"/>
      <c r="BU41" s="145" t="inlineStr">
        <is>
          <t>Not verified</t>
        </is>
      </c>
      <c r="BV41" s="149" t="n"/>
      <c r="BW41" s="149" t="inlineStr">
        <is>
          <t>Origin &amp; status — USA · Prototype · 2026 | Manipulation — Payload 39.7 lb | Sensing &amp; software — Sensor and compute package confirmed on formal quote | Buying notes — From $39,000 · 12 months manufacturer standard (typical research/commercial humanoid)</t>
        </is>
      </c>
      <c r="BX41" s="149" t="inlineStr">
        <is>
          <t>as_shipped|Atlas Hydraulic|39000|As shipped</t>
        </is>
      </c>
      <c r="BY41" s="145" t="inlineStr">
        <is>
          <t>atlas_hydraulic|Manufacturer finish|#e2e8f0|0</t>
        </is>
      </c>
      <c r="BZ41" s="145" t="inlineStr"/>
      <c r="CA41" s="149" t="n"/>
      <c r="CB41" s="149" t="inlineStr">
        <is>
          <t>12 months manufacturer standard (typical research/commercial humanoid)</t>
        </is>
      </c>
      <c r="CC41" s="147" t="n">
        <v>12</v>
      </c>
      <c r="CD41" s="149" t="inlineStr">
        <is>
          <t>+3 Year Extended ≈24% of configuration (default in configurator)</t>
        </is>
      </c>
      <c r="CE41" s="145" t="inlineStr">
        <is>
          <t>Humanoid category norm 2025–2026</t>
        </is>
      </c>
      <c r="CF41" s="145" t="inlineStr">
        <is>
          <t>Estimated</t>
        </is>
      </c>
      <c r="CG41" s="149" t="inlineStr">
        <is>
          <t>Confirm on formal OEM quote. EDU or enterprise packages may differ.</t>
        </is>
      </c>
      <c r="CH41" s="145" t="inlineStr">
        <is>
          <t>10%</t>
        </is>
      </c>
      <c r="CI41" s="145" t="inlineStr">
        <is>
          <t>17%</t>
        </is>
      </c>
      <c r="CJ41" s="145" t="inlineStr">
        <is>
          <t>24%</t>
        </is>
      </c>
      <c r="CK41" s="149" t="inlineStr">
        <is>
          <t>+1yr ≈10% | +2yr ≈17% | +3yr ≈24% of selected configuration price (parts &amp; labor beyond manufacturer standard).</t>
        </is>
      </c>
      <c r="CL4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41" s="145" t="inlineStr">
        <is>
          <t>12 months manufacturer standard (typical research/commercial humanoid)</t>
        </is>
      </c>
      <c r="CQ41" s="101" t="inlineStr">
        <is>
          <t>Height: 4 ft 11 in | Weight: 196.2 | Degrees of Freedom: 50 | Payload: 39.7 | Max Speed: 5.59 | Battery / Runtime: ≈ 3 hours</t>
        </is>
      </c>
    </row>
    <row r="42" ht="31.5" customHeight="1" s="102">
      <c r="A42" s="152" t="inlineStr">
        <is>
          <t>cartwheel_robotics_yogi</t>
        </is>
      </c>
      <c r="B42" s="153" t="inlineStr">
        <is>
          <t>Humanoid.guide</t>
        </is>
      </c>
      <c r="C42" s="152" t="inlineStr">
        <is>
          <t>Cartwheel Robotics</t>
        </is>
      </c>
      <c r="D42" s="152" t="inlineStr">
        <is>
          <t>Yogi</t>
        </is>
      </c>
      <c r="E42" s="152" t="inlineStr">
        <is>
          <t>[Cartwheel Robotics] Yogi (2026)</t>
        </is>
      </c>
      <c r="F42" s="146" t="inlineStr">
        <is>
          <t>humanoid</t>
        </is>
      </c>
      <c r="G42" s="152" t="inlineStr">
        <is>
          <t>USA</t>
        </is>
      </c>
      <c r="H42" s="152" t="n"/>
      <c r="I42" s="155" t="n">
        <v>85000</v>
      </c>
      <c r="J42" s="152" t="inlineStr">
        <is>
          <t>Humanoid.guide list</t>
        </is>
      </c>
      <c r="K42" s="156" t="inlineStr">
        <is>
          <t>Yogi is a versatile humanoid robot built for safe, practical assistance in workplaces, offering smooth mobility, adaptive navigation, and friendly interaction.</t>
        </is>
      </c>
      <c r="L42" s="101" t="inlineStr">
        <is>
          <t>Yogi is a versatile humanoid robot built for safe, practical assistance in workplaces, offering smooth mobility, adaptive navigation, and friendly interaction.</t>
        </is>
      </c>
      <c r="M42" s="101" t="inlineStr">
        <is>
          <t>Yogi is a versatile humanoid robot built for safe, practical assistance in workplaces, offering smooth mobility, adaptive navigation, and friendly interaction. Public status is listed as prototype, and it is positioned for workplace assistance, light logistics, education.</t>
        </is>
      </c>
      <c r="N42" s="157" t="inlineStr">
        <is>
          <t>https://humanoid.guide/product/yogi/</t>
        </is>
      </c>
      <c r="O42" s="157" t="inlineStr">
        <is>
          <t>https://www.cartwheelrobotics.com/</t>
        </is>
      </c>
      <c r="P42" s="152" t="inlineStr">
        <is>
          <t>4 ft 11 in</t>
        </is>
      </c>
      <c r="Q42" s="152" t="n">
        <v>150</v>
      </c>
      <c r="R42" s="152" t="n">
        <v>103.6</v>
      </c>
      <c r="S42" s="152" t="n">
        <v>47</v>
      </c>
      <c r="T42" s="156" t="inlineStr">
        <is>
          <t>Not disclosed</t>
        </is>
      </c>
      <c r="U42" s="152" t="inlineStr">
        <is>
          <t>160×60×50 cm</t>
        </is>
      </c>
      <c r="V42" s="152" t="inlineStr">
        <is>
          <t>36</t>
        </is>
      </c>
      <c r="W42" s="156" t="inlineStr">
        <is>
          <t>10</t>
        </is>
      </c>
      <c r="X42" s="152" t="n">
        <v>33.1</v>
      </c>
      <c r="Y42" s="152" t="n">
        <v>15</v>
      </c>
      <c r="Z42" s="152" t="n">
        <v>3.73</v>
      </c>
      <c r="AA42" s="152" t="n">
        <v>6</v>
      </c>
      <c r="AB42" s="152" t="n">
        <v>4</v>
      </c>
      <c r="AC42" s="156" t="inlineStr">
        <is>
          <t>≈ 3 hours</t>
        </is>
      </c>
      <c r="AD42" s="156" t="inlineStr">
        <is>
          <t>3</t>
        </is>
      </c>
      <c r="AE42" s="152" t="n"/>
      <c r="AF42" s="152" t="inlineStr">
        <is>
          <t>Not disclosed</t>
        </is>
      </c>
      <c r="AG42" s="156" t="inlineStr">
        <is>
          <t>5 per hand</t>
        </is>
      </c>
      <c r="AH42" s="152" t="inlineStr">
        <is>
          <t>5 per hand</t>
        </is>
      </c>
      <c r="AI42" s="151" t="n">
        <v>3</v>
      </c>
      <c r="AJ42" s="156" t="inlineStr">
        <is>
          <t>4K depth + stereo vision</t>
        </is>
      </c>
      <c r="AK42" s="156" t="inlineStr">
        <is>
          <t>4K depth + stereo vision</t>
        </is>
      </c>
      <c r="AL42" s="152" t="inlineStr">
        <is>
          <t>Not disclosed</t>
        </is>
      </c>
      <c r="AM42" s="152" t="n"/>
      <c r="AN42" s="152" t="inlineStr">
        <is>
          <t>Not disclosed</t>
        </is>
      </c>
      <c r="AO42" s="152" t="inlineStr">
        <is>
          <t>Not disclosed</t>
        </is>
      </c>
      <c r="AP42" s="152" t="inlineStr">
        <is>
          <t>Not disclosed</t>
        </is>
      </c>
      <c r="AQ42" s="152" t="inlineStr">
        <is>
          <t>Not disclosed</t>
        </is>
      </c>
      <c r="AR42" s="152" t="n"/>
      <c r="AS42" s="152" t="n"/>
      <c r="AT42" s="156" t="inlineStr">
        <is>
          <t>Edge AI module with NVIDIA Jetson-class GPU</t>
        </is>
      </c>
      <c r="AU42" s="156" t="inlineStr">
        <is>
          <t>Wi-Fi, Bluetooth, 5G</t>
        </is>
      </c>
      <c r="AV42" s="152" t="inlineStr">
        <is>
          <t>Not disclosed</t>
        </is>
      </c>
      <c r="AW42" s="156" t="inlineStr">
        <is>
          <t>Not disclosed</t>
        </is>
      </c>
      <c r="AX42" s="161" t="n">
        <v>4</v>
      </c>
      <c r="AY42" s="156" t="inlineStr">
        <is>
          <t>Linux (ROS2-based)</t>
        </is>
      </c>
      <c r="AZ42" s="156" t="inlineStr">
        <is>
          <t>Yes</t>
        </is>
      </c>
      <c r="BA42" s="156" t="inlineStr">
        <is>
          <t>350 ms</t>
        </is>
      </c>
      <c r="BB42" s="156" t="inlineStr">
        <is>
          <t>Brushless servo motors</t>
        </is>
      </c>
      <c r="BC42" s="156" t="inlineStr">
        <is>
          <t>Harmonic Drive</t>
        </is>
      </c>
      <c r="BD42" s="152" t="inlineStr">
        <is>
          <t>Aluminum + polymer shell</t>
        </is>
      </c>
      <c r="BE42" s="152" t="inlineStr">
        <is>
          <t>IP42</t>
        </is>
      </c>
      <c r="BF42" s="152" t="inlineStr">
        <is>
          <t>IP42</t>
        </is>
      </c>
      <c r="BG42" s="152" t="n"/>
      <c r="BH42" s="152" t="n"/>
      <c r="BI42" s="152" t="n"/>
      <c r="BJ42" s="152" t="n"/>
      <c r="BK42" s="152" t="n"/>
      <c r="BL42" s="152" t="n"/>
      <c r="BM42" s="152" t="inlineStr">
        <is>
          <t>Yes</t>
        </is>
      </c>
      <c r="BN42" s="152" t="inlineStr">
        <is>
          <t>Not disclosed</t>
        </is>
      </c>
      <c r="BO42" s="156" t="inlineStr">
        <is>
          <t>Market: Workplace assistance, light logistics, education · Manipulation 3/4 · Navigation 4/4 · Human-safe: Yes · AI: Yes · Actuation: Brushless servo motors · Peak 6 km/h · Walk 4 km/h · Runtime 3</t>
        </is>
      </c>
      <c r="BP42" s="152" t="n"/>
      <c r="BQ42" s="156" t="inlineStr">
        <is>
          <t>Workplace assistance, light logistics, education</t>
        </is>
      </c>
      <c r="BR42" s="156" t="inlineStr">
        <is>
          <t>Prototype</t>
        </is>
      </c>
      <c r="BS42" s="156" t="inlineStr">
        <is>
          <t>Prototype</t>
        </is>
      </c>
      <c r="BT42" s="152" t="inlineStr">
        <is>
          <t>White</t>
        </is>
      </c>
      <c r="BU42" s="152" t="inlineStr">
        <is>
          <t>Not verified</t>
        </is>
      </c>
      <c r="BV42" s="156" t="n"/>
      <c r="BW42" s="156" t="inlineStr">
        <is>
          <t>Origin &amp; status — USA · Prototype · 2026 | Manipulation — 5 per hand · 5 per hand fingers · Hand DOF 10 · Payload 33.1 lb | Sensing &amp; software — 4K depth + stereo vision · Yes · Linux (ROS2-based) | Buying notes — From $85,000 · 12 months manufacturer standard (typical research/commercial humanoid) · Best fit: Workplace assistance, light logistics, education</t>
        </is>
      </c>
      <c r="BX42" s="156" t="inlineStr">
        <is>
          <t>as_shipped|Yogi|85000|As shipped</t>
        </is>
      </c>
      <c r="BY42" s="152" t="inlineStr">
        <is>
          <t>white|White|#e2e8f0|0</t>
        </is>
      </c>
      <c r="BZ42" s="152" t="inlineStr"/>
      <c r="CA42" s="156" t="n"/>
      <c r="CB42" s="156" t="inlineStr">
        <is>
          <t>12 months manufacturer standard (typical research/commercial humanoid)</t>
        </is>
      </c>
      <c r="CC42" s="154" t="n">
        <v>12</v>
      </c>
      <c r="CD42" s="156" t="inlineStr">
        <is>
          <t>+3 Year Extended ≈24% of configuration (default in configurator)</t>
        </is>
      </c>
      <c r="CE42" s="152" t="inlineStr">
        <is>
          <t>Humanoid category norm 2025–2026</t>
        </is>
      </c>
      <c r="CF42" s="152" t="inlineStr">
        <is>
          <t>Estimated</t>
        </is>
      </c>
      <c r="CG42" s="156" t="inlineStr">
        <is>
          <t>Confirm on formal OEM quote. EDU or enterprise packages may differ.</t>
        </is>
      </c>
      <c r="CH42" s="152" t="inlineStr">
        <is>
          <t>10%</t>
        </is>
      </c>
      <c r="CI42" s="152" t="inlineStr">
        <is>
          <t>17%</t>
        </is>
      </c>
      <c r="CJ42" s="152" t="inlineStr">
        <is>
          <t>24%</t>
        </is>
      </c>
      <c r="CK42" s="156" t="inlineStr">
        <is>
          <t>+1yr ≈10% | +2yr ≈17% | +3yr ≈24% of selected configuration price (parts &amp; labor beyond manufacturer standard).</t>
        </is>
      </c>
      <c r="CL42"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42" s="152" t="inlineStr">
        <is>
          <t>12 months manufacturer standard (typical research/commercial humanoid)</t>
        </is>
      </c>
      <c r="CQ42" s="101" t="inlineStr">
        <is>
          <t>Height: 4 ft 11 in | Weight: 103.6 | Degrees of Freedom: 36 | Payload: 33.1 | Max Speed: 3.73 | Battery / Runtime: ≈ 3 hours</t>
        </is>
      </c>
    </row>
    <row r="43" ht="31.5" customHeight="1" s="102">
      <c r="A43" s="145" t="inlineStr">
        <is>
          <t>casbot_beijing_zhongke_huiling_robotics_technolo</t>
        </is>
      </c>
      <c r="B43" s="153" t="inlineStr">
        <is>
          <t>Humanoid.guide</t>
        </is>
      </c>
      <c r="C43" s="145" t="inlineStr">
        <is>
          <t>CASBOT / Beijing Zhongke Huiling Robotics Technology Co., Ltd.</t>
        </is>
      </c>
      <c r="D43" s="145" t="inlineStr">
        <is>
          <t>CASBOT 02</t>
        </is>
      </c>
      <c r="E43" s="145" t="inlineStr">
        <is>
          <t>[CASBOT / Beijing Zhongke Huiling Robotics Technology Co., Ltd.] CASBOT 02 (2026)</t>
        </is>
      </c>
      <c r="F43" s="146" t="inlineStr">
        <is>
          <t>humanoid</t>
        </is>
      </c>
      <c r="G43" s="145" t="inlineStr">
        <is>
          <t>China</t>
        </is>
      </c>
      <c r="H43" s="145" t="n"/>
      <c r="I43" s="148" t="n">
        <v>63500</v>
      </c>
      <c r="J43" s="145" t="inlineStr">
        <is>
          <t>Humanoid.guide list</t>
        </is>
      </c>
      <c r="K43" s="149" t="inlineStr">
        <is>
          <t>CASBOT 02 is a full-size bipedal humanoid robot designed for interactive service and human-robot engagement in public and commercial spaces.</t>
        </is>
      </c>
      <c r="L43" s="101" t="inlineStr">
        <is>
          <t>CASBOT 02 is a full-size bipedal humanoid robot designed for interactive service and human-robot engagement in public and commercial spaces.</t>
        </is>
      </c>
      <c r="M43" s="101" t="inlineStr">
        <is>
          <t>CASBOT 02 is a full-size bipedal humanoid robot designed for interactive service and human-robot engagement in public and commercial spaces. Public status is listed as early commercial / production with lead times (subject to availability), and it is positioned for education; exhibitions; Interactive service; retail.</t>
        </is>
      </c>
      <c r="N43" s="150" t="inlineStr">
        <is>
          <t>https://humanoid.guide/product/casbot-02/</t>
        </is>
      </c>
      <c r="O43" s="150" t="inlineStr">
        <is>
          <t>https://www.casbot.com</t>
        </is>
      </c>
      <c r="P43" s="145" t="inlineStr">
        <is>
          <t>5 ft 4 in</t>
        </is>
      </c>
      <c r="Q43" s="145" t="n">
        <v>163</v>
      </c>
      <c r="R43" s="145" t="n">
        <v>110.2</v>
      </c>
      <c r="S43" s="145" t="n">
        <v>50</v>
      </c>
      <c r="T43" s="149" t="inlineStr">
        <is>
          <t>Not disclosed</t>
        </is>
      </c>
      <c r="U43" s="145" t="n"/>
      <c r="V43" s="145" t="inlineStr">
        <is>
          <t>25</t>
        </is>
      </c>
      <c r="W43" s="149" t="inlineStr">
        <is>
          <t>11 DOF per hand (6 active) with dexterous hand option</t>
        </is>
      </c>
      <c r="X43" s="145" t="n">
        <v>8.800000000000001</v>
      </c>
      <c r="Y43" s="145" t="n">
        <v>4</v>
      </c>
      <c r="Z43" s="145" t="n">
        <v>3.73</v>
      </c>
      <c r="AA43" s="145" t="n">
        <v>6</v>
      </c>
      <c r="AB43" s="145" t="n">
        <v>4</v>
      </c>
      <c r="AC43" s="149" t="inlineStr">
        <is>
          <t>~1.5–2</t>
        </is>
      </c>
      <c r="AD43" s="149" t="inlineStr">
        <is>
          <t>~1.5–2</t>
        </is>
      </c>
      <c r="AE43" s="145" t="n"/>
      <c r="AF43" s="145" t="inlineStr">
        <is>
          <t>Not disclosed</t>
        </is>
      </c>
      <c r="AG43" s="149" t="inlineStr">
        <is>
          <t>5 per hand</t>
        </is>
      </c>
      <c r="AH43" s="145" t="inlineStr">
        <is>
          <t>5 per hand</t>
        </is>
      </c>
      <c r="AI43" s="145" t="n"/>
      <c r="AJ43" s="149" t="inlineStr">
        <is>
          <t>RGB-D + stereo + fisheye camera combos (multi-sensor suite)</t>
        </is>
      </c>
      <c r="AK43" s="149" t="inlineStr">
        <is>
          <t>RGB-D + stereo + fisheye camera combos (multi-sensor suite)</t>
        </is>
      </c>
      <c r="AL43" s="145" t="inlineStr">
        <is>
          <t>Not disclosed</t>
        </is>
      </c>
      <c r="AM43" s="145" t="n"/>
      <c r="AN43" s="145" t="inlineStr">
        <is>
          <t>Not disclosed</t>
        </is>
      </c>
      <c r="AO43" s="145" t="inlineStr">
        <is>
          <t>Not disclosed</t>
        </is>
      </c>
      <c r="AP43" s="145" t="inlineStr">
        <is>
          <t>Not disclosed</t>
        </is>
      </c>
      <c r="AQ43" s="145" t="inlineStr">
        <is>
          <t>Not disclosed</t>
        </is>
      </c>
      <c r="AR43" s="145" t="n"/>
      <c r="AS43" s="145" t="n"/>
      <c r="AT43" s="149" t="inlineStr">
        <is>
          <t>NVIDIA Orin AGX + RK3588 (275 TOPS compute)</t>
        </is>
      </c>
      <c r="AU43" s="149" t="inlineStr">
        <is>
          <t>4G; Bluetooth 5.2; Wi-Fi 6</t>
        </is>
      </c>
      <c r="AV43" s="145" t="inlineStr">
        <is>
          <t>Not disclosed</t>
        </is>
      </c>
      <c r="AW43" s="149" t="inlineStr">
        <is>
          <t>Not disclosed</t>
        </is>
      </c>
      <c r="AX43" s="145" t="n"/>
      <c r="AY43" s="149" t="inlineStr">
        <is>
          <t>ROS compatible with proprietary control stack</t>
        </is>
      </c>
      <c r="AZ43" s="149" t="inlineStr">
        <is>
          <t>Possible via ROS and external AI</t>
        </is>
      </c>
      <c r="BA43" s="149" t="inlineStr">
        <is>
          <t>Estimated &amp;lt;100 ms</t>
        </is>
      </c>
      <c r="BB43" s="149" t="inlineStr">
        <is>
          <t>Electric actuators</t>
        </is>
      </c>
      <c r="BC43" s="149" t="inlineStr">
        <is>
          <t>High-precision humanoid joints</t>
        </is>
      </c>
      <c r="BD43" s="145" t="inlineStr">
        <is>
          <t>Lightweight metal frame + composites</t>
        </is>
      </c>
      <c r="BE43" s="145" t="inlineStr">
        <is>
          <t>IP20</t>
        </is>
      </c>
      <c r="BF43" s="145" t="inlineStr">
        <is>
          <t>Indoor class (assumed IP20–IP54)</t>
        </is>
      </c>
      <c r="BG43" s="145" t="n"/>
      <c r="BH43" s="145" t="n"/>
      <c r="BI43" s="145" t="n"/>
      <c r="BJ43" s="145" t="n"/>
      <c r="BK43" s="145" t="n"/>
      <c r="BL43" s="145" t="n"/>
      <c r="BM43" s="145" t="inlineStr">
        <is>
          <t>Yes</t>
        </is>
      </c>
      <c r="BN43" s="145" t="inlineStr">
        <is>
          <t>Not disclosed</t>
        </is>
      </c>
      <c r="BO43" s="149" t="inlineStr">
        <is>
          <t>Market: education; exhibitions; Interactive service; retail · Human-safe: Yes · AI: Possible via ROS and external AI · Actuation: Electric actuators · Peak 6 km/h · Walk 4 km/h · Runtime ~1.5–2</t>
        </is>
      </c>
      <c r="BP43" s="145" t="n"/>
      <c r="BQ43" s="149" t="inlineStr">
        <is>
          <t>education; exhibitions; Interactive service; retail</t>
        </is>
      </c>
      <c r="BR43" s="149" t="inlineStr">
        <is>
          <t>Early commercial / production with lead times (subject to availability)</t>
        </is>
      </c>
      <c r="BS43" s="149" t="inlineStr">
        <is>
          <t>Early commercial / production with lead times (subject to availability)</t>
        </is>
      </c>
      <c r="BT43" s="145" t="inlineStr">
        <is>
          <t>Silver</t>
        </is>
      </c>
      <c r="BU43" s="145" t="inlineStr">
        <is>
          <t>Not verified</t>
        </is>
      </c>
      <c r="BV43" s="149" t="n"/>
      <c r="BW43" s="149" t="inlineStr">
        <is>
          <t>Origin &amp; status — China · Early commercial / production with lead times (subject to availability) · 2026 | Manipulation — 5 per hand · 5 per hand fingers · Hand DOF 11 DOF per hand (6 active) with dexterous hand option · Payload 8.8 lb | Sensing &amp; software — RGB-D + stereo + fisheye camera combos (multi-sensor suite) · Possible via ROS and external AI · ROS compatible with proprietary control stack | Buying notes — From $63,500 · 12 months manufacturer standard (typical research/commercial humanoid) · Best fit: education</t>
        </is>
      </c>
      <c r="BX43" s="149" t="inlineStr">
        <is>
          <t>as_shipped|CASBOT 02|63500|As shipped</t>
        </is>
      </c>
      <c r="BY43" s="145" t="inlineStr">
        <is>
          <t>silver|Silver|#e2e8f0|0</t>
        </is>
      </c>
      <c r="BZ43" s="145" t="inlineStr"/>
      <c r="CA43" s="149" t="n"/>
      <c r="CB43" s="149" t="inlineStr">
        <is>
          <t>12 months manufacturer standard (typical research/commercial humanoid)</t>
        </is>
      </c>
      <c r="CC43" s="147" t="n">
        <v>12</v>
      </c>
      <c r="CD43" s="149" t="inlineStr">
        <is>
          <t>+3 Year Extended ≈24% of configuration (default in configurator)</t>
        </is>
      </c>
      <c r="CE43" s="145" t="inlineStr">
        <is>
          <t>Humanoid category norm 2025–2026</t>
        </is>
      </c>
      <c r="CF43" s="145" t="inlineStr">
        <is>
          <t>Estimated</t>
        </is>
      </c>
      <c r="CG43" s="149" t="inlineStr">
        <is>
          <t>Confirm on formal OEM quote. EDU or enterprise packages may differ.</t>
        </is>
      </c>
      <c r="CH43" s="145" t="inlineStr">
        <is>
          <t>10%</t>
        </is>
      </c>
      <c r="CI43" s="145" t="inlineStr">
        <is>
          <t>17%</t>
        </is>
      </c>
      <c r="CJ43" s="145" t="inlineStr">
        <is>
          <t>24%</t>
        </is>
      </c>
      <c r="CK43" s="149" t="inlineStr">
        <is>
          <t>+1yr ≈10% | +2yr ≈17% | +3yr ≈24% of selected configuration price (parts &amp; labor beyond manufacturer standard).</t>
        </is>
      </c>
      <c r="CL43"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43" s="145" t="inlineStr">
        <is>
          <t>12 months manufacturer standard (typical research/commercial humanoid)</t>
        </is>
      </c>
      <c r="CQ43" s="101" t="inlineStr">
        <is>
          <t>Height: 5 ft 4 in | Weight: 110.2 | Degrees of Freedom: 25 | Payload: 8.8 | Max Speed: 3.73 | Battery / Runtime: ~1.5–2</t>
        </is>
      </c>
    </row>
    <row r="44" ht="31.5" customHeight="1" s="102">
      <c r="A44" s="152" t="inlineStr">
        <is>
          <t>casbot_beijing_zhongke_huiling_robotics_technolo_2</t>
        </is>
      </c>
      <c r="B44" s="153" t="inlineStr">
        <is>
          <t>Humanoid.guide</t>
        </is>
      </c>
      <c r="C44" s="152" t="inlineStr">
        <is>
          <t>CASBOT / Beijing Zhongke Huiling Robotics Technology Co., Ltd.</t>
        </is>
      </c>
      <c r="D44" s="152" t="inlineStr">
        <is>
          <t>CASBOT W1</t>
        </is>
      </c>
      <c r="E44" s="152" t="inlineStr">
        <is>
          <t>[CASBOT / Beijing Zhongke Huiling Robotics Technology Co., Ltd.] CASBOT W1 (2026)</t>
        </is>
      </c>
      <c r="F44" s="146" t="inlineStr">
        <is>
          <t>humanoid</t>
        </is>
      </c>
      <c r="G44" s="152" t="inlineStr">
        <is>
          <t>China</t>
        </is>
      </c>
      <c r="H44" s="152" t="n"/>
      <c r="I44" s="155" t="n">
        <v>67700</v>
      </c>
      <c r="J44" s="152" t="inlineStr">
        <is>
          <t>Humanoid.guide list</t>
        </is>
      </c>
      <c r="K44" s="156" t="inlineStr">
        <is>
          <t>CASBOT W1 is a wheeled humanoid robot platform that blends mobile navigation with dual-arm manipulation for embodied AI tasks in logistics, retail, and manufacturing workflows.</t>
        </is>
      </c>
      <c r="L44" s="101" t="inlineStr">
        <is>
          <t>CASBOT W1 is a wheeled humanoid robot platform that blends mobile navigation with dual-arm manipulation for embodied AI tasks in logistics, retail, and manufacturing workflows.</t>
        </is>
      </c>
      <c r="M44" s="101" t="inlineStr">
        <is>
          <t>CASBOT W1 is a wheeled humanoid robot platform that blends mobile navigation with dual-arm manipulation for embodied AI tasks in logistics, retail, and manufacturing workflows. Public status is listed as in production, and it is positioned for industrial automation; logistics; Research; retail.</t>
        </is>
      </c>
      <c r="N44" s="157" t="inlineStr">
        <is>
          <t>https://humanoid.guide/product/casbot-w1/</t>
        </is>
      </c>
      <c r="O44" s="157" t="inlineStr">
        <is>
          <t>https://www.casbot.com</t>
        </is>
      </c>
      <c r="P44" s="152" t="inlineStr">
        <is>
          <t>3 ft 8 in</t>
        </is>
      </c>
      <c r="Q44" s="152" t="n">
        <v>112</v>
      </c>
      <c r="R44" s="152" t="n">
        <v>573.2</v>
      </c>
      <c r="S44" s="152" t="n">
        <v>260</v>
      </c>
      <c r="T44" s="156" t="inlineStr">
        <is>
          <t>Not disclosed</t>
        </is>
      </c>
      <c r="U44" s="152" t="n"/>
      <c r="V44" s="152" t="inlineStr">
        <is>
          <t>20</t>
        </is>
      </c>
      <c r="W44" s="156" t="inlineStr">
        <is>
          <t>7 per arm</t>
        </is>
      </c>
      <c r="X44" s="152" t="n">
        <v>22</v>
      </c>
      <c r="Y44" s="152" t="n">
        <v>10</v>
      </c>
      <c r="Z44" s="152" t="n">
        <v>2.67</v>
      </c>
      <c r="AA44" s="152" t="n">
        <v>4.3</v>
      </c>
      <c r="AB44" s="152" t="n"/>
      <c r="AC44" s="156" t="inlineStr">
        <is>
          <t>~4–5</t>
        </is>
      </c>
      <c r="AD44" s="156" t="inlineStr">
        <is>
          <t>~4–5</t>
        </is>
      </c>
      <c r="AE44" s="152" t="n"/>
      <c r="AF44" s="152" t="inlineStr">
        <is>
          <t>Not disclosed</t>
        </is>
      </c>
      <c r="AG44" s="156" t="inlineStr">
        <is>
          <t>3-finger grippers</t>
        </is>
      </c>
      <c r="AH44" s="152" t="inlineStr">
        <is>
          <t>3-finger grippers</t>
        </is>
      </c>
      <c r="AI44" s="152" t="n"/>
      <c r="AJ44" s="156" t="inlineStr">
        <is>
          <t>RGB-D structured light units + stereo vision</t>
        </is>
      </c>
      <c r="AK44" s="156" t="inlineStr">
        <is>
          <t>RGB-D structured light units + stereo vision</t>
        </is>
      </c>
      <c r="AL44" s="152" t="inlineStr">
        <is>
          <t>Not disclosed</t>
        </is>
      </c>
      <c r="AM44" s="152" t="n"/>
      <c r="AN44" s="152" t="inlineStr">
        <is>
          <t>Not disclosed</t>
        </is>
      </c>
      <c r="AO44" s="152" t="inlineStr">
        <is>
          <t>Not disclosed</t>
        </is>
      </c>
      <c r="AP44" s="152" t="inlineStr">
        <is>
          <t>Not disclosed</t>
        </is>
      </c>
      <c r="AQ44" s="152" t="inlineStr">
        <is>
          <t>Not disclosed</t>
        </is>
      </c>
      <c r="AR44" s="152" t="n"/>
      <c r="AS44" s="152" t="n"/>
      <c r="AT44" s="156" t="inlineStr">
        <is>
          <t>Industrial PC (i9 CPU + NVIDIA 4060 GPU)</t>
        </is>
      </c>
      <c r="AU44" s="156" t="inlineStr">
        <is>
          <t>4G; Bluetooth 5.2; Ethernet; Wi-Fi 6</t>
        </is>
      </c>
      <c r="AV44" s="152" t="inlineStr">
        <is>
          <t>Not disclosed</t>
        </is>
      </c>
      <c r="AW44" s="156" t="inlineStr">
        <is>
          <t>Not disclosed</t>
        </is>
      </c>
      <c r="AX44" s="152" t="n"/>
      <c r="AY44" s="156" t="inlineStr">
        <is>
          <t>ROS-compatible with proprietary robotics stack</t>
        </is>
      </c>
      <c r="AZ44" s="156" t="inlineStr">
        <is>
          <t>Not explicitly published, but VLA-style instruction models are referenced in coverage</t>
        </is>
      </c>
      <c r="BA44" s="156" t="inlineStr">
        <is>
          <t>Estimated &amp;lt;100 ms</t>
        </is>
      </c>
      <c r="BB44" s="156" t="inlineStr">
        <is>
          <t>Industrial electric servos</t>
        </is>
      </c>
      <c r="BC44" s="156" t="inlineStr">
        <is>
          <t>High-precision reduction gears</t>
        </is>
      </c>
      <c r="BD44" s="152" t="inlineStr">
        <is>
          <t>Alloy + engineering plastics</t>
        </is>
      </c>
      <c r="BE44" s="152" t="inlineStr">
        <is>
          <t>IP20</t>
        </is>
      </c>
      <c r="BF44" s="152" t="inlineStr">
        <is>
          <t>Indoor class (assumed IP20–IP54)</t>
        </is>
      </c>
      <c r="BG44" s="152" t="n"/>
      <c r="BH44" s="152" t="n"/>
      <c r="BI44" s="152" t="n"/>
      <c r="BJ44" s="152" t="n"/>
      <c r="BK44" s="152" t="n"/>
      <c r="BL44" s="152" t="n"/>
      <c r="BM44" s="152" t="inlineStr">
        <is>
          <t>Yes</t>
        </is>
      </c>
      <c r="BN44" s="152" t="inlineStr">
        <is>
          <t>Not disclosed</t>
        </is>
      </c>
      <c r="BO44" s="156" t="inlineStr">
        <is>
          <t>Market: Industrial automation; logistics; Research; retail · Human-safe: Yes · AI: Not explicitly published, but VLA-style instruction models are referenced in coverage · Actuation: Industrial electric servos · Peak 4.3 km/h · Runtime ~4–5</t>
        </is>
      </c>
      <c r="BP44" s="152" t="n"/>
      <c r="BQ44" s="156" t="inlineStr">
        <is>
          <t>Industrial automation; logistics; Research; retail</t>
        </is>
      </c>
      <c r="BR44" s="156" t="inlineStr">
        <is>
          <t>In production</t>
        </is>
      </c>
      <c r="BS44" s="156" t="inlineStr">
        <is>
          <t>In production</t>
        </is>
      </c>
      <c r="BT44" s="152" t="inlineStr">
        <is>
          <t>Industrial gray/white</t>
        </is>
      </c>
      <c r="BU44" s="152" t="inlineStr">
        <is>
          <t>Not verified</t>
        </is>
      </c>
      <c r="BV44" s="156" t="n"/>
      <c r="BW44" s="156" t="inlineStr">
        <is>
          <t>Origin &amp; status — China · In production · 2026 | Manipulation — 3-finger grippers · Hand DOF 7 per arm · Payload 22 lb | Sensing &amp; software — RGB-D structured light units + stereo vision · Not explicitly published, but VLA-style instruction models are referenced in coverage · ROS-compatible with p… | Buying notes — From $67,700 · 12 months manufacturer standard (typical research/commercial humanoid) · Best fit: Industrial automation</t>
        </is>
      </c>
      <c r="BX44" s="156" t="inlineStr">
        <is>
          <t>as_shipped|CASBOT W1|67700|As shipped</t>
        </is>
      </c>
      <c r="BY44" s="152" t="inlineStr">
        <is>
          <t>industrial_gray|Industrial gray|#e2e8f0|0 || white|white|#1e293b|0</t>
        </is>
      </c>
      <c r="BZ44" s="152" t="inlineStr"/>
      <c r="CA44" s="156" t="n"/>
      <c r="CB44" s="156" t="inlineStr">
        <is>
          <t>12 months manufacturer standard (typical research/commercial humanoid)</t>
        </is>
      </c>
      <c r="CC44" s="154" t="n">
        <v>12</v>
      </c>
      <c r="CD44" s="156" t="inlineStr">
        <is>
          <t>+3 Year Extended ≈24% of configuration (default in configurator)</t>
        </is>
      </c>
      <c r="CE44" s="152" t="inlineStr">
        <is>
          <t>Humanoid category norm 2025–2026</t>
        </is>
      </c>
      <c r="CF44" s="152" t="inlineStr">
        <is>
          <t>Estimated</t>
        </is>
      </c>
      <c r="CG44" s="156" t="inlineStr">
        <is>
          <t>Confirm on formal OEM quote. EDU or enterprise packages may differ.</t>
        </is>
      </c>
      <c r="CH44" s="152" t="inlineStr">
        <is>
          <t>10%</t>
        </is>
      </c>
      <c r="CI44" s="152" t="inlineStr">
        <is>
          <t>17%</t>
        </is>
      </c>
      <c r="CJ44" s="152" t="inlineStr">
        <is>
          <t>24%</t>
        </is>
      </c>
      <c r="CK44" s="156" t="inlineStr">
        <is>
          <t>+1yr ≈10% | +2yr ≈17% | +3yr ≈24% of selected configuration price (parts &amp; labor beyond manufacturer standard).</t>
        </is>
      </c>
      <c r="CL44"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44" s="152" t="inlineStr">
        <is>
          <t>12 months manufacturer standard (typical research/commercial humanoid)</t>
        </is>
      </c>
      <c r="CQ44" s="101" t="inlineStr">
        <is>
          <t>Height: 3 ft 8 in | Weight: 573.2 | Degrees of Freedom: 20 | Payload: 22 | Max Speed: 2.67 | Battery / Runtime: ~4–5</t>
        </is>
      </c>
    </row>
    <row r="45" ht="31.5" customHeight="1" s="102">
      <c r="A45" s="145" t="inlineStr">
        <is>
          <t>casivision_casivibot</t>
        </is>
      </c>
      <c r="B45" s="153" t="inlineStr">
        <is>
          <t>Humanoid.guide</t>
        </is>
      </c>
      <c r="C45" s="145" t="inlineStr">
        <is>
          <t>CasiVision</t>
        </is>
      </c>
      <c r="D45" s="145" t="inlineStr">
        <is>
          <t>CASIVIBOT</t>
        </is>
      </c>
      <c r="E45" s="145" t="inlineStr">
        <is>
          <t>[CasiVision] CASIVIBOT (2026)</t>
        </is>
      </c>
      <c r="F45" s="146" t="inlineStr">
        <is>
          <t>humanoid</t>
        </is>
      </c>
      <c r="G45" s="145" t="inlineStr">
        <is>
          <t>China</t>
        </is>
      </c>
      <c r="H45" s="145" t="n"/>
      <c r="I45" s="148" t="n">
        <v>29000</v>
      </c>
      <c r="J45" s="145" t="inlineStr">
        <is>
          <t>Humanoid.guide list</t>
        </is>
      </c>
      <c r="K45" s="149" t="inlineStr">
        <is>
          <t>CASIVIBOT is a compact humanoid service robot designed for smooth interaction, reliable support tasks, and safe operation in indoor environments.</t>
        </is>
      </c>
      <c r="L45" s="101" t="inlineStr">
        <is>
          <t>CASIVIBOT is a compact humanoid service robot designed for smooth interaction, reliable support tasks, and safe operation in indoor environments.</t>
        </is>
      </c>
      <c r="M45" s="101" t="inlineStr">
        <is>
          <t>CASIVIBOT is a compact humanoid service robot designed for smooth interaction, reliable support tasks, and safe operation in indoor environments. Public status is listed as in production, and it is positioned for healthcare; Hospitality; Industrial &amp; commercial service; research labs.</t>
        </is>
      </c>
      <c r="N45" s="150" t="inlineStr">
        <is>
          <t>https://humanoid.guide/product/casivibot/</t>
        </is>
      </c>
      <c r="O45" s="150" t="inlineStr">
        <is>
          <t>https://en.zhongkehuiyuan.com/</t>
        </is>
      </c>
      <c r="P45" s="145" t="inlineStr">
        <is>
          <t>4 ft 7 in</t>
        </is>
      </c>
      <c r="Q45" s="145" t="n">
        <v>140</v>
      </c>
      <c r="R45" s="145" t="n">
        <v>121.3</v>
      </c>
      <c r="S45" s="145" t="n">
        <v>55</v>
      </c>
      <c r="T45" s="149" t="inlineStr">
        <is>
          <t>Not disclosed</t>
        </is>
      </c>
      <c r="U45" s="145" t="n"/>
      <c r="V45" s="145" t="inlineStr">
        <is>
          <t>14</t>
        </is>
      </c>
      <c r="W45" s="149" t="inlineStr">
        <is>
          <t>2–3 per gripper</t>
        </is>
      </c>
      <c r="X45" s="145" t="n">
        <v>22</v>
      </c>
      <c r="Y45" s="145" t="n">
        <v>10</v>
      </c>
      <c r="Z45" s="145" t="n">
        <v>2.17</v>
      </c>
      <c r="AA45" s="145" t="n">
        <v>3.5</v>
      </c>
      <c r="AB45" s="145" t="n"/>
      <c r="AC45" s="149" t="inlineStr">
        <is>
          <t>≈ 8 hours</t>
        </is>
      </c>
      <c r="AD45" s="149" t="inlineStr">
        <is>
          <t>8</t>
        </is>
      </c>
      <c r="AE45" s="145" t="n"/>
      <c r="AF45" s="145" t="inlineStr">
        <is>
          <t>Not disclosed</t>
        </is>
      </c>
      <c r="AG45" s="149" t="inlineStr">
        <is>
          <t>2-finger gripping claws</t>
        </is>
      </c>
      <c r="AH45" s="145" t="inlineStr">
        <is>
          <t>2-finger gripping claws</t>
        </is>
      </c>
      <c r="AI45" s="151" t="n">
        <v>3</v>
      </c>
      <c r="AJ45" s="149" t="inlineStr">
        <is>
          <t>Likely 1080p RGB + depth sensors</t>
        </is>
      </c>
      <c r="AK45" s="149" t="inlineStr">
        <is>
          <t>Likely 1080p RGB + depth sensors</t>
        </is>
      </c>
      <c r="AL45" s="145" t="inlineStr">
        <is>
          <t>Not disclosed</t>
        </is>
      </c>
      <c r="AM45" s="145" t="n"/>
      <c r="AN45" s="145" t="inlineStr">
        <is>
          <t>Not disclosed</t>
        </is>
      </c>
      <c r="AO45" s="145" t="inlineStr">
        <is>
          <t>Not disclosed</t>
        </is>
      </c>
      <c r="AP45" s="145" t="inlineStr">
        <is>
          <t>Not disclosed</t>
        </is>
      </c>
      <c r="AQ45" s="145" t="inlineStr">
        <is>
          <t>Not disclosed</t>
        </is>
      </c>
      <c r="AR45" s="145" t="n"/>
      <c r="AS45" s="145" t="n"/>
      <c r="AT45" s="149" t="inlineStr">
        <is>
          <t>Industrial CPU + embedded GPU (likely NVIDIA Jetson class)</t>
        </is>
      </c>
      <c r="AU45" s="149" t="inlineStr">
        <is>
          <t>Bluetooth; Ethernet; Wi‑Fi</t>
        </is>
      </c>
      <c r="AV45" s="145" t="inlineStr">
        <is>
          <t>Not disclosed</t>
        </is>
      </c>
      <c r="AW45" s="149" t="inlineStr">
        <is>
          <t>Not disclosed</t>
        </is>
      </c>
      <c r="AX45" s="151" t="n">
        <v>3</v>
      </c>
      <c r="AY45" s="149" t="inlineStr">
        <is>
          <t>Linux-based ROS environment</t>
        </is>
      </c>
      <c r="AZ45" s="149" t="inlineStr">
        <is>
          <t>Not disclosed</t>
        </is>
      </c>
      <c r="BA45" s="149" t="inlineStr">
        <is>
          <t>150–250 ms</t>
        </is>
      </c>
      <c r="BB45" s="149" t="inlineStr">
        <is>
          <t>Electric servo motors</t>
        </is>
      </c>
      <c r="BC45" s="149" t="inlineStr">
        <is>
          <t>Harmonic or planetary gears</t>
        </is>
      </c>
      <c r="BD45" s="145" t="inlineStr">
        <is>
          <t>ABS composite + light metal frame</t>
        </is>
      </c>
      <c r="BE45" s="145" t="inlineStr">
        <is>
          <t>IP20</t>
        </is>
      </c>
      <c r="BF45" s="145" t="inlineStr">
        <is>
          <t>IP20</t>
        </is>
      </c>
      <c r="BG45" s="145" t="n"/>
      <c r="BH45" s="145" t="n"/>
      <c r="BI45" s="145" t="n"/>
      <c r="BJ45" s="145" t="n"/>
      <c r="BK45" s="145" t="n"/>
      <c r="BL45" s="145" t="n"/>
      <c r="BM45" s="145" t="inlineStr">
        <is>
          <t>Yes</t>
        </is>
      </c>
      <c r="BN45" s="145" t="inlineStr">
        <is>
          <t>Not disclosed</t>
        </is>
      </c>
      <c r="BO45" s="149" t="inlineStr">
        <is>
          <t>Market: healthcare; Hospitality; Industrial &amp; commercial service; research labs · Manipulation 3/4 · Navigation 3/4 · Human-safe: Yes · AI: Not specified · Actuation: Electric servo motors · Peak 3.5 km/h · Runtime 8</t>
        </is>
      </c>
      <c r="BP45" s="145" t="n"/>
      <c r="BQ45" s="149" t="inlineStr">
        <is>
          <t>healthcare; Hospitality; Industrial &amp; commercial service; research labs</t>
        </is>
      </c>
      <c r="BR45" s="149" t="inlineStr">
        <is>
          <t>In production</t>
        </is>
      </c>
      <c r="BS45" s="149" t="inlineStr">
        <is>
          <t>In production</t>
        </is>
      </c>
      <c r="BT45" s="145" t="inlineStr">
        <is>
          <t>White, grey, and navy blue</t>
        </is>
      </c>
      <c r="BU45" s="145" t="inlineStr">
        <is>
          <t>Not verified</t>
        </is>
      </c>
      <c r="BV45" s="149" t="n"/>
      <c r="BW45" s="149" t="inlineStr">
        <is>
          <t>Origin &amp; status — China · In production · 2026 | Manipulation — 2-finger gripping claws · Hand DOF 2–3 per gripper · Payload 22 lb | Sensing &amp; software — Likely 1080p RGB + depth sensors · Linux-based ROS environment | Buying notes — From $29,000 · 12 months manufacturer standard (typical research/commercial humanoid) · Best fit: healthcare</t>
        </is>
      </c>
      <c r="BX45" s="149" t="inlineStr">
        <is>
          <t>as_shipped|CASIVIBOT|29000|As shipped</t>
        </is>
      </c>
      <c r="BY45" s="145" t="inlineStr">
        <is>
          <t>white|White|#e2e8f0|0 || grey|grey|#1e293b|0 || and_navy_blue|and navy blue|#0891b2|0</t>
        </is>
      </c>
      <c r="BZ45" s="145" t="inlineStr"/>
      <c r="CA45" s="149" t="n"/>
      <c r="CB45" s="149" t="inlineStr">
        <is>
          <t>12 months manufacturer standard (typical research/commercial humanoid)</t>
        </is>
      </c>
      <c r="CC45" s="147" t="n">
        <v>12</v>
      </c>
      <c r="CD45" s="149" t="inlineStr">
        <is>
          <t>+3 Year Extended ≈24% of configuration (default in configurator)</t>
        </is>
      </c>
      <c r="CE45" s="145" t="inlineStr">
        <is>
          <t>Humanoid category norm 2025–2026</t>
        </is>
      </c>
      <c r="CF45" s="145" t="inlineStr">
        <is>
          <t>Estimated</t>
        </is>
      </c>
      <c r="CG45" s="149" t="inlineStr">
        <is>
          <t>Confirm on formal OEM quote. EDU or enterprise packages may differ.</t>
        </is>
      </c>
      <c r="CH45" s="145" t="inlineStr">
        <is>
          <t>10%</t>
        </is>
      </c>
      <c r="CI45" s="145" t="inlineStr">
        <is>
          <t>17%</t>
        </is>
      </c>
      <c r="CJ45" s="145" t="inlineStr">
        <is>
          <t>24%</t>
        </is>
      </c>
      <c r="CK45" s="149" t="inlineStr">
        <is>
          <t>+1yr ≈10% | +2yr ≈17% | +3yr ≈24% of selected configuration price (parts &amp; labor beyond manufacturer standard).</t>
        </is>
      </c>
      <c r="CL4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45" s="145" t="inlineStr">
        <is>
          <t>12 months manufacturer standard (typical research/commercial humanoid)</t>
        </is>
      </c>
      <c r="CQ45" s="101" t="inlineStr">
        <is>
          <t>Height: 4 ft 7 in | Weight: 121.3 | Degrees of Freedom: 14 | Payload: 22 | Max Speed: 2.17 | Battery / Runtime: ≈ 8 hours</t>
        </is>
      </c>
    </row>
    <row r="46" ht="31.5" customHeight="1" s="102">
      <c r="A46" s="152" t="inlineStr">
        <is>
          <t>clone_robotics_clone_alpha</t>
        </is>
      </c>
      <c r="B46" s="153" t="inlineStr">
        <is>
          <t>Humanoid.guide</t>
        </is>
      </c>
      <c r="C46" s="152" t="inlineStr">
        <is>
          <t>Clone Robotics</t>
        </is>
      </c>
      <c r="D46" s="152" t="inlineStr">
        <is>
          <t>Clone Alpha</t>
        </is>
      </c>
      <c r="E46" s="152" t="inlineStr">
        <is>
          <t>[Clone Robotics] Clone Alpha (2026)</t>
        </is>
      </c>
      <c r="F46" s="146" t="inlineStr">
        <is>
          <t>humanoid</t>
        </is>
      </c>
      <c r="G46" s="152" t="inlineStr">
        <is>
          <t>Poland</t>
        </is>
      </c>
      <c r="H46" s="152" t="n"/>
      <c r="I46" s="155" t="n">
        <v>100000</v>
      </c>
      <c r="J46" s="152" t="inlineStr">
        <is>
          <t>Humanoid.guide list</t>
        </is>
      </c>
      <c r="K46" s="156" t="inlineStr">
        <is>
          <t>Clone Alpha is Clone Robotics's humanoid — 5 ft 7 in class, 164 DOF, 44.1 lb payload. Aimed at research, commercial pilots, education, and professional deployment.</t>
        </is>
      </c>
      <c r="L46" s="101" t="inlineStr">
        <is>
          <t>Clone Alpha is Clone Robotics's humanoid — 5 ft 7 in class, 164 DOF, 44.1 lb payload. Aimed at research, commercial pilots, education, and professional deployment.</t>
        </is>
      </c>
      <c r="M46" s="101" t="inlineStr">
        <is>
          <t>Clone Alpha is Clone Robotics's humanoid — 5 ft 7 in class, 164 DOF, 44.1 lb payload. Aimed at research, commercial pilots, education, and professional deployment. Public status is listed as prototype.</t>
        </is>
      </c>
      <c r="N46" s="157" t="inlineStr">
        <is>
          <t>https://humanoid.guide/product/clone-alpha/</t>
        </is>
      </c>
      <c r="O46" s="152" t="inlineStr">
        <is>
          <t>https://clonerobotics.com</t>
        </is>
      </c>
      <c r="P46" s="152" t="inlineStr">
        <is>
          <t>5 ft 7 in</t>
        </is>
      </c>
      <c r="Q46" s="152" t="n">
        <v>170</v>
      </c>
      <c r="R46" s="152" t="n">
        <v>132.3</v>
      </c>
      <c r="S46" s="152" t="n">
        <v>60</v>
      </c>
      <c r="T46" s="156" t="inlineStr">
        <is>
          <t>Not disclosed</t>
        </is>
      </c>
      <c r="U46" s="152" t="n"/>
      <c r="V46" s="152" t="inlineStr">
        <is>
          <t>164</t>
        </is>
      </c>
      <c r="W46" s="156" t="inlineStr">
        <is>
          <t>Not disclosed</t>
        </is>
      </c>
      <c r="X46" s="152" t="n">
        <v>44.1</v>
      </c>
      <c r="Y46" s="152" t="n">
        <v>20</v>
      </c>
      <c r="Z46" s="152" t="n">
        <v>3.11</v>
      </c>
      <c r="AA46" s="152" t="n">
        <v>5</v>
      </c>
      <c r="AB46" s="152" t="n"/>
      <c r="AC46" s="156" t="inlineStr">
        <is>
          <t>≈ 1.5 hours</t>
        </is>
      </c>
      <c r="AD46" s="156" t="inlineStr">
        <is>
          <t>1.5</t>
        </is>
      </c>
      <c r="AE46" s="152" t="n"/>
      <c r="AF46" s="152" t="inlineStr">
        <is>
          <t>Not disclosed</t>
        </is>
      </c>
      <c r="AG46" s="156" t="inlineStr">
        <is>
          <t>Not disclosed</t>
        </is>
      </c>
      <c r="AH46" s="152" t="inlineStr">
        <is>
          <t>Not disclosed</t>
        </is>
      </c>
      <c r="AI46" s="158" t="n">
        <v>2</v>
      </c>
      <c r="AJ46" s="156" t="inlineStr">
        <is>
          <t>Not disclosed</t>
        </is>
      </c>
      <c r="AK46" s="156" t="n"/>
      <c r="AL46" s="152" t="inlineStr">
        <is>
          <t>Not disclosed</t>
        </is>
      </c>
      <c r="AM46" s="152" t="n"/>
      <c r="AN46" s="152" t="inlineStr">
        <is>
          <t>Not disclosed</t>
        </is>
      </c>
      <c r="AO46" s="152" t="inlineStr">
        <is>
          <t>Not disclosed</t>
        </is>
      </c>
      <c r="AP46" s="152" t="inlineStr">
        <is>
          <t>Not disclosed</t>
        </is>
      </c>
      <c r="AQ46" s="152" t="inlineStr">
        <is>
          <t>Not disclosed</t>
        </is>
      </c>
      <c r="AR46" s="152" t="n"/>
      <c r="AS46" s="152" t="n"/>
      <c r="AT46" s="156" t="inlineStr">
        <is>
          <t>Not disclosed</t>
        </is>
      </c>
      <c r="AU46" s="156" t="inlineStr">
        <is>
          <t>Not disclosed</t>
        </is>
      </c>
      <c r="AV46" s="152" t="inlineStr">
        <is>
          <t>Not disclosed</t>
        </is>
      </c>
      <c r="AW46" s="156" t="inlineStr">
        <is>
          <t>Not disclosed</t>
        </is>
      </c>
      <c r="AX46" s="158" t="n">
        <v>2</v>
      </c>
      <c r="AY46" s="156" t="inlineStr">
        <is>
          <t>Not disclosed</t>
        </is>
      </c>
      <c r="AZ46" s="156" t="inlineStr">
        <is>
          <t>Not disclosed</t>
        </is>
      </c>
      <c r="BA46" s="156" t="n"/>
      <c r="BB46" s="156" t="inlineStr">
        <is>
          <t>Not disclosed</t>
        </is>
      </c>
      <c r="BC46" s="156" t="inlineStr">
        <is>
          <t>Not disclosed</t>
        </is>
      </c>
      <c r="BD46" s="152" t="inlineStr">
        <is>
          <t>Not disclosed</t>
        </is>
      </c>
      <c r="BE46" s="152" t="inlineStr">
        <is>
          <t>Not disclosed</t>
        </is>
      </c>
      <c r="BF46" s="152" t="n"/>
      <c r="BG46" s="152" t="n"/>
      <c r="BH46" s="152" t="n"/>
      <c r="BI46" s="152" t="n"/>
      <c r="BJ46" s="152" t="n"/>
      <c r="BK46" s="152" t="n"/>
      <c r="BL46" s="152" t="n"/>
      <c r="BM46" s="152" t="inlineStr">
        <is>
          <t>Not disclosed</t>
        </is>
      </c>
      <c r="BN46" s="152" t="inlineStr">
        <is>
          <t>Not disclosed</t>
        </is>
      </c>
      <c r="BO46" s="156" t="inlineStr">
        <is>
          <t>Manipulation 2/4 · Navigation 2/4 · Peak 5 km/h · Runtime 1.5</t>
        </is>
      </c>
      <c r="BP46" s="152" t="n"/>
      <c r="BQ46" s="156" t="inlineStr">
        <is>
          <t>Research labs, commercial pilots, and education programs evaluating a humanoid from Clone Robotics (Poland) now listed as prototype.</t>
        </is>
      </c>
      <c r="BR46" s="156" t="inlineStr">
        <is>
          <t>Prototype</t>
        </is>
      </c>
      <c r="BS46" s="156" t="inlineStr">
        <is>
          <t>Prototype</t>
        </is>
      </c>
      <c r="BT46" s="152" t="n"/>
      <c r="BU46" s="152" t="inlineStr">
        <is>
          <t>Not verified</t>
        </is>
      </c>
      <c r="BV46" s="156" t="n"/>
      <c r="BW46" s="156" t="inlineStr">
        <is>
          <t>Origin &amp; status — Poland · Prototype · 2026 | Manipulation — Payload 44.1 lb | Sensing &amp; software — Sensor and compute package confirmed on formal quote | Buying notes — From $100,000 · 12 months manufacturer standard (typical research/commercial humanoid)</t>
        </is>
      </c>
      <c r="BX46" s="156" t="inlineStr">
        <is>
          <t>as_shipped|Clone Alpha|100000|As shipped</t>
        </is>
      </c>
      <c r="BY46" s="152" t="inlineStr">
        <is>
          <t>clone_alpha|Manufacturer finish|#e2e8f0|0</t>
        </is>
      </c>
      <c r="BZ46" s="152" t="inlineStr"/>
      <c r="CA46" s="156" t="n"/>
      <c r="CB46" s="156" t="inlineStr">
        <is>
          <t>12 months manufacturer standard (typical research/commercial humanoid)</t>
        </is>
      </c>
      <c r="CC46" s="154" t="n">
        <v>12</v>
      </c>
      <c r="CD46" s="156" t="inlineStr">
        <is>
          <t>+3 Year Extended ≈24% of configuration (default in configurator)</t>
        </is>
      </c>
      <c r="CE46" s="152" t="inlineStr">
        <is>
          <t>Humanoid category norm 2025–2026</t>
        </is>
      </c>
      <c r="CF46" s="152" t="inlineStr">
        <is>
          <t>Estimated</t>
        </is>
      </c>
      <c r="CG46" s="156" t="inlineStr">
        <is>
          <t>Confirm on formal OEM quote. EDU or enterprise packages may differ.</t>
        </is>
      </c>
      <c r="CH46" s="152" t="inlineStr">
        <is>
          <t>10%</t>
        </is>
      </c>
      <c r="CI46" s="152" t="inlineStr">
        <is>
          <t>17%</t>
        </is>
      </c>
      <c r="CJ46" s="152" t="inlineStr">
        <is>
          <t>24%</t>
        </is>
      </c>
      <c r="CK46" s="156" t="inlineStr">
        <is>
          <t>+1yr ≈10% | +2yr ≈17% | +3yr ≈24% of selected configuration price (parts &amp; labor beyond manufacturer standard).</t>
        </is>
      </c>
      <c r="CL46"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46" s="152" t="inlineStr">
        <is>
          <t>12 months manufacturer standard (typical research/commercial humanoid)</t>
        </is>
      </c>
      <c r="CQ46" s="101" t="inlineStr">
        <is>
          <t>Height: 5 ft 7 in | Weight: 132.3 | Degrees of Freedom: 164 | Payload: 44.1 | Max Speed: 3.11 | Battery / Runtime: ≈ 1.5 hours</t>
        </is>
      </c>
    </row>
    <row r="47" ht="31.5" customHeight="1" s="102">
      <c r="A47" s="145" t="inlineStr">
        <is>
          <t>cyan_robotics_orca</t>
        </is>
      </c>
      <c r="B47" s="153" t="inlineStr">
        <is>
          <t>Humanoid.guide</t>
        </is>
      </c>
      <c r="C47" s="145" t="inlineStr">
        <is>
          <t>Cyan Robotics</t>
        </is>
      </c>
      <c r="D47" s="145" t="inlineStr">
        <is>
          <t>Orca</t>
        </is>
      </c>
      <c r="E47" s="145" t="inlineStr">
        <is>
          <t>[Cyan Robotics] Orca (2026)</t>
        </is>
      </c>
      <c r="F47" s="146" t="inlineStr">
        <is>
          <t>humanoid</t>
        </is>
      </c>
      <c r="G47" s="145" t="inlineStr">
        <is>
          <t>China</t>
        </is>
      </c>
      <c r="H47" s="145" t="n"/>
      <c r="I47" s="148" t="n">
        <v>34000</v>
      </c>
      <c r="J47" s="145" t="inlineStr">
        <is>
          <t>Humanoid.guide list</t>
        </is>
      </c>
      <c r="K47" s="149" t="inlineStr">
        <is>
          <t>Orca is a versatile humanoid robot by Cyan Robotics that offers stable locomotion, reliable perception, and flexible manipulation for research, training, and early industrial applications.</t>
        </is>
      </c>
      <c r="L47" s="101" t="inlineStr">
        <is>
          <t>Orca is a versatile humanoid robot by Cyan Robotics that offers stable locomotion, reliable perception, and flexible manipulation for research, training, and early industrial applications.</t>
        </is>
      </c>
      <c r="M47" s="101" t="inlineStr">
        <is>
          <t>Orca is a versatile humanoid robot by Cyan Robotics that offers stable locomotion, reliable perception, and flexible manipulation for research, training, and early industrial applications. Public status is listed as prototype, and it is positioned for automation R&amp;D; education; exhibitions; research labs; universities.</t>
        </is>
      </c>
      <c r="N47" s="150" t="inlineStr">
        <is>
          <t>https://humanoid.guide/product/orca/</t>
        </is>
      </c>
      <c r="O47" s="145" t="inlineStr">
        <is>
          <t>https://www.cyanrobotics.com</t>
        </is>
      </c>
      <c r="P47" s="145" t="inlineStr">
        <is>
          <t>5 ft 3 in</t>
        </is>
      </c>
      <c r="Q47" s="145" t="n">
        <v>160</v>
      </c>
      <c r="R47" s="145" t="n">
        <v>110.2</v>
      </c>
      <c r="S47" s="145" t="n">
        <v>50</v>
      </c>
      <c r="T47" s="149" t="inlineStr">
        <is>
          <t>Not disclosed</t>
        </is>
      </c>
      <c r="U47" s="145" t="inlineStr">
        <is>
          <t>170 × 60 × 50 cm</t>
        </is>
      </c>
      <c r="V47" s="145" t="inlineStr">
        <is>
          <t>40</t>
        </is>
      </c>
      <c r="W47" s="149" t="inlineStr">
        <is>
          <t>10</t>
        </is>
      </c>
      <c r="X47" s="145" t="n">
        <v>19.8</v>
      </c>
      <c r="Y47" s="145" t="n">
        <v>9</v>
      </c>
      <c r="Z47" s="145" t="n">
        <v>1.86</v>
      </c>
      <c r="AA47" s="145" t="n">
        <v>3</v>
      </c>
      <c r="AB47" s="145" t="n">
        <v>2.5</v>
      </c>
      <c r="AC47" s="149" t="inlineStr">
        <is>
          <t>≈ 2 hours</t>
        </is>
      </c>
      <c r="AD47" s="149" t="inlineStr">
        <is>
          <t>2</t>
        </is>
      </c>
      <c r="AE47" s="145" t="n"/>
      <c r="AF47" s="145" t="inlineStr">
        <is>
          <t>Not disclosed</t>
        </is>
      </c>
      <c r="AG47" s="149" t="inlineStr">
        <is>
          <t>5 per hand</t>
        </is>
      </c>
      <c r="AH47" s="145" t="inlineStr">
        <is>
          <t>5 per hand</t>
        </is>
      </c>
      <c r="AI47" s="151" t="n">
        <v>3</v>
      </c>
      <c r="AJ47" s="149" t="inlineStr">
        <is>
          <t>1080p binocular + depth</t>
        </is>
      </c>
      <c r="AK47" s="149" t="inlineStr">
        <is>
          <t>1080p binocular + depth</t>
        </is>
      </c>
      <c r="AL47" s="145" t="inlineStr">
        <is>
          <t>Not disclosed</t>
        </is>
      </c>
      <c r="AM47" s="145" t="n"/>
      <c r="AN47" s="145" t="inlineStr">
        <is>
          <t>Not disclosed</t>
        </is>
      </c>
      <c r="AO47" s="145" t="inlineStr">
        <is>
          <t>Not disclosed</t>
        </is>
      </c>
      <c r="AP47" s="145" t="inlineStr">
        <is>
          <t>Not disclosed</t>
        </is>
      </c>
      <c r="AQ47" s="145" t="inlineStr">
        <is>
          <t>Not disclosed</t>
        </is>
      </c>
      <c r="AR47" s="145" t="n"/>
      <c r="AS47" s="145" t="n"/>
      <c r="AT47" s="149" t="inlineStr">
        <is>
          <t>Industrial ARM CPU + onboard GPU module</t>
        </is>
      </c>
      <c r="AU47" s="149" t="inlineStr">
        <is>
          <t>Bluetooth; Ethernet; USB; Wi‑Fi</t>
        </is>
      </c>
      <c r="AV47" s="145" t="inlineStr">
        <is>
          <t>Not disclosed</t>
        </is>
      </c>
      <c r="AW47" s="149" t="inlineStr">
        <is>
          <t>Not disclosed</t>
        </is>
      </c>
      <c r="AX47" s="151" t="n">
        <v>3</v>
      </c>
      <c r="AY47" s="149" t="inlineStr">
        <is>
          <t>Linux (ROS2-based)</t>
        </is>
      </c>
      <c r="AZ47" s="149" t="inlineStr">
        <is>
          <t>External cloud connection possible; not native</t>
        </is>
      </c>
      <c r="BA47" s="149" t="inlineStr">
        <is>
          <t>&amp;lt;200ms (End-to-End)</t>
        </is>
      </c>
      <c r="BB47" s="149" t="inlineStr">
        <is>
          <t>Electric servo motors</t>
        </is>
      </c>
      <c r="BC47" s="149" t="inlineStr">
        <is>
          <t>Harmonic/planetary mixed reducers</t>
        </is>
      </c>
      <c r="BD47" s="145" t="inlineStr">
        <is>
          <t>Aluminum + polymer shell</t>
        </is>
      </c>
      <c r="BE47" s="145" t="inlineStr">
        <is>
          <t>IP20</t>
        </is>
      </c>
      <c r="BF47" s="145" t="inlineStr">
        <is>
          <t>IP20</t>
        </is>
      </c>
      <c r="BG47" s="145" t="n"/>
      <c r="BH47" s="145" t="n"/>
      <c r="BI47" s="145" t="n"/>
      <c r="BJ47" s="145" t="n"/>
      <c r="BK47" s="145" t="n"/>
      <c r="BL47" s="145" t="n"/>
      <c r="BM47" s="145" t="inlineStr">
        <is>
          <t>Yes</t>
        </is>
      </c>
      <c r="BN47" s="145" t="inlineStr">
        <is>
          <t>Not disclosed</t>
        </is>
      </c>
      <c r="BO47" s="149" t="inlineStr">
        <is>
          <t>Market: automation R&amp;D; education; exhibitions; research labs; universities · Manipulation 3/4 · Navigation 3/4 · Human-safe: Yes · AI: External cloud connection possible; not native · Actuation: Electric servo motors · Peak 3 km/h · Walk 2.5 km/h · Runtime 2</t>
        </is>
      </c>
      <c r="BP47" s="145" t="n"/>
      <c r="BQ47" s="149" t="inlineStr">
        <is>
          <t>automation R&amp;D; education; exhibitions; research labs; universities</t>
        </is>
      </c>
      <c r="BR47" s="149" t="inlineStr">
        <is>
          <t>Prototype</t>
        </is>
      </c>
      <c r="BS47" s="149" t="inlineStr">
        <is>
          <t>Prototype</t>
        </is>
      </c>
      <c r="BT47" s="145" t="inlineStr">
        <is>
          <t>White</t>
        </is>
      </c>
      <c r="BU47" s="145" t="inlineStr">
        <is>
          <t>Not verified</t>
        </is>
      </c>
      <c r="BV47" s="149" t="n"/>
      <c r="BW47" s="149" t="inlineStr">
        <is>
          <t>Origin &amp; status — China · Prototype · 2026 | Manipulation — 5 per hand · 5 per hand fingers · Hand DOF 10 · Payload 19.8 lb | Sensing &amp; software — 1080p binocular + depth · External cloud connection possible; not native · Linux (ROS2-based) | Buying notes — From $34,000 · 12 months manufacturer standard (typical research/commercial humanoid) · Best fit: automation R&amp;D</t>
        </is>
      </c>
      <c r="BX47" s="149" t="inlineStr">
        <is>
          <t>as_shipped|Orca|34000|As shipped</t>
        </is>
      </c>
      <c r="BY47" s="145" t="inlineStr">
        <is>
          <t>white|White|#e2e8f0|0</t>
        </is>
      </c>
      <c r="BZ47" s="145" t="inlineStr"/>
      <c r="CA47" s="149" t="n"/>
      <c r="CB47" s="149" t="inlineStr">
        <is>
          <t>12 months manufacturer standard (typical research/commercial humanoid)</t>
        </is>
      </c>
      <c r="CC47" s="147" t="n">
        <v>12</v>
      </c>
      <c r="CD47" s="149" t="inlineStr">
        <is>
          <t>+3 Year Extended ≈24% of configuration (default in configurator)</t>
        </is>
      </c>
      <c r="CE47" s="145" t="inlineStr">
        <is>
          <t>Humanoid category norm 2025–2026</t>
        </is>
      </c>
      <c r="CF47" s="145" t="inlineStr">
        <is>
          <t>Estimated</t>
        </is>
      </c>
      <c r="CG47" s="149" t="inlineStr">
        <is>
          <t>Confirm on formal OEM quote. EDU or enterprise packages may differ.</t>
        </is>
      </c>
      <c r="CH47" s="145" t="inlineStr">
        <is>
          <t>10%</t>
        </is>
      </c>
      <c r="CI47" s="145" t="inlineStr">
        <is>
          <t>17%</t>
        </is>
      </c>
      <c r="CJ47" s="145" t="inlineStr">
        <is>
          <t>24%</t>
        </is>
      </c>
      <c r="CK47" s="149" t="inlineStr">
        <is>
          <t>+1yr ≈10% | +2yr ≈17% | +3yr ≈24% of selected configuration price (parts &amp; labor beyond manufacturer standard).</t>
        </is>
      </c>
      <c r="CL47"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47" s="145" t="inlineStr">
        <is>
          <t>12 months manufacturer standard (typical research/commercial humanoid)</t>
        </is>
      </c>
      <c r="CQ47" s="101" t="inlineStr">
        <is>
          <t>Height: 5 ft 3 in | Weight: 110.2 | Degrees of Freedom: 40 | Payload: 19.8 | Max Speed: 1.86 | Battery / Runtime: ≈ 2 hours</t>
        </is>
      </c>
    </row>
    <row r="48" ht="31.5" customHeight="1" s="102">
      <c r="A48" s="159" t="inlineStr">
        <is>
          <t>daxai_robotics_qiji_x1</t>
        </is>
      </c>
      <c r="B48" s="160" t="inlineStr">
        <is>
          <t>Website</t>
        </is>
      </c>
      <c r="C48" s="152" t="inlineStr">
        <is>
          <t>DaxAI Robotics</t>
        </is>
      </c>
      <c r="D48" s="152" t="inlineStr">
        <is>
          <t>Qiji X1</t>
        </is>
      </c>
      <c r="E48" s="152" t="inlineStr">
        <is>
          <t>[DaxAI] Qiji X1 (2025)</t>
        </is>
      </c>
      <c r="F48" s="146" t="inlineStr">
        <is>
          <t>humanoid</t>
        </is>
      </c>
      <c r="G48" s="152" t="inlineStr">
        <is>
          <t>China</t>
        </is>
      </c>
      <c r="H48" s="154" t="n">
        <v>2025</v>
      </c>
      <c r="I48" s="155" t="n">
        <v>50000</v>
      </c>
      <c r="J48" s="152" t="inlineStr">
        <is>
          <t>Website store</t>
        </is>
      </c>
      <c r="K48" s="156" t="inlineStr">
        <is>
          <t>Qiji X1 is DaxAI Robotics's humanoid — — (rideable) class, Not disclosed DOF, High torque (~1400 Nm) lb payload. Grippers or dexterous hands depending on configuration; RGB and/or depth cameras for navigation and manipulation (configuration specific).</t>
        </is>
      </c>
      <c r="L48" s="101" t="inlineStr">
        <is>
          <t>Qiji X1 is DaxAI Robotics's humanoid — — (rideable) class, Not disclosed DOF, High torque (~1400 Nm) lb payload. Grippers or dexterous hands depending on configuration; RGB and/or depth cameras for navigation and manipulation (configuration specific).</t>
        </is>
      </c>
      <c r="M48" s="101" t="inlineStr">
        <is>
          <t>Qiji X1 is DaxAI Robotics's humanoid — — (rideable) class, Not disclosed DOF, High torque (~1400 Nm) lb payload. Grippers or dexterous hands depending on configuration; RGB and/or depth cameras for navigation and manipulation (configuration specific). Public status is listed as noted at/around WHRG 2026, and it is positioned for exhibition / Rideable platform.</t>
        </is>
      </c>
      <c r="N48" s="152" t="n"/>
      <c r="O48" s="152" t="inlineStr">
        <is>
          <t>https://www.daxai.com</t>
        </is>
      </c>
      <c r="P48" s="152" t="inlineStr">
        <is>
          <t>— (rideable)</t>
        </is>
      </c>
      <c r="Q48" s="152" t="n"/>
      <c r="R48" s="152" t="n"/>
      <c r="S48" s="152" t="n"/>
      <c r="T48" s="156" t="inlineStr">
        <is>
          <t>Not disclosed</t>
        </is>
      </c>
      <c r="U48" s="152" t="n"/>
      <c r="V48" s="152" t="inlineStr">
        <is>
          <t>Not disclosed</t>
        </is>
      </c>
      <c r="W48" s="156" t="inlineStr">
        <is>
          <t>Not disclosed</t>
        </is>
      </c>
      <c r="X48" s="152" t="inlineStr">
        <is>
          <t>High torque (~1400 Nm)</t>
        </is>
      </c>
      <c r="Y48" s="152" t="n"/>
      <c r="Z48" s="152" t="n"/>
      <c r="AA48" s="152" t="n"/>
      <c r="AB48" s="152" t="n"/>
      <c r="AC48" s="156" t="inlineStr">
        <is>
          <t>Not disclosed</t>
        </is>
      </c>
      <c r="AD48" s="156" t="n"/>
      <c r="AE48" s="152" t="n"/>
      <c r="AF48" s="152" t="inlineStr">
        <is>
          <t>Not disclosed</t>
        </is>
      </c>
      <c r="AG48" s="156" t="inlineStr">
        <is>
          <t>Grippers or dexterous hands depending on configuration</t>
        </is>
      </c>
      <c r="AH48" s="152" t="inlineStr">
        <is>
          <t>Not disclosed</t>
        </is>
      </c>
      <c r="AI48" s="152" t="n"/>
      <c r="AJ48" s="156" t="inlineStr">
        <is>
          <t>RGB and/or depth cameras for navigation and manipulation (configuration specific)</t>
        </is>
      </c>
      <c r="AK48" s="156" t="n"/>
      <c r="AL48" s="152" t="inlineStr">
        <is>
          <t>Onboard streams for teleoperation and logging when equipped</t>
        </is>
      </c>
      <c r="AM48" s="152" t="n"/>
      <c r="AN48" s="152" t="inlineStr">
        <is>
          <t>Not disclosed</t>
        </is>
      </c>
      <c r="AO48" s="152" t="inlineStr">
        <is>
          <t>Microphone array on interaction-oriented builds</t>
        </is>
      </c>
      <c r="AP48" s="152" t="inlineStr">
        <is>
          <t>Not disclosed</t>
        </is>
      </c>
      <c r="AQ48" s="152" t="inlineStr">
        <is>
          <t>Not disclosed</t>
        </is>
      </c>
      <c r="AR48" s="152" t="n"/>
      <c r="AS48" s="152" t="n"/>
      <c r="AT48" s="156" t="inlineStr">
        <is>
          <t>Not disclosed</t>
        </is>
      </c>
      <c r="AU48" s="156" t="inlineStr">
        <is>
          <t>Not disclosed</t>
        </is>
      </c>
      <c r="AV48" s="152" t="inlineStr">
        <is>
          <t>Manufacturer app and/or SDK</t>
        </is>
      </c>
      <c r="AW48" s="156" t="inlineStr">
        <is>
          <t>Bipedal balance and walking controllers</t>
        </is>
      </c>
      <c r="AX48" s="152" t="n"/>
      <c r="AY48" s="156" t="inlineStr">
        <is>
          <t>Not disclosed</t>
        </is>
      </c>
      <c r="AZ48" s="156" t="inlineStr">
        <is>
          <t>Not disclosed</t>
        </is>
      </c>
      <c r="BA48" s="156" t="n"/>
      <c r="BB48" s="156" t="inlineStr">
        <is>
          <t>Not disclosed</t>
        </is>
      </c>
      <c r="BC48" s="156" t="inlineStr">
        <is>
          <t>Not disclosed</t>
        </is>
      </c>
      <c r="BD48" s="152" t="inlineStr">
        <is>
          <t>Not disclosed</t>
        </is>
      </c>
      <c r="BE48" s="152" t="inlineStr">
        <is>
          <t>Not disclosed</t>
        </is>
      </c>
      <c r="BF48" s="152" t="n"/>
      <c r="BG48" s="152" t="n"/>
      <c r="BH48" s="152" t="n"/>
      <c r="BI48" s="152" t="n"/>
      <c r="BJ48" s="152" t="n"/>
      <c r="BK48" s="152" t="n"/>
      <c r="BL48" s="152" t="n"/>
      <c r="BM48" s="152" t="inlineStr">
        <is>
          <t>Not disclosed</t>
        </is>
      </c>
      <c r="BN48" s="152" t="inlineStr">
        <is>
          <t>Not disclosed</t>
        </is>
      </c>
      <c r="BO48" s="156" t="inlineStr">
        <is>
          <t>Market: Exhibition / Rideable platform · The Qiji X1 is a bipedal humanoid robot from DaxAI Robotics, associated with development and availability timelines around 2025.</t>
        </is>
      </c>
      <c r="BP48" s="152" t="n"/>
      <c r="BQ48" s="156" t="inlineStr">
        <is>
          <t>Exhibition / Rideable platform</t>
        </is>
      </c>
      <c r="BR48" s="156" t="inlineStr">
        <is>
          <t>Noted at/around WHRG 2026</t>
        </is>
      </c>
      <c r="BS48" s="156" t="n"/>
      <c r="BT48" s="152" t="n"/>
      <c r="BU48" s="152" t="n"/>
      <c r="BV48" s="156" t="inlineStr">
        <is>
          <t>Rideable robot horse/dog form; high-torque joints</t>
        </is>
      </c>
      <c r="BW48" s="156" t="inlineStr">
        <is>
          <t>Origin &amp; status — China · Noted at/around WHRG 2026 · 2025 | Manipulation — Grippers or dexterous hands depending on configuration · Payload High torque (~1400 Nm) lb | Sensing &amp; software — RGB and/or depth cameras for navigation and manipulation (configuration specific) · Manufacturer app and/or SDK | Buying notes — From $50,000 · 12 months manufacturer standard (typical research/commercial humanoid) · Best fit: Exhibition</t>
        </is>
      </c>
      <c r="BX48" s="156" t="inlineStr">
        <is>
          <t>as_shipped|Qiji X1|50000|As shipped</t>
        </is>
      </c>
      <c r="BY48" s="152" t="inlineStr">
        <is>
          <t>qiji_x1|Manufacturer finish|#e2e8f0|0</t>
        </is>
      </c>
      <c r="BZ48" s="152" t="inlineStr"/>
      <c r="CA48" s="156" t="inlineStr">
        <is>
          <t>Add-ons: case; 2 color options; Multi-year extended warranty available</t>
        </is>
      </c>
      <c r="CB48" s="156" t="inlineStr">
        <is>
          <t>12 months manufacturer standard (typical research/commercial humanoid)</t>
        </is>
      </c>
      <c r="CC48" s="154" t="n">
        <v>12</v>
      </c>
      <c r="CD48" s="156" t="inlineStr">
        <is>
          <t>+3 Year Extended ≈24% of configuration (default in configurator)</t>
        </is>
      </c>
      <c r="CE48" s="152" t="inlineStr">
        <is>
          <t>Humanoid category norm 2025–2026</t>
        </is>
      </c>
      <c r="CF48" s="152" t="inlineStr">
        <is>
          <t>Estimated</t>
        </is>
      </c>
      <c r="CG48" s="156" t="inlineStr">
        <is>
          <t>EDU or enterprise packages may differ; confirm on formal quote.</t>
        </is>
      </c>
      <c r="CH48" s="152" t="inlineStr">
        <is>
          <t>10%</t>
        </is>
      </c>
      <c r="CI48" s="152" t="inlineStr">
        <is>
          <t>17%</t>
        </is>
      </c>
      <c r="CJ48" s="152" t="inlineStr">
        <is>
          <t>24%</t>
        </is>
      </c>
      <c r="CK48"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48"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48" s="152" t="inlineStr">
        <is>
          <t>12 months manufacturer standard (typical research/commercial humanoid)</t>
        </is>
      </c>
      <c r="CQ48" s="101" t="inlineStr">
        <is>
          <t>Height: — (rideable) | Weight: Not disclosed | Degrees of Freedom: Not disclosed | Payload: High torque (~1400 Nm) | Max Speed: Not disclosed | Battery / Runtime: Not disclosed</t>
        </is>
      </c>
    </row>
    <row r="49" ht="31.5" customHeight="1" s="102">
      <c r="A49" s="145" t="inlineStr">
        <is>
          <t>deep_robotics_dr01</t>
        </is>
      </c>
      <c r="B49" s="153" t="inlineStr">
        <is>
          <t>Humanoid.guide</t>
        </is>
      </c>
      <c r="C49" s="145" t="inlineStr">
        <is>
          <t>Deep Robotics</t>
        </is>
      </c>
      <c r="D49" s="145" t="inlineStr">
        <is>
          <t>DR01</t>
        </is>
      </c>
      <c r="E49" s="145" t="inlineStr">
        <is>
          <t>[Deep Robotics] DR01 (2026)</t>
        </is>
      </c>
      <c r="F49" s="146" t="inlineStr">
        <is>
          <t>humanoid</t>
        </is>
      </c>
      <c r="G49" s="145" t="inlineStr">
        <is>
          <t>China</t>
        </is>
      </c>
      <c r="H49" s="145" t="n"/>
      <c r="I49" s="148" t="n">
        <v>200000</v>
      </c>
      <c r="J49" s="145" t="inlineStr">
        <is>
          <t>Humanoid.guide list</t>
        </is>
      </c>
      <c r="K49" s="149" t="inlineStr">
        <is>
          <t>The DR01 humanoid robot by DEEP Robotics is designed to enhance AI through adaptive learning and complex data integration.</t>
        </is>
      </c>
      <c r="L49" s="101" t="inlineStr">
        <is>
          <t>The DR01 humanoid robot by DEEP Robotics is designed to enhance AI through adaptive learning and complex data integration.</t>
        </is>
      </c>
      <c r="M49" s="101" t="inlineStr">
        <is>
          <t>The DR01 humanoid robot by DEEP Robotics is designed to enhance AI through adaptive learning and complex data integration. Public status is listed as prototype.</t>
        </is>
      </c>
      <c r="N49" s="150" t="inlineStr">
        <is>
          <t>https://humanoid.guide/product/dr01/</t>
        </is>
      </c>
      <c r="O49" s="150" t="inlineStr">
        <is>
          <t>https://www.deeprobotics.cn</t>
        </is>
      </c>
      <c r="P49" s="145" t="inlineStr">
        <is>
          <t>5 ft 7 in</t>
        </is>
      </c>
      <c r="Q49" s="145" t="n">
        <v>170</v>
      </c>
      <c r="R49" s="145" t="n">
        <v>176.4</v>
      </c>
      <c r="S49" s="145" t="n">
        <v>80</v>
      </c>
      <c r="T49" s="149" t="inlineStr">
        <is>
          <t>Not disclosed</t>
        </is>
      </c>
      <c r="U49" s="145" t="n"/>
      <c r="V49" s="145" t="inlineStr">
        <is>
          <t>12</t>
        </is>
      </c>
      <c r="W49" s="149" t="inlineStr">
        <is>
          <t>Not disclosed</t>
        </is>
      </c>
      <c r="X49" s="145" t="n">
        <v>33.1</v>
      </c>
      <c r="Y49" s="145" t="n">
        <v>15</v>
      </c>
      <c r="Z49" s="145" t="n">
        <v>3.6</v>
      </c>
      <c r="AA49" s="145" t="n">
        <v>5.8</v>
      </c>
      <c r="AB49" s="145" t="n">
        <v>5.8</v>
      </c>
      <c r="AC49" s="149" t="inlineStr">
        <is>
          <t>≈ 2 hours</t>
        </is>
      </c>
      <c r="AD49" s="149" t="inlineStr">
        <is>
          <t>2</t>
        </is>
      </c>
      <c r="AE49" s="145" t="n"/>
      <c r="AF49" s="145" t="inlineStr">
        <is>
          <t>Not disclosed</t>
        </is>
      </c>
      <c r="AG49" s="149" t="inlineStr">
        <is>
          <t>Not disclosed</t>
        </is>
      </c>
      <c r="AH49" s="145" t="inlineStr">
        <is>
          <t>Not disclosed</t>
        </is>
      </c>
      <c r="AI49" s="158" t="n">
        <v>2</v>
      </c>
      <c r="AJ49" s="149" t="inlineStr">
        <is>
          <t>Not disclosed</t>
        </is>
      </c>
      <c r="AK49" s="149" t="n"/>
      <c r="AL49" s="145" t="inlineStr">
        <is>
          <t>Not disclosed</t>
        </is>
      </c>
      <c r="AM49" s="145" t="n"/>
      <c r="AN49" s="145" t="inlineStr">
        <is>
          <t>Not disclosed</t>
        </is>
      </c>
      <c r="AO49" s="145" t="inlineStr">
        <is>
          <t>Not disclosed</t>
        </is>
      </c>
      <c r="AP49" s="145" t="inlineStr">
        <is>
          <t>Not disclosed</t>
        </is>
      </c>
      <c r="AQ49" s="145" t="inlineStr">
        <is>
          <t>Not disclosed</t>
        </is>
      </c>
      <c r="AR49" s="145" t="n"/>
      <c r="AS49" s="145" t="n"/>
      <c r="AT49" s="149" t="inlineStr">
        <is>
          <t>Not disclosed</t>
        </is>
      </c>
      <c r="AU49" s="149" t="inlineStr">
        <is>
          <t>Not disclosed</t>
        </is>
      </c>
      <c r="AV49" s="145" t="inlineStr">
        <is>
          <t>Not disclosed</t>
        </is>
      </c>
      <c r="AW49" s="149" t="inlineStr">
        <is>
          <t>Not disclosed</t>
        </is>
      </c>
      <c r="AX49" s="158" t="n">
        <v>2</v>
      </c>
      <c r="AY49" s="149" t="inlineStr">
        <is>
          <t>Not disclosed</t>
        </is>
      </c>
      <c r="AZ49" s="149" t="inlineStr">
        <is>
          <t>Not disclosed</t>
        </is>
      </c>
      <c r="BA49" s="149" t="n"/>
      <c r="BB49" s="149" t="inlineStr">
        <is>
          <t>Not disclosed</t>
        </is>
      </c>
      <c r="BC49" s="149" t="inlineStr">
        <is>
          <t>Not disclosed</t>
        </is>
      </c>
      <c r="BD49" s="145" t="inlineStr">
        <is>
          <t>Not disclosed</t>
        </is>
      </c>
      <c r="BE49" s="145" t="inlineStr">
        <is>
          <t>Not disclosed</t>
        </is>
      </c>
      <c r="BF49" s="145" t="n"/>
      <c r="BG49" s="145" t="n"/>
      <c r="BH49" s="145" t="n"/>
      <c r="BI49" s="145" t="n"/>
      <c r="BJ49" s="145" t="n"/>
      <c r="BK49" s="145" t="n"/>
      <c r="BL49" s="145" t="n"/>
      <c r="BM49" s="145" t="inlineStr">
        <is>
          <t>Not disclosed</t>
        </is>
      </c>
      <c r="BN49" s="145" t="inlineStr">
        <is>
          <t>Not disclosed</t>
        </is>
      </c>
      <c r="BO49" s="149" t="inlineStr">
        <is>
          <t>Manipulation 2/4 · Navigation 2/4 · Peak 5.8 km/h · Walk 5.8 km/h · Runtime 2</t>
        </is>
      </c>
      <c r="BP49" s="145" t="n"/>
      <c r="BQ49" s="149" t="inlineStr">
        <is>
          <t>Research labs, commercial pilots, and education programs evaluating a humanoid from Deep Robotics (China) now listed as prototype.</t>
        </is>
      </c>
      <c r="BR49" s="149" t="inlineStr">
        <is>
          <t>Prototype</t>
        </is>
      </c>
      <c r="BS49" s="149" t="inlineStr">
        <is>
          <t>Prototype</t>
        </is>
      </c>
      <c r="BT49" s="145" t="n"/>
      <c r="BU49" s="145" t="inlineStr">
        <is>
          <t>Not verified</t>
        </is>
      </c>
      <c r="BV49" s="149" t="n"/>
      <c r="BW49" s="149" t="inlineStr">
        <is>
          <t>Origin &amp; status — China · Prototype · 2026 | Manipulation — Payload 33.1 lb | Sensing &amp; software — Sensor and compute package confirmed on formal quote | Buying notes — From $200,000 · 12 months manufacturer standard (typical research/commercial humanoid)</t>
        </is>
      </c>
      <c r="BX49" s="149" t="inlineStr">
        <is>
          <t>as_shipped|DR01|200000|As shipped</t>
        </is>
      </c>
      <c r="BY49" s="145" t="inlineStr">
        <is>
          <t>dr01|Manufacturer finish|#e2e8f0|0</t>
        </is>
      </c>
      <c r="BZ49" s="145" t="inlineStr"/>
      <c r="CA49" s="149" t="n"/>
      <c r="CB49" s="149" t="inlineStr">
        <is>
          <t>12 months manufacturer standard (typical research/commercial humanoid)</t>
        </is>
      </c>
      <c r="CC49" s="147" t="n">
        <v>12</v>
      </c>
      <c r="CD49" s="149" t="inlineStr">
        <is>
          <t>+3 Year Extended ≈24% of configuration (default in configurator)</t>
        </is>
      </c>
      <c r="CE49" s="145" t="inlineStr">
        <is>
          <t>Humanoid category norm 2025–2026</t>
        </is>
      </c>
      <c r="CF49" s="145" t="inlineStr">
        <is>
          <t>Estimated</t>
        </is>
      </c>
      <c r="CG49" s="149" t="inlineStr">
        <is>
          <t>Confirm on formal OEM quote. EDU or enterprise packages may differ.</t>
        </is>
      </c>
      <c r="CH49" s="145" t="inlineStr">
        <is>
          <t>10%</t>
        </is>
      </c>
      <c r="CI49" s="145" t="inlineStr">
        <is>
          <t>17%</t>
        </is>
      </c>
      <c r="CJ49" s="145" t="inlineStr">
        <is>
          <t>24%</t>
        </is>
      </c>
      <c r="CK49" s="149" t="inlineStr">
        <is>
          <t>+1yr ≈10% | +2yr ≈17% | +3yr ≈24% of selected configuration price (parts &amp; labor beyond manufacturer standard).</t>
        </is>
      </c>
      <c r="CL4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49" s="145" t="inlineStr">
        <is>
          <t>12 months manufacturer standard (typical research/commercial humanoid)</t>
        </is>
      </c>
      <c r="CQ49" s="101" t="inlineStr">
        <is>
          <t>Height: 5 ft 7 in | Weight: 176.4 | Degrees of Freedom: 12 | Payload: 33.1 | Max Speed: 3.6 | Battery / Runtime: ≈ 2 hours</t>
        </is>
      </c>
    </row>
    <row r="50" ht="31.5" customHeight="1" s="102">
      <c r="A50" s="159" t="inlineStr">
        <is>
          <t>dr02</t>
        </is>
      </c>
      <c r="B50" s="144" t="inlineStr">
        <is>
          <t>Both</t>
        </is>
      </c>
      <c r="C50" s="152" t="inlineStr">
        <is>
          <t>Deep Robotics</t>
        </is>
      </c>
      <c r="D50" s="152" t="inlineStr">
        <is>
          <t>DR02</t>
        </is>
      </c>
      <c r="E50" s="152" t="inlineStr">
        <is>
          <t>[Deep Robotics] DR02 (2025)</t>
        </is>
      </c>
      <c r="F50" s="146" t="inlineStr">
        <is>
          <t>humanoid</t>
        </is>
      </c>
      <c r="G50" s="152" t="inlineStr">
        <is>
          <t>China</t>
        </is>
      </c>
      <c r="H50" s="154" t="n">
        <v>2025</v>
      </c>
      <c r="I50" s="155" t="n">
        <v>75600</v>
      </c>
      <c r="J50" s="152" t="inlineStr">
        <is>
          <t>Website store</t>
        </is>
      </c>
      <c r="K50" s="156" t="inlineStr">
        <is>
          <t>The DEEP Robotics DR02 is an industrial-grade, full-size humanoid robot — the first claimed with IP66 all-weather waterproof and dustproof protection.</t>
        </is>
      </c>
      <c r="L50" s="101" t="inlineStr">
        <is>
          <t>The DEEP Robotics DR02 is an industrial-grade, full-size humanoid robot — the first claimed with IP66 all-weather waterproof and dustproof protection.</t>
        </is>
      </c>
      <c r="M50" s="101" t="inlineStr">
        <is>
          <t>DR02 is Deep Robotics's humanoid, introduced around 2025 in China. The DEEP Robotics DR02 is an industrial-grade, full-size humanoid robot — the first claimed with IP66 all-weather waterproof and dustproof protection. Public status is listed as in production, and it is positioned for industries; inspection; logistics; Research &amp; education.</t>
        </is>
      </c>
      <c r="N50" s="157" t="inlineStr">
        <is>
          <t>https://humanoid.guide/product/dr02/</t>
        </is>
      </c>
      <c r="O50" s="157" t="inlineStr">
        <is>
          <t>https://www.deeprobotics.cn</t>
        </is>
      </c>
      <c r="P50" s="152" t="inlineStr">
        <is>
          <t>≈ 5 ft 9 in class</t>
        </is>
      </c>
      <c r="Q50" s="152" t="n">
        <v>175</v>
      </c>
      <c r="R50" s="152" t="n">
        <v>143.3</v>
      </c>
      <c r="S50" s="152" t="n">
        <v>65</v>
      </c>
      <c r="T50" s="156" t="inlineStr">
        <is>
          <t>Not disclosed</t>
        </is>
      </c>
      <c r="U50" s="152" t="n"/>
      <c r="V50" s="152" t="inlineStr">
        <is>
          <t>Humanoid DOF class (confirm configuration)</t>
        </is>
      </c>
      <c r="W50" s="156" t="inlineStr">
        <is>
          <t>18</t>
        </is>
      </c>
      <c r="X50" s="152" t="n">
        <v>44.1</v>
      </c>
      <c r="Y50" s="152" t="n">
        <v>20</v>
      </c>
      <c r="Z50" s="152" t="n">
        <v>8.949999999999999</v>
      </c>
      <c r="AA50" s="152" t="n">
        <v>14.4</v>
      </c>
      <c r="AB50" s="152" t="n">
        <v>5.4</v>
      </c>
      <c r="AC50" s="156" t="inlineStr">
        <is>
          <t>≈ 2 hours</t>
        </is>
      </c>
      <c r="AD50" s="156" t="inlineStr">
        <is>
          <t>2</t>
        </is>
      </c>
      <c r="AE50" s="152" t="n"/>
      <c r="AF50" s="152" t="inlineStr">
        <is>
          <t>Not disclosed</t>
        </is>
      </c>
      <c r="AG50" s="156" t="inlineStr">
        <is>
          <t>Arm and gripper options for light industrial work</t>
        </is>
      </c>
      <c r="AH50" s="152" t="inlineStr">
        <is>
          <t>5 per hand</t>
        </is>
      </c>
      <c r="AI50" s="152" t="n"/>
      <c r="AJ50" s="156" t="inlineStr">
        <is>
          <t>Humanoid vision suite for industrial tasks</t>
        </is>
      </c>
      <c r="AK50" s="156" t="n"/>
      <c r="AL50" s="152" t="inlineStr">
        <is>
          <t>Not disclosed</t>
        </is>
      </c>
      <c r="AM50" s="152" t="n"/>
      <c r="AN50" s="152" t="inlineStr">
        <is>
          <t>Not disclosed</t>
        </is>
      </c>
      <c r="AO50" s="152" t="inlineStr">
        <is>
          <t>Not disclosed</t>
        </is>
      </c>
      <c r="AP50" s="152" t="inlineStr">
        <is>
          <t>Not disclosed</t>
        </is>
      </c>
      <c r="AQ50" s="152" t="inlineStr">
        <is>
          <t>Not disclosed</t>
        </is>
      </c>
      <c r="AR50" s="152" t="n"/>
      <c r="AS50" s="152" t="n"/>
      <c r="AT50" s="156" t="inlineStr">
        <is>
          <t>NVIDIA Jetson AGX Orin class, 275 TOPS</t>
        </is>
      </c>
      <c r="AU50" s="156" t="inlineStr">
        <is>
          <t>5G; Bluetooth; Wi-Fi</t>
        </is>
      </c>
      <c r="AV50" s="152" t="inlineStr">
        <is>
          <t>Deep Robotics humanoid software path</t>
        </is>
      </c>
      <c r="AW50" s="156" t="inlineStr">
        <is>
          <t>Bipedal walking; all-weather design notes</t>
        </is>
      </c>
      <c r="AX50" s="152" t="n"/>
      <c r="AY50" s="156" t="inlineStr">
        <is>
          <t>Not disclosed</t>
        </is>
      </c>
      <c r="AZ50" s="156" t="inlineStr">
        <is>
          <t>Yes</t>
        </is>
      </c>
      <c r="BA50" s="156" t="n"/>
      <c r="BB50" s="156" t="inlineStr">
        <is>
          <t>Electric servo actuators</t>
        </is>
      </c>
      <c r="BC50" s="156" t="inlineStr">
        <is>
          <t>Harmonic / Planetary reducers</t>
        </is>
      </c>
      <c r="BD50" s="152" t="inlineStr">
        <is>
          <t>Aluminum alloy with sealed polymer shell</t>
        </is>
      </c>
      <c r="BE50" s="152" t="inlineStr">
        <is>
          <t>IP66</t>
        </is>
      </c>
      <c r="BF50" s="152" t="inlineStr">
        <is>
          <t>IP66</t>
        </is>
      </c>
      <c r="BG50" s="152" t="n"/>
      <c r="BH50" s="152" t="n"/>
      <c r="BI50" s="152" t="n"/>
      <c r="BJ50" s="152" t="n"/>
      <c r="BK50" s="152" t="n"/>
      <c r="BL50" s="152" t="n"/>
      <c r="BM50" s="152" t="inlineStr">
        <is>
          <t>Yes</t>
        </is>
      </c>
      <c r="BN50" s="152" t="inlineStr">
        <is>
          <t>Not disclosed</t>
        </is>
      </c>
      <c r="BO50" s="156" t="inlineStr">
        <is>
          <t>Market: Industries; inspection; logistics; Research &amp; education · Human-safe: Yes · AI: Yes · Actuation: Electric servo actuators · Peak 14.4 km/h · Walk 5.4 km/h · Runtime 2</t>
        </is>
      </c>
      <c r="BP50" s="152" t="inlineStr">
        <is>
          <t>All-weather oriented industrial settings</t>
        </is>
      </c>
      <c r="BQ50" s="156" t="inlineStr">
        <is>
          <t>Industries; inspection; logistics; Research &amp; education</t>
        </is>
      </c>
      <c r="BR50" s="156" t="inlineStr">
        <is>
          <t>In production</t>
        </is>
      </c>
      <c r="BS50" s="156" t="inlineStr">
        <is>
          <t>In production</t>
        </is>
      </c>
      <c r="BT50" s="152" t="inlineStr">
        <is>
          <t>Black / dark grey</t>
        </is>
      </c>
      <c r="BU50" s="152" t="n"/>
      <c r="BV50" s="156" t="n"/>
      <c r="BW50" s="156" t="inlineStr">
        <is>
          <t>Origin &amp; status — China · In production · 2025 | Manipulation — Arm and gripper options for light industrial work · 5 per hand fingers · Hand DOF 18 · Payload ≈ 22–44 lb class | Sensing &amp; software — Humanoid vision suite for industrial tasks · Yes · Deep Robotics humanoid software path | Buying notes — From $75,600 · 12 months manufacturer standard (typical industrial quadruped/humanoid) · Best fit: Industries</t>
        </is>
      </c>
      <c r="BX50" s="156" t="inlineStr">
        <is>
          <t>dr02|DR02|75600|Industrial humanoid || dr02pro|DR02 Pro|95000|Higher package</t>
        </is>
      </c>
      <c r="BY50" s="152" t="inlineStr">
        <is>
          <t>orange|Industrial Orange|#ea580c|0 || black|All-weather Black|#1a1a1a|0</t>
        </is>
      </c>
      <c r="BZ50" s="152" t="inlineStr">
        <is>
          <t>case, warranty_dr02</t>
        </is>
      </c>
      <c r="CA50" s="156" t="inlineStr">
        <is>
          <t>2 configuration tiers; Add-ons: case; 2 color options; Multi-year extended warranty available</t>
        </is>
      </c>
      <c r="CB50" s="156" t="inlineStr">
        <is>
          <t>12 months manufacturer standard (typical industrial quadruped/humanoid)</t>
        </is>
      </c>
      <c r="CC50" s="154" t="n">
        <v>12</v>
      </c>
      <c r="CD50" s="156" t="inlineStr">
        <is>
          <t>+3 Year Extended ≈24% of configuration (default in configurator)</t>
        </is>
      </c>
      <c r="CE50" s="152" t="inlineStr">
        <is>
          <t>Industry norm for Deep Robotics class platforms</t>
        </is>
      </c>
      <c r="CF50" s="152" t="inlineStr">
        <is>
          <t>Estimated</t>
        </is>
      </c>
      <c r="CG50" s="156" t="inlineStr">
        <is>
          <t>Confirm exact term with authorized channel on quote.</t>
        </is>
      </c>
      <c r="CH50" s="152" t="inlineStr">
        <is>
          <t>10%</t>
        </is>
      </c>
      <c r="CI50" s="152" t="inlineStr">
        <is>
          <t>17%</t>
        </is>
      </c>
      <c r="CJ50" s="152" t="inlineStr">
        <is>
          <t>24%</t>
        </is>
      </c>
      <c r="CK50"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50"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50" s="152" t="inlineStr">
        <is>
          <t>12 months manufacturer standard (typical industrial quadruped/humanoid)</t>
        </is>
      </c>
      <c r="CQ50" s="101" t="inlineStr">
        <is>
          <t>Height: ≈ 5 ft 9 in class | Weight: 143.3 | Degrees of Freedom: Humanoid DOF class (confirm configuration) | Payload: 44.1 | Max Speed: 8.95 | Battery / Runtime: ≈ 2 hours</t>
        </is>
      </c>
    </row>
    <row r="51" ht="31.5" customHeight="1" s="102">
      <c r="A51" s="145" t="inlineStr">
        <is>
          <t>dexforce_technology_co_ltd_w1_pro</t>
        </is>
      </c>
      <c r="B51" s="153" t="inlineStr">
        <is>
          <t>Humanoid.guide</t>
        </is>
      </c>
      <c r="C51" s="145" t="inlineStr">
        <is>
          <t>DexForce Technology Co., Ltd.</t>
        </is>
      </c>
      <c r="D51" s="145" t="inlineStr">
        <is>
          <t>W1 Pro</t>
        </is>
      </c>
      <c r="E51" s="145" t="inlineStr">
        <is>
          <t>[DexForce Technology Co., Ltd.] W1 Pro (2026)</t>
        </is>
      </c>
      <c r="F51" s="146" t="inlineStr">
        <is>
          <t>humanoid</t>
        </is>
      </c>
      <c r="G51" s="145" t="inlineStr">
        <is>
          <t>China</t>
        </is>
      </c>
      <c r="H51" s="145" t="n"/>
      <c r="I51" s="148" t="n">
        <v>78000</v>
      </c>
      <c r="J51" s="145" t="inlineStr">
        <is>
          <t>Humanoid.guide list</t>
        </is>
      </c>
      <c r="K51" s="149" t="inlineStr">
        <is>
          <t>DexForce W1 Pro is an advanced wheeled humanoid robot platform that blends mobility, AI perception, and high-precision manipulation for industrial, service, and research applications.</t>
        </is>
      </c>
      <c r="L51" s="101" t="inlineStr">
        <is>
          <t>DexForce W1 Pro is an advanced wheeled humanoid robot platform that blends mobility, AI perception, and high-precision manipulation for industrial, service, and research applications.</t>
        </is>
      </c>
      <c r="M51" s="101" t="inlineStr">
        <is>
          <t>W1 Pro is DexForce Technology Co., Ltd.'s humanoid, introduced around 2026 in China. DexForce W1 Pro is an advanced wheeled humanoid robot platform that blends mobility, AI perception, and high-precision manipulation for industrial, service, and research applications. Public status is listed as production / business-ready (offered with delivery lead time), and it is positioned for industrial automation; logistics; manufacturing inspection; Service.</t>
        </is>
      </c>
      <c r="N51" s="150" t="inlineStr">
        <is>
          <t>https://humanoid.guide/product/w1-pro/</t>
        </is>
      </c>
      <c r="O51" s="150" t="inlineStr">
        <is>
          <t>https://en.dexforce.com/</t>
        </is>
      </c>
      <c r="P51" s="145" t="inlineStr">
        <is>
          <t>5 ft 4 in</t>
        </is>
      </c>
      <c r="Q51" s="145" t="n">
        <v>163</v>
      </c>
      <c r="R51" s="145" t="n">
        <v>242.5</v>
      </c>
      <c r="S51" s="145" t="n">
        <v>110</v>
      </c>
      <c r="T51" s="149" t="inlineStr">
        <is>
          <t>Not disclosed</t>
        </is>
      </c>
      <c r="U51" s="145" t="inlineStr">
        <is>
          <t>~170 × 90 × 75 cm</t>
        </is>
      </c>
      <c r="V51" s="145" t="inlineStr">
        <is>
          <t>34</t>
        </is>
      </c>
      <c r="W51" s="149" t="inlineStr">
        <is>
          <t>6 Active DOF and Humanoid 5 Fingers</t>
        </is>
      </c>
      <c r="X51" s="145" t="n">
        <v>22</v>
      </c>
      <c r="Y51" s="145" t="n">
        <v>10</v>
      </c>
      <c r="Z51" s="145" t="n">
        <v>3.36</v>
      </c>
      <c r="AA51" s="145" t="n">
        <v>5.4</v>
      </c>
      <c r="AB51" s="145" t="n"/>
      <c r="AC51" s="149" t="inlineStr">
        <is>
          <t>≈ 8 hours</t>
        </is>
      </c>
      <c r="AD51" s="149" t="inlineStr">
        <is>
          <t>8</t>
        </is>
      </c>
      <c r="AE51" s="145" t="n"/>
      <c r="AF51" s="145" t="inlineStr">
        <is>
          <t>Not disclosed</t>
        </is>
      </c>
      <c r="AG51" s="149" t="inlineStr">
        <is>
          <t>5 per hand</t>
        </is>
      </c>
      <c r="AH51" s="145" t="inlineStr">
        <is>
          <t>5 per hand</t>
        </is>
      </c>
      <c r="AI51" s="145" t="n"/>
      <c r="AJ51" s="149" t="inlineStr">
        <is>
          <t>Stereo Depth Camera</t>
        </is>
      </c>
      <c r="AK51" s="149" t="inlineStr">
        <is>
          <t>Stereo Depth Camera</t>
        </is>
      </c>
      <c r="AL51" s="145" t="inlineStr">
        <is>
          <t>Not disclosed</t>
        </is>
      </c>
      <c r="AM51" s="145" t="n"/>
      <c r="AN51" s="145" t="inlineStr">
        <is>
          <t>Not disclosed</t>
        </is>
      </c>
      <c r="AO51" s="145" t="inlineStr">
        <is>
          <t>Not disclosed</t>
        </is>
      </c>
      <c r="AP51" s="145" t="inlineStr">
        <is>
          <t>Not disclosed</t>
        </is>
      </c>
      <c r="AQ51" s="145" t="inlineStr">
        <is>
          <t>Not disclosed</t>
        </is>
      </c>
      <c r="AR51" s="145" t="n"/>
      <c r="AS51" s="145" t="n"/>
      <c r="AT51" s="149" t="inlineStr">
        <is>
          <t>≥ 300 TOPS dual-PC/AI processing architecture</t>
        </is>
      </c>
      <c r="AU51" s="149" t="inlineStr">
        <is>
          <t>Bluetooth; Ethernet; Wi-Fi 6</t>
        </is>
      </c>
      <c r="AV51" s="145" t="inlineStr">
        <is>
          <t>Not disclosed</t>
        </is>
      </c>
      <c r="AW51" s="149" t="inlineStr">
        <is>
          <t>Not disclosed</t>
        </is>
      </c>
      <c r="AX51" s="145" t="n"/>
      <c r="AY51" s="149" t="inlineStr">
        <is>
          <t>ROS-compatible + proprietary DexVerse/Sim2Real AI stack</t>
        </is>
      </c>
      <c r="AZ51" s="149" t="inlineStr">
        <is>
          <t>Possible via ROS and cloud teleop</t>
        </is>
      </c>
      <c r="BA51" s="149" t="inlineStr">
        <is>
          <t>Estimated below 100 ms (real-time control, EtherCAT)</t>
        </is>
      </c>
      <c r="BB51" s="149" t="inlineStr">
        <is>
          <t>Electric actuation with high-frequency (1000 Hz) control</t>
        </is>
      </c>
      <c r="BC51" s="149" t="inlineStr">
        <is>
          <t>High-precision transmission (industrial servos + EtherCAT feedback)</t>
        </is>
      </c>
      <c r="BD51" s="145" t="inlineStr">
        <is>
          <t>Industrial aluminum + engineering plastics</t>
        </is>
      </c>
      <c r="BE51" s="145" t="inlineStr">
        <is>
          <t>Not disclosed</t>
        </is>
      </c>
      <c r="BF51" s="145" t="n"/>
      <c r="BG51" s="145" t="n"/>
      <c r="BH51" s="145" t="n"/>
      <c r="BI51" s="145" t="n"/>
      <c r="BJ51" s="145" t="n"/>
      <c r="BK51" s="145" t="n"/>
      <c r="BL51" s="145" t="n"/>
      <c r="BM51" s="145" t="inlineStr">
        <is>
          <t>Yes</t>
        </is>
      </c>
      <c r="BN51" s="145" t="inlineStr">
        <is>
          <t>Not disclosed</t>
        </is>
      </c>
      <c r="BO51" s="149" t="inlineStr">
        <is>
          <t>Market: Industrial automation; logistics; manufacturing inspection; Service · Human-safe: Yes · AI: Possible via ROS and cloud teleop · Actuation: Electric actuation with high-frequency (1000 Hz) control · Peak 5.4 km/h · Runtime 8</t>
        </is>
      </c>
      <c r="BP51" s="145" t="n"/>
      <c r="BQ51" s="149" t="inlineStr">
        <is>
          <t>Industrial automation; logistics; manufacturing inspection; Service</t>
        </is>
      </c>
      <c r="BR51" s="149" t="inlineStr">
        <is>
          <t>Production / business-ready (offered with delivery lead time)</t>
        </is>
      </c>
      <c r="BS51" s="149" t="inlineStr">
        <is>
          <t>Production / business-ready (offered with delivery lead time)</t>
        </is>
      </c>
      <c r="BT51" s="145" t="inlineStr">
        <is>
          <t>Yellow/Black</t>
        </is>
      </c>
      <c r="BU51" s="145" t="inlineStr">
        <is>
          <t>Verified</t>
        </is>
      </c>
      <c r="BV51" s="149" t="n"/>
      <c r="BW51" s="149" t="inlineStr">
        <is>
          <t>Origin &amp; status — China · Production / business-ready (offered with delivery lead time) · 2026 | Manipulation — 5 per hand · 5 per hand fingers · Hand DOF 6 Active DOF and Humanoid 5 Fingers · Payload 22 lb | Sensing &amp; software — Stereo Depth Camera · Possible via ROS and cloud teleop · ROS-compatible + proprietary DexVerse/Sim2Real AI stack | Buying notes — From $78,000 · 12 months manufacturer standard (typical research/commercial humanoid) · Best fit: Industrial automation</t>
        </is>
      </c>
      <c r="BX51" s="149" t="inlineStr">
        <is>
          <t>as_shipped|W1 Pro|78000|As shipped</t>
        </is>
      </c>
      <c r="BY51" s="145" t="inlineStr">
        <is>
          <t>yellow|Yellow|#e2e8f0|0 || black|Black|#1e293b|0</t>
        </is>
      </c>
      <c r="BZ51" s="145" t="inlineStr"/>
      <c r="CA51" s="149" t="n"/>
      <c r="CB51" s="149" t="inlineStr">
        <is>
          <t>12 months manufacturer standard (typical research/commercial humanoid)</t>
        </is>
      </c>
      <c r="CC51" s="147" t="n">
        <v>12</v>
      </c>
      <c r="CD51" s="149" t="inlineStr">
        <is>
          <t>+3 Year Extended ≈24% of configuration (default in configurator)</t>
        </is>
      </c>
      <c r="CE51" s="145" t="inlineStr">
        <is>
          <t>Humanoid category norm 2025–2026</t>
        </is>
      </c>
      <c r="CF51" s="145" t="inlineStr">
        <is>
          <t>Estimated</t>
        </is>
      </c>
      <c r="CG51" s="149" t="inlineStr">
        <is>
          <t>Confirm on formal OEM quote. EDU or enterprise packages may differ.</t>
        </is>
      </c>
      <c r="CH51" s="145" t="inlineStr">
        <is>
          <t>10%</t>
        </is>
      </c>
      <c r="CI51" s="145" t="inlineStr">
        <is>
          <t>17%</t>
        </is>
      </c>
      <c r="CJ51" s="145" t="inlineStr">
        <is>
          <t>24%</t>
        </is>
      </c>
      <c r="CK51" s="149" t="inlineStr">
        <is>
          <t>+1yr ≈10% | +2yr ≈17% | +3yr ≈24% of selected configuration price (parts &amp; labor beyond manufacturer standard).</t>
        </is>
      </c>
      <c r="CL5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51" s="145" t="inlineStr">
        <is>
          <t>12 months manufacturer standard (typical research/commercial humanoid)</t>
        </is>
      </c>
      <c r="CQ51" s="101" t="inlineStr">
        <is>
          <t>Height: 5 ft 4 in | Weight: 242.5 | Degrees of Freedom: 34 | Payload: 22 | Max Speed: 3.36 | Battery / Runtime: ≈ 8 hours</t>
        </is>
      </c>
    </row>
    <row r="52" ht="31.5" customHeight="1" s="102">
      <c r="A52" s="159" t="inlineStr">
        <is>
          <t>dexmate_vega</t>
        </is>
      </c>
      <c r="B52" s="144" t="inlineStr">
        <is>
          <t>Both</t>
        </is>
      </c>
      <c r="C52" s="152" t="inlineStr">
        <is>
          <t>Dexmate</t>
        </is>
      </c>
      <c r="D52" s="152" t="inlineStr">
        <is>
          <t>Vega</t>
        </is>
      </c>
      <c r="E52" s="152" t="inlineStr">
        <is>
          <t>[Dexmate] Vega (2023)</t>
        </is>
      </c>
      <c r="F52" s="146" t="inlineStr">
        <is>
          <t>humanoid</t>
        </is>
      </c>
      <c r="G52" s="152" t="inlineStr">
        <is>
          <t>USA</t>
        </is>
      </c>
      <c r="H52" s="154" t="n">
        <v>2023</v>
      </c>
      <c r="I52" s="155" t="n">
        <v>50000</v>
      </c>
      <c r="J52" s="152" t="inlineStr">
        <is>
          <t>Website store</t>
        </is>
      </c>
      <c r="K52" s="156" t="inlineStr">
        <is>
          <t>Production-ready humanoid with 36 DOF, 15 kg-payload arms and 20 h runtime—powered by Intel x86 + Jetson Orin and an open ROS/Python stack.</t>
        </is>
      </c>
      <c r="L52" s="101" t="inlineStr">
        <is>
          <t>Production-ready humanoid with 36 DOF, 15 kg-payload arms and 20 h runtime—powered by Intel x86 + Jetson Orin and an open ROS/Python stack.</t>
        </is>
      </c>
      <c r="M52" s="101" t="inlineStr">
        <is>
          <t>Vega is Dexmate's humanoid, introduced around 2023 in USA. Production-ready humanoid with 36 DOF, 15 kg-payload arms and 20 h runtime—powered by Intel x86 + Jetson Orin and an open ROS/Python stack. Public status is listed as limited availability, and it is positioned for commercial (limited details).</t>
        </is>
      </c>
      <c r="N52" s="157" t="inlineStr">
        <is>
          <t>https://humanoid.guide/product/vega/</t>
        </is>
      </c>
      <c r="O52" s="152" t="inlineStr">
        <is>
          <t>https://www.dexmate.ai</t>
        </is>
      </c>
      <c r="P52" s="152" t="inlineStr">
        <is>
          <t>5 ft 7 in</t>
        </is>
      </c>
      <c r="Q52" s="152" t="n">
        <v>171</v>
      </c>
      <c r="R52" s="152" t="n">
        <v>297.6</v>
      </c>
      <c r="S52" s="152" t="n">
        <v>135</v>
      </c>
      <c r="T52" s="156" t="inlineStr">
        <is>
          <t>Not disclosed</t>
        </is>
      </c>
      <c r="U52" s="152" t="n"/>
      <c r="V52" s="152" t="inlineStr">
        <is>
          <t>36</t>
        </is>
      </c>
      <c r="W52" s="156" t="inlineStr">
        <is>
          <t>12</t>
        </is>
      </c>
      <c r="X52" s="152" t="n">
        <v>33.1</v>
      </c>
      <c r="Y52" s="152" t="n">
        <v>15</v>
      </c>
      <c r="Z52" s="152" t="n">
        <v>2.49</v>
      </c>
      <c r="AA52" s="152" t="n">
        <v>4</v>
      </c>
      <c r="AB52" s="152" t="n"/>
      <c r="AC52" s="156" t="inlineStr">
        <is>
          <t>≈ 20 hours</t>
        </is>
      </c>
      <c r="AD52" s="156" t="inlineStr">
        <is>
          <t>20</t>
        </is>
      </c>
      <c r="AE52" s="152" t="n"/>
      <c r="AF52" s="152" t="inlineStr">
        <is>
          <t>Not disclosed</t>
        </is>
      </c>
      <c r="AG52" s="156" t="inlineStr">
        <is>
          <t>Grippers or dexterous hands depending on configuration</t>
        </is>
      </c>
      <c r="AH52" s="152" t="inlineStr">
        <is>
          <t>10</t>
        </is>
      </c>
      <c r="AI52" s="158" t="n">
        <v>2</v>
      </c>
      <c r="AJ52" s="156" t="inlineStr">
        <is>
          <t>RGB and/or depth cameras for navigation and manipulation (configuration specific)</t>
        </is>
      </c>
      <c r="AK52" s="156" t="inlineStr">
        <is>
          <t>Not specified</t>
        </is>
      </c>
      <c r="AL52" s="152" t="inlineStr">
        <is>
          <t>Onboard streams for teleoperation and logging when equipped</t>
        </is>
      </c>
      <c r="AM52" s="152" t="n"/>
      <c r="AN52" s="152" t="inlineStr">
        <is>
          <t>Not disclosed</t>
        </is>
      </c>
      <c r="AO52" s="152" t="inlineStr">
        <is>
          <t>Microphone array on interaction-oriented builds</t>
        </is>
      </c>
      <c r="AP52" s="152" t="inlineStr">
        <is>
          <t>Not disclosed</t>
        </is>
      </c>
      <c r="AQ52" s="152" t="inlineStr">
        <is>
          <t>Not disclosed</t>
        </is>
      </c>
      <c r="AR52" s="152" t="n"/>
      <c r="AS52" s="152" t="n"/>
      <c r="AT52" s="156" t="inlineStr">
        <is>
          <t>Intel x86; Nvidia Jetson</t>
        </is>
      </c>
      <c r="AU52" s="156" t="inlineStr">
        <is>
          <t>Bluetooth; Ethernet; USB; WiFi</t>
        </is>
      </c>
      <c r="AV52" s="152" t="inlineStr">
        <is>
          <t>Manufacturer app and/or SDK</t>
        </is>
      </c>
      <c r="AW52" s="156" t="inlineStr">
        <is>
          <t>Bipedal balance and walking controllers</t>
        </is>
      </c>
      <c r="AX52" s="158" t="n">
        <v>2</v>
      </c>
      <c r="AY52" s="156" t="inlineStr">
        <is>
          <t>Linux</t>
        </is>
      </c>
      <c r="AZ52" s="156" t="inlineStr">
        <is>
          <t>Yes</t>
        </is>
      </c>
      <c r="BA52" s="156" t="inlineStr">
        <is>
          <t>Not specified</t>
        </is>
      </c>
      <c r="BB52" s="156" t="inlineStr">
        <is>
          <t>Brushless Motor</t>
        </is>
      </c>
      <c r="BC52" s="156" t="inlineStr">
        <is>
          <t>Harmonic Gear reduction</t>
        </is>
      </c>
      <c r="BD52" s="152" t="inlineStr">
        <is>
          <t>Aluminium</t>
        </is>
      </c>
      <c r="BE52" s="152" t="inlineStr">
        <is>
          <t>Not disclosed</t>
        </is>
      </c>
      <c r="BF52" s="152" t="inlineStr">
        <is>
          <t>Not specified</t>
        </is>
      </c>
      <c r="BG52" s="152" t="n"/>
      <c r="BH52" s="152" t="n"/>
      <c r="BI52" s="152" t="n"/>
      <c r="BJ52" s="152" t="n"/>
      <c r="BK52" s="152" t="n"/>
      <c r="BL52" s="152" t="n"/>
      <c r="BM52" s="152" t="inlineStr">
        <is>
          <t>Yes</t>
        </is>
      </c>
      <c r="BN52" s="152" t="inlineStr">
        <is>
          <t>Not disclosed</t>
        </is>
      </c>
      <c r="BO52" s="156" t="inlineStr">
        <is>
          <t>Market: Commercial (limited details) · Manipulation 2/4 · Navigation 2/4 · Human-safe: Yes · AI: Yes · Actuation: Brushless Motor · Peak 4 km/h · Runtime 20</t>
        </is>
      </c>
      <c r="BP52" s="152" t="n"/>
      <c r="BQ52" s="156" t="inlineStr">
        <is>
          <t>Commercial (limited details)</t>
        </is>
      </c>
      <c r="BR52" s="156" t="inlineStr">
        <is>
          <t>Limited availability</t>
        </is>
      </c>
      <c r="BS52" s="156" t="inlineStr">
        <is>
          <t>In production</t>
        </is>
      </c>
      <c r="BT52" s="152" t="n"/>
      <c r="BU52" s="152" t="inlineStr">
        <is>
          <t>Not verified</t>
        </is>
      </c>
      <c r="BV52" s="156" t="inlineStr">
        <is>
          <t>Early-stage US platform Humanoid.guide listed price $80,000.</t>
        </is>
      </c>
      <c r="BW52" s="156" t="inlineStr">
        <is>
          <t>Origin &amp; status — USA · Limited availability · 2023 | Manipulation — Grippers or dexterous hands depending on configuration · 10 fingers · Hand DOF 12 · Payload 33.1 lb (15 kg) | Sensing &amp; software — RGB and/or depth cameras for navigation and manipulation (configuration specific) · Yes · Linux · Manufacturer app and/or SDK | Buying notes — From $50,000 · 12 months manufacturer standard (typical research/commercial humanoid) · Best fit: Commercial (limited details)</t>
        </is>
      </c>
      <c r="BX52" s="156" t="inlineStr">
        <is>
          <t>as_shipped|Vega|50000|As shipped</t>
        </is>
      </c>
      <c r="BY52" s="152" t="inlineStr">
        <is>
          <t>vega|Manufacturer finish|#e2e8f0|0</t>
        </is>
      </c>
      <c r="BZ52" s="152" t="inlineStr"/>
      <c r="CA52" s="156" t="inlineStr">
        <is>
          <t>Add-ons: case; 2 color options; Multi-year extended warranty available</t>
        </is>
      </c>
      <c r="CB52" s="156" t="inlineStr">
        <is>
          <t>12 months manufacturer standard (typical research/commercial humanoid)</t>
        </is>
      </c>
      <c r="CC52" s="154" t="n">
        <v>12</v>
      </c>
      <c r="CD52" s="156" t="inlineStr">
        <is>
          <t>+3 Year Extended ≈24% of configuration (default in configurator)</t>
        </is>
      </c>
      <c r="CE52" s="152" t="inlineStr">
        <is>
          <t>Humanoid category norm 2025–2026</t>
        </is>
      </c>
      <c r="CF52" s="152" t="inlineStr">
        <is>
          <t>Estimated</t>
        </is>
      </c>
      <c r="CG52" s="156" t="inlineStr">
        <is>
          <t>EDU or enterprise packages may differ; confirm on formal quote.</t>
        </is>
      </c>
      <c r="CH52" s="152" t="inlineStr">
        <is>
          <t>10%</t>
        </is>
      </c>
      <c r="CI52" s="152" t="inlineStr">
        <is>
          <t>17%</t>
        </is>
      </c>
      <c r="CJ52" s="152" t="inlineStr">
        <is>
          <t>24%</t>
        </is>
      </c>
      <c r="CK52"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52"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52" s="152" t="inlineStr">
        <is>
          <t>12 months manufacturer standard (typical research/commercial humanoid)</t>
        </is>
      </c>
      <c r="CQ52" s="101" t="inlineStr">
        <is>
          <t>Height: 5 ft 7 in | Weight: 297.6 | Degrees of Freedom: 36 | Payload: 33.1 | Max Speed: 2.49 | Battery / Runtime: ≈ 20 hours</t>
        </is>
      </c>
    </row>
    <row r="53" ht="31.5" customHeight="1" s="102">
      <c r="A53" s="145" t="inlineStr">
        <is>
          <t>digit_robotics_nezha_p01</t>
        </is>
      </c>
      <c r="B53" s="153" t="inlineStr">
        <is>
          <t>Humanoid.guide</t>
        </is>
      </c>
      <c r="C53" s="145" t="inlineStr">
        <is>
          <t>Digit Robotics</t>
        </is>
      </c>
      <c r="D53" s="145" t="inlineStr">
        <is>
          <t>Nezha P01</t>
        </is>
      </c>
      <c r="E53" s="145" t="inlineStr">
        <is>
          <t>[Digit Robotics] Nezha P01 (2026)</t>
        </is>
      </c>
      <c r="F53" s="146" t="inlineStr">
        <is>
          <t>humanoid</t>
        </is>
      </c>
      <c r="G53" s="145" t="inlineStr">
        <is>
          <t>China</t>
        </is>
      </c>
      <c r="H53" s="145" t="n"/>
      <c r="I53" s="148" t="n">
        <v>80000</v>
      </c>
      <c r="J53" s="145" t="inlineStr">
        <is>
          <t>Humanoid.guide list</t>
        </is>
      </c>
      <c r="K53" s="149" t="inlineStr">
        <is>
          <t>Nezha P01 is a full-size humanoid robot built for embodied AI research, dynamic mobility testing, and advanced human-like interaction experiments.</t>
        </is>
      </c>
      <c r="L53" s="101" t="inlineStr">
        <is>
          <t>Nezha P01 is a full-size humanoid robot built for embodied AI research, dynamic mobility testing, and advanced human-like interaction experiments.</t>
        </is>
      </c>
      <c r="M53" s="101" t="inlineStr">
        <is>
          <t>Nezha P01 is a full-size humanoid robot built for embodied AI research, dynamic mobility testing, and advanced human-like interaction experiments. Public status is listed as prototype, and it is positioned for research, education, AI labs.</t>
        </is>
      </c>
      <c r="N53" s="150" t="inlineStr">
        <is>
          <t>https://humanoid.guide/product/nezha-p01/</t>
        </is>
      </c>
      <c r="O53" s="150" t="inlineStr">
        <is>
          <t>https://www.digit.com.cn</t>
        </is>
      </c>
      <c r="P53" s="145" t="inlineStr">
        <is>
          <t>4 ft 9 in</t>
        </is>
      </c>
      <c r="Q53" s="145" t="n">
        <v>145</v>
      </c>
      <c r="R53" s="145" t="n">
        <v>143.3</v>
      </c>
      <c r="S53" s="145" t="n">
        <v>65</v>
      </c>
      <c r="T53" s="149" t="inlineStr">
        <is>
          <t>Not disclosed</t>
        </is>
      </c>
      <c r="U53" s="145" t="n"/>
      <c r="V53" s="145" t="inlineStr">
        <is>
          <t>54</t>
        </is>
      </c>
      <c r="W53" s="149" t="inlineStr">
        <is>
          <t>11 per hand</t>
        </is>
      </c>
      <c r="X53" s="145" t="n">
        <v>2.2</v>
      </c>
      <c r="Y53" s="145" t="n">
        <v>1</v>
      </c>
      <c r="Z53" s="145" t="n">
        <v>1.24</v>
      </c>
      <c r="AA53" s="145" t="n">
        <v>2</v>
      </c>
      <c r="AB53" s="145" t="n">
        <v>2</v>
      </c>
      <c r="AC53" s="149" t="inlineStr">
        <is>
          <t>≈ 10 hours</t>
        </is>
      </c>
      <c r="AD53" s="149" t="inlineStr">
        <is>
          <t>10</t>
        </is>
      </c>
      <c r="AE53" s="145" t="n"/>
      <c r="AF53" s="145" t="inlineStr">
        <is>
          <t>Not disclosed</t>
        </is>
      </c>
      <c r="AG53" s="149" t="inlineStr">
        <is>
          <t>5 per hand</t>
        </is>
      </c>
      <c r="AH53" s="145" t="inlineStr">
        <is>
          <t>5 per hand</t>
        </is>
      </c>
      <c r="AI53" s="145" t="n"/>
      <c r="AJ53" s="149" t="inlineStr">
        <is>
          <t>Not disclosed</t>
        </is>
      </c>
      <c r="AK53" s="149" t="n"/>
      <c r="AL53" s="145" t="inlineStr">
        <is>
          <t>Not disclosed</t>
        </is>
      </c>
      <c r="AM53" s="145" t="n"/>
      <c r="AN53" s="145" t="inlineStr">
        <is>
          <t>Not disclosed</t>
        </is>
      </c>
      <c r="AO53" s="145" t="inlineStr">
        <is>
          <t>Not disclosed</t>
        </is>
      </c>
      <c r="AP53" s="145" t="inlineStr">
        <is>
          <t>Not disclosed</t>
        </is>
      </c>
      <c r="AQ53" s="145" t="inlineStr">
        <is>
          <t>Not disclosed</t>
        </is>
      </c>
      <c r="AR53" s="145" t="n"/>
      <c r="AS53" s="145" t="n"/>
      <c r="AT53" s="149" t="inlineStr">
        <is>
          <t>Not disclosed</t>
        </is>
      </c>
      <c r="AU53" s="149" t="inlineStr">
        <is>
          <t>Ethernet; Wi‑Fi</t>
        </is>
      </c>
      <c r="AV53" s="145" t="inlineStr">
        <is>
          <t>Not disclosed</t>
        </is>
      </c>
      <c r="AW53" s="149" t="inlineStr">
        <is>
          <t>Not disclosed</t>
        </is>
      </c>
      <c r="AX53" s="145" t="n"/>
      <c r="AY53" s="149" t="inlineStr">
        <is>
          <t>Linux-based robotics framework (likely ROS/ROS2)</t>
        </is>
      </c>
      <c r="AZ53" s="149" t="inlineStr">
        <is>
          <t>Possible via external AI integration</t>
        </is>
      </c>
      <c r="BA53" s="149" t="n"/>
      <c r="BB53" s="149" t="inlineStr">
        <is>
          <t>High-torque electric servo actuators</t>
        </is>
      </c>
      <c r="BC53" s="149" t="inlineStr">
        <is>
          <t>Harmonic or precision planetary gear drives</t>
        </is>
      </c>
      <c r="BD53" s="145" t="inlineStr">
        <is>
          <t>Aluminum alloy frame with lightweight composite panels</t>
        </is>
      </c>
      <c r="BE53" s="145" t="inlineStr">
        <is>
          <t>Not disclosed</t>
        </is>
      </c>
      <c r="BF53" s="145" t="n"/>
      <c r="BG53" s="145" t="n"/>
      <c r="BH53" s="145" t="n"/>
      <c r="BI53" s="145" t="n"/>
      <c r="BJ53" s="145" t="n"/>
      <c r="BK53" s="145" t="n"/>
      <c r="BL53" s="145" t="n"/>
      <c r="BM53" s="145" t="inlineStr">
        <is>
          <t>Yes</t>
        </is>
      </c>
      <c r="BN53" s="145" t="inlineStr">
        <is>
          <t>Not disclosed</t>
        </is>
      </c>
      <c r="BO53" s="149" t="inlineStr">
        <is>
          <t>Market: Research, education, AI labs · Human-safe: Yes · AI: Possible via external AI integration · Actuation: High-torque electric servo actuators · Peak 2 km/h · Walk 2 km/h · Runtime 10</t>
        </is>
      </c>
      <c r="BP53" s="145" t="n"/>
      <c r="BQ53" s="149" t="inlineStr">
        <is>
          <t>Research, education, AI labs</t>
        </is>
      </c>
      <c r="BR53" s="149" t="inlineStr">
        <is>
          <t>Prototype</t>
        </is>
      </c>
      <c r="BS53" s="149" t="inlineStr">
        <is>
          <t>Prototype</t>
        </is>
      </c>
      <c r="BT53" s="145" t="inlineStr">
        <is>
          <t>Red / Silver / Pink / Blue / Orange</t>
        </is>
      </c>
      <c r="BU53" s="145" t="inlineStr">
        <is>
          <t>Not verified</t>
        </is>
      </c>
      <c r="BV53" s="149" t="n"/>
      <c r="BW53" s="149" t="inlineStr">
        <is>
          <t>Origin &amp; status — China · Prototype · 2026 | Manipulation — 5 per hand · 5 per hand fingers · Hand DOF 11 per hand · Payload 2.2 lb | Sensing &amp; software — Possible via external AI integration · Linux-based robotics framework (likely ROS/ROS2) | Buying notes — From $80,000 · 12 months manufacturer standard (typical research/commercial humanoid) · Best fit: Research, education, AI labs</t>
        </is>
      </c>
      <c r="BX53" s="149" t="inlineStr">
        <is>
          <t>as_shipped|Nezha P01|80000|As shipped</t>
        </is>
      </c>
      <c r="BY53" s="145" t="inlineStr">
        <is>
          <t>red|Red|#e2e8f0|0 || silver|Silver|#1e293b|0 || pink|Pink|#0891b2|0 || blue|Blue|#f8fafc|0 || orange|Orange|#7c3aed|0</t>
        </is>
      </c>
      <c r="BZ53" s="145" t="inlineStr"/>
      <c r="CA53" s="149" t="n"/>
      <c r="CB53" s="149" t="inlineStr">
        <is>
          <t>12 months manufacturer standard (typical research/commercial humanoid)</t>
        </is>
      </c>
      <c r="CC53" s="147" t="n">
        <v>12</v>
      </c>
      <c r="CD53" s="149" t="inlineStr">
        <is>
          <t>+3 Year Extended ≈24% of configuration (default in configurator)</t>
        </is>
      </c>
      <c r="CE53" s="145" t="inlineStr">
        <is>
          <t>Humanoid category norm 2025–2026</t>
        </is>
      </c>
      <c r="CF53" s="145" t="inlineStr">
        <is>
          <t>Estimated</t>
        </is>
      </c>
      <c r="CG53" s="149" t="inlineStr">
        <is>
          <t>Confirm on formal OEM quote. EDU or enterprise packages may differ.</t>
        </is>
      </c>
      <c r="CH53" s="145" t="inlineStr">
        <is>
          <t>10%</t>
        </is>
      </c>
      <c r="CI53" s="145" t="inlineStr">
        <is>
          <t>17%</t>
        </is>
      </c>
      <c r="CJ53" s="145" t="inlineStr">
        <is>
          <t>24%</t>
        </is>
      </c>
      <c r="CK53" s="149" t="inlineStr">
        <is>
          <t>+1yr ≈10% | +2yr ≈17% | +3yr ≈24% of selected configuration price (parts &amp; labor beyond manufacturer standard).</t>
        </is>
      </c>
      <c r="CL53"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53" s="145" t="inlineStr">
        <is>
          <t>12 months manufacturer standard (typical research/commercial humanoid)</t>
        </is>
      </c>
      <c r="CQ53" s="101" t="inlineStr">
        <is>
          <t>Height: 4 ft 9 in | Weight: 143.3 | Degrees of Freedom: 54 | Payload: 2.2 | Max Speed: 1.24 | Battery / Runtime: ≈ 10 hours</t>
        </is>
      </c>
    </row>
    <row r="54" ht="31.5" customHeight="1" s="102">
      <c r="A54" s="152" t="inlineStr">
        <is>
          <t>digit_robotics_xialan_s0</t>
        </is>
      </c>
      <c r="B54" s="153" t="inlineStr">
        <is>
          <t>Humanoid.guide</t>
        </is>
      </c>
      <c r="C54" s="152" t="inlineStr">
        <is>
          <t>Digit Robotics</t>
        </is>
      </c>
      <c r="D54" s="152" t="inlineStr">
        <is>
          <t>Xialan S0</t>
        </is>
      </c>
      <c r="E54" s="152" t="inlineStr">
        <is>
          <t>[Digit Robotics] Xialan S0 (2026)</t>
        </is>
      </c>
      <c r="F54" s="146" t="inlineStr">
        <is>
          <t>humanoid</t>
        </is>
      </c>
      <c r="G54" s="152" t="inlineStr">
        <is>
          <t>China</t>
        </is>
      </c>
      <c r="H54" s="152" t="n"/>
      <c r="I54" s="155" t="n">
        <v>90000</v>
      </c>
      <c r="J54" s="152" t="inlineStr">
        <is>
          <t>Humanoid.guide list</t>
        </is>
      </c>
      <c r="K54" s="156" t="inlineStr">
        <is>
          <t>Xialan S0 is a 169 cm full-size humanoid robot with 40+ degrees of freedom, designed for embodied AI research and advanced motion control development.</t>
        </is>
      </c>
      <c r="L54" s="101" t="inlineStr">
        <is>
          <t>Xialan S0 is a 169 cm full-size humanoid robot with 40+ degrees of freedom, designed for embodied AI research and advanced motion control development.</t>
        </is>
      </c>
      <c r="M54" s="101" t="inlineStr">
        <is>
          <t>Xialan S0 is a 169 cm full-size humanoid robot with 40+ degrees of freedom, designed for embodied AI research and advanced motion control development. Public status is listed as prototype, and it is positioned for academic institutions; embodied AI development; Robotics research.</t>
        </is>
      </c>
      <c r="N54" s="157" t="inlineStr">
        <is>
          <t>https://humanoid.guide/product/xialan-s0/</t>
        </is>
      </c>
      <c r="O54" s="157" t="inlineStr">
        <is>
          <t>https://www.digit.com.cn</t>
        </is>
      </c>
      <c r="P54" s="152" t="inlineStr">
        <is>
          <t>5 ft 7 in</t>
        </is>
      </c>
      <c r="Q54" s="152" t="n">
        <v>169</v>
      </c>
      <c r="R54" s="152" t="n"/>
      <c r="S54" s="152" t="n"/>
      <c r="T54" s="156" t="inlineStr">
        <is>
          <t>Not disclosed</t>
        </is>
      </c>
      <c r="U54" s="152" t="n"/>
      <c r="V54" s="152" t="inlineStr">
        <is>
          <t>40+</t>
        </is>
      </c>
      <c r="W54" s="156" t="inlineStr">
        <is>
          <t>29+</t>
        </is>
      </c>
      <c r="X54" s="152" t="n">
        <v>17.6</v>
      </c>
      <c r="Y54" s="152" t="n">
        <v>8</v>
      </c>
      <c r="Z54" s="152" t="n">
        <v>2.8</v>
      </c>
      <c r="AA54" s="152" t="n">
        <v>4.5</v>
      </c>
      <c r="AB54" s="152" t="n">
        <v>4</v>
      </c>
      <c r="AC54" s="156" t="inlineStr">
        <is>
          <t>≈ 2 hours</t>
        </is>
      </c>
      <c r="AD54" s="156" t="inlineStr">
        <is>
          <t>2</t>
        </is>
      </c>
      <c r="AE54" s="152" t="n"/>
      <c r="AF54" s="152" t="inlineStr">
        <is>
          <t>Not disclosed</t>
        </is>
      </c>
      <c r="AG54" s="156" t="inlineStr">
        <is>
          <t>5 per hand</t>
        </is>
      </c>
      <c r="AH54" s="152" t="inlineStr">
        <is>
          <t>5 per hand</t>
        </is>
      </c>
      <c r="AI54" s="152" t="n"/>
      <c r="AJ54" s="156" t="inlineStr">
        <is>
          <t>Not disclosed</t>
        </is>
      </c>
      <c r="AK54" s="156" t="n"/>
      <c r="AL54" s="152" t="inlineStr">
        <is>
          <t>Not disclosed</t>
        </is>
      </c>
      <c r="AM54" s="152" t="n"/>
      <c r="AN54" s="152" t="inlineStr">
        <is>
          <t>Not disclosed</t>
        </is>
      </c>
      <c r="AO54" s="152" t="inlineStr">
        <is>
          <t>Not disclosed</t>
        </is>
      </c>
      <c r="AP54" s="152" t="inlineStr">
        <is>
          <t>Not disclosed</t>
        </is>
      </c>
      <c r="AQ54" s="152" t="inlineStr">
        <is>
          <t>Not disclosed</t>
        </is>
      </c>
      <c r="AR54" s="152" t="n"/>
      <c r="AS54" s="152" t="n"/>
      <c r="AT54" s="156" t="inlineStr">
        <is>
          <t>Not disclosed</t>
        </is>
      </c>
      <c r="AU54" s="156" t="inlineStr">
        <is>
          <t>Ethernet; Wi‑Fi</t>
        </is>
      </c>
      <c r="AV54" s="152" t="inlineStr">
        <is>
          <t>Not disclosed</t>
        </is>
      </c>
      <c r="AW54" s="156" t="inlineStr">
        <is>
          <t>Not disclosed</t>
        </is>
      </c>
      <c r="AX54" s="152" t="n"/>
      <c r="AY54" s="156" t="inlineStr">
        <is>
          <t>Linux-based robotics framework (likely ROS/ROS2)</t>
        </is>
      </c>
      <c r="AZ54" s="156" t="inlineStr">
        <is>
          <t>Possible via external AI integration</t>
        </is>
      </c>
      <c r="BA54" s="156" t="n"/>
      <c r="BB54" s="156" t="inlineStr">
        <is>
          <t>High-torque electric servo actuators</t>
        </is>
      </c>
      <c r="BC54" s="156" t="inlineStr">
        <is>
          <t>Harmonic drive systems</t>
        </is>
      </c>
      <c r="BD54" s="152" t="inlineStr">
        <is>
          <t>Aluminum alloy frame with composite outer panels</t>
        </is>
      </c>
      <c r="BE54" s="152" t="inlineStr">
        <is>
          <t>Not disclosed</t>
        </is>
      </c>
      <c r="BF54" s="152" t="n"/>
      <c r="BG54" s="152" t="n"/>
      <c r="BH54" s="152" t="n"/>
      <c r="BI54" s="152" t="n"/>
      <c r="BJ54" s="152" t="n"/>
      <c r="BK54" s="152" t="n"/>
      <c r="BL54" s="152" t="n"/>
      <c r="BM54" s="152" t="inlineStr">
        <is>
          <t>Yes</t>
        </is>
      </c>
      <c r="BN54" s="152" t="inlineStr">
        <is>
          <t>Not disclosed</t>
        </is>
      </c>
      <c r="BO54" s="156" t="inlineStr">
        <is>
          <t>Market: academic institutions; embodied AI development; Robotics research · Human-safe: Yes · AI: Possible via external AI integration · Actuation: High-torque electric servo actuators · Peak 4.5 km/h · Walk 4 km/h · Runtime 2</t>
        </is>
      </c>
      <c r="BP54" s="152" t="n"/>
      <c r="BQ54" s="156" t="inlineStr">
        <is>
          <t>academic institutions; embodied AI development; Robotics research</t>
        </is>
      </c>
      <c r="BR54" s="156" t="inlineStr">
        <is>
          <t>Prototype</t>
        </is>
      </c>
      <c r="BS54" s="156" t="inlineStr">
        <is>
          <t>Prototype</t>
        </is>
      </c>
      <c r="BT54" s="152" t="inlineStr">
        <is>
          <t>Red</t>
        </is>
      </c>
      <c r="BU54" s="152" t="inlineStr">
        <is>
          <t>Not verified</t>
        </is>
      </c>
      <c r="BV54" s="156" t="n"/>
      <c r="BW54" s="156" t="inlineStr">
        <is>
          <t>Origin &amp; status — China · Prototype · 2026 | Manipulation — 5 per hand · 5 per hand fingers · Hand DOF 29+ · Payload 17.6 lb | Sensing &amp; software — Possible via external AI integration · Linux-based robotics framework (likely ROS/ROS2) | Buying notes — From $90,000 · 12 months manufacturer standard (typical research/commercial humanoid) · Best fit: academic institutions</t>
        </is>
      </c>
      <c r="BX54" s="156" t="inlineStr">
        <is>
          <t>as_shipped|Xialan S0|90000|As shipped</t>
        </is>
      </c>
      <c r="BY54" s="152" t="inlineStr">
        <is>
          <t>red|Red|#e2e8f0|0</t>
        </is>
      </c>
      <c r="BZ54" s="152" t="inlineStr"/>
      <c r="CA54" s="156" t="n"/>
      <c r="CB54" s="156" t="inlineStr">
        <is>
          <t>12 months manufacturer standard (typical research/commercial humanoid)</t>
        </is>
      </c>
      <c r="CC54" s="154" t="n">
        <v>12</v>
      </c>
      <c r="CD54" s="156" t="inlineStr">
        <is>
          <t>+3 Year Extended ≈24% of configuration (default in configurator)</t>
        </is>
      </c>
      <c r="CE54" s="152" t="inlineStr">
        <is>
          <t>Humanoid category norm 2025–2026</t>
        </is>
      </c>
      <c r="CF54" s="152" t="inlineStr">
        <is>
          <t>Estimated</t>
        </is>
      </c>
      <c r="CG54" s="156" t="inlineStr">
        <is>
          <t>Confirm on formal OEM quote. EDU or enterprise packages may differ.</t>
        </is>
      </c>
      <c r="CH54" s="152" t="inlineStr">
        <is>
          <t>10%</t>
        </is>
      </c>
      <c r="CI54" s="152" t="inlineStr">
        <is>
          <t>17%</t>
        </is>
      </c>
      <c r="CJ54" s="152" t="inlineStr">
        <is>
          <t>24%</t>
        </is>
      </c>
      <c r="CK54" s="156" t="inlineStr">
        <is>
          <t>+1yr ≈10% | +2yr ≈17% | +3yr ≈24% of selected configuration price (parts &amp; labor beyond manufacturer standard).</t>
        </is>
      </c>
      <c r="CL54"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54" s="152" t="inlineStr">
        <is>
          <t>12 months manufacturer standard (typical research/commercial humanoid)</t>
        </is>
      </c>
      <c r="CQ54" s="101" t="inlineStr">
        <is>
          <t>Height: 5 ft 7 in | Weight: Not disclosed | Degrees of Freedom: 40+ | Payload: 17.6 | Max Speed: 2.8 | Battery / Runtime: ≈ 2 hours</t>
        </is>
      </c>
    </row>
    <row r="55" ht="31.5" customHeight="1" s="102">
      <c r="A55" s="145" t="inlineStr">
        <is>
          <t>digit_robotics_xiaqi</t>
        </is>
      </c>
      <c r="B55" s="153" t="inlineStr">
        <is>
          <t>Humanoid.guide</t>
        </is>
      </c>
      <c r="C55" s="145" t="inlineStr">
        <is>
          <t>Digit Robotics</t>
        </is>
      </c>
      <c r="D55" s="145" t="inlineStr">
        <is>
          <t>XiaQi</t>
        </is>
      </c>
      <c r="E55" s="145" t="inlineStr">
        <is>
          <t>[Digit Robotics] XiaQi (2026)</t>
        </is>
      </c>
      <c r="F55" s="146" t="inlineStr">
        <is>
          <t>humanoid</t>
        </is>
      </c>
      <c r="G55" s="145" t="inlineStr">
        <is>
          <t>China</t>
        </is>
      </c>
      <c r="H55" s="145" t="n"/>
      <c r="I55" s="148" t="n">
        <v>75000</v>
      </c>
      <c r="J55" s="145" t="inlineStr">
        <is>
          <t>Humanoid.guide list</t>
        </is>
      </c>
      <c r="K55" s="149" t="inlineStr">
        <is>
          <t>XiaQi is a 169 cm humanoid robot with 40+ degrees of freedom, built for intelligent interaction, guided services, and AI-driven public engagement.</t>
        </is>
      </c>
      <c r="L55" s="101" t="inlineStr">
        <is>
          <t>XiaQi is a 169 cm humanoid robot with 40+ degrees of freedom, built for intelligent interaction, guided services, and AI-driven public engagement.</t>
        </is>
      </c>
      <c r="M55" s="101" t="inlineStr">
        <is>
          <t>XiaQi is a 169 cm humanoid robot with 40+ degrees of freedom, built for intelligent interaction, guided services, and AI-driven public engagement. Public status is listed as production platform for commercial and exhibition deployment, and it is positioned for exhibition guidance; marketing service; public demonstrations; reception.</t>
        </is>
      </c>
      <c r="N55" s="150" t="inlineStr">
        <is>
          <t>https://humanoid.guide/product/xiaqi/</t>
        </is>
      </c>
      <c r="O55" s="150" t="inlineStr">
        <is>
          <t>https://www.digit.com.cn</t>
        </is>
      </c>
      <c r="P55" s="145" t="inlineStr">
        <is>
          <t>5 ft 7 in</t>
        </is>
      </c>
      <c r="Q55" s="145" t="n">
        <v>169</v>
      </c>
      <c r="R55" s="145" t="n">
        <v>152.1</v>
      </c>
      <c r="S55" s="145" t="n">
        <v>69</v>
      </c>
      <c r="T55" s="149" t="inlineStr">
        <is>
          <t>Not disclosed</t>
        </is>
      </c>
      <c r="U55" s="145" t="n"/>
      <c r="V55" s="145" t="inlineStr">
        <is>
          <t>40+</t>
        </is>
      </c>
      <c r="W55" s="149" t="inlineStr">
        <is>
          <t>29+</t>
        </is>
      </c>
      <c r="X55" s="145" t="n">
        <v>4.4</v>
      </c>
      <c r="Y55" s="145" t="n">
        <v>2</v>
      </c>
      <c r="Z55" s="145" t="n">
        <v>2.8</v>
      </c>
      <c r="AA55" s="145" t="n">
        <v>4.5</v>
      </c>
      <c r="AB55" s="145" t="n">
        <v>4</v>
      </c>
      <c r="AC55" s="149" t="inlineStr">
        <is>
          <t>≈ 2 hours</t>
        </is>
      </c>
      <c r="AD55" s="149" t="inlineStr">
        <is>
          <t>2</t>
        </is>
      </c>
      <c r="AE55" s="145" t="n"/>
      <c r="AF55" s="145" t="inlineStr">
        <is>
          <t>Not disclosed</t>
        </is>
      </c>
      <c r="AG55" s="149" t="inlineStr">
        <is>
          <t>5 per hand</t>
        </is>
      </c>
      <c r="AH55" s="145" t="inlineStr">
        <is>
          <t>5 per hand</t>
        </is>
      </c>
      <c r="AI55" s="145" t="n"/>
      <c r="AJ55" s="149" t="inlineStr">
        <is>
          <t>Not disclosed</t>
        </is>
      </c>
      <c r="AK55" s="149" t="n"/>
      <c r="AL55" s="145" t="inlineStr">
        <is>
          <t>Not disclosed</t>
        </is>
      </c>
      <c r="AM55" s="145" t="n"/>
      <c r="AN55" s="145" t="inlineStr">
        <is>
          <t>Not disclosed</t>
        </is>
      </c>
      <c r="AO55" s="145" t="inlineStr">
        <is>
          <t>Not disclosed</t>
        </is>
      </c>
      <c r="AP55" s="145" t="inlineStr">
        <is>
          <t>Not disclosed</t>
        </is>
      </c>
      <c r="AQ55" s="145" t="inlineStr">
        <is>
          <t>Not disclosed</t>
        </is>
      </c>
      <c r="AR55" s="145" t="n"/>
      <c r="AS55" s="145" t="n"/>
      <c r="AT55" s="149" t="inlineStr">
        <is>
          <t>Embedded high-performance AI compute platform</t>
        </is>
      </c>
      <c r="AU55" s="149" t="inlineStr">
        <is>
          <t>Ethernet; Wi‑Fi</t>
        </is>
      </c>
      <c r="AV55" s="145" t="inlineStr">
        <is>
          <t>Not disclosed</t>
        </is>
      </c>
      <c r="AW55" s="149" t="inlineStr">
        <is>
          <t>Not disclosed</t>
        </is>
      </c>
      <c r="AX55" s="145" t="n"/>
      <c r="AY55" s="149" t="inlineStr">
        <is>
          <t>Linux-based robotics framework (likely ROS/ROS2)</t>
        </is>
      </c>
      <c r="AZ55" s="149" t="inlineStr">
        <is>
          <t>Possible via external AI integration</t>
        </is>
      </c>
      <c r="BA55" s="149" t="n"/>
      <c r="BB55" s="149" t="inlineStr">
        <is>
          <t>High-performance electric servo motors</t>
        </is>
      </c>
      <c r="BC55" s="149" t="inlineStr">
        <is>
          <t>Precision harmonic drive systems</t>
        </is>
      </c>
      <c r="BD55" s="145" t="inlineStr">
        <is>
          <t>Aluminum alloy frame with composite outer shell</t>
        </is>
      </c>
      <c r="BE55" s="145" t="inlineStr">
        <is>
          <t>Not disclosed</t>
        </is>
      </c>
      <c r="BF55" s="145" t="n"/>
      <c r="BG55" s="145" t="n"/>
      <c r="BH55" s="145" t="n"/>
      <c r="BI55" s="145" t="n"/>
      <c r="BJ55" s="145" t="n"/>
      <c r="BK55" s="145" t="n"/>
      <c r="BL55" s="145" t="n"/>
      <c r="BM55" s="145" t="inlineStr">
        <is>
          <t>Yes</t>
        </is>
      </c>
      <c r="BN55" s="145" t="inlineStr">
        <is>
          <t>Not disclosed</t>
        </is>
      </c>
      <c r="BO55" s="149" t="inlineStr">
        <is>
          <t>Market: Exhibition guidance; marketing service; public demonstrations; reception · Human-safe: Yes · AI: Possible via external AI integration · Actuation: High-performance electric servo motors · Peak 4.5 km/h · Walk 4 km/h · Runtime 2</t>
        </is>
      </c>
      <c r="BP55" s="145" t="n"/>
      <c r="BQ55" s="149" t="inlineStr">
        <is>
          <t>Exhibition guidance; marketing service; public demonstrations; reception</t>
        </is>
      </c>
      <c r="BR55" s="149" t="inlineStr">
        <is>
          <t>Production platform for commercial and exhibition deployment</t>
        </is>
      </c>
      <c r="BS55" s="149" t="inlineStr">
        <is>
          <t>Production platform for commercial and exhibition deployment</t>
        </is>
      </c>
      <c r="BT55" s="145" t="inlineStr">
        <is>
          <t>Blue</t>
        </is>
      </c>
      <c r="BU55" s="145" t="inlineStr">
        <is>
          <t>Not verified</t>
        </is>
      </c>
      <c r="BV55" s="149" t="n"/>
      <c r="BW55" s="149" t="inlineStr">
        <is>
          <t>Origin &amp; status — China · Production platform for commercial and exhibition deployment · 2026 | Manipulation — 5 per hand · 5 per hand fingers · Hand DOF 29+ · Payload 4.4 lb | Sensing &amp; software — Possible via external AI integration · Linux-based robotics framework (likely ROS/ROS2) | Buying notes — From $75,000 · 12 months manufacturer standard (typical research/commercial humanoid) · Best fit: Exhibition guidance</t>
        </is>
      </c>
      <c r="BX55" s="149" t="inlineStr">
        <is>
          <t>as_shipped|XiaQi|75000|As shipped</t>
        </is>
      </c>
      <c r="BY55" s="145" t="inlineStr">
        <is>
          <t>blue|Blue|#e2e8f0|0</t>
        </is>
      </c>
      <c r="BZ55" s="145" t="inlineStr"/>
      <c r="CA55" s="149" t="n"/>
      <c r="CB55" s="149" t="inlineStr">
        <is>
          <t>12 months manufacturer standard (typical research/commercial humanoid)</t>
        </is>
      </c>
      <c r="CC55" s="147" t="n">
        <v>12</v>
      </c>
      <c r="CD55" s="149" t="inlineStr">
        <is>
          <t>+3 Year Extended ≈24% of configuration (default in configurator)</t>
        </is>
      </c>
      <c r="CE55" s="145" t="inlineStr">
        <is>
          <t>Humanoid category norm 2025–2026</t>
        </is>
      </c>
      <c r="CF55" s="145" t="inlineStr">
        <is>
          <t>Estimated</t>
        </is>
      </c>
      <c r="CG55" s="149" t="inlineStr">
        <is>
          <t>Confirm on formal OEM quote. EDU or enterprise packages may differ.</t>
        </is>
      </c>
      <c r="CH55" s="145" t="inlineStr">
        <is>
          <t>10%</t>
        </is>
      </c>
      <c r="CI55" s="145" t="inlineStr">
        <is>
          <t>17%</t>
        </is>
      </c>
      <c r="CJ55" s="145" t="inlineStr">
        <is>
          <t>24%</t>
        </is>
      </c>
      <c r="CK55" s="149" t="inlineStr">
        <is>
          <t>+1yr ≈10% | +2yr ≈17% | +3yr ≈24% of selected configuration price (parts &amp; labor beyond manufacturer standard).</t>
        </is>
      </c>
      <c r="CL5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55" s="145" t="inlineStr">
        <is>
          <t>12 months manufacturer standard (typical research/commercial humanoid)</t>
        </is>
      </c>
      <c r="CQ55" s="101" t="inlineStr">
        <is>
          <t>Height: 5 ft 7 in | Weight: 152.1 | Degrees of Freedom: 40+ | Payload: 4.4 | Max Speed: 2.8 | Battery / Runtime: ≈ 2 hours</t>
        </is>
      </c>
    </row>
    <row r="56" ht="31.5" customHeight="1" s="102">
      <c r="A56" s="152" t="inlineStr">
        <is>
          <t>dobot_robotics_atom</t>
        </is>
      </c>
      <c r="B56" s="153" t="inlineStr">
        <is>
          <t>Humanoid.guide</t>
        </is>
      </c>
      <c r="C56" s="152" t="inlineStr">
        <is>
          <t>DOBOT Robotics</t>
        </is>
      </c>
      <c r="D56" s="152" t="inlineStr">
        <is>
          <t>Atom</t>
        </is>
      </c>
      <c r="E56" s="152" t="inlineStr">
        <is>
          <t>[DOBOT Robotics] Atom (2026)</t>
        </is>
      </c>
      <c r="F56" s="146" t="inlineStr">
        <is>
          <t>humanoid</t>
        </is>
      </c>
      <c r="G56" s="152" t="inlineStr">
        <is>
          <t>China</t>
        </is>
      </c>
      <c r="H56" s="152" t="n"/>
      <c r="I56" s="155" t="n">
        <v>27500</v>
      </c>
      <c r="J56" s="152" t="inlineStr">
        <is>
          <t>Robot Price Index Aug 2026</t>
        </is>
      </c>
      <c r="K56" s="156" t="inlineStr">
        <is>
          <t>The Dobot Atom is a next-generation humanoid robot developed by Shenzhen-based Dobot Robotics.</t>
        </is>
      </c>
      <c r="L56" s="101" t="inlineStr">
        <is>
          <t>The Dobot Atom is a next-generation humanoid robot developed by Shenzhen-based Dobot Robotics.</t>
        </is>
      </c>
      <c r="M56" s="101" t="inlineStr">
        <is>
          <t>Atom is DOBOT Robotics's humanoid, introduced around 2026 in China. The Dobot Atom is a next-generation humanoid robot developed by Shenzhen-based Dobot Robotics. Public status is listed as prototype.</t>
        </is>
      </c>
      <c r="N56" s="157" t="inlineStr">
        <is>
          <t>https://humanoid.guide/product/atom-2/</t>
        </is>
      </c>
      <c r="O56" s="157" t="inlineStr">
        <is>
          <t>https://www.dobot-robots.com</t>
        </is>
      </c>
      <c r="P56" s="152" t="inlineStr">
        <is>
          <t>5 ft 0 in</t>
        </is>
      </c>
      <c r="Q56" s="152" t="n">
        <v>153</v>
      </c>
      <c r="R56" s="152" t="n">
        <v>136.7</v>
      </c>
      <c r="S56" s="152" t="n">
        <v>62</v>
      </c>
      <c r="T56" s="156" t="inlineStr">
        <is>
          <t>Not disclosed</t>
        </is>
      </c>
      <c r="U56" s="152" t="n"/>
      <c r="V56" s="152" t="inlineStr">
        <is>
          <t>41</t>
        </is>
      </c>
      <c r="W56" s="156" t="inlineStr">
        <is>
          <t>Not disclosed</t>
        </is>
      </c>
      <c r="X56" s="152" t="n">
        <v>13.2</v>
      </c>
      <c r="Y56" s="152" t="n">
        <v>6</v>
      </c>
      <c r="Z56" s="152" t="n">
        <v>1.86</v>
      </c>
      <c r="AA56" s="152" t="n">
        <v>3</v>
      </c>
      <c r="AB56" s="152" t="n"/>
      <c r="AC56" s="156" t="inlineStr">
        <is>
          <t>Not disclosed</t>
        </is>
      </c>
      <c r="AD56" s="156" t="n"/>
      <c r="AE56" s="152" t="n"/>
      <c r="AF56" s="152" t="inlineStr">
        <is>
          <t>Not disclosed</t>
        </is>
      </c>
      <c r="AG56" s="156" t="inlineStr">
        <is>
          <t>Not disclosed</t>
        </is>
      </c>
      <c r="AH56" s="152" t="inlineStr">
        <is>
          <t>Not disclosed</t>
        </is>
      </c>
      <c r="AI56" s="158" t="n">
        <v>2</v>
      </c>
      <c r="AJ56" s="156" t="inlineStr">
        <is>
          <t>Not disclosed</t>
        </is>
      </c>
      <c r="AK56" s="156" t="n"/>
      <c r="AL56" s="152" t="inlineStr">
        <is>
          <t>Not disclosed</t>
        </is>
      </c>
      <c r="AM56" s="152" t="n"/>
      <c r="AN56" s="152" t="inlineStr">
        <is>
          <t>Not disclosed</t>
        </is>
      </c>
      <c r="AO56" s="152" t="inlineStr">
        <is>
          <t>Not disclosed</t>
        </is>
      </c>
      <c r="AP56" s="152" t="inlineStr">
        <is>
          <t>Not disclosed</t>
        </is>
      </c>
      <c r="AQ56" s="152" t="inlineStr">
        <is>
          <t>Not disclosed</t>
        </is>
      </c>
      <c r="AR56" s="152" t="n"/>
      <c r="AS56" s="152" t="n"/>
      <c r="AT56" s="156" t="inlineStr">
        <is>
          <t>Not disclosed</t>
        </is>
      </c>
      <c r="AU56" s="156" t="inlineStr">
        <is>
          <t>Not disclosed</t>
        </is>
      </c>
      <c r="AV56" s="152" t="inlineStr">
        <is>
          <t>Not disclosed</t>
        </is>
      </c>
      <c r="AW56" s="156" t="inlineStr">
        <is>
          <t>Not disclosed</t>
        </is>
      </c>
      <c r="AX56" s="158" t="n">
        <v>2</v>
      </c>
      <c r="AY56" s="156" t="inlineStr">
        <is>
          <t>Not disclosed</t>
        </is>
      </c>
      <c r="AZ56" s="156" t="inlineStr">
        <is>
          <t>Not disclosed</t>
        </is>
      </c>
      <c r="BA56" s="156" t="n"/>
      <c r="BB56" s="156" t="inlineStr">
        <is>
          <t>Not disclosed</t>
        </is>
      </c>
      <c r="BC56" s="156" t="inlineStr">
        <is>
          <t>Not disclosed</t>
        </is>
      </c>
      <c r="BD56" s="152" t="inlineStr">
        <is>
          <t>Not disclosed</t>
        </is>
      </c>
      <c r="BE56" s="152" t="inlineStr">
        <is>
          <t>Not disclosed</t>
        </is>
      </c>
      <c r="BF56" s="152" t="n"/>
      <c r="BG56" s="152" t="n"/>
      <c r="BH56" s="152" t="n"/>
      <c r="BI56" s="152" t="n"/>
      <c r="BJ56" s="152" t="n"/>
      <c r="BK56" s="152" t="n"/>
      <c r="BL56" s="152" t="n"/>
      <c r="BM56" s="152" t="inlineStr">
        <is>
          <t>Not disclosed</t>
        </is>
      </c>
      <c r="BN56" s="152" t="inlineStr">
        <is>
          <t>Not disclosed</t>
        </is>
      </c>
      <c r="BO56" s="156" t="inlineStr">
        <is>
          <t>Manipulation 2/4 · Navigation 2/4 · Peak 3 km/h</t>
        </is>
      </c>
      <c r="BP56" s="152" t="n"/>
      <c r="BQ56" s="156" t="inlineStr">
        <is>
          <t>Research labs, commercial pilots, and education programs evaluating a humanoid from DOBOT Robotics (China) now listed as prototype.</t>
        </is>
      </c>
      <c r="BR56" s="156" t="inlineStr">
        <is>
          <t>Prototype</t>
        </is>
      </c>
      <c r="BS56" s="156" t="inlineStr">
        <is>
          <t>Prototype</t>
        </is>
      </c>
      <c r="BT56" s="152" t="n"/>
      <c r="BU56" s="152" t="inlineStr">
        <is>
          <t>Not verified</t>
        </is>
      </c>
      <c r="BV56" s="156" t="n"/>
      <c r="BW56" s="156" t="inlineStr">
        <is>
          <t>Origin &amp; status — China · Prototype · 2026 | Manipulation — Payload 13.2 lb | Sensing &amp; software — Sensor and compute package confirmed on formal quote | Buying notes — From $27,500 · 12 months manufacturer standard (typical research/commercial humanoid)</t>
        </is>
      </c>
      <c r="BX56" s="156" t="inlineStr">
        <is>
          <t>as_shipped|Atom|27500|As shipped</t>
        </is>
      </c>
      <c r="BY56" s="152" t="inlineStr">
        <is>
          <t>atom|Manufacturer finish|#e2e8f0|0</t>
        </is>
      </c>
      <c r="BZ56" s="152" t="inlineStr"/>
      <c r="CA56" s="156" t="n"/>
      <c r="CB56" s="156" t="inlineStr">
        <is>
          <t>12 months manufacturer standard (typical research/commercial humanoid)</t>
        </is>
      </c>
      <c r="CC56" s="154" t="n">
        <v>12</v>
      </c>
      <c r="CD56" s="156" t="inlineStr">
        <is>
          <t>+3 Year Extended ≈24% of configuration (default in configurator)</t>
        </is>
      </c>
      <c r="CE56" s="152" t="inlineStr">
        <is>
          <t>Humanoid category norm 2025–2026</t>
        </is>
      </c>
      <c r="CF56" s="152" t="inlineStr">
        <is>
          <t>Estimated</t>
        </is>
      </c>
      <c r="CG56" s="156" t="inlineStr">
        <is>
          <t>Confirm on formal OEM quote. EDU or enterprise packages may differ.</t>
        </is>
      </c>
      <c r="CH56" s="152" t="inlineStr">
        <is>
          <t>10%</t>
        </is>
      </c>
      <c r="CI56" s="152" t="inlineStr">
        <is>
          <t>17%</t>
        </is>
      </c>
      <c r="CJ56" s="152" t="inlineStr">
        <is>
          <t>24%</t>
        </is>
      </c>
      <c r="CK56" s="156" t="inlineStr">
        <is>
          <t>+1yr ≈10% | +2yr ≈17% | +3yr ≈24% of selected configuration price (parts &amp; labor beyond manufacturer standard).</t>
        </is>
      </c>
      <c r="CL56"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56" s="152" t="inlineStr">
        <is>
          <t>12 months manufacturer standard (typical research/commercial humanoid)</t>
        </is>
      </c>
      <c r="CQ56" s="101" t="inlineStr">
        <is>
          <t>Height: 5 ft 0 in | Weight: 136.7 | Degrees of Freedom: 41 | Payload: 13.2 | Max Speed: 1.86 | Battery / Runtime: Not disclosed</t>
        </is>
      </c>
    </row>
    <row r="57" ht="31.5" customHeight="1" s="102">
      <c r="A57" s="145" t="inlineStr">
        <is>
          <t>dobot_robotics_atom_max</t>
        </is>
      </c>
      <c r="B57" s="153" t="inlineStr">
        <is>
          <t>Humanoid.guide</t>
        </is>
      </c>
      <c r="C57" s="145" t="inlineStr">
        <is>
          <t>DOBOT Robotics</t>
        </is>
      </c>
      <c r="D57" s="145" t="inlineStr">
        <is>
          <t>Atom Max</t>
        </is>
      </c>
      <c r="E57" s="145" t="inlineStr">
        <is>
          <t>[DOBOT Robotics] Atom Max (2026)</t>
        </is>
      </c>
      <c r="F57" s="146" t="inlineStr">
        <is>
          <t>humanoid</t>
        </is>
      </c>
      <c r="G57" s="145" t="inlineStr">
        <is>
          <t>China</t>
        </is>
      </c>
      <c r="H57" s="145" t="n"/>
      <c r="I57" s="148" t="n">
        <v>27500</v>
      </c>
      <c r="J57" s="145" t="inlineStr">
        <is>
          <t>Estimate · Atom Max above Atom list</t>
        </is>
      </c>
      <c r="K57" s="149" t="inlineStr">
        <is>
          <t>ATOM MAX is Dobot Robotics’ advanced humanoid robot designed for natural walking, precise manipulation, and high-performance teleoperation in research, training, and AI-driven development environments.</t>
        </is>
      </c>
      <c r="L57" s="101" t="inlineStr">
        <is>
          <t>ATOM MAX is Dobot Robotics’ advanced humanoid robot designed for natural walking, precise manipulation, and high-performance teleoperation in research, training, and AI-driven development environments.</t>
        </is>
      </c>
      <c r="M57" s="101" t="inlineStr">
        <is>
          <t>ATOM MAX is Dobot Robotics’ advanced humanoid robot designed for natural walking, precise manipulation, and high-performance teleoperation in research, training, and AI-driven development environments. Public status is listed as prototype, and it is positioned for research labs, robotics education, teleoperation development, demonstration projects.</t>
        </is>
      </c>
      <c r="N57" s="150" t="inlineStr">
        <is>
          <t>https://humanoid.guide/product/atom-max/</t>
        </is>
      </c>
      <c r="O57" s="150" t="inlineStr">
        <is>
          <t>https://www.dobot-robots.com</t>
        </is>
      </c>
      <c r="P57" s="145" t="inlineStr">
        <is>
          <t>5 ft 7 in</t>
        </is>
      </c>
      <c r="Q57" s="145" t="n">
        <v>170</v>
      </c>
      <c r="R57" s="145" t="n">
        <v>121.3</v>
      </c>
      <c r="S57" s="145" t="n">
        <v>55</v>
      </c>
      <c r="T57" s="149" t="inlineStr">
        <is>
          <t>Not disclosed</t>
        </is>
      </c>
      <c r="U57" s="145" t="inlineStr">
        <is>
          <t>190 × 70 × 60 cm</t>
        </is>
      </c>
      <c r="V57" s="145" t="inlineStr">
        <is>
          <t>40–45 DoF (based on 7-DoF arms + typical biped DoF configuration)</t>
        </is>
      </c>
      <c r="W57" s="149" t="inlineStr">
        <is>
          <t>12</t>
        </is>
      </c>
      <c r="X57" s="145" t="n">
        <v>17.6</v>
      </c>
      <c r="Y57" s="145" t="n">
        <v>8</v>
      </c>
      <c r="Z57" s="145" t="n">
        <v>3.11</v>
      </c>
      <c r="AA57" s="145" t="n">
        <v>5</v>
      </c>
      <c r="AB57" s="145" t="n">
        <v>4</v>
      </c>
      <c r="AC57" s="149" t="inlineStr">
        <is>
          <t>≈ 3 hours</t>
        </is>
      </c>
      <c r="AD57" s="149" t="inlineStr">
        <is>
          <t>3</t>
        </is>
      </c>
      <c r="AE57" s="145" t="n"/>
      <c r="AF57" s="145" t="inlineStr">
        <is>
          <t>Not disclosed</t>
        </is>
      </c>
      <c r="AG57" s="149" t="inlineStr">
        <is>
          <t>5 per hand</t>
        </is>
      </c>
      <c r="AH57" s="145" t="inlineStr">
        <is>
          <t>5 per hand</t>
        </is>
      </c>
      <c r="AI57" s="161" t="n">
        <v>4</v>
      </c>
      <c r="AJ57" s="149" t="inlineStr">
        <is>
          <t>Binocular Full HD + Intel RealSense D455 RGB-D (1280×720 depth / 1920×1080 color)</t>
        </is>
      </c>
      <c r="AK57" s="149" t="inlineStr">
        <is>
          <t>Binocular Full HD + Intel RealSense D455 RGB-D (1280×720 depth / 1920×1080 color)</t>
        </is>
      </c>
      <c r="AL57" s="145" t="inlineStr">
        <is>
          <t>Not disclosed</t>
        </is>
      </c>
      <c r="AM57" s="145" t="n"/>
      <c r="AN57" s="145" t="inlineStr">
        <is>
          <t>Not disclosed</t>
        </is>
      </c>
      <c r="AO57" s="145" t="inlineStr">
        <is>
          <t>Not disclosed</t>
        </is>
      </c>
      <c r="AP57" s="145" t="inlineStr">
        <is>
          <t>Not disclosed</t>
        </is>
      </c>
      <c r="AQ57" s="145" t="inlineStr">
        <is>
          <t>Not disclosed</t>
        </is>
      </c>
      <c r="AR57" s="145" t="n"/>
      <c r="AS57" s="145" t="n"/>
      <c r="AT57" s="149" t="inlineStr">
        <is>
          <t>Intel i9 + Graphics card with 16GB 256-bit GDDR6</t>
        </is>
      </c>
      <c r="AU57" s="149" t="inlineStr">
        <is>
          <t>Ethernet; USB; Wi‑Fi</t>
        </is>
      </c>
      <c r="AV57" s="145" t="inlineStr">
        <is>
          <t>Not disclosed</t>
        </is>
      </c>
      <c r="AW57" s="149" t="inlineStr">
        <is>
          <t>Not disclosed</t>
        </is>
      </c>
      <c r="AX57" s="151" t="n">
        <v>3</v>
      </c>
      <c r="AY57" s="149" t="inlineStr">
        <is>
          <t>Linux-based control OS</t>
        </is>
      </c>
      <c r="AZ57" s="149" t="inlineStr">
        <is>
          <t>Not disclosed</t>
        </is>
      </c>
      <c r="BA57" s="149" t="inlineStr">
        <is>
          <t>&amp;lt;200ms (End-to-End)</t>
        </is>
      </c>
      <c r="BB57" s="149" t="inlineStr">
        <is>
          <t>High-precision servo motor system</t>
        </is>
      </c>
      <c r="BC57" s="149" t="inlineStr">
        <is>
          <t>High-precision harmonic / planetary drives</t>
        </is>
      </c>
      <c r="BD57" s="145" t="inlineStr">
        <is>
          <t>Lightweight aluminum + composite shell</t>
        </is>
      </c>
      <c r="BE57" s="145" t="inlineStr">
        <is>
          <t>IP20</t>
        </is>
      </c>
      <c r="BF57" s="145" t="inlineStr">
        <is>
          <t>IP20</t>
        </is>
      </c>
      <c r="BG57" s="145" t="n"/>
      <c r="BH57" s="145" t="n"/>
      <c r="BI57" s="145" t="n"/>
      <c r="BJ57" s="145" t="n"/>
      <c r="BK57" s="145" t="n"/>
      <c r="BL57" s="145" t="n"/>
      <c r="BM57" s="145" t="inlineStr">
        <is>
          <t>Yes</t>
        </is>
      </c>
      <c r="BN57" s="145" t="inlineStr">
        <is>
          <t>Not disclosed</t>
        </is>
      </c>
      <c r="BO57" s="149" t="inlineStr">
        <is>
          <t>Market: Research labs, robotics education, teleoperation development, demonstration projects · Manipulation 4/4 · Navigation 3/4 · Human-safe: Yes · Actuation: High-precision servo motor system · Peak 5 km/h · Walk 4 km/h · Runtime 3</t>
        </is>
      </c>
      <c r="BP57" s="145" t="n"/>
      <c r="BQ57" s="149" t="inlineStr">
        <is>
          <t>Research labs, robotics education, teleoperation development, demonstration projects</t>
        </is>
      </c>
      <c r="BR57" s="149" t="inlineStr">
        <is>
          <t>Prototype</t>
        </is>
      </c>
      <c r="BS57" s="149" t="inlineStr">
        <is>
          <t>Prototype</t>
        </is>
      </c>
      <c r="BT57" s="145" t="inlineStr">
        <is>
          <t>Silver</t>
        </is>
      </c>
      <c r="BU57" s="145" t="inlineStr">
        <is>
          <t>Not verified</t>
        </is>
      </c>
      <c r="BV57" s="149" t="n"/>
      <c r="BW57" s="149" t="inlineStr">
        <is>
          <t>Origin &amp; status — China · Prototype · 2026 | Manipulation — 5 per hand · 5 per hand fingers · Hand DOF 12 · Payload 17.6 lb | Sensing &amp; software — Binocular Full HD + Intel RealSense D455 RGB-D (1280×720 depth / 1920×1080 color) · Linux-based control OS | Buying notes — From $27,500 · 12 months manufacturer standard (typical research/commercial humanoid) · Best fit: Research labs, robotics education, teleoperation development, de…</t>
        </is>
      </c>
      <c r="BX57" s="149" t="inlineStr">
        <is>
          <t>as_shipped|Atom Max|27500|As shipped</t>
        </is>
      </c>
      <c r="BY57" s="145" t="inlineStr">
        <is>
          <t>silver|Silver|#e2e8f0|0</t>
        </is>
      </c>
      <c r="BZ57" s="145" t="inlineStr"/>
      <c r="CA57" s="149" t="n"/>
      <c r="CB57" s="149" t="inlineStr">
        <is>
          <t>12 months manufacturer standard (typical research/commercial humanoid)</t>
        </is>
      </c>
      <c r="CC57" s="147" t="n">
        <v>12</v>
      </c>
      <c r="CD57" s="149" t="inlineStr">
        <is>
          <t>+3 Year Extended ≈24% of configuration (default in configurator)</t>
        </is>
      </c>
      <c r="CE57" s="145" t="inlineStr">
        <is>
          <t>Humanoid category norm 2025–2026</t>
        </is>
      </c>
      <c r="CF57" s="145" t="inlineStr">
        <is>
          <t>Estimated</t>
        </is>
      </c>
      <c r="CG57" s="149" t="inlineStr">
        <is>
          <t>Confirm on formal OEM quote. EDU or enterprise packages may differ.</t>
        </is>
      </c>
      <c r="CH57" s="145" t="inlineStr">
        <is>
          <t>10%</t>
        </is>
      </c>
      <c r="CI57" s="145" t="inlineStr">
        <is>
          <t>17%</t>
        </is>
      </c>
      <c r="CJ57" s="145" t="inlineStr">
        <is>
          <t>24%</t>
        </is>
      </c>
      <c r="CK57" s="149" t="inlineStr">
        <is>
          <t>+1yr ≈10% | +2yr ≈17% | +3yr ≈24% of selected configuration price (parts &amp; labor beyond manufacturer standard).</t>
        </is>
      </c>
      <c r="CL57"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57" s="145" t="inlineStr">
        <is>
          <t>12 months manufacturer standard (typical research/commercial humanoid)</t>
        </is>
      </c>
      <c r="CQ57" s="101" t="inlineStr">
        <is>
          <t>Height: 5 ft 7 in | Weight: 121.3 | Degrees of Freedom: 40–45 DoF (based on 7-DoF arms + typical biped DoF configuration) | Payload: 17.6 | Max Speed: 3.11 | Battery / Runtime: ≈ 3 hours</t>
        </is>
      </c>
    </row>
    <row r="58" ht="31.5" customHeight="1" s="102">
      <c r="A58" s="152" t="inlineStr">
        <is>
          <t>donut_robotics_co_ltd_cinnamon_1</t>
        </is>
      </c>
      <c r="B58" s="153" t="inlineStr">
        <is>
          <t>Humanoid.guide</t>
        </is>
      </c>
      <c r="C58" s="152" t="inlineStr">
        <is>
          <t>Donut Robotics Co., Ltd.</t>
        </is>
      </c>
      <c r="D58" s="152" t="inlineStr">
        <is>
          <t>Cinnamon 1</t>
        </is>
      </c>
      <c r="E58" s="152" t="inlineStr">
        <is>
          <t>[Donut Robotics Co., Ltd.] Cinnamon 1 (2026)</t>
        </is>
      </c>
      <c r="F58" s="146" t="inlineStr">
        <is>
          <t>humanoid</t>
        </is>
      </c>
      <c r="G58" s="152" t="inlineStr">
        <is>
          <t>Japan</t>
        </is>
      </c>
      <c r="H58" s="152" t="n"/>
      <c r="I58" s="155" t="n">
        <v>165000</v>
      </c>
      <c r="J58" s="152" t="inlineStr">
        <is>
          <t>Humanoid.guide list</t>
        </is>
      </c>
      <c r="K58" s="156" t="inlineStr">
        <is>
          <t>Cinnamon 1 is Donut Robotics Co., Ltd.'s humanoid — 5 ft 3 in class, ~20–30+ DOF, 13.2 lb payload. 5 per hand; onboard AI: Likely AI language/vision integration for VLA system.</t>
        </is>
      </c>
      <c r="L58" s="101" t="inlineStr">
        <is>
          <t>Cinnamon 1 is Donut Robotics Co., Ltd.'s humanoid — 5 ft 3 in class, ~20–30+ DOF, 13.2 lb payload. 5 per hand; onboard AI: Likely AI language/vision integration for VLA system.</t>
        </is>
      </c>
      <c r="M58" s="101" t="inlineStr">
        <is>
          <t>Cinnamon 1 is Donut Robotics Co., Ltd.'s humanoid — 5 ft 3 in class, ~20–30+ DOF, 13.2 lb payload. 5 per hand; onboard AI: Likely AI language/vision integration for VLA system. Public status is listed as prototype, and it is positioned for construction; Industrial automation; Security; Service.</t>
        </is>
      </c>
      <c r="N58" s="157" t="inlineStr">
        <is>
          <t>https://humanoid.guide/product/cinnamon-1/</t>
        </is>
      </c>
      <c r="O58" s="157" t="inlineStr">
        <is>
          <t>https://www.donutrobotics.com/en</t>
        </is>
      </c>
      <c r="P58" s="152" t="inlineStr">
        <is>
          <t>5 ft 3 in</t>
        </is>
      </c>
      <c r="Q58" s="152" t="n">
        <v>160</v>
      </c>
      <c r="R58" s="152" t="n">
        <v>132.3</v>
      </c>
      <c r="S58" s="152" t="n">
        <v>60</v>
      </c>
      <c r="T58" s="156" t="inlineStr">
        <is>
          <t>Not disclosed</t>
        </is>
      </c>
      <c r="U58" s="152" t="n"/>
      <c r="V58" s="152" t="inlineStr">
        <is>
          <t>~20–30+</t>
        </is>
      </c>
      <c r="W58" s="156" t="inlineStr">
        <is>
          <t>~10+</t>
        </is>
      </c>
      <c r="X58" s="152" t="n">
        <v>13.2</v>
      </c>
      <c r="Y58" s="152" t="n">
        <v>6</v>
      </c>
      <c r="Z58" s="152" t="n">
        <v>2.17</v>
      </c>
      <c r="AA58" s="152" t="n">
        <v>3.5</v>
      </c>
      <c r="AB58" s="152" t="n"/>
      <c r="AC58" s="156" t="inlineStr">
        <is>
          <t>≈ 2 hours</t>
        </is>
      </c>
      <c r="AD58" s="156" t="inlineStr">
        <is>
          <t>2</t>
        </is>
      </c>
      <c r="AE58" s="152" t="n"/>
      <c r="AF58" s="152" t="inlineStr">
        <is>
          <t>Not disclosed</t>
        </is>
      </c>
      <c r="AG58" s="156" t="inlineStr">
        <is>
          <t>5 per hand</t>
        </is>
      </c>
      <c r="AH58" s="152" t="inlineStr">
        <is>
          <t>5 per hand</t>
        </is>
      </c>
      <c r="AI58" s="152" t="n"/>
      <c r="AJ58" s="156" t="inlineStr">
        <is>
          <t>Not disclosed</t>
        </is>
      </c>
      <c r="AK58" s="156" t="n"/>
      <c r="AL58" s="152" t="inlineStr">
        <is>
          <t>Not disclosed</t>
        </is>
      </c>
      <c r="AM58" s="152" t="n"/>
      <c r="AN58" s="152" t="inlineStr">
        <is>
          <t>Not disclosed</t>
        </is>
      </c>
      <c r="AO58" s="152" t="inlineStr">
        <is>
          <t>Not disclosed</t>
        </is>
      </c>
      <c r="AP58" s="152" t="inlineStr">
        <is>
          <t>Not disclosed</t>
        </is>
      </c>
      <c r="AQ58" s="152" t="inlineStr">
        <is>
          <t>Not disclosed</t>
        </is>
      </c>
      <c r="AR58" s="152" t="n"/>
      <c r="AS58" s="152" t="n"/>
      <c r="AT58" s="156" t="inlineStr">
        <is>
          <t>Advanced onboard AI computing</t>
        </is>
      </c>
      <c r="AU58" s="156" t="inlineStr">
        <is>
          <t>Not disclosed</t>
        </is>
      </c>
      <c r="AV58" s="152" t="inlineStr">
        <is>
          <t>Not disclosed</t>
        </is>
      </c>
      <c r="AW58" s="156" t="inlineStr">
        <is>
          <t>Not disclosed</t>
        </is>
      </c>
      <c r="AX58" s="152" t="n"/>
      <c r="AY58" s="156" t="inlineStr">
        <is>
          <t>Custom robot OS</t>
        </is>
      </c>
      <c r="AZ58" s="156" t="inlineStr">
        <is>
          <t>Likely AI language/vision integration for VLA system</t>
        </is>
      </c>
      <c r="BA58" s="156" t="n"/>
      <c r="BB58" s="156" t="inlineStr">
        <is>
          <t>Standard biped actuators</t>
        </is>
      </c>
      <c r="BC58" s="156" t="inlineStr">
        <is>
          <t>Not disclosed</t>
        </is>
      </c>
      <c r="BD58" s="152" t="inlineStr">
        <is>
          <t>Likely mixed metal and composite structure</t>
        </is>
      </c>
      <c r="BE58" s="152" t="inlineStr">
        <is>
          <t>Not disclosed</t>
        </is>
      </c>
      <c r="BF58" s="152" t="n"/>
      <c r="BG58" s="152" t="n"/>
      <c r="BH58" s="152" t="n"/>
      <c r="BI58" s="152" t="n"/>
      <c r="BJ58" s="152" t="n"/>
      <c r="BK58" s="152" t="n"/>
      <c r="BL58" s="152" t="n"/>
      <c r="BM58" s="152" t="inlineStr">
        <is>
          <t>Yes</t>
        </is>
      </c>
      <c r="BN58" s="152" t="inlineStr">
        <is>
          <t>Not disclosed</t>
        </is>
      </c>
      <c r="BO58" s="156" t="inlineStr">
        <is>
          <t>Market: Construction; Industrial automation; Security; Service · Human-safe: Yes · AI: Likely AI language/vision integration for VLA system · Actuation: Standard biped actuators · Peak 3.5 km/h · Runtime 2</t>
        </is>
      </c>
      <c r="BP58" s="152" t="n"/>
      <c r="BQ58" s="156" t="inlineStr">
        <is>
          <t>Construction; Industrial automation; Security; Service</t>
        </is>
      </c>
      <c r="BR58" s="156" t="inlineStr">
        <is>
          <t>Prototype</t>
        </is>
      </c>
      <c r="BS58" s="156" t="inlineStr">
        <is>
          <t>Prototype</t>
        </is>
      </c>
      <c r="BT58" s="152" t="n"/>
      <c r="BU58" s="152" t="inlineStr">
        <is>
          <t>Not verified</t>
        </is>
      </c>
      <c r="BV58" s="156" t="n"/>
      <c r="BW58" s="156" t="inlineStr">
        <is>
          <t>Origin &amp; status — Japan · Prototype · 2026 | Manipulation — 5 per hand · 5 per hand fingers · Hand DOF ~10+ · Payload 13.2 lb | Sensing &amp; software — Likely AI language/vision integration for VLA system · Custom robot OS | Buying notes — From $165,000 · 12 months manufacturer standard (typical research/commercial humanoid) · Best fit: Construction</t>
        </is>
      </c>
      <c r="BX58" s="156" t="inlineStr">
        <is>
          <t>as_shipped|Cinnamon 1|165000|As shipped</t>
        </is>
      </c>
      <c r="BY58" s="152" t="inlineStr">
        <is>
          <t>cinnamon_1|Manufacturer finish|#e2e8f0|0</t>
        </is>
      </c>
      <c r="BZ58" s="152" t="inlineStr"/>
      <c r="CA58" s="156" t="n"/>
      <c r="CB58" s="156" t="inlineStr">
        <is>
          <t>12 months manufacturer standard (typical research/commercial humanoid)</t>
        </is>
      </c>
      <c r="CC58" s="154" t="n">
        <v>12</v>
      </c>
      <c r="CD58" s="156" t="inlineStr">
        <is>
          <t>+3 Year Extended ≈24% of configuration (default in configurator)</t>
        </is>
      </c>
      <c r="CE58" s="152" t="inlineStr">
        <is>
          <t>Humanoid category norm 2025–2026</t>
        </is>
      </c>
      <c r="CF58" s="152" t="inlineStr">
        <is>
          <t>Estimated</t>
        </is>
      </c>
      <c r="CG58" s="156" t="inlineStr">
        <is>
          <t>Confirm on formal OEM quote. EDU or enterprise packages may differ.</t>
        </is>
      </c>
      <c r="CH58" s="152" t="inlineStr">
        <is>
          <t>10%</t>
        </is>
      </c>
      <c r="CI58" s="152" t="inlineStr">
        <is>
          <t>17%</t>
        </is>
      </c>
      <c r="CJ58" s="152" t="inlineStr">
        <is>
          <t>24%</t>
        </is>
      </c>
      <c r="CK58" s="156" t="inlineStr">
        <is>
          <t>+1yr ≈10% | +2yr ≈17% | +3yr ≈24% of selected configuration price (parts &amp; labor beyond manufacturer standard).</t>
        </is>
      </c>
      <c r="CL58"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58" s="152" t="inlineStr">
        <is>
          <t>12 months manufacturer standard (typical research/commercial humanoid)</t>
        </is>
      </c>
      <c r="CQ58" s="101" t="inlineStr">
        <is>
          <t>Height: 5 ft 3 in | Weight: 132.3 | Degrees of Freedom: ~20–30+ | Payload: 13.2 | Max Speed: 2.17 | Battery / Runtime: ≈ 2 hours</t>
        </is>
      </c>
    </row>
    <row r="59" ht="31.5" customHeight="1" s="102">
      <c r="A59" s="145" t="inlineStr">
        <is>
          <t>duatic_duatic_alpha</t>
        </is>
      </c>
      <c r="B59" s="153" t="inlineStr">
        <is>
          <t>Humanoid.guide</t>
        </is>
      </c>
      <c r="C59" s="145" t="inlineStr">
        <is>
          <t>Duatic</t>
        </is>
      </c>
      <c r="D59" s="145" t="inlineStr">
        <is>
          <t>Duatic Alpha</t>
        </is>
      </c>
      <c r="E59" s="145" t="inlineStr">
        <is>
          <t>[Duatic] Duatic Alpha (2026)</t>
        </is>
      </c>
      <c r="F59" s="146" t="inlineStr">
        <is>
          <t>humanoid</t>
        </is>
      </c>
      <c r="G59" s="145" t="inlineStr">
        <is>
          <t>Switzerland</t>
        </is>
      </c>
      <c r="H59" s="145" t="n"/>
      <c r="I59" s="148" t="n">
        <v>150000</v>
      </c>
      <c r="J59" s="145" t="inlineStr">
        <is>
          <t>Humanoid.guide list</t>
        </is>
      </c>
      <c r="K59" s="149" t="inlineStr">
        <is>
          <t>Duatic Alpha is a Swiss wheeled half-humanoid robot designed for logistics and industrial automation.</t>
        </is>
      </c>
      <c r="L59" s="101" t="inlineStr">
        <is>
          <t>Duatic Alpha is a Swiss wheeled half-humanoid robot designed for logistics and industrial automation.</t>
        </is>
      </c>
      <c r="M59" s="101" t="inlineStr">
        <is>
          <t>Duatic Alpha is a Swiss wheeled half-humanoid robot designed for logistics and industrial automation. Public status is listed as prototype.</t>
        </is>
      </c>
      <c r="N59" s="150" t="inlineStr">
        <is>
          <t>https://humanoid.guide/product/duatic-alpha/</t>
        </is>
      </c>
      <c r="O59" s="150" t="inlineStr">
        <is>
          <t>https://www.duatic.com/</t>
        </is>
      </c>
      <c r="P59" s="145" t="inlineStr">
        <is>
          <t>5 ft 9 in</t>
        </is>
      </c>
      <c r="Q59" s="145" t="n">
        <v>175</v>
      </c>
      <c r="R59" s="145" t="n">
        <v>198.4</v>
      </c>
      <c r="S59" s="145" t="n">
        <v>90</v>
      </c>
      <c r="T59" s="149" t="inlineStr">
        <is>
          <t>Not disclosed</t>
        </is>
      </c>
      <c r="U59" s="145" t="n"/>
      <c r="V59" s="145" t="inlineStr">
        <is>
          <t>19</t>
        </is>
      </c>
      <c r="W59" s="149" t="inlineStr">
        <is>
          <t>Not disclosed</t>
        </is>
      </c>
      <c r="X59" s="145" t="n">
        <v>66.09999999999999</v>
      </c>
      <c r="Y59" s="145" t="n">
        <v>30</v>
      </c>
      <c r="Z59" s="145" t="n">
        <v>3.42</v>
      </c>
      <c r="AA59" s="145" t="n">
        <v>5.5</v>
      </c>
      <c r="AB59" s="145" t="n"/>
      <c r="AC59" s="149" t="inlineStr">
        <is>
          <t>≈ 8 hours</t>
        </is>
      </c>
      <c r="AD59" s="149" t="inlineStr">
        <is>
          <t>8</t>
        </is>
      </c>
      <c r="AE59" s="145" t="n"/>
      <c r="AF59" s="145" t="inlineStr">
        <is>
          <t>Not disclosed</t>
        </is>
      </c>
      <c r="AG59" s="149" t="inlineStr">
        <is>
          <t>2</t>
        </is>
      </c>
      <c r="AH59" s="145" t="inlineStr">
        <is>
          <t>2</t>
        </is>
      </c>
      <c r="AI59" s="145" t="n"/>
      <c r="AJ59" s="149" t="inlineStr">
        <is>
          <t>Not disclosed</t>
        </is>
      </c>
      <c r="AK59" s="149" t="n"/>
      <c r="AL59" s="145" t="inlineStr">
        <is>
          <t>Not disclosed</t>
        </is>
      </c>
      <c r="AM59" s="145" t="n"/>
      <c r="AN59" s="145" t="inlineStr">
        <is>
          <t>Not disclosed</t>
        </is>
      </c>
      <c r="AO59" s="145" t="inlineStr">
        <is>
          <t>Not disclosed</t>
        </is>
      </c>
      <c r="AP59" s="145" t="inlineStr">
        <is>
          <t>Not disclosed</t>
        </is>
      </c>
      <c r="AQ59" s="145" t="inlineStr">
        <is>
          <t>Not disclosed</t>
        </is>
      </c>
      <c r="AR59" s="145" t="n"/>
      <c r="AS59" s="145" t="n"/>
      <c r="AT59" s="149" t="inlineStr">
        <is>
          <t>NVIDIA Jetson AGX</t>
        </is>
      </c>
      <c r="AU59" s="149" t="inlineStr">
        <is>
          <t>Wi‑Fi</t>
        </is>
      </c>
      <c r="AV59" s="145" t="inlineStr">
        <is>
          <t>Not disclosed</t>
        </is>
      </c>
      <c r="AW59" s="149" t="inlineStr">
        <is>
          <t>Not disclosed</t>
        </is>
      </c>
      <c r="AX59" s="145" t="n"/>
      <c r="AY59" s="149" t="inlineStr">
        <is>
          <t>ROS2</t>
        </is>
      </c>
      <c r="AZ59" s="149" t="inlineStr">
        <is>
          <t>No</t>
        </is>
      </c>
      <c r="BA59" s="149" t="n"/>
      <c r="BB59" s="149" t="inlineStr">
        <is>
          <t>QDD</t>
        </is>
      </c>
      <c r="BC59" s="149" t="inlineStr">
        <is>
          <t>Not disclosed</t>
        </is>
      </c>
      <c r="BD59" s="145" t="inlineStr">
        <is>
          <t>Aluminium</t>
        </is>
      </c>
      <c r="BE59" s="145" t="inlineStr">
        <is>
          <t>IP66</t>
        </is>
      </c>
      <c r="BF59" s="145" t="inlineStr">
        <is>
          <t>IP66</t>
        </is>
      </c>
      <c r="BG59" s="145" t="n"/>
      <c r="BH59" s="145" t="n"/>
      <c r="BI59" s="145" t="n"/>
      <c r="BJ59" s="145" t="n"/>
      <c r="BK59" s="145" t="n"/>
      <c r="BL59" s="145" t="n"/>
      <c r="BM59" s="145" t="inlineStr">
        <is>
          <t>Yes</t>
        </is>
      </c>
      <c r="BN59" s="145" t="inlineStr">
        <is>
          <t>Not disclosed</t>
        </is>
      </c>
      <c r="BO59" s="149" t="inlineStr">
        <is>
          <t>Market: Industrial · Human-safe: Yes · AI: No · Actuation: QDD · Peak 5.5 km/h · Runtime 8</t>
        </is>
      </c>
      <c r="BP59" s="145" t="n"/>
      <c r="BQ59" s="149" t="inlineStr">
        <is>
          <t>Industrial</t>
        </is>
      </c>
      <c r="BR59" s="149" t="inlineStr">
        <is>
          <t>Prototype</t>
        </is>
      </c>
      <c r="BS59" s="149" t="inlineStr">
        <is>
          <t>Prototype</t>
        </is>
      </c>
      <c r="BT59" s="145" t="inlineStr">
        <is>
          <t>Black; White</t>
        </is>
      </c>
      <c r="BU59" s="145" t="inlineStr">
        <is>
          <t>Verified</t>
        </is>
      </c>
      <c r="BV59" s="149" t="n"/>
      <c r="BW59" s="149" t="inlineStr">
        <is>
          <t>Origin &amp; status — Switzerland · Prototype · 2026 | Manipulation — 2 · 2 fingers · Payload 66.1 lb | Sensing &amp; software — No · ROS2 | Buying notes — From $150,000 · 12 months manufacturer standard (typical research/commercial humanoid) · Best fit: Industrial</t>
        </is>
      </c>
      <c r="BX59" s="149" t="inlineStr">
        <is>
          <t>as_shipped|Duatic Alpha|150000|As shipped</t>
        </is>
      </c>
      <c r="BY59" s="145" t="inlineStr">
        <is>
          <t>black|Black|#e2e8f0|0 || white|White|#1e293b|0</t>
        </is>
      </c>
      <c r="BZ59" s="145" t="inlineStr"/>
      <c r="CA59" s="149" t="n"/>
      <c r="CB59" s="149" t="inlineStr">
        <is>
          <t>12 months manufacturer standard (typical research/commercial humanoid)</t>
        </is>
      </c>
      <c r="CC59" s="147" t="n">
        <v>12</v>
      </c>
      <c r="CD59" s="149" t="inlineStr">
        <is>
          <t>+3 Year Extended ≈24% of configuration (default in configurator)</t>
        </is>
      </c>
      <c r="CE59" s="145" t="inlineStr">
        <is>
          <t>Humanoid category norm 2025–2026</t>
        </is>
      </c>
      <c r="CF59" s="145" t="inlineStr">
        <is>
          <t>Estimated</t>
        </is>
      </c>
      <c r="CG59" s="149" t="inlineStr">
        <is>
          <t>Confirm on formal OEM quote. EDU or enterprise packages may differ.</t>
        </is>
      </c>
      <c r="CH59" s="145" t="inlineStr">
        <is>
          <t>10%</t>
        </is>
      </c>
      <c r="CI59" s="145" t="inlineStr">
        <is>
          <t>17%</t>
        </is>
      </c>
      <c r="CJ59" s="145" t="inlineStr">
        <is>
          <t>24%</t>
        </is>
      </c>
      <c r="CK59" s="149" t="inlineStr">
        <is>
          <t>+1yr ≈10% | +2yr ≈17% | +3yr ≈24% of selected configuration price (parts &amp; labor beyond manufacturer standard).</t>
        </is>
      </c>
      <c r="CL5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59" s="145" t="inlineStr">
        <is>
          <t>12 months manufacturer standard (typical research/commercial humanoid)</t>
        </is>
      </c>
      <c r="CQ59" s="101" t="inlineStr">
        <is>
          <t>Height: 5 ft 9 in | Weight: 198.4 | Degrees of Freedom: 19 | Payload: 66.1 | Max Speed: 3.42 | Battery / Runtime: ≈ 8 hours</t>
        </is>
      </c>
    </row>
    <row r="60" ht="31.5" customHeight="1" s="102">
      <c r="A60" s="152" t="inlineStr">
        <is>
          <t>eir_technology_skywalker_2</t>
        </is>
      </c>
      <c r="B60" s="153" t="inlineStr">
        <is>
          <t>Humanoid.guide</t>
        </is>
      </c>
      <c r="C60" s="152" t="inlineStr">
        <is>
          <t>EIR Technology</t>
        </is>
      </c>
      <c r="D60" s="152" t="inlineStr">
        <is>
          <t>SkyWalker 2</t>
        </is>
      </c>
      <c r="E60" s="152" t="inlineStr">
        <is>
          <t>[EIR Technology] SkyWalker 2 (2026)</t>
        </is>
      </c>
      <c r="F60" s="146" t="inlineStr">
        <is>
          <t>humanoid</t>
        </is>
      </c>
      <c r="G60" s="152" t="inlineStr">
        <is>
          <t>China</t>
        </is>
      </c>
      <c r="H60" s="152" t="n"/>
      <c r="I60" s="155" t="n">
        <v>85000</v>
      </c>
      <c r="J60" s="152" t="inlineStr">
        <is>
          <t>Humanoid.guide list</t>
        </is>
      </c>
      <c r="K60" s="156" t="inlineStr">
        <is>
          <t>SkyWalker 2 is a 165 cm humanoid robot by EIR Technology, designed for agile motion, versatile task handling, and real-world deployment across manufacturing, care, and inspection.</t>
        </is>
      </c>
      <c r="L60" s="101" t="inlineStr">
        <is>
          <t>SkyWalker 2 is a 165 cm humanoid robot by EIR Technology, designed for agile motion, versatile task handling, and real-world deployment across manufacturing, care, and inspection.</t>
        </is>
      </c>
      <c r="M60" s="101" t="inlineStr">
        <is>
          <t>SkyWalker 2 is a 165 cm humanoid robot by EIR Technology, designed for agile motion, versatile task handling, and real-world deployment across manufacturing, care, and inspection. Public status is listed as production-ready prototype / early commercial units, and it is positioned for manufacturing, inspection, elder care, intelligent services.</t>
        </is>
      </c>
      <c r="N60" s="157" t="inlineStr">
        <is>
          <t>https://humanoid.guide/product/skywalker-2/</t>
        </is>
      </c>
      <c r="O60" s="157" t="inlineStr">
        <is>
          <t>https://www.eir.com.cn/</t>
        </is>
      </c>
      <c r="P60" s="152" t="inlineStr">
        <is>
          <t>5 ft 5 in</t>
        </is>
      </c>
      <c r="Q60" s="152" t="n">
        <v>165</v>
      </c>
      <c r="R60" s="152" t="n">
        <v>121.3</v>
      </c>
      <c r="S60" s="152" t="n">
        <v>55</v>
      </c>
      <c r="T60" s="156" t="inlineStr">
        <is>
          <t>Not disclosed</t>
        </is>
      </c>
      <c r="U60" s="152" t="inlineStr">
        <is>
          <t>180×60×50 cm</t>
        </is>
      </c>
      <c r="V60" s="152" t="inlineStr">
        <is>
          <t>55</t>
        </is>
      </c>
      <c r="W60" s="156" t="inlineStr">
        <is>
          <t>12</t>
        </is>
      </c>
      <c r="X60" s="152" t="n">
        <v>33.1</v>
      </c>
      <c r="Y60" s="152" t="n">
        <v>15</v>
      </c>
      <c r="Z60" s="152" t="n">
        <v>4.35</v>
      </c>
      <c r="AA60" s="152" t="n">
        <v>7</v>
      </c>
      <c r="AB60" s="152" t="n">
        <v>4</v>
      </c>
      <c r="AC60" s="156" t="inlineStr">
        <is>
          <t>≈ 3 hours</t>
        </is>
      </c>
      <c r="AD60" s="156" t="inlineStr">
        <is>
          <t>3</t>
        </is>
      </c>
      <c r="AE60" s="152" t="n"/>
      <c r="AF60" s="152" t="inlineStr">
        <is>
          <t>Not disclosed</t>
        </is>
      </c>
      <c r="AG60" s="156" t="inlineStr">
        <is>
          <t>5 per hand (anthropomorphic design implied)</t>
        </is>
      </c>
      <c r="AH60" s="152" t="inlineStr">
        <is>
          <t>5 per hand (anthropomorphic design implied)</t>
        </is>
      </c>
      <c r="AI60" s="151" t="n">
        <v>3</v>
      </c>
      <c r="AJ60" s="156" t="inlineStr">
        <is>
          <t>RGB + depth/stereo + environment sensors</t>
        </is>
      </c>
      <c r="AK60" s="156" t="inlineStr">
        <is>
          <t>RGB + depth/stereo + environment sensors</t>
        </is>
      </c>
      <c r="AL60" s="152" t="inlineStr">
        <is>
          <t>Not disclosed</t>
        </is>
      </c>
      <c r="AM60" s="152" t="n"/>
      <c r="AN60" s="152" t="inlineStr">
        <is>
          <t>Not disclosed</t>
        </is>
      </c>
      <c r="AO60" s="152" t="inlineStr">
        <is>
          <t>Not disclosed</t>
        </is>
      </c>
      <c r="AP60" s="152" t="inlineStr">
        <is>
          <t>Not disclosed</t>
        </is>
      </c>
      <c r="AQ60" s="152" t="inlineStr">
        <is>
          <t>Not disclosed</t>
        </is>
      </c>
      <c r="AR60" s="152" t="n"/>
      <c r="AS60" s="152" t="n"/>
      <c r="AT60" s="156" t="inlineStr">
        <is>
          <t>Likely onboard high-performance embedded compute + optional cloud compute</t>
        </is>
      </c>
      <c r="AU60" s="156" t="inlineStr">
        <is>
          <t>Ethernet; Wi‑Fi</t>
        </is>
      </c>
      <c r="AV60" s="152" t="inlineStr">
        <is>
          <t>Not disclosed</t>
        </is>
      </c>
      <c r="AW60" s="156" t="inlineStr">
        <is>
          <t>Not disclosed</t>
        </is>
      </c>
      <c r="AX60" s="161" t="n">
        <v>4</v>
      </c>
      <c r="AY60" s="156" t="inlineStr">
        <is>
          <t>Likely Linux + custom robot control stack</t>
        </is>
      </c>
      <c r="AZ60" s="156" t="inlineStr">
        <is>
          <t>Yes</t>
        </is>
      </c>
      <c r="BA60" s="156" t="inlineStr">
        <is>
          <t>350 ms</t>
        </is>
      </c>
      <c r="BB60" s="156" t="inlineStr">
        <is>
          <t>Lightweight servo + bionic waist joints</t>
        </is>
      </c>
      <c r="BC60" s="156" t="inlineStr">
        <is>
          <t>High-precision harmonic / planetary drives</t>
        </is>
      </c>
      <c r="BD60" s="152" t="inlineStr">
        <is>
          <t>Lightweight aluminum + composite shell</t>
        </is>
      </c>
      <c r="BE60" s="152" t="inlineStr">
        <is>
          <t>Not disclosed</t>
        </is>
      </c>
      <c r="BF60" s="152" t="n"/>
      <c r="BG60" s="152" t="n"/>
      <c r="BH60" s="152" t="n"/>
      <c r="BI60" s="152" t="n"/>
      <c r="BJ60" s="152" t="n"/>
      <c r="BK60" s="152" t="n"/>
      <c r="BL60" s="152" t="n"/>
      <c r="BM60" s="152" t="inlineStr">
        <is>
          <t>Yes</t>
        </is>
      </c>
      <c r="BN60" s="152" t="inlineStr">
        <is>
          <t>Not disclosed</t>
        </is>
      </c>
      <c r="BO60" s="156" t="inlineStr">
        <is>
          <t>Market: Manufacturing, inspection, elder care, intelligent services · Manipulation 3/4 · Navigation 4/4 · Human-safe: Yes · AI: Yes · Actuation: Lightweight servo + bionic waist joints · Peak 7 km/h · Walk 4 km/h · Runtime 3</t>
        </is>
      </c>
      <c r="BP60" s="152" t="n"/>
      <c r="BQ60" s="156" t="inlineStr">
        <is>
          <t>Manufacturing, inspection, elder care, intelligent services</t>
        </is>
      </c>
      <c r="BR60" s="156" t="inlineStr">
        <is>
          <t>Production-ready prototype / early commercial units</t>
        </is>
      </c>
      <c r="BS60" s="156" t="inlineStr">
        <is>
          <t>Production-ready prototype / early commercial units</t>
        </is>
      </c>
      <c r="BT60" s="152" t="inlineStr">
        <is>
          <t>Gray-black metallic</t>
        </is>
      </c>
      <c r="BU60" s="152" t="inlineStr">
        <is>
          <t>Not verified</t>
        </is>
      </c>
      <c r="BV60" s="156" t="n"/>
      <c r="BW60" s="156" t="inlineStr">
        <is>
          <t>Origin &amp; status — China · Production-ready prototype / early commercial units · 2026 | Manipulation — 5 per hand (anthropomorphic design implied) · 5 per hand (anthropomorphic design implied) fingers · Hand DOF 12 · Payload 33.1 lb | Sensing &amp; software — RGB + depth/stereo + environment sensors · Yes · Likely Linux + custom robot control stack | Buying notes — From $85,000 · 12 months manufacturer standard (typical research/commercial humanoid) · Best fit: Manufacturing, inspection, elder care, intelligent services</t>
        </is>
      </c>
      <c r="BX60" s="156" t="inlineStr">
        <is>
          <t>as_shipped|SkyWalker 2|85000|As shipped</t>
        </is>
      </c>
      <c r="BY60" s="152" t="inlineStr">
        <is>
          <t>gray_black_metallic|Gray-black metallic|#e2e8f0|0</t>
        </is>
      </c>
      <c r="BZ60" s="152" t="inlineStr"/>
      <c r="CA60" s="156" t="n"/>
      <c r="CB60" s="156" t="inlineStr">
        <is>
          <t>12 months manufacturer standard (typical research/commercial humanoid)</t>
        </is>
      </c>
      <c r="CC60" s="154" t="n">
        <v>12</v>
      </c>
      <c r="CD60" s="156" t="inlineStr">
        <is>
          <t>+3 Year Extended ≈24% of configuration (default in configurator)</t>
        </is>
      </c>
      <c r="CE60" s="152" t="inlineStr">
        <is>
          <t>Humanoid category norm 2025–2026</t>
        </is>
      </c>
      <c r="CF60" s="152" t="inlineStr">
        <is>
          <t>Estimated</t>
        </is>
      </c>
      <c r="CG60" s="156" t="inlineStr">
        <is>
          <t>Confirm on formal OEM quote. EDU or enterprise packages may differ.</t>
        </is>
      </c>
      <c r="CH60" s="152" t="inlineStr">
        <is>
          <t>10%</t>
        </is>
      </c>
      <c r="CI60" s="152" t="inlineStr">
        <is>
          <t>17%</t>
        </is>
      </c>
      <c r="CJ60" s="152" t="inlineStr">
        <is>
          <t>24%</t>
        </is>
      </c>
      <c r="CK60" s="156" t="inlineStr">
        <is>
          <t>+1yr ≈10% | +2yr ≈17% | +3yr ≈24% of selected configuration price (parts &amp; labor beyond manufacturer standard).</t>
        </is>
      </c>
      <c r="CL60"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60" s="152" t="inlineStr">
        <is>
          <t>12 months manufacturer standard (typical research/commercial humanoid)</t>
        </is>
      </c>
      <c r="CQ60" s="101" t="inlineStr">
        <is>
          <t>Height: 5 ft 5 in | Weight: 121.3 | Degrees of Freedom: 55 | Payload: 33.1 | Max Speed: 4.35 | Battery / Runtime: ≈ 3 hours</t>
        </is>
      </c>
    </row>
    <row r="61" ht="31.5" customHeight="1" s="102">
      <c r="A61" s="145" t="inlineStr">
        <is>
          <t>elu_ai_astrod_ad_01</t>
        </is>
      </c>
      <c r="B61" s="153" t="inlineStr">
        <is>
          <t>Humanoid.guide</t>
        </is>
      </c>
      <c r="C61" s="145" t="inlineStr">
        <is>
          <t>Elu.AI</t>
        </is>
      </c>
      <c r="D61" s="145" t="inlineStr">
        <is>
          <t>AstroD. AD-01</t>
        </is>
      </c>
      <c r="E61" s="145" t="inlineStr">
        <is>
          <t>[Elu.AI] AstroD. AD-01 (2026)</t>
        </is>
      </c>
      <c r="F61" s="146" t="inlineStr">
        <is>
          <t>humanoid</t>
        </is>
      </c>
      <c r="G61" s="145" t="inlineStr">
        <is>
          <t>China</t>
        </is>
      </c>
      <c r="H61" s="145" t="n"/>
      <c r="I61" s="148" t="n">
        <v>100000</v>
      </c>
      <c r="J61" s="145" t="inlineStr">
        <is>
          <t>Humanoid.guide list</t>
        </is>
      </c>
      <c r="K61" s="149" t="inlineStr">
        <is>
          <t>AstroDroid AD-01 brings embodied AI from concept to floor operations. Powered by Hyper‑VLA for ~200 ms end‑to‑end response, 11‑DOF dexterous hands, and a wheeled base that excels indoors.</t>
        </is>
      </c>
      <c r="L61" s="101" t="inlineStr">
        <is>
          <t>AstroDroid AD-01 brings embodied AI from concept to floor operations. Powered by Hyper‑VLA for ~200 ms end‑to‑end response, 11‑DOF dexterous hands, and a wheeled base that excels indoors.</t>
        </is>
      </c>
      <c r="M61" s="101" t="inlineStr">
        <is>
          <t>AstroD. AD-01 is Elu.AI's humanoid, introduced around 2026 in China. AstroDroid AD-01 brings embodied AI from concept to floor operations. Powered by Hyper‑VLA for ~200 ms end‑to‑end response, 11‑DOF dexterous hands, and a wheeled base that excels indoors. Public status is listed as prototype, and it is positioned for industries; logistics; Manufacturing; Research &amp; education.</t>
        </is>
      </c>
      <c r="N61" s="150" t="inlineStr">
        <is>
          <t>https://humanoid.guide/product/astrodroid-ad-01/</t>
        </is>
      </c>
      <c r="O61" s="150" t="inlineStr">
        <is>
          <t>http://www.elu-ai.com</t>
        </is>
      </c>
      <c r="P61" s="145" t="inlineStr">
        <is>
          <t>5 ft 7 in</t>
        </is>
      </c>
      <c r="Q61" s="145" t="n">
        <v>170</v>
      </c>
      <c r="R61" s="145" t="n">
        <v>264.6</v>
      </c>
      <c r="S61" s="145" t="n">
        <v>120</v>
      </c>
      <c r="T61" s="149" t="inlineStr">
        <is>
          <t>Not disclosed</t>
        </is>
      </c>
      <c r="U61" s="145" t="inlineStr">
        <is>
          <t>Not specified</t>
        </is>
      </c>
      <c r="V61" s="145" t="inlineStr">
        <is>
          <t>Not disclosed</t>
        </is>
      </c>
      <c r="W61" s="149" t="inlineStr">
        <is>
          <t>11</t>
        </is>
      </c>
      <c r="X61" s="145" t="n">
        <v>6.6</v>
      </c>
      <c r="Y61" s="145" t="n">
        <v>3</v>
      </c>
      <c r="Z61" s="145" t="n">
        <v>4.47</v>
      </c>
      <c r="AA61" s="145" t="n">
        <v>7.2</v>
      </c>
      <c r="AB61" s="145" t="n">
        <v>2</v>
      </c>
      <c r="AC61" s="149" t="inlineStr">
        <is>
          <t>≈ 2 hours</t>
        </is>
      </c>
      <c r="AD61" s="149" t="inlineStr">
        <is>
          <t>2</t>
        </is>
      </c>
      <c r="AE61" s="145" t="n"/>
      <c r="AF61" s="145" t="inlineStr">
        <is>
          <t>Not disclosed</t>
        </is>
      </c>
      <c r="AG61" s="149" t="inlineStr">
        <is>
          <t>10</t>
        </is>
      </c>
      <c r="AH61" s="145" t="inlineStr">
        <is>
          <t>10</t>
        </is>
      </c>
      <c r="AI61" s="151" t="n">
        <v>3</v>
      </c>
      <c r="AJ61" s="149" t="inlineStr">
        <is>
          <t>Not disclosed</t>
        </is>
      </c>
      <c r="AK61" s="149" t="inlineStr">
        <is>
          <t>Not specified</t>
        </is>
      </c>
      <c r="AL61" s="145" t="inlineStr">
        <is>
          <t>Not disclosed</t>
        </is>
      </c>
      <c r="AM61" s="145" t="n"/>
      <c r="AN61" s="145" t="inlineStr">
        <is>
          <t>Not disclosed</t>
        </is>
      </c>
      <c r="AO61" s="145" t="inlineStr">
        <is>
          <t>Not disclosed</t>
        </is>
      </c>
      <c r="AP61" s="145" t="inlineStr">
        <is>
          <t>Not disclosed</t>
        </is>
      </c>
      <c r="AQ61" s="145" t="inlineStr">
        <is>
          <t>Not disclosed</t>
        </is>
      </c>
      <c r="AR61" s="145" t="n"/>
      <c r="AS61" s="145" t="n"/>
      <c r="AT61" s="149" t="inlineStr">
        <is>
          <t>NVIDIA Jetson AGX Orin 64GB</t>
        </is>
      </c>
      <c r="AU61" s="149" t="inlineStr">
        <is>
          <t>- Wi-Fi 6 (802.11ax) - Ethernet (Gigabit) - 4G/5G Optional - Bluetooth 5.0 - ROS Compatible</t>
        </is>
      </c>
      <c r="AV61" s="145" t="inlineStr">
        <is>
          <t>Not disclosed</t>
        </is>
      </c>
      <c r="AW61" s="149" t="inlineStr">
        <is>
          <t>Not disclosed</t>
        </is>
      </c>
      <c r="AX61" s="158" t="n">
        <v>2</v>
      </c>
      <c r="AY61" s="149" t="inlineStr">
        <is>
          <t>Linux-based (Ubuntu 20.04/22.04) ROS 2 (Robot Operating System) Custom AI Runtime Environment</t>
        </is>
      </c>
      <c r="AZ61" s="149" t="inlineStr">
        <is>
          <t>Cloud-edge collaborative architecture; Integrated with Hyper-VLA Multimodal Model; Natural language understanding and instruction following; Proprietary vision-language-action model; Real-time multimodal reasoning; Yes</t>
        </is>
      </c>
      <c r="BA61" s="149" t="inlineStr">
        <is>
          <t>&amp;lt;200ms (End-to-End)</t>
        </is>
      </c>
      <c r="BB61" s="149" t="inlineStr">
        <is>
          <t>High-precision Brushless DC Motors (BLDC) Integrated Joint Actuators with Position/Torque Control</t>
        </is>
      </c>
      <c r="BC61" s="149" t="inlineStr">
        <is>
          <t>Harmonic Drive Reducers Planetary Gear Systems High-precision Transmission with Low Backlash</t>
        </is>
      </c>
      <c r="BD61" s="145" t="inlineStr">
        <is>
          <t>Aluminum Alloy Frame Carbon Fiber Composite Components Engineering Plastics for Housing</t>
        </is>
      </c>
      <c r="BE61" s="145" t="inlineStr">
        <is>
          <t>IP42</t>
        </is>
      </c>
      <c r="BF61" s="145" t="inlineStr">
        <is>
          <t>IP42</t>
        </is>
      </c>
      <c r="BG61" s="145" t="n"/>
      <c r="BH61" s="145" t="n"/>
      <c r="BI61" s="145" t="n"/>
      <c r="BJ61" s="145" t="n"/>
      <c r="BK61" s="145" t="n"/>
      <c r="BL61" s="145" t="n"/>
      <c r="BM61" s="145" t="inlineStr">
        <is>
          <t>Yes</t>
        </is>
      </c>
      <c r="BN61" s="145" t="inlineStr">
        <is>
          <t>Not disclosed</t>
        </is>
      </c>
      <c r="BO61" s="149" t="inlineStr">
        <is>
          <t>Market: Industries; logistics; Manufacturing; Research &amp; education · Manipulation 3/4 · Navigation 2/4 · Human-safe: Yes · AI: Cloud-edge collaborative architecture; Integrated with Hyper-VLA Multimodal Model; Natural language understanding and instruction followi… · Actuation: High-precision Brushless DC Motors (BLDC) Integrated Joint Actuators with Position/Torque Control · Peak 7.2 km/h · Walk 2 km/h · Runtime 2</t>
        </is>
      </c>
      <c r="BP61" s="145" t="n"/>
      <c r="BQ61" s="149" t="inlineStr">
        <is>
          <t>Industries; logistics; Manufacturing; Research &amp; education</t>
        </is>
      </c>
      <c r="BR61" s="149" t="inlineStr">
        <is>
          <t>Prototype</t>
        </is>
      </c>
      <c r="BS61" s="149" t="inlineStr">
        <is>
          <t>Prototype</t>
        </is>
      </c>
      <c r="BT61" s="145" t="inlineStr">
        <is>
          <t>Not specified</t>
        </is>
      </c>
      <c r="BU61" s="145" t="inlineStr">
        <is>
          <t>Not verified</t>
        </is>
      </c>
      <c r="BV61" s="149" t="n"/>
      <c r="BW61" s="149" t="inlineStr">
        <is>
          <t>Origin &amp; status — China · Prototype · 2026 | Manipulation — 10 · 10 fingers · Hand DOF 11 · Payload 6.6 lb | Sensing &amp; software — Cloud-edge collaborative architecture; Integrated with Hyper-VLA Multimodal Model; Natural language understanding and instruction following; Proprietary vis… | Buying notes — From $100,000 · 12 months manufacturer standard (typical research/commercial humanoid) · Best fit: Industries</t>
        </is>
      </c>
      <c r="BX61" s="149" t="inlineStr">
        <is>
          <t>as_shipped|AstroD. AD-01|100000|As shipped</t>
        </is>
      </c>
      <c r="BY61" s="145" t="inlineStr">
        <is>
          <t>not_specified|Not specified|#e2e8f0|0</t>
        </is>
      </c>
      <c r="BZ61" s="145" t="inlineStr"/>
      <c r="CA61" s="149" t="n"/>
      <c r="CB61" s="149" t="inlineStr">
        <is>
          <t>12 months manufacturer standard (typical research/commercial humanoid)</t>
        </is>
      </c>
      <c r="CC61" s="147" t="n">
        <v>12</v>
      </c>
      <c r="CD61" s="149" t="inlineStr">
        <is>
          <t>+3 Year Extended ≈24% of configuration (default in configurator)</t>
        </is>
      </c>
      <c r="CE61" s="145" t="inlineStr">
        <is>
          <t>Humanoid category norm 2025–2026</t>
        </is>
      </c>
      <c r="CF61" s="145" t="inlineStr">
        <is>
          <t>Estimated</t>
        </is>
      </c>
      <c r="CG61" s="149" t="inlineStr">
        <is>
          <t>Confirm on formal OEM quote. EDU or enterprise packages may differ.</t>
        </is>
      </c>
      <c r="CH61" s="145" t="inlineStr">
        <is>
          <t>10%</t>
        </is>
      </c>
      <c r="CI61" s="145" t="inlineStr">
        <is>
          <t>17%</t>
        </is>
      </c>
      <c r="CJ61" s="145" t="inlineStr">
        <is>
          <t>24%</t>
        </is>
      </c>
      <c r="CK61" s="149" t="inlineStr">
        <is>
          <t>+1yr ≈10% | +2yr ≈17% | +3yr ≈24% of selected configuration price (parts &amp; labor beyond manufacturer standard).</t>
        </is>
      </c>
      <c r="CL6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61" s="145" t="inlineStr">
        <is>
          <t>12 months manufacturer standard (typical research/commercial humanoid)</t>
        </is>
      </c>
      <c r="CQ61" s="101" t="inlineStr">
        <is>
          <t>Height: 5 ft 7 in | Weight: 264.6 | Degrees of Freedom: Not disclosed | Payload: 6.6 | Max Speed: 4.47 | Battery / Runtime: ≈ 2 hours</t>
        </is>
      </c>
    </row>
    <row r="62" ht="31.5" customHeight="1" s="102">
      <c r="A62" s="152" t="inlineStr">
        <is>
          <t>enchanted_tools_miroka</t>
        </is>
      </c>
      <c r="B62" s="153" t="inlineStr">
        <is>
          <t>Humanoid.guide</t>
        </is>
      </c>
      <c r="C62" s="152" t="inlineStr">
        <is>
          <t>Enchanted Tools</t>
        </is>
      </c>
      <c r="D62" s="152" t="inlineStr">
        <is>
          <t>Mirokaï</t>
        </is>
      </c>
      <c r="E62" s="152" t="inlineStr">
        <is>
          <t>[Enchanted Tools] Mirokaï (2026)</t>
        </is>
      </c>
      <c r="F62" s="146" t="inlineStr">
        <is>
          <t>humanoid</t>
        </is>
      </c>
      <c r="G62" s="152" t="inlineStr">
        <is>
          <t>France</t>
        </is>
      </c>
      <c r="H62" s="152" t="n"/>
      <c r="I62" s="155" t="n">
        <v>30000</v>
      </c>
      <c r="J62" s="152" t="inlineStr">
        <is>
          <t>Humanoid.guide list</t>
        </is>
      </c>
      <c r="K62" s="156" t="inlineStr">
        <is>
          <t>Mirokaï robots from Enchanted Tools combine advanced AI, imaginative design, and innovative movement to create user-friendly robots that are as functional as they are engaging.</t>
        </is>
      </c>
      <c r="L62" s="101" t="inlineStr">
        <is>
          <t>Mirokaï robots from Enchanted Tools combine advanced AI, imaginative design, and innovative movement to create user-friendly robots that are as functional as they are engaging.</t>
        </is>
      </c>
      <c r="M62" s="101" t="inlineStr">
        <is>
          <t>Mirokaï robots from Enchanted Tools combine advanced AI, imaginative design, and innovative movement to create user-friendly robots that are as functional as they are engaging. Public status is listed as prototype, and it is positioned for social environments.</t>
        </is>
      </c>
      <c r="N62" s="157" t="inlineStr">
        <is>
          <t>https://humanoid.guide/product/mirokai/</t>
        </is>
      </c>
      <c r="O62" s="157" t="inlineStr">
        <is>
          <t>https://enchanted.tools/</t>
        </is>
      </c>
      <c r="P62" s="152" t="inlineStr">
        <is>
          <t>4 ft 0 in</t>
        </is>
      </c>
      <c r="Q62" s="152" t="n">
        <v>123</v>
      </c>
      <c r="R62" s="152" t="n">
        <v>63.9</v>
      </c>
      <c r="S62" s="152" t="n">
        <v>29</v>
      </c>
      <c r="T62" s="156" t="inlineStr">
        <is>
          <t>Not disclosed</t>
        </is>
      </c>
      <c r="U62" s="152" t="n"/>
      <c r="V62" s="152" t="inlineStr">
        <is>
          <t>26</t>
        </is>
      </c>
      <c r="W62" s="156" t="inlineStr">
        <is>
          <t>2</t>
        </is>
      </c>
      <c r="X62" s="152" t="n">
        <v>3.3</v>
      </c>
      <c r="Y62" s="152" t="n">
        <v>1.5</v>
      </c>
      <c r="Z62" s="152" t="n">
        <v>1.86</v>
      </c>
      <c r="AA62" s="152" t="n">
        <v>3</v>
      </c>
      <c r="AB62" s="152" t="n"/>
      <c r="AC62" s="156" t="inlineStr">
        <is>
          <t>≈ 4 hours</t>
        </is>
      </c>
      <c r="AD62" s="156" t="inlineStr">
        <is>
          <t>4</t>
        </is>
      </c>
      <c r="AE62" s="152" t="n"/>
      <c r="AF62" s="152" t="inlineStr">
        <is>
          <t>Not disclosed</t>
        </is>
      </c>
      <c r="AG62" s="156" t="inlineStr">
        <is>
          <t>8</t>
        </is>
      </c>
      <c r="AH62" s="152" t="inlineStr">
        <is>
          <t>8</t>
        </is>
      </c>
      <c r="AI62" s="158" t="n">
        <v>2</v>
      </c>
      <c r="AJ62" s="156" t="inlineStr">
        <is>
          <t>1920x1080</t>
        </is>
      </c>
      <c r="AK62" s="156" t="inlineStr">
        <is>
          <t>1920x1080</t>
        </is>
      </c>
      <c r="AL62" s="152" t="inlineStr">
        <is>
          <t>Not disclosed</t>
        </is>
      </c>
      <c r="AM62" s="152" t="n"/>
      <c r="AN62" s="152" t="inlineStr">
        <is>
          <t>Not disclosed</t>
        </is>
      </c>
      <c r="AO62" s="152" t="inlineStr">
        <is>
          <t>Not disclosed</t>
        </is>
      </c>
      <c r="AP62" s="152" t="inlineStr">
        <is>
          <t>Not disclosed</t>
        </is>
      </c>
      <c r="AQ62" s="152" t="inlineStr">
        <is>
          <t>Not disclosed</t>
        </is>
      </c>
      <c r="AR62" s="152" t="n"/>
      <c r="AS62" s="152" t="n"/>
      <c r="AT62" s="156" t="inlineStr">
        <is>
          <t>2</t>
        </is>
      </c>
      <c r="AU62" s="156" t="inlineStr">
        <is>
          <t>Wifi 2,4 ghz &amp; 5ghz</t>
        </is>
      </c>
      <c r="AV62" s="152" t="inlineStr">
        <is>
          <t>Not disclosed</t>
        </is>
      </c>
      <c r="AW62" s="156" t="inlineStr">
        <is>
          <t>Not disclosed</t>
        </is>
      </c>
      <c r="AX62" s="158" t="n">
        <v>2</v>
      </c>
      <c r="AY62" s="156" t="inlineStr">
        <is>
          <t>Custom Linux</t>
        </is>
      </c>
      <c r="AZ62" s="156" t="inlineStr">
        <is>
          <t>Not disclosed</t>
        </is>
      </c>
      <c r="BA62" s="156" t="n"/>
      <c r="BB62" s="156" t="inlineStr">
        <is>
          <t>brushless</t>
        </is>
      </c>
      <c r="BC62" s="156" t="inlineStr">
        <is>
          <t>Not disclosed</t>
        </is>
      </c>
      <c r="BD62" s="152" t="inlineStr">
        <is>
          <t>Aluminium</t>
        </is>
      </c>
      <c r="BE62" s="152" t="inlineStr">
        <is>
          <t>Not disclosed</t>
        </is>
      </c>
      <c r="BF62" s="152" t="n"/>
      <c r="BG62" s="152" t="n"/>
      <c r="BH62" s="152" t="n"/>
      <c r="BI62" s="152" t="n"/>
      <c r="BJ62" s="152" t="n"/>
      <c r="BK62" s="152" t="n"/>
      <c r="BL62" s="152" t="n"/>
      <c r="BM62" s="152" t="inlineStr">
        <is>
          <t>Yes</t>
        </is>
      </c>
      <c r="BN62" s="152" t="inlineStr">
        <is>
          <t>Not disclosed</t>
        </is>
      </c>
      <c r="BO62" s="156" t="inlineStr">
        <is>
          <t>Market: Social environments · Manipulation 2/4 · Navigation 2/4 · Human-safe: Yes · Actuation: brushless · Peak 3 km/h · Runtime 4</t>
        </is>
      </c>
      <c r="BP62" s="152" t="n"/>
      <c r="BQ62" s="156" t="inlineStr">
        <is>
          <t>Social environments</t>
        </is>
      </c>
      <c r="BR62" s="156" t="inlineStr">
        <is>
          <t>Prototype</t>
        </is>
      </c>
      <c r="BS62" s="156" t="inlineStr">
        <is>
          <t>Prototype</t>
        </is>
      </c>
      <c r="BT62" s="152" t="n"/>
      <c r="BU62" s="152" t="inlineStr">
        <is>
          <t>Not verified</t>
        </is>
      </c>
      <c r="BV62" s="156" t="n"/>
      <c r="BW62" s="156" t="inlineStr">
        <is>
          <t>Origin &amp; status — France · Prototype · 2026 | Manipulation — 8 · 8 fingers · Hand DOF 2 · Payload 3.3 lb | Sensing &amp; software — 1920x1080 · Custom Linux | Buying notes — From $30,000 · 12 months manufacturer standard (typical research/commercial humanoid) · Best fit: Social environments</t>
        </is>
      </c>
      <c r="BX62" s="156" t="inlineStr">
        <is>
          <t>as_shipped|Mirokaï|30000|As shipped</t>
        </is>
      </c>
      <c r="BY62" s="152" t="inlineStr">
        <is>
          <t>miroka|Manufacturer finish|#e2e8f0|0</t>
        </is>
      </c>
      <c r="BZ62" s="152" t="inlineStr"/>
      <c r="CA62" s="156" t="n"/>
      <c r="CB62" s="156" t="inlineStr">
        <is>
          <t>12 months manufacturer standard (typical research/commercial humanoid)</t>
        </is>
      </c>
      <c r="CC62" s="154" t="n">
        <v>12</v>
      </c>
      <c r="CD62" s="156" t="inlineStr">
        <is>
          <t>+3 Year Extended ≈24% of configuration (default in configurator)</t>
        </is>
      </c>
      <c r="CE62" s="152" t="inlineStr">
        <is>
          <t>Humanoid category norm 2025–2026</t>
        </is>
      </c>
      <c r="CF62" s="152" t="inlineStr">
        <is>
          <t>Estimated</t>
        </is>
      </c>
      <c r="CG62" s="156" t="inlineStr">
        <is>
          <t>Confirm on formal OEM quote. EDU or enterprise packages may differ.</t>
        </is>
      </c>
      <c r="CH62" s="152" t="inlineStr">
        <is>
          <t>10%</t>
        </is>
      </c>
      <c r="CI62" s="152" t="inlineStr">
        <is>
          <t>17%</t>
        </is>
      </c>
      <c r="CJ62" s="152" t="inlineStr">
        <is>
          <t>24%</t>
        </is>
      </c>
      <c r="CK62" s="156" t="inlineStr">
        <is>
          <t>+1yr ≈10% | +2yr ≈17% | +3yr ≈24% of selected configuration price (parts &amp; labor beyond manufacturer standard).</t>
        </is>
      </c>
      <c r="CL62"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62" s="152" t="inlineStr">
        <is>
          <t>12 months manufacturer standard (typical research/commercial humanoid)</t>
        </is>
      </c>
      <c r="CQ62" s="101" t="inlineStr">
        <is>
          <t>Height: 4 ft 0 in | Weight: 63.9 | Degrees of Freedom: 26 | Payload: 3.3 | Max Speed: 1.86 | Battery / Runtime: ≈ 4 hours</t>
        </is>
      </c>
    </row>
    <row r="63" ht="31.5" customHeight="1" s="102">
      <c r="A63" s="143" t="inlineStr">
        <is>
          <t>engineai_robotics_pm01</t>
        </is>
      </c>
      <c r="B63" s="144" t="inlineStr">
        <is>
          <t>Both</t>
        </is>
      </c>
      <c r="C63" s="145" t="inlineStr">
        <is>
          <t>EngineAI</t>
        </is>
      </c>
      <c r="D63" s="145" t="inlineStr">
        <is>
          <t>PM01</t>
        </is>
      </c>
      <c r="E63" s="145" t="inlineStr">
        <is>
          <t>[EngineAI] PM01 (2025)</t>
        </is>
      </c>
      <c r="F63" s="146" t="inlineStr">
        <is>
          <t>humanoid</t>
        </is>
      </c>
      <c r="G63" s="145" t="inlineStr">
        <is>
          <t>China</t>
        </is>
      </c>
      <c r="H63" s="147" t="n">
        <v>2025</v>
      </c>
      <c r="I63" s="148" t="n">
        <v>12000</v>
      </c>
      <c r="J63" s="145" t="inlineStr">
        <is>
          <t>Robot Price Index Aug 2026</t>
        </is>
      </c>
      <c r="K63" s="149" t="inlineStr">
        <is>
          <t>The EngineAI PM01 is a next-generation humanoid robot that combines affordability, agility, and research-focused design.</t>
        </is>
      </c>
      <c r="L63" s="101" t="inlineStr">
        <is>
          <t>The EngineAI PM01 is a next-generation humanoid robot that combines affordability, agility, and research-focused design.</t>
        </is>
      </c>
      <c r="M63" s="101" t="inlineStr">
        <is>
          <t>PM01 is EngineAI's humanoid, introduced around 2025 in China. The EngineAI PM01 is a next-generation humanoid robot that combines affordability, agility, and research-focused design. Public status is listed as orderable, and it is positioned for research / Light work.</t>
        </is>
      </c>
      <c r="N63" s="150" t="inlineStr">
        <is>
          <t>https://humanoid.guide/product/pm01/</t>
        </is>
      </c>
      <c r="O63" s="150" t="inlineStr">
        <is>
          <t>https://www.engineai.com.cn</t>
        </is>
      </c>
      <c r="P63" s="145" t="inlineStr">
        <is>
          <t>4 ft 6 in</t>
        </is>
      </c>
      <c r="Q63" s="145" t="n">
        <v>138</v>
      </c>
      <c r="R63" s="145" t="n">
        <v>88.2</v>
      </c>
      <c r="S63" s="145" t="n">
        <v>40</v>
      </c>
      <c r="T63" s="149" t="inlineStr">
        <is>
          <t>Not disclosed</t>
        </is>
      </c>
      <c r="U63" s="145" t="n"/>
      <c r="V63" s="145" t="inlineStr">
        <is>
          <t>24</t>
        </is>
      </c>
      <c r="W63" s="149" t="inlineStr">
        <is>
          <t>Not disclosed</t>
        </is>
      </c>
      <c r="X63" s="145" t="n">
        <v>33.1</v>
      </c>
      <c r="Y63" s="145" t="n">
        <v>15</v>
      </c>
      <c r="Z63" s="145" t="n">
        <v>4.47</v>
      </c>
      <c r="AA63" s="145" t="n">
        <v>7.2</v>
      </c>
      <c r="AB63" s="145" t="n"/>
      <c r="AC63" s="149" t="inlineStr">
        <is>
          <t>≈ 2 hours</t>
        </is>
      </c>
      <c r="AD63" s="149" t="inlineStr">
        <is>
          <t>2</t>
        </is>
      </c>
      <c r="AE63" s="145" t="n"/>
      <c r="AF63" s="145" t="inlineStr">
        <is>
          <t>Not disclosed</t>
        </is>
      </c>
      <c r="AG63" s="149" t="inlineStr">
        <is>
          <t>Not disclosed</t>
        </is>
      </c>
      <c r="AH63" s="145" t="inlineStr">
        <is>
          <t>Not disclosed</t>
        </is>
      </c>
      <c r="AI63" s="151" t="n">
        <v>3</v>
      </c>
      <c r="AJ63" s="149" t="inlineStr">
        <is>
          <t>Research humanoid vision sensors</t>
        </is>
      </c>
      <c r="AK63" s="149" t="n"/>
      <c r="AL63" s="145" t="inlineStr">
        <is>
          <t>Not disclosed</t>
        </is>
      </c>
      <c r="AM63" s="145" t="n"/>
      <c r="AN63" s="145" t="inlineStr">
        <is>
          <t>Not disclosed</t>
        </is>
      </c>
      <c r="AO63" s="145" t="inlineStr">
        <is>
          <t>Not disclosed</t>
        </is>
      </c>
      <c r="AP63" s="145" t="inlineStr">
        <is>
          <t>Not disclosed</t>
        </is>
      </c>
      <c r="AQ63" s="145" t="inlineStr">
        <is>
          <t>Not disclosed</t>
        </is>
      </c>
      <c r="AR63" s="145" t="n"/>
      <c r="AS63" s="145" t="n"/>
      <c r="AT63" s="149" t="inlineStr">
        <is>
          <t>Not disclosed</t>
        </is>
      </c>
      <c r="AU63" s="149" t="inlineStr">
        <is>
          <t>Not disclosed</t>
        </is>
      </c>
      <c r="AV63" s="145" t="inlineStr">
        <is>
          <t>Research SDK paths</t>
        </is>
      </c>
      <c r="AW63" s="149" t="inlineStr">
        <is>
          <t>Compact bipedal research locomotion</t>
        </is>
      </c>
      <c r="AX63" s="151" t="n">
        <v>3</v>
      </c>
      <c r="AY63" s="149" t="inlineStr">
        <is>
          <t>Not disclosed</t>
        </is>
      </c>
      <c r="AZ63" s="149" t="inlineStr">
        <is>
          <t>Not disclosed</t>
        </is>
      </c>
      <c r="BA63" s="149" t="n"/>
      <c r="BB63" s="149" t="inlineStr">
        <is>
          <t>Not disclosed</t>
        </is>
      </c>
      <c r="BC63" s="149" t="inlineStr">
        <is>
          <t>Not disclosed</t>
        </is>
      </c>
      <c r="BD63" s="145" t="inlineStr">
        <is>
          <t>Not disclosed</t>
        </is>
      </c>
      <c r="BE63" s="145" t="inlineStr">
        <is>
          <t>Not disclosed</t>
        </is>
      </c>
      <c r="BF63" s="145" t="n"/>
      <c r="BG63" s="145" t="n"/>
      <c r="BH63" s="145" t="n"/>
      <c r="BI63" s="145" t="n"/>
      <c r="BJ63" s="145" t="n"/>
      <c r="BK63" s="145" t="n"/>
      <c r="BL63" s="145" t="n"/>
      <c r="BM63" s="145" t="inlineStr">
        <is>
          <t>Not disclosed</t>
        </is>
      </c>
      <c r="BN63" s="145" t="inlineStr">
        <is>
          <t>Not disclosed</t>
        </is>
      </c>
      <c r="BO63" s="149" t="inlineStr">
        <is>
          <t>Market: Research / Light work · Manipulation 3/4 · Navigation 3/4 · Peak 7.2 km/h · Runtime 2</t>
        </is>
      </c>
      <c r="BP63" s="145" t="n"/>
      <c r="BQ63" s="149" t="inlineStr">
        <is>
          <t>Research / Light work</t>
        </is>
      </c>
      <c r="BR63" s="149" t="inlineStr">
        <is>
          <t>Orderable</t>
        </is>
      </c>
      <c r="BS63" s="149" t="inlineStr">
        <is>
          <t>Prototype</t>
        </is>
      </c>
      <c r="BT63" s="145" t="n"/>
      <c r="BU63" s="145" t="inlineStr">
        <is>
          <t>Not verified</t>
        </is>
      </c>
      <c r="BV63" s="149" t="inlineStr">
        <is>
          <t>Affordable research platform Humanoid.guide listed price $20,000.</t>
        </is>
      </c>
      <c r="BW63" s="149" t="inlineStr">
        <is>
          <t>Origin &amp; status — China · Orderable · 2025 | Manipulation — Payload Light research payload class lb | Sensing &amp; software — Research humanoid vision sensors · Research SDK paths | Buying notes — From $12,000 · 12 months manufacturer standard (typical research/commercial humanoid) · Best fit: Research</t>
        </is>
      </c>
      <c r="BX63" s="149" t="inlineStr">
        <is>
          <t>as_shipped|PM01|12000|As shipped</t>
        </is>
      </c>
      <c r="BY63" s="145" t="inlineStr">
        <is>
          <t>pm01|Manufacturer finish|#e2e8f0|0</t>
        </is>
      </c>
      <c r="BZ63" s="145" t="inlineStr"/>
      <c r="CA63" s="149" t="inlineStr">
        <is>
          <t>Add-ons: case; 2 color options; Multi-year extended warranty available</t>
        </is>
      </c>
      <c r="CB63" s="149" t="inlineStr">
        <is>
          <t>12 months manufacturer standard (typical research/commercial humanoid)</t>
        </is>
      </c>
      <c r="CC63" s="147" t="n">
        <v>12</v>
      </c>
      <c r="CD63" s="149" t="inlineStr">
        <is>
          <t>+3 Year Extended ≈24% of configuration (default in configurator)</t>
        </is>
      </c>
      <c r="CE63" s="145" t="inlineStr">
        <is>
          <t>Humanoid category norm 2025–2026</t>
        </is>
      </c>
      <c r="CF63" s="145" t="inlineStr">
        <is>
          <t>Estimated</t>
        </is>
      </c>
      <c r="CG63" s="149" t="inlineStr">
        <is>
          <t>EDU or enterprise packages may differ; confirm on formal quote.</t>
        </is>
      </c>
      <c r="CH63" s="145" t="inlineStr">
        <is>
          <t>10%</t>
        </is>
      </c>
      <c r="CI63" s="145" t="inlineStr">
        <is>
          <t>17%</t>
        </is>
      </c>
      <c r="CJ63" s="145" t="inlineStr">
        <is>
          <t>24%</t>
        </is>
      </c>
      <c r="CK63"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63"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63" s="145" t="inlineStr">
        <is>
          <t>12 months manufacturer standard (typical research/commercial humanoid)</t>
        </is>
      </c>
      <c r="CQ63" s="101" t="inlineStr">
        <is>
          <t>Height: 4 ft 6 in | Weight: 88.2 | Degrees of Freedom: 24 | Payload: 33.1 | Max Speed: 4.47 | Battery / Runtime: ≈ 2 hours</t>
        </is>
      </c>
    </row>
    <row r="64" ht="31.5" customHeight="1" s="102">
      <c r="A64" s="152" t="inlineStr">
        <is>
          <t>engineai_robotics_sao2</t>
        </is>
      </c>
      <c r="B64" s="153" t="inlineStr">
        <is>
          <t>Humanoid.guide</t>
        </is>
      </c>
      <c r="C64" s="152" t="inlineStr">
        <is>
          <t>EngineAI</t>
        </is>
      </c>
      <c r="D64" s="152" t="inlineStr">
        <is>
          <t>SAO2</t>
        </is>
      </c>
      <c r="E64" s="152" t="inlineStr">
        <is>
          <t>[EngineAI] SAO2 (2026)</t>
        </is>
      </c>
      <c r="F64" s="146" t="inlineStr">
        <is>
          <t>humanoid</t>
        </is>
      </c>
      <c r="G64" s="152" t="inlineStr">
        <is>
          <t>China</t>
        </is>
      </c>
      <c r="H64" s="152" t="n"/>
      <c r="I64" s="155" t="n">
        <v>5300</v>
      </c>
      <c r="J64" s="152" t="inlineStr">
        <is>
          <t>Humanoid.guide list</t>
        </is>
      </c>
      <c r="K64" s="156" t="inlineStr">
        <is>
          <t>EngineAi’s SA02 is a pint-sized, anime-styled humanoid standing about 1.25 m tall and weighing only 25 kg, yet it squeezes in 26 powered joints plus two articulated fingers for expressive gestures.</t>
        </is>
      </c>
      <c r="L64" s="101" t="inlineStr">
        <is>
          <t>EngineAi’s SA02 is a pint-sized, anime-styled humanoid standing about 1.25 m tall and weighing only 25 kg, yet it squeezes in 26 powered joints plus two articulated fingers for expressive gestures.</t>
        </is>
      </c>
      <c r="M64" s="101" t="inlineStr">
        <is>
          <t>SAO2 is EngineAI's humanoid, introduced around 2026 in China. EngineAi’s SA02 is a pint-sized, anime-styled humanoid standing about 1.25 m tall and weighing only 25 kg, yet it squeezes in 26 powered joints plus two articulated fingers for expressive gestures. Public status is listed as in production.</t>
        </is>
      </c>
      <c r="N64" s="157" t="inlineStr">
        <is>
          <t>https://humanoid.guide/product/sao2/</t>
        </is>
      </c>
      <c r="O64" s="157" t="inlineStr">
        <is>
          <t>https://www.engineai.com.cn</t>
        </is>
      </c>
      <c r="P64" s="152" t="inlineStr">
        <is>
          <t>4 ft 1 in</t>
        </is>
      </c>
      <c r="Q64" s="152" t="n">
        <v>125</v>
      </c>
      <c r="R64" s="152" t="n">
        <v>55.1</v>
      </c>
      <c r="S64" s="152" t="n">
        <v>25</v>
      </c>
      <c r="T64" s="156" t="inlineStr">
        <is>
          <t>Not disclosed</t>
        </is>
      </c>
      <c r="U64" s="152" t="n"/>
      <c r="V64" s="152" t="inlineStr">
        <is>
          <t>28</t>
        </is>
      </c>
      <c r="W64" s="156" t="inlineStr">
        <is>
          <t>Not disclosed</t>
        </is>
      </c>
      <c r="X64" s="152" t="n">
        <v>11</v>
      </c>
      <c r="Y64" s="152" t="n">
        <v>5</v>
      </c>
      <c r="Z64" s="152" t="n">
        <v>4.47</v>
      </c>
      <c r="AA64" s="152" t="n">
        <v>7.2</v>
      </c>
      <c r="AB64" s="152" t="n"/>
      <c r="AC64" s="156" t="inlineStr">
        <is>
          <t>≈ 4 hours</t>
        </is>
      </c>
      <c r="AD64" s="156" t="inlineStr">
        <is>
          <t>4</t>
        </is>
      </c>
      <c r="AE64" s="152" t="n"/>
      <c r="AF64" s="152" t="inlineStr">
        <is>
          <t>Not disclosed</t>
        </is>
      </c>
      <c r="AG64" s="156" t="inlineStr">
        <is>
          <t>Not disclosed</t>
        </is>
      </c>
      <c r="AH64" s="152" t="inlineStr">
        <is>
          <t>Not disclosed</t>
        </is>
      </c>
      <c r="AI64" s="151" t="n">
        <v>3</v>
      </c>
      <c r="AJ64" s="156" t="inlineStr">
        <is>
          <t>1080p</t>
        </is>
      </c>
      <c r="AK64" s="156" t="inlineStr">
        <is>
          <t>1080p</t>
        </is>
      </c>
      <c r="AL64" s="152" t="inlineStr">
        <is>
          <t>Not disclosed</t>
        </is>
      </c>
      <c r="AM64" s="152" t="n"/>
      <c r="AN64" s="152" t="inlineStr">
        <is>
          <t>Not disclosed</t>
        </is>
      </c>
      <c r="AO64" s="152" t="inlineStr">
        <is>
          <t>Not disclosed</t>
        </is>
      </c>
      <c r="AP64" s="152" t="inlineStr">
        <is>
          <t>Not disclosed</t>
        </is>
      </c>
      <c r="AQ64" s="152" t="inlineStr">
        <is>
          <t>Not disclosed</t>
        </is>
      </c>
      <c r="AR64" s="152" t="n"/>
      <c r="AS64" s="152" t="n"/>
      <c r="AT64" s="156" t="inlineStr">
        <is>
          <t>NVIDIA and Intel dual-core processors</t>
        </is>
      </c>
      <c r="AU64" s="156" t="inlineStr">
        <is>
          <t>Bluetooth; WiFi</t>
        </is>
      </c>
      <c r="AV64" s="152" t="inlineStr">
        <is>
          <t>Not disclosed</t>
        </is>
      </c>
      <c r="AW64" s="156" t="inlineStr">
        <is>
          <t>Not disclosed</t>
        </is>
      </c>
      <c r="AX64" s="151" t="n">
        <v>3</v>
      </c>
      <c r="AY64" s="156" t="inlineStr">
        <is>
          <t>Linux</t>
        </is>
      </c>
      <c r="AZ64" s="156" t="inlineStr">
        <is>
          <t>Yes</t>
        </is>
      </c>
      <c r="BA64" s="156" t="inlineStr">
        <is>
          <t>&amp;lt;100 ms</t>
        </is>
      </c>
      <c r="BB64" s="156" t="inlineStr">
        <is>
          <t>Harmonic joint modules</t>
        </is>
      </c>
      <c r="BC64" s="156" t="inlineStr">
        <is>
          <t>Harmonic gears</t>
        </is>
      </c>
      <c r="BD64" s="152" t="inlineStr">
        <is>
          <t>Aluminium</t>
        </is>
      </c>
      <c r="BE64" s="152" t="inlineStr">
        <is>
          <t>IP20</t>
        </is>
      </c>
      <c r="BF64" s="152" t="inlineStr">
        <is>
          <t>IP20</t>
        </is>
      </c>
      <c r="BG64" s="152" t="n"/>
      <c r="BH64" s="152" t="n"/>
      <c r="BI64" s="152" t="n"/>
      <c r="BJ64" s="152" t="n"/>
      <c r="BK64" s="152" t="n"/>
      <c r="BL64" s="152" t="n"/>
      <c r="BM64" s="152" t="inlineStr">
        <is>
          <t>Yes</t>
        </is>
      </c>
      <c r="BN64" s="152" t="inlineStr">
        <is>
          <t>Not disclosed</t>
        </is>
      </c>
      <c r="BO64" s="156" t="inlineStr">
        <is>
          <t>Market: Not specified · Manipulation 3/4 · Navigation 3/4 · Human-safe: Yes · AI: Yes · Actuation: Harmonic joint modules · Peak 7.2 km/h · Runtime 4</t>
        </is>
      </c>
      <c r="BP64" s="152" t="n"/>
      <c r="BQ64" s="156" t="inlineStr">
        <is>
          <t>Research labs, commercial pilots, and education programs evaluating a humanoid from EngineAI Robotics (China).</t>
        </is>
      </c>
      <c r="BR64" s="156" t="inlineStr">
        <is>
          <t>In production</t>
        </is>
      </c>
      <c r="BS64" s="156" t="inlineStr">
        <is>
          <t>In production</t>
        </is>
      </c>
      <c r="BT64" s="152" t="n"/>
      <c r="BU64" s="152" t="inlineStr">
        <is>
          <t>Not verified</t>
        </is>
      </c>
      <c r="BV64" s="156" t="n"/>
      <c r="BW64" s="156" t="inlineStr">
        <is>
          <t>Origin &amp; status — China · In production · 2026 | Manipulation — Payload 11 lb | Sensing &amp; software — 1080p · Yes · Linux | Buying notes — From $5,300 · 12 months manufacturer standard (typical research/commercial humanoid)</t>
        </is>
      </c>
      <c r="BX64" s="156" t="inlineStr">
        <is>
          <t>as_shipped|SAO2|5300|As shipped</t>
        </is>
      </c>
      <c r="BY64" s="152" t="inlineStr">
        <is>
          <t>sao2|Manufacturer finish|#e2e8f0|0</t>
        </is>
      </c>
      <c r="BZ64" s="152" t="inlineStr"/>
      <c r="CA64" s="156" t="n"/>
      <c r="CB64" s="156" t="inlineStr">
        <is>
          <t>12 months manufacturer standard (typical research/commercial humanoid)</t>
        </is>
      </c>
      <c r="CC64" s="154" t="n">
        <v>12</v>
      </c>
      <c r="CD64" s="156" t="inlineStr">
        <is>
          <t>+3 Year Extended ≈24% of configuration (default in configurator)</t>
        </is>
      </c>
      <c r="CE64" s="152" t="inlineStr">
        <is>
          <t>Humanoid category norm 2025–2026</t>
        </is>
      </c>
      <c r="CF64" s="152" t="inlineStr">
        <is>
          <t>Estimated</t>
        </is>
      </c>
      <c r="CG64" s="156" t="inlineStr">
        <is>
          <t>Confirm on formal OEM quote. EDU or enterprise packages may differ.</t>
        </is>
      </c>
      <c r="CH64" s="152" t="inlineStr">
        <is>
          <t>10%</t>
        </is>
      </c>
      <c r="CI64" s="152" t="inlineStr">
        <is>
          <t>17%</t>
        </is>
      </c>
      <c r="CJ64" s="152" t="inlineStr">
        <is>
          <t>24%</t>
        </is>
      </c>
      <c r="CK64" s="156" t="inlineStr">
        <is>
          <t>+1yr ≈10% | +2yr ≈17% | +3yr ≈24% of selected configuration price (parts &amp; labor beyond manufacturer standard).</t>
        </is>
      </c>
      <c r="CL64"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64" s="152" t="inlineStr">
        <is>
          <t>12 months manufacturer standard (typical research/commercial humanoid)</t>
        </is>
      </c>
      <c r="CQ64" s="101" t="inlineStr">
        <is>
          <t>Height: 4 ft 1 in | Weight: 55.1 | Degrees of Freedom: 28 | Payload: 11 | Max Speed: 4.47 | Battery / Runtime: ≈ 4 hours</t>
        </is>
      </c>
    </row>
    <row r="65" ht="31.5" customHeight="1" s="102">
      <c r="A65" s="145" t="inlineStr">
        <is>
          <t>engineai_robotics_se01</t>
        </is>
      </c>
      <c r="B65" s="153" t="inlineStr">
        <is>
          <t>Humanoid.guide</t>
        </is>
      </c>
      <c r="C65" s="145" t="inlineStr">
        <is>
          <t>EngineAI</t>
        </is>
      </c>
      <c r="D65" s="145" t="inlineStr">
        <is>
          <t>SE01</t>
        </is>
      </c>
      <c r="E65" s="145" t="inlineStr">
        <is>
          <t>[EngineAI] SE01 (2025)</t>
        </is>
      </c>
      <c r="F65" s="146" t="inlineStr">
        <is>
          <t>humanoid</t>
        </is>
      </c>
      <c r="G65" s="145" t="inlineStr">
        <is>
          <t>China</t>
        </is>
      </c>
      <c r="H65" s="145" t="n"/>
      <c r="I65" s="148" t="n">
        <v>20500</v>
      </c>
      <c r="J65" s="145" t="inlineStr">
        <is>
          <t>Robot Price Index Aug 2026 · entry</t>
        </is>
      </c>
      <c r="K65" s="149" t="inlineStr">
        <is>
          <t>The ENGINEAI SE01 humanoid robot is a versatile consumer-grade model designed for flexibility, precision, and safety.</t>
        </is>
      </c>
      <c r="L65" s="101" t="inlineStr">
        <is>
          <t>The ENGINEAI SE01 humanoid robot is a versatile consumer-grade model designed for flexibility, precision, and safety.</t>
        </is>
      </c>
      <c r="M65" s="101" t="inlineStr">
        <is>
          <t>SE01 is EngineAI's humanoid, introduced around 2026 in China. The ENGINEAI SE01 humanoid robot is a versatile consumer-grade model designed for flexibility, precision, and safety. Public status is listed as prototype.</t>
        </is>
      </c>
      <c r="N65" s="150" t="inlineStr">
        <is>
          <t>https://humanoid.guide/product/se01/</t>
        </is>
      </c>
      <c r="O65" s="150" t="inlineStr">
        <is>
          <t>https://www.engineai.com.cn</t>
        </is>
      </c>
      <c r="P65" s="145" t="inlineStr">
        <is>
          <t>5 ft 11 in</t>
        </is>
      </c>
      <c r="Q65" s="145" t="n">
        <v>180</v>
      </c>
      <c r="R65" s="145" t="n">
        <v>176.4</v>
      </c>
      <c r="S65" s="145" t="n">
        <v>80</v>
      </c>
      <c r="T65" s="149" t="inlineStr">
        <is>
          <t>Not disclosed</t>
        </is>
      </c>
      <c r="U65" s="145" t="n"/>
      <c r="V65" s="145" t="inlineStr">
        <is>
          <t>12</t>
        </is>
      </c>
      <c r="W65" s="149" t="inlineStr">
        <is>
          <t>Not disclosed</t>
        </is>
      </c>
      <c r="X65" s="145" t="n">
        <v>33.1</v>
      </c>
      <c r="Y65" s="145" t="n">
        <v>15</v>
      </c>
      <c r="Z65" s="145" t="n">
        <v>2.49</v>
      </c>
      <c r="AA65" s="145" t="n">
        <v>4</v>
      </c>
      <c r="AB65" s="145" t="n">
        <v>3</v>
      </c>
      <c r="AC65" s="149" t="inlineStr">
        <is>
          <t>≈ 2 hours</t>
        </is>
      </c>
      <c r="AD65" s="149" t="inlineStr">
        <is>
          <t>2</t>
        </is>
      </c>
      <c r="AE65" s="145" t="n"/>
      <c r="AF65" s="145" t="inlineStr">
        <is>
          <t>Not disclosed</t>
        </is>
      </c>
      <c r="AG65" s="149" t="inlineStr">
        <is>
          <t>Not disclosed</t>
        </is>
      </c>
      <c r="AH65" s="145" t="inlineStr">
        <is>
          <t>Not disclosed</t>
        </is>
      </c>
      <c r="AI65" s="151" t="n">
        <v>3</v>
      </c>
      <c r="AJ65" s="149" t="inlineStr">
        <is>
          <t>Not disclosed</t>
        </is>
      </c>
      <c r="AK65" s="149" t="n"/>
      <c r="AL65" s="145" t="inlineStr">
        <is>
          <t>Not disclosed</t>
        </is>
      </c>
      <c r="AM65" s="145" t="n"/>
      <c r="AN65" s="145" t="inlineStr">
        <is>
          <t>Not disclosed</t>
        </is>
      </c>
      <c r="AO65" s="145" t="inlineStr">
        <is>
          <t>Not disclosed</t>
        </is>
      </c>
      <c r="AP65" s="145" t="inlineStr">
        <is>
          <t>Not disclosed</t>
        </is>
      </c>
      <c r="AQ65" s="145" t="inlineStr">
        <is>
          <t>Not disclosed</t>
        </is>
      </c>
      <c r="AR65" s="145" t="n"/>
      <c r="AS65" s="145" t="n"/>
      <c r="AT65" s="149" t="inlineStr">
        <is>
          <t>Not disclosed</t>
        </is>
      </c>
      <c r="AU65" s="149" t="inlineStr">
        <is>
          <t>Not disclosed</t>
        </is>
      </c>
      <c r="AV65" s="145" t="inlineStr">
        <is>
          <t>Not disclosed</t>
        </is>
      </c>
      <c r="AW65" s="149" t="inlineStr">
        <is>
          <t>Not disclosed</t>
        </is>
      </c>
      <c r="AX65" s="151" t="n">
        <v>3</v>
      </c>
      <c r="AY65" s="149" t="inlineStr">
        <is>
          <t>Not disclosed</t>
        </is>
      </c>
      <c r="AZ65" s="149" t="inlineStr">
        <is>
          <t>Not disclosed</t>
        </is>
      </c>
      <c r="BA65" s="149" t="n"/>
      <c r="BB65" s="149" t="inlineStr">
        <is>
          <t>Not disclosed</t>
        </is>
      </c>
      <c r="BC65" s="149" t="inlineStr">
        <is>
          <t>Not disclosed</t>
        </is>
      </c>
      <c r="BD65" s="145" t="inlineStr">
        <is>
          <t>Not disclosed</t>
        </is>
      </c>
      <c r="BE65" s="145" t="inlineStr">
        <is>
          <t>Not disclosed</t>
        </is>
      </c>
      <c r="BF65" s="145" t="n"/>
      <c r="BG65" s="145" t="n"/>
      <c r="BH65" s="145" t="n"/>
      <c r="BI65" s="145" t="n"/>
      <c r="BJ65" s="145" t="n"/>
      <c r="BK65" s="145" t="n"/>
      <c r="BL65" s="145" t="n"/>
      <c r="BM65" s="145" t="inlineStr">
        <is>
          <t>Not disclosed</t>
        </is>
      </c>
      <c r="BN65" s="145" t="inlineStr">
        <is>
          <t>Not disclosed</t>
        </is>
      </c>
      <c r="BO65" s="149" t="inlineStr">
        <is>
          <t>Manipulation 3/4 · Navigation 3/4 · Peak 4 km/h · Walk 3 km/h · Runtime 2</t>
        </is>
      </c>
      <c r="BP65" s="145" t="n"/>
      <c r="BQ65" s="149" t="inlineStr">
        <is>
          <t>Research labs, commercial pilots, and education programs evaluating a humanoid from EngineAI Robotics (China) now listed as prototype.</t>
        </is>
      </c>
      <c r="BR65" s="149" t="inlineStr">
        <is>
          <t>Prototype</t>
        </is>
      </c>
      <c r="BS65" s="149" t="inlineStr">
        <is>
          <t>Prototype</t>
        </is>
      </c>
      <c r="BT65" s="145" t="n"/>
      <c r="BU65" s="145" t="inlineStr">
        <is>
          <t>Not verified</t>
        </is>
      </c>
      <c r="BV65" s="149" t="n"/>
      <c r="BW65" s="149" t="inlineStr">
        <is>
          <t>Origin &amp; status — China · Prototype · 2026 | Manipulation — Payload 33.1 lb | Sensing &amp; software — Sensor and compute package confirmed on formal quote | Buying notes — From $20,500 · 12 months manufacturer standard (typical research/commercial humanoid)</t>
        </is>
      </c>
      <c r="BX65" s="149" t="inlineStr">
        <is>
          <t>as_shipped|SE01|20500|As shipped</t>
        </is>
      </c>
      <c r="BY65" s="145" t="inlineStr">
        <is>
          <t>se01|Manufacturer finish|#e2e8f0|0</t>
        </is>
      </c>
      <c r="BZ65" s="145" t="inlineStr"/>
      <c r="CA65" s="149" t="n"/>
      <c r="CB65" s="149" t="inlineStr">
        <is>
          <t>12 months manufacturer standard (typical research/commercial humanoid)</t>
        </is>
      </c>
      <c r="CC65" s="147" t="n">
        <v>12</v>
      </c>
      <c r="CD65" s="149" t="inlineStr">
        <is>
          <t>+3 Year Extended ≈24% of configuration (default in configurator)</t>
        </is>
      </c>
      <c r="CE65" s="145" t="inlineStr">
        <is>
          <t>Humanoid category norm 2025–2026</t>
        </is>
      </c>
      <c r="CF65" s="145" t="inlineStr">
        <is>
          <t>Estimated</t>
        </is>
      </c>
      <c r="CG65" s="149" t="inlineStr">
        <is>
          <t>Confirm on formal OEM quote. EDU or enterprise packages may differ.</t>
        </is>
      </c>
      <c r="CH65" s="145" t="inlineStr">
        <is>
          <t>10%</t>
        </is>
      </c>
      <c r="CI65" s="145" t="inlineStr">
        <is>
          <t>17%</t>
        </is>
      </c>
      <c r="CJ65" s="145" t="inlineStr">
        <is>
          <t>24%</t>
        </is>
      </c>
      <c r="CK65" s="149" t="inlineStr">
        <is>
          <t>+1yr ≈10% | +2yr ≈17% | +3yr ≈24% of selected configuration price (parts &amp; labor beyond manufacturer standard).</t>
        </is>
      </c>
      <c r="CL6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65" s="145" t="inlineStr">
        <is>
          <t>12 months manufacturer standard (typical research/commercial humanoid)</t>
        </is>
      </c>
      <c r="CQ65" s="101" t="inlineStr">
        <is>
          <t>Height: 5 ft 11 in | Weight: 176.4 | Degrees of Freedom: 12 | Payload: 33.1 | Max Speed: 2.49 | Battery / Runtime: ≈ 2 hours</t>
        </is>
      </c>
    </row>
    <row r="66" ht="31.5" customHeight="1" s="102">
      <c r="A66" s="159" t="inlineStr">
        <is>
          <t>engineai_robotics_se01_t800_variants</t>
        </is>
      </c>
      <c r="B66" s="144" t="inlineStr">
        <is>
          <t>Both</t>
        </is>
      </c>
      <c r="C66" s="152" t="inlineStr">
        <is>
          <t>EngineAI</t>
        </is>
      </c>
      <c r="D66" s="152" t="inlineStr">
        <is>
          <t>T800</t>
        </is>
      </c>
      <c r="E66" s="152" t="inlineStr">
        <is>
          <t>[EngineAI] T800 (2025)</t>
        </is>
      </c>
      <c r="F66" s="146" t="inlineStr">
        <is>
          <t>humanoid</t>
        </is>
      </c>
      <c r="G66" s="152" t="inlineStr">
        <is>
          <t>China</t>
        </is>
      </c>
      <c r="H66" s="154" t="n">
        <v>2025</v>
      </c>
      <c r="I66" s="155" t="n">
        <v>20500</v>
      </c>
      <c r="J66" s="152" t="inlineStr">
        <is>
          <t>Website store</t>
        </is>
      </c>
      <c r="K66" s="156" t="inlineStr">
        <is>
          <t>T800 is EngineAI Robotics's humanoid — 5 ft 7 in class, 32+ DOF, Research / light-work payload class lb payload. Manipulator options on SE01 / T800 variants; onboard AI: Supported via external cloud APIs.</t>
        </is>
      </c>
      <c r="L66" s="101" t="inlineStr">
        <is>
          <t>T800 is EngineAI Robotics's humanoid — 5 ft 7 in class, 32+ DOF, Research / light-work payload class lb payload. Manipulator options on SE01 / T800 variants; onboard AI: Supported via external cloud APIs.</t>
        </is>
      </c>
      <c r="M66" s="101" t="inlineStr">
        <is>
          <t>T800 is EngineAI Robotics's humanoid — 5 ft 7 in class, 32+ DOF, Research / light-work payload class lb payload. Manipulator options on SE01 / T800 variants; onboard AI: Supported via external cloud APIs. Public status is listed as orderable, and it is positioned for research / Light work.</t>
        </is>
      </c>
      <c r="N66" s="157" t="inlineStr">
        <is>
          <t>https://humanoid.guide/product/t800/</t>
        </is>
      </c>
      <c r="O66" s="157" t="inlineStr">
        <is>
          <t>https://www.engineai.com.cn</t>
        </is>
      </c>
      <c r="P66" s="152" t="inlineStr">
        <is>
          <t>5 ft 7 in</t>
        </is>
      </c>
      <c r="Q66" s="152" t="n">
        <v>173</v>
      </c>
      <c r="R66" s="152" t="n">
        <v>132.3</v>
      </c>
      <c r="S66" s="152" t="n">
        <v>60</v>
      </c>
      <c r="T66" s="156" t="inlineStr">
        <is>
          <t>Not disclosed</t>
        </is>
      </c>
      <c r="U66" s="152" t="inlineStr">
        <is>
          <t>190 × 70 × 55 cm</t>
        </is>
      </c>
      <c r="V66" s="152" t="inlineStr">
        <is>
          <t>32+</t>
        </is>
      </c>
      <c r="W66" s="156" t="inlineStr">
        <is>
          <t>12</t>
        </is>
      </c>
      <c r="X66" s="152" t="n">
        <v>44.1</v>
      </c>
      <c r="Y66" s="152" t="n">
        <v>20</v>
      </c>
      <c r="Z66" s="152" t="n">
        <v>3.73</v>
      </c>
      <c r="AA66" s="152" t="n">
        <v>6</v>
      </c>
      <c r="AB66" s="152" t="n">
        <v>4</v>
      </c>
      <c r="AC66" s="156" t="inlineStr">
        <is>
          <t>≈ 2 hours</t>
        </is>
      </c>
      <c r="AD66" s="156" t="inlineStr">
        <is>
          <t>2</t>
        </is>
      </c>
      <c r="AE66" s="152" t="n"/>
      <c r="AF66" s="152" t="inlineStr">
        <is>
          <t>Not disclosed</t>
        </is>
      </c>
      <c r="AG66" s="156" t="inlineStr">
        <is>
          <t>Manipulator options on SE01 / T800 variants</t>
        </is>
      </c>
      <c r="AH66" s="152" t="inlineStr">
        <is>
          <t>5 per hand</t>
        </is>
      </c>
      <c r="AI66" s="152" t="n"/>
      <c r="AJ66" s="156" t="inlineStr">
        <is>
          <t>Multi-camera research perception</t>
        </is>
      </c>
      <c r="AK66" s="156" t="inlineStr">
        <is>
          <t>Dual 1080p depth + RGB</t>
        </is>
      </c>
      <c r="AL66" s="152" t="inlineStr">
        <is>
          <t>Not disclosed</t>
        </is>
      </c>
      <c r="AM66" s="152" t="n"/>
      <c r="AN66" s="152" t="inlineStr">
        <is>
          <t>Not disclosed</t>
        </is>
      </c>
      <c r="AO66" s="152" t="inlineStr">
        <is>
          <t>Not disclosed</t>
        </is>
      </c>
      <c r="AP66" s="152" t="inlineStr">
        <is>
          <t>Not disclosed</t>
        </is>
      </c>
      <c r="AQ66" s="152" t="inlineStr">
        <is>
          <t>Not disclosed</t>
        </is>
      </c>
      <c r="AR66" s="152" t="n"/>
      <c r="AS66" s="152" t="n"/>
      <c r="AT66" s="156" t="inlineStr">
        <is>
          <t>Industrial embedded computer, NVIDIA Orin-class (assumed)</t>
        </is>
      </c>
      <c r="AU66" s="156" t="inlineStr">
        <is>
          <t>Ethernet; Wi-Fi, Bluetooth, 5G</t>
        </is>
      </c>
      <c r="AV66" s="152" t="inlineStr">
        <is>
          <t>EngineAI research software</t>
        </is>
      </c>
      <c r="AW66" s="156" t="inlineStr">
        <is>
          <t>Not disclosed</t>
        </is>
      </c>
      <c r="AX66" s="152" t="n"/>
      <c r="AY66" s="156" t="inlineStr">
        <is>
          <t>Linux-based robotics OS</t>
        </is>
      </c>
      <c r="AZ66" s="156" t="inlineStr">
        <is>
          <t>Supported via external cloud APIs</t>
        </is>
      </c>
      <c r="BA66" s="156" t="inlineStr">
        <is>
          <t>150–250 ms</t>
        </is>
      </c>
      <c r="BB66" s="156" t="inlineStr">
        <is>
          <t>Electric servo motors</t>
        </is>
      </c>
      <c r="BC66" s="156" t="inlineStr">
        <is>
          <t>Harmonic Drive</t>
        </is>
      </c>
      <c r="BD66" s="152" t="inlineStr">
        <is>
          <t>Aluminum alloy + reinforced plastics</t>
        </is>
      </c>
      <c r="BE66" s="152" t="inlineStr">
        <is>
          <t>IP20</t>
        </is>
      </c>
      <c r="BF66" s="152" t="inlineStr">
        <is>
          <t>IP20</t>
        </is>
      </c>
      <c r="BG66" s="152" t="n"/>
      <c r="BH66" s="152" t="n"/>
      <c r="BI66" s="152" t="n"/>
      <c r="BJ66" s="152" t="n"/>
      <c r="BK66" s="152" t="n"/>
      <c r="BL66" s="152" t="n"/>
      <c r="BM66" s="152" t="inlineStr">
        <is>
          <t>Yes</t>
        </is>
      </c>
      <c r="BN66" s="152" t="inlineStr">
        <is>
          <t>Not disclosed</t>
        </is>
      </c>
      <c r="BO66" s="156" t="inlineStr">
        <is>
          <t>Market: Research / Light work · Human-safe: Yes · AI: Supported via external cloud APIs · Actuation: Electric servo motors · Peak 6 km/h · Walk 4 km/h · Runtime 2</t>
        </is>
      </c>
      <c r="BP66" s="152" t="n"/>
      <c r="BQ66" s="156" t="inlineStr">
        <is>
          <t>Research / Light work</t>
        </is>
      </c>
      <c r="BR66" s="156" t="inlineStr">
        <is>
          <t>Orderable</t>
        </is>
      </c>
      <c r="BS66" s="156" t="inlineStr">
        <is>
          <t>Prototype</t>
        </is>
      </c>
      <c r="BT66" s="152" t="inlineStr">
        <is>
          <t>White/grey (prototype)</t>
        </is>
      </c>
      <c r="BU66" s="152" t="inlineStr">
        <is>
          <t>Not verified</t>
        </is>
      </c>
      <c r="BV66" s="156" t="inlineStr">
        <is>
          <t>Humanoid.guide listed price $85,000.</t>
        </is>
      </c>
      <c r="BW66" s="156" t="inlineStr">
        <is>
          <t>Origin &amp; status — China · Orderable · 2025 | Manipulation — Manipulator options on SE01 / T800 variants · 5 per hand fingers · Hand DOF 12 · Payload Research / light-work payload class lb | Sensing &amp; software — Multi-camera research perception · Supported via external cloud APIs · Linux-based robotics OS · EngineAI research software | Buying notes — From $20,500 · 12 months manufacturer standard (typical research/commercial humanoid) · Best fit: Research</t>
        </is>
      </c>
      <c r="BX66" s="156" t="inlineStr">
        <is>
          <t>as_shipped|T800|20500|As shipped</t>
        </is>
      </c>
      <c r="BY66" s="152" t="inlineStr">
        <is>
          <t>white|White|#f8fafc|0 || grey_prototype|Grey (Prototype)|#9ca3af|0</t>
        </is>
      </c>
      <c r="BZ66" s="152" t="inlineStr"/>
      <c r="CA66" s="156" t="inlineStr">
        <is>
          <t>Add-ons: case; 2 color options; Multi-year extended warranty available</t>
        </is>
      </c>
      <c r="CB66" s="156" t="inlineStr">
        <is>
          <t>12 months manufacturer standard (typical research/commercial humanoid)</t>
        </is>
      </c>
      <c r="CC66" s="154" t="n">
        <v>12</v>
      </c>
      <c r="CD66" s="156" t="inlineStr">
        <is>
          <t>+3 Year Extended ≈24% of configuration (default in configurator)</t>
        </is>
      </c>
      <c r="CE66" s="152" t="inlineStr">
        <is>
          <t>Humanoid category norm 2025–2026</t>
        </is>
      </c>
      <c r="CF66" s="152" t="inlineStr">
        <is>
          <t>Estimated</t>
        </is>
      </c>
      <c r="CG66" s="156" t="inlineStr">
        <is>
          <t>EDU or enterprise packages may differ; confirm on formal quote.</t>
        </is>
      </c>
      <c r="CH66" s="152" t="inlineStr">
        <is>
          <t>10%</t>
        </is>
      </c>
      <c r="CI66" s="152" t="inlineStr">
        <is>
          <t>17%</t>
        </is>
      </c>
      <c r="CJ66" s="152" t="inlineStr">
        <is>
          <t>24%</t>
        </is>
      </c>
      <c r="CK66"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66"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66" s="152" t="inlineStr">
        <is>
          <t>12 months manufacturer standard (typical research/commercial humanoid)</t>
        </is>
      </c>
      <c r="CQ66" s="101" t="inlineStr">
        <is>
          <t>Height: 5 ft 7 in | Weight: 132.3 | Degrees of Freedom: 32+ | Payload: 44.1 | Max Speed: 3.73 | Battery / Runtime: ≈ 2 hours</t>
        </is>
      </c>
    </row>
    <row r="67" ht="31.5" customHeight="1" s="102">
      <c r="A67" s="143" t="inlineStr">
        <is>
          <t>engineered_arts_ameca</t>
        </is>
      </c>
      <c r="B67" s="160" t="inlineStr">
        <is>
          <t>Website</t>
        </is>
      </c>
      <c r="C67" s="145" t="inlineStr">
        <is>
          <t>Engineered Arts</t>
        </is>
      </c>
      <c r="D67" s="145" t="inlineStr">
        <is>
          <t>Ameca</t>
        </is>
      </c>
      <c r="E67" s="145" t="inlineStr">
        <is>
          <t>[Engineered Arts] Ameca (2025)</t>
        </is>
      </c>
      <c r="F67" s="146" t="inlineStr">
        <is>
          <t>humanoid</t>
        </is>
      </c>
      <c r="G67" s="145" t="inlineStr">
        <is>
          <t>UK</t>
        </is>
      </c>
      <c r="H67" s="147" t="n">
        <v>2025</v>
      </c>
      <c r="I67" s="148" t="n">
        <v>100000</v>
      </c>
      <c r="J67" s="145" t="inlineStr">
        <is>
          <t>Website store</t>
        </is>
      </c>
      <c r="K67" s="149" t="inlineStr">
        <is>
          <t>Ameca is Engineered Arts's humanoid — 6 ft 2 in (variants) class, High (facial + body) DOF. Expressive face cameras and environment cameras; aimed at research.</t>
        </is>
      </c>
      <c r="L67" s="101" t="inlineStr">
        <is>
          <t>Ameca is Engineered Arts's humanoid — 6 ft 2 in (variants) class, High (facial + body) DOF. Expressive face cameras and environment cameras; aimed at research.</t>
        </is>
      </c>
      <c r="M67" s="101" t="inlineStr">
        <is>
          <t>Ameca is Engineered Arts's humanoid — 6 ft 2 in (variants) class, High (facial + body) DOF. Expressive face cameras and environment cameras; aimed at research. Public status is listed as enterprise / Research inquiry, and it is positioned for research / Entertainment / Interaction.</t>
        </is>
      </c>
      <c r="N67" s="145" t="n"/>
      <c r="O67" s="145" t="inlineStr">
        <is>
          <t>https://www.engineeredarts.com</t>
        </is>
      </c>
      <c r="P67" s="145" t="inlineStr">
        <is>
          <t>6 ft 2 in (variants)</t>
        </is>
      </c>
      <c r="Q67" s="145" t="n">
        <v>188</v>
      </c>
      <c r="R67" s="145" t="n"/>
      <c r="S67" s="145" t="n"/>
      <c r="T67" s="149" t="inlineStr">
        <is>
          <t>Not disclosed</t>
        </is>
      </c>
      <c r="U67" s="145" t="n"/>
      <c r="V67" s="145" t="inlineStr">
        <is>
          <t>High (facial + body)</t>
        </is>
      </c>
      <c r="W67" s="149" t="inlineStr">
        <is>
          <t>Not disclosed</t>
        </is>
      </c>
      <c r="X67" s="145" t="n"/>
      <c r="Y67" s="145" t="n"/>
      <c r="Z67" s="145" t="n"/>
      <c r="AA67" s="145" t="n"/>
      <c r="AB67" s="145" t="n"/>
      <c r="AC67" s="149" t="inlineStr">
        <is>
          <t>Not disclosed</t>
        </is>
      </c>
      <c r="AD67" s="149" t="n"/>
      <c r="AE67" s="145" t="n"/>
      <c r="AF67" s="145" t="inlineStr">
        <is>
          <t>Not disclosed</t>
        </is>
      </c>
      <c r="AG67" s="149" t="inlineStr">
        <is>
          <t>Not disclosed</t>
        </is>
      </c>
      <c r="AH67" s="145" t="inlineStr">
        <is>
          <t>Not disclosed</t>
        </is>
      </c>
      <c r="AI67" s="145" t="n"/>
      <c r="AJ67" s="149" t="inlineStr">
        <is>
          <t>Expressive face cameras and environment cameras</t>
        </is>
      </c>
      <c r="AK67" s="149" t="n"/>
      <c r="AL67" s="145" t="inlineStr">
        <is>
          <t>Interaction recording</t>
        </is>
      </c>
      <c r="AM67" s="145" t="n"/>
      <c r="AN67" s="145" t="inlineStr">
        <is>
          <t>Not disclosed</t>
        </is>
      </c>
      <c r="AO67" s="145" t="inlineStr">
        <is>
          <t>Conversational audio array</t>
        </is>
      </c>
      <c r="AP67" s="145" t="inlineStr">
        <is>
          <t>Not disclosed</t>
        </is>
      </c>
      <c r="AQ67" s="145" t="inlineStr">
        <is>
          <t>Not disclosed</t>
        </is>
      </c>
      <c r="AR67" s="145" t="n"/>
      <c r="AS67" s="145" t="n"/>
      <c r="AT67" s="149" t="inlineStr">
        <is>
          <t>Not disclosed</t>
        </is>
      </c>
      <c r="AU67" s="149" t="inlineStr">
        <is>
          <t>Not disclosed</t>
        </is>
      </c>
      <c r="AV67" s="145" t="inlineStr">
        <is>
          <t>Engineered Arts Tritium / interaction software</t>
        </is>
      </c>
      <c r="AW67" s="149" t="inlineStr">
        <is>
          <t>Not disclosed</t>
        </is>
      </c>
      <c r="AX67" s="145" t="n"/>
      <c r="AY67" s="149" t="inlineStr">
        <is>
          <t>Not disclosed</t>
        </is>
      </c>
      <c r="AZ67" s="149" t="inlineStr">
        <is>
          <t>Not disclosed</t>
        </is>
      </c>
      <c r="BA67" s="149" t="n"/>
      <c r="BB67" s="149" t="inlineStr">
        <is>
          <t>Not disclosed</t>
        </is>
      </c>
      <c r="BC67" s="149" t="inlineStr">
        <is>
          <t>Not disclosed</t>
        </is>
      </c>
      <c r="BD67" s="145" t="inlineStr">
        <is>
          <t>Not disclosed</t>
        </is>
      </c>
      <c r="BE67" s="145" t="inlineStr">
        <is>
          <t>Not disclosed</t>
        </is>
      </c>
      <c r="BF67" s="145" t="n"/>
      <c r="BG67" s="145" t="n"/>
      <c r="BH67" s="145" t="n"/>
      <c r="BI67" s="145" t="n"/>
      <c r="BJ67" s="145" t="n"/>
      <c r="BK67" s="145" t="n"/>
      <c r="BL67" s="145" t="n"/>
      <c r="BM67" s="145" t="inlineStr">
        <is>
          <t>Not disclosed</t>
        </is>
      </c>
      <c r="BN67" s="145" t="inlineStr">
        <is>
          <t>Not disclosed</t>
        </is>
      </c>
      <c r="BO67" s="149" t="inlineStr">
        <is>
          <t>Market: Research / Entertainment / Interaction · The Ameca is a bipedal humanoid robot from Engineered Arts, associated with development and availability timelines around 2025.</t>
        </is>
      </c>
      <c r="BP67" s="145" t="n"/>
      <c r="BQ67" s="149" t="inlineStr">
        <is>
          <t>Research / Entertainment / Interaction</t>
        </is>
      </c>
      <c r="BR67" s="149" t="inlineStr">
        <is>
          <t>Enterprise / Research inquiry</t>
        </is>
      </c>
      <c r="BS67" s="149" t="n"/>
      <c r="BT67" s="145" t="n"/>
      <c r="BU67" s="145" t="n"/>
      <c r="BV67" s="149" t="inlineStr">
        <is>
          <t>Leading social/expressive humanoid</t>
        </is>
      </c>
      <c r="BW67" s="149" t="inlineStr">
        <is>
          <t>Origin &amp; status — UK · Enterprise / Research inquiry · 2025 | Manipulation — Dexterous-hand options confirmed on formal quote | Sensing &amp; software — Expressive face cameras and environment cameras · Engineered Arts Tritium / interaction software | Buying notes — From $100,000 · 12 months manufacturer standard (typical research/commercial humanoid) · Best fit: Research</t>
        </is>
      </c>
      <c r="BX67" s="149" t="inlineStr">
        <is>
          <t>as_shipped|Ameca|100000|As shipped</t>
        </is>
      </c>
      <c r="BY67" s="145" t="inlineStr">
        <is>
          <t>ameca|Manufacturer finish|#e2e8f0|0</t>
        </is>
      </c>
      <c r="BZ67" s="145" t="inlineStr"/>
      <c r="CA67" s="149" t="inlineStr">
        <is>
          <t>Add-ons: case; 2 color options; Multi-year extended warranty available</t>
        </is>
      </c>
      <c r="CB67" s="149" t="inlineStr">
        <is>
          <t>12 months manufacturer standard (typical research/commercial humanoid)</t>
        </is>
      </c>
      <c r="CC67" s="147" t="n">
        <v>12</v>
      </c>
      <c r="CD67" s="149" t="inlineStr">
        <is>
          <t>+3 Year Extended ≈24% of configuration (default in configurator)</t>
        </is>
      </c>
      <c r="CE67" s="145" t="inlineStr">
        <is>
          <t>Humanoid category norm 2025–2026</t>
        </is>
      </c>
      <c r="CF67" s="145" t="inlineStr">
        <is>
          <t>Estimated</t>
        </is>
      </c>
      <c r="CG67" s="149" t="inlineStr">
        <is>
          <t>EDU or enterprise packages may differ; confirm on formal quote.</t>
        </is>
      </c>
      <c r="CH67" s="145" t="inlineStr">
        <is>
          <t>10%</t>
        </is>
      </c>
      <c r="CI67" s="145" t="inlineStr">
        <is>
          <t>17%</t>
        </is>
      </c>
      <c r="CJ67" s="145" t="inlineStr">
        <is>
          <t>24%</t>
        </is>
      </c>
      <c r="CK67"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67"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67" s="145" t="inlineStr">
        <is>
          <t>12 months manufacturer standard (typical research/commercial humanoid)</t>
        </is>
      </c>
      <c r="CQ67" s="101" t="inlineStr">
        <is>
          <t>Height: 6 ft 2 in (variants) | Weight: Not disclosed | Degrees of Freedom: High (facial + body) | Payload: Not disclosed | Max Speed: Not disclosed | Battery / Runtime: Not disclosed</t>
        </is>
      </c>
    </row>
    <row r="68" ht="31.5" customHeight="1" s="102">
      <c r="A68" s="152" t="inlineStr">
        <is>
          <t>faraday_future_intelligent_electric_inc_ff_futur</t>
        </is>
      </c>
      <c r="B68" s="153" t="inlineStr">
        <is>
          <t>Humanoid.guide</t>
        </is>
      </c>
      <c r="C68" s="152" t="inlineStr">
        <is>
          <t>Faraday Future Intelligent Electric Inc.</t>
        </is>
      </c>
      <c r="D68" s="152" t="inlineStr">
        <is>
          <t>FF Futurist</t>
        </is>
      </c>
      <c r="E68" s="152" t="inlineStr">
        <is>
          <t>[Faraday Future Intelligent Electric Inc.] FF Futurist (2026)</t>
        </is>
      </c>
      <c r="F68" s="146" t="inlineStr">
        <is>
          <t>humanoid</t>
        </is>
      </c>
      <c r="G68" s="152" t="inlineStr">
        <is>
          <t>USA</t>
        </is>
      </c>
      <c r="H68" s="152" t="n"/>
      <c r="I68" s="155" t="n">
        <v>34990</v>
      </c>
      <c r="J68" s="152" t="inlineStr">
        <is>
          <t>Humanoid.guide list</t>
        </is>
      </c>
      <c r="K68" s="156" t="inlineStr">
        <is>
          <t>FF Futurist is a full-size professional humanoid robot designed for real-world roles where humans and robots work side by side.</t>
        </is>
      </c>
      <c r="L68" s="101" t="inlineStr">
        <is>
          <t>FF Futurist is a full-size professional humanoid robot designed for real-world roles where humans and robots work side by side.</t>
        </is>
      </c>
      <c r="M68" s="101" t="inlineStr">
        <is>
          <t>FF Futurist is a full-size professional humanoid robot designed for real-world roles where humans and robots work side by side. Public status is listed as production-ready prototype / early commercial units, and it is positioned for customer interaction; Professional service; workplace assistance.</t>
        </is>
      </c>
      <c r="N68" s="157" t="inlineStr">
        <is>
          <t>https://humanoid.guide/product/futurist/</t>
        </is>
      </c>
      <c r="O68" s="157" t="inlineStr">
        <is>
          <t>https://www.ff.com</t>
        </is>
      </c>
      <c r="P68" s="152" t="inlineStr">
        <is>
          <t>5 ft 7 in</t>
        </is>
      </c>
      <c r="Q68" s="152" t="n">
        <v>169</v>
      </c>
      <c r="R68" s="152" t="n">
        <v>152.1</v>
      </c>
      <c r="S68" s="152" t="n">
        <v>69</v>
      </c>
      <c r="T68" s="156" t="inlineStr">
        <is>
          <t>Not disclosed</t>
        </is>
      </c>
      <c r="U68" s="152" t="n"/>
      <c r="V68" s="152" t="inlineStr">
        <is>
          <t>40</t>
        </is>
      </c>
      <c r="W68" s="156" t="inlineStr">
        <is>
          <t>7 per arm</t>
        </is>
      </c>
      <c r="X68" s="152" t="n">
        <v>33.1</v>
      </c>
      <c r="Y68" s="152" t="n">
        <v>15</v>
      </c>
      <c r="Z68" s="152" t="n">
        <v>1.86</v>
      </c>
      <c r="AA68" s="152" t="n">
        <v>3</v>
      </c>
      <c r="AB68" s="152" t="n"/>
      <c r="AC68" s="156" t="inlineStr">
        <is>
          <t>≈ 3 hours</t>
        </is>
      </c>
      <c r="AD68" s="156" t="inlineStr">
        <is>
          <t>3</t>
        </is>
      </c>
      <c r="AE68" s="152" t="n"/>
      <c r="AF68" s="152" t="inlineStr">
        <is>
          <t>Not disclosed</t>
        </is>
      </c>
      <c r="AG68" s="156" t="inlineStr">
        <is>
          <t>5 per hand</t>
        </is>
      </c>
      <c r="AH68" s="152" t="inlineStr">
        <is>
          <t>5 per hand</t>
        </is>
      </c>
      <c r="AI68" s="152" t="n"/>
      <c r="AJ68" s="156" t="inlineStr">
        <is>
          <t>3D LiDAR / RGB-D / Fisheye camera / Tactile sensing​</t>
        </is>
      </c>
      <c r="AK68" s="156" t="inlineStr">
        <is>
          <t>3D LiDAR / RGB-D / Fisheye camera / Tactile sensing​</t>
        </is>
      </c>
      <c r="AL68" s="152" t="inlineStr">
        <is>
          <t>Not disclosed</t>
        </is>
      </c>
      <c r="AM68" s="152" t="n"/>
      <c r="AN68" s="152" t="inlineStr">
        <is>
          <t>Not disclosed</t>
        </is>
      </c>
      <c r="AO68" s="152" t="inlineStr">
        <is>
          <t>Not disclosed</t>
        </is>
      </c>
      <c r="AP68" s="152" t="inlineStr">
        <is>
          <t>Not disclosed</t>
        </is>
      </c>
      <c r="AQ68" s="152" t="inlineStr">
        <is>
          <t>Not disclosed</t>
        </is>
      </c>
      <c r="AR68" s="152" t="n"/>
      <c r="AS68" s="152" t="n"/>
      <c r="AT68" s="156" t="inlineStr">
        <is>
          <t>NVIDIA Jetson Orin / 200 TOPS</t>
        </is>
      </c>
      <c r="AU68" s="156" t="inlineStr">
        <is>
          <t>4G; 5G; VR teleoperation; Wi‑Fi</t>
        </is>
      </c>
      <c r="AV68" s="152" t="inlineStr">
        <is>
          <t>Not disclosed</t>
        </is>
      </c>
      <c r="AW68" s="156" t="inlineStr">
        <is>
          <t>Not disclosed</t>
        </is>
      </c>
      <c r="AX68" s="152" t="n"/>
      <c r="AY68" s="156" t="inlineStr">
        <is>
          <t>Not disclosed</t>
        </is>
      </c>
      <c r="AZ68" s="156" t="inlineStr">
        <is>
          <t>AI language capabilities via onboard systems (supports ~50 languages)</t>
        </is>
      </c>
      <c r="BA68" s="156" t="n"/>
      <c r="BB68" s="156" t="inlineStr">
        <is>
          <t>High-Performance Driving Force | 500 Nm | 125 Nm/kg | 1.2 m/s</t>
        </is>
      </c>
      <c r="BC68" s="156" t="inlineStr">
        <is>
          <t>Harmonic drives</t>
        </is>
      </c>
      <c r="BD68" s="152" t="inlineStr">
        <is>
          <t>Not disclosed</t>
        </is>
      </c>
      <c r="BE68" s="152" t="inlineStr">
        <is>
          <t>Not disclosed</t>
        </is>
      </c>
      <c r="BF68" s="152" t="n"/>
      <c r="BG68" s="152" t="n"/>
      <c r="BH68" s="152" t="n"/>
      <c r="BI68" s="152" t="n"/>
      <c r="BJ68" s="152" t="n"/>
      <c r="BK68" s="152" t="n"/>
      <c r="BL68" s="152" t="n"/>
      <c r="BM68" s="152" t="inlineStr">
        <is>
          <t>Yes</t>
        </is>
      </c>
      <c r="BN68" s="152" t="inlineStr">
        <is>
          <t>Not disclosed</t>
        </is>
      </c>
      <c r="BO68" s="156" t="inlineStr">
        <is>
          <t>Market: customer interaction; Professional service; workplace assistance · Human-safe: Yes · AI: AI language capabilities via onboard systems (supports ~50 languages) · Actuation: High-Performance Driving Force | 500 Nm | 125 Nm/kg | 1.2 m/s · Peak 3 km/h · Runtime 3</t>
        </is>
      </c>
      <c r="BP68" s="152" t="n"/>
      <c r="BQ68" s="156" t="inlineStr">
        <is>
          <t>customer interaction; Professional service; workplace assistance</t>
        </is>
      </c>
      <c r="BR68" s="156" t="inlineStr">
        <is>
          <t>Production-ready prototype / early commercial units</t>
        </is>
      </c>
      <c r="BS68" s="156" t="inlineStr">
        <is>
          <t>Production-ready prototype / early commercial units</t>
        </is>
      </c>
      <c r="BT68" s="152" t="inlineStr">
        <is>
          <t>Blue</t>
        </is>
      </c>
      <c r="BU68" s="152" t="inlineStr">
        <is>
          <t>Verified</t>
        </is>
      </c>
      <c r="BV68" s="156" t="n"/>
      <c r="BW68" s="156" t="inlineStr">
        <is>
          <t>Origin &amp; status — USA · Production-ready prototype / early commercial units · 2026 | Manipulation — 5 per hand · 5 per hand fingers · Hand DOF 7 per arm · Payload 33.1 lb | Sensing &amp; software — 3D LiDAR / RGB-D / Fisheye camera / Tactile sensing​ · AI language capabilities via onboard systems (supports ~50 languages) | Buying notes — From $34,990 · 12 months manufacturer standard (typical research/commercial humanoid) · Best fit: customer interaction</t>
        </is>
      </c>
      <c r="BX68" s="156" t="inlineStr">
        <is>
          <t>as_shipped|FF Futurist|34990|As shipped</t>
        </is>
      </c>
      <c r="BY68" s="152" t="inlineStr">
        <is>
          <t>blue|Blue|#e2e8f0|0</t>
        </is>
      </c>
      <c r="BZ68" s="152" t="inlineStr"/>
      <c r="CA68" s="156" t="n"/>
      <c r="CB68" s="156" t="inlineStr">
        <is>
          <t>12 months manufacturer standard (typical research/commercial humanoid)</t>
        </is>
      </c>
      <c r="CC68" s="154" t="n">
        <v>12</v>
      </c>
      <c r="CD68" s="156" t="inlineStr">
        <is>
          <t>+3 Year Extended ≈24% of configuration (default in configurator)</t>
        </is>
      </c>
      <c r="CE68" s="152" t="inlineStr">
        <is>
          <t>Humanoid category norm 2025–2026</t>
        </is>
      </c>
      <c r="CF68" s="152" t="inlineStr">
        <is>
          <t>Estimated</t>
        </is>
      </c>
      <c r="CG68" s="156" t="inlineStr">
        <is>
          <t>Confirm on formal OEM quote. EDU or enterprise packages may differ.</t>
        </is>
      </c>
      <c r="CH68" s="152" t="inlineStr">
        <is>
          <t>10%</t>
        </is>
      </c>
      <c r="CI68" s="152" t="inlineStr">
        <is>
          <t>17%</t>
        </is>
      </c>
      <c r="CJ68" s="152" t="inlineStr">
        <is>
          <t>24%</t>
        </is>
      </c>
      <c r="CK68" s="156" t="inlineStr">
        <is>
          <t>+1yr ≈10% | +2yr ≈17% | +3yr ≈24% of selected configuration price (parts &amp; labor beyond manufacturer standard).</t>
        </is>
      </c>
      <c r="CL68"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68" s="152" t="inlineStr">
        <is>
          <t>12 months manufacturer standard (typical research/commercial humanoid)</t>
        </is>
      </c>
      <c r="CQ68" s="101" t="inlineStr">
        <is>
          <t>Height: 5 ft 7 in | Weight: 152.1 | Degrees of Freedom: 40 | Payload: 33.1 | Max Speed: 1.86 | Battery / Runtime: ≈ 3 hours</t>
        </is>
      </c>
    </row>
    <row r="69" ht="31.5" customHeight="1" s="102">
      <c r="A69" s="145" t="inlineStr">
        <is>
          <t>faraday_future_intelligent_electric_inc_ff_maste</t>
        </is>
      </c>
      <c r="B69" s="153" t="inlineStr">
        <is>
          <t>Humanoid.guide</t>
        </is>
      </c>
      <c r="C69" s="145" t="inlineStr">
        <is>
          <t>Faraday Future Intelligent Electric Inc.</t>
        </is>
      </c>
      <c r="D69" s="145" t="inlineStr">
        <is>
          <t>FF Master</t>
        </is>
      </c>
      <c r="E69" s="145" t="inlineStr">
        <is>
          <t>[Faraday Future Intelligent Electric Inc.] FF Master (2026)</t>
        </is>
      </c>
      <c r="F69" s="146" t="inlineStr">
        <is>
          <t>humanoid</t>
        </is>
      </c>
      <c r="G69" s="145" t="inlineStr">
        <is>
          <t>USA</t>
        </is>
      </c>
      <c r="H69" s="145" t="n"/>
      <c r="I69" s="148" t="n">
        <v>19990</v>
      </c>
      <c r="J69" s="145" t="inlineStr">
        <is>
          <t>Humanoid.guide list</t>
        </is>
      </c>
      <c r="K69" s="149" t="inlineStr">
        <is>
          <t>FF Master is a compact, intelligent humanoid robot designed for everyday interaction, study, and assistance.</t>
        </is>
      </c>
      <c r="L69" s="101" t="inlineStr">
        <is>
          <t>FF Master is a compact, intelligent humanoid robot designed for everyday interaction, study, and assistance.</t>
        </is>
      </c>
      <c r="M69" s="101" t="inlineStr">
        <is>
          <t>FF Master is a compact, intelligent humanoid robot designed for everyday interaction, study, and assistance. Public status is listed as production-ready prototype / early commercial units, and it is positioned for education; home assistant; interaction scenarios.</t>
        </is>
      </c>
      <c r="N69" s="150" t="inlineStr">
        <is>
          <t>https://humanoid.guide/product/master/</t>
        </is>
      </c>
      <c r="O69" s="150" t="inlineStr">
        <is>
          <t>https://www.ff.com</t>
        </is>
      </c>
      <c r="P69" s="145" t="inlineStr">
        <is>
          <t>4 ft 4 in</t>
        </is>
      </c>
      <c r="Q69" s="145" t="n">
        <v>131</v>
      </c>
      <c r="R69" s="145" t="n">
        <v>86</v>
      </c>
      <c r="S69" s="145" t="n">
        <v>39</v>
      </c>
      <c r="T69" s="149" t="inlineStr">
        <is>
          <t>Not disclosed</t>
        </is>
      </c>
      <c r="U69" s="145" t="n"/>
      <c r="V69" s="145" t="inlineStr">
        <is>
          <t>30</t>
        </is>
      </c>
      <c r="W69" s="149" t="inlineStr">
        <is>
          <t>7 per arm</t>
        </is>
      </c>
      <c r="X69" s="145" t="n">
        <v>11</v>
      </c>
      <c r="Y69" s="145" t="n">
        <v>5</v>
      </c>
      <c r="Z69" s="145" t="n">
        <v>4.47</v>
      </c>
      <c r="AA69" s="145" t="n">
        <v>7.2</v>
      </c>
      <c r="AB69" s="145" t="n"/>
      <c r="AC69" s="149" t="inlineStr">
        <is>
          <t>≈ 2 hours</t>
        </is>
      </c>
      <c r="AD69" s="149" t="inlineStr">
        <is>
          <t>2</t>
        </is>
      </c>
      <c r="AE69" s="145" t="n"/>
      <c r="AF69" s="145" t="inlineStr">
        <is>
          <t>Not disclosed</t>
        </is>
      </c>
      <c r="AG69" s="149" t="inlineStr">
        <is>
          <t>5 per hand</t>
        </is>
      </c>
      <c r="AH69" s="145" t="inlineStr">
        <is>
          <t>5 per hand</t>
        </is>
      </c>
      <c r="AI69" s="145" t="n"/>
      <c r="AJ69" s="149" t="inlineStr">
        <is>
          <t>3D LiDAR / Stereo RGB cameras / Interactive RGB camera / RGB-D camera / Rear RGB camera</t>
        </is>
      </c>
      <c r="AK69" s="149" t="inlineStr">
        <is>
          <t>3D LiDAR / Stereo RGB cameras / Interactive RGB camera / RGB-D camera / Rear RGB camera</t>
        </is>
      </c>
      <c r="AL69" s="145" t="inlineStr">
        <is>
          <t>Not disclosed</t>
        </is>
      </c>
      <c r="AM69" s="145" t="n"/>
      <c r="AN69" s="145" t="inlineStr">
        <is>
          <t>Not disclosed</t>
        </is>
      </c>
      <c r="AO69" s="145" t="inlineStr">
        <is>
          <t>Not disclosed</t>
        </is>
      </c>
      <c r="AP69" s="145" t="inlineStr">
        <is>
          <t>Not disclosed</t>
        </is>
      </c>
      <c r="AQ69" s="145" t="inlineStr">
        <is>
          <t>Not disclosed</t>
        </is>
      </c>
      <c r="AR69" s="145" t="n"/>
      <c r="AS69" s="145" t="n"/>
      <c r="AT69" s="149" t="inlineStr">
        <is>
          <t>Nvidia Jetson Orin NX / 157 TOPS</t>
        </is>
      </c>
      <c r="AU69" s="149" t="inlineStr">
        <is>
          <t>4G; 5G; Mobile App; VR teleoperation; Wi‑Fi</t>
        </is>
      </c>
      <c r="AV69" s="145" t="inlineStr">
        <is>
          <t>Not disclosed</t>
        </is>
      </c>
      <c r="AW69" s="149" t="inlineStr">
        <is>
          <t>Not disclosed</t>
        </is>
      </c>
      <c r="AX69" s="145" t="n"/>
      <c r="AY69" s="149" t="inlineStr">
        <is>
          <t>Not disclosed</t>
        </is>
      </c>
      <c r="AZ69" s="149" t="inlineStr">
        <is>
          <t>Adaptive AI dialogue and learning stack</t>
        </is>
      </c>
      <c r="BA69" s="149" t="n"/>
      <c r="BB69" s="149" t="inlineStr">
        <is>
          <t>30 x High-Efficiency Drive &amp; Precise Motion / 120 Nm / 5mm / 2m/s</t>
        </is>
      </c>
      <c r="BC69" s="149" t="inlineStr">
        <is>
          <t>Servo/motor array for agile motion</t>
        </is>
      </c>
      <c r="BD69" s="145" t="inlineStr">
        <is>
          <t>Lightweight construction</t>
        </is>
      </c>
      <c r="BE69" s="145" t="inlineStr">
        <is>
          <t>Not disclosed</t>
        </is>
      </c>
      <c r="BF69" s="145" t="n"/>
      <c r="BG69" s="145" t="n"/>
      <c r="BH69" s="145" t="n"/>
      <c r="BI69" s="145" t="n"/>
      <c r="BJ69" s="145" t="n"/>
      <c r="BK69" s="145" t="n"/>
      <c r="BL69" s="145" t="n"/>
      <c r="BM69" s="145" t="inlineStr">
        <is>
          <t>Yes</t>
        </is>
      </c>
      <c r="BN69" s="145" t="inlineStr">
        <is>
          <t>Not disclosed</t>
        </is>
      </c>
      <c r="BO69" s="149" t="inlineStr">
        <is>
          <t>Market: education; home assistant; interaction scenarios · Human-safe: Yes · AI: Adaptive AI dialogue and learning stack · Actuation: 30 x High-Efficiency Drive &amp; Precise Motion / 120 Nm / 5mm / 2m/s · Peak 7.2 km/h · Runtime 2</t>
        </is>
      </c>
      <c r="BP69" s="145" t="n"/>
      <c r="BQ69" s="149" t="inlineStr">
        <is>
          <t>education; home assistant; interaction scenarios</t>
        </is>
      </c>
      <c r="BR69" s="149" t="inlineStr">
        <is>
          <t>Production-ready prototype / early commercial units</t>
        </is>
      </c>
      <c r="BS69" s="149" t="inlineStr">
        <is>
          <t>Production-ready prototype / early commercial units</t>
        </is>
      </c>
      <c r="BT69" s="145" t="inlineStr">
        <is>
          <t>Blue</t>
        </is>
      </c>
      <c r="BU69" s="145" t="inlineStr">
        <is>
          <t>Verified</t>
        </is>
      </c>
      <c r="BV69" s="149" t="n"/>
      <c r="BW69" s="149" t="inlineStr">
        <is>
          <t>Origin &amp; status — USA · Production-ready prototype / early commercial units · 2026 | Manipulation — 5 per hand · 5 per hand fingers · Hand DOF 7 per arm · Payload 11 lb | Sensing &amp; software — 3D LiDAR / Stereo RGB cameras / Interactive RGB camera / RGB-D camera / Rear RGB camera · Adaptive AI dialogue and learning stack | Buying notes — From $19,990 · 12 months manufacturer standard (typical research/commercial humanoid) · Best fit: education</t>
        </is>
      </c>
      <c r="BX69" s="149" t="inlineStr">
        <is>
          <t>as_shipped|FF Master|19990|As shipped</t>
        </is>
      </c>
      <c r="BY69" s="145" t="inlineStr">
        <is>
          <t>blue|Blue|#e2e8f0|0</t>
        </is>
      </c>
      <c r="BZ69" s="145" t="inlineStr"/>
      <c r="CA69" s="149" t="n"/>
      <c r="CB69" s="149" t="inlineStr">
        <is>
          <t>12 months manufacturer standard (typical research/commercial humanoid)</t>
        </is>
      </c>
      <c r="CC69" s="147" t="n">
        <v>12</v>
      </c>
      <c r="CD69" s="149" t="inlineStr">
        <is>
          <t>+3 Year Extended ≈24% of configuration (default in configurator)</t>
        </is>
      </c>
      <c r="CE69" s="145" t="inlineStr">
        <is>
          <t>Humanoid category norm 2025–2026</t>
        </is>
      </c>
      <c r="CF69" s="145" t="inlineStr">
        <is>
          <t>Estimated</t>
        </is>
      </c>
      <c r="CG69" s="149" t="inlineStr">
        <is>
          <t>Confirm on formal OEM quote. EDU or enterprise packages may differ.</t>
        </is>
      </c>
      <c r="CH69" s="145" t="inlineStr">
        <is>
          <t>10%</t>
        </is>
      </c>
      <c r="CI69" s="145" t="inlineStr">
        <is>
          <t>17%</t>
        </is>
      </c>
      <c r="CJ69" s="145" t="inlineStr">
        <is>
          <t>24%</t>
        </is>
      </c>
      <c r="CK69" s="149" t="inlineStr">
        <is>
          <t>+1yr ≈10% | +2yr ≈17% | +3yr ≈24% of selected configuration price (parts &amp; labor beyond manufacturer standard).</t>
        </is>
      </c>
      <c r="CL6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69" s="145" t="inlineStr">
        <is>
          <t>12 months manufacturer standard (typical research/commercial humanoid)</t>
        </is>
      </c>
      <c r="CQ69" s="101" t="inlineStr">
        <is>
          <t>Height: 4 ft 4 in | Weight: 86 | Degrees of Freedom: 30 | Payload: 11 | Max Speed: 4.47 | Battery / Runtime: ≈ 2 hours</t>
        </is>
      </c>
    </row>
    <row r="70" ht="31.5" customHeight="1" s="102">
      <c r="A70" s="159" t="inlineStr">
        <is>
          <t>fauna_robotics_sprout</t>
        </is>
      </c>
      <c r="B70" s="144" t="inlineStr">
        <is>
          <t>Both</t>
        </is>
      </c>
      <c r="C70" s="152" t="inlineStr">
        <is>
          <t>Fauna Robotics</t>
        </is>
      </c>
      <c r="D70" s="152" t="inlineStr">
        <is>
          <t>Sprout</t>
        </is>
      </c>
      <c r="E70" s="152" t="inlineStr">
        <is>
          <t>[Fauna] Sprout (2023)</t>
        </is>
      </c>
      <c r="F70" s="146" t="inlineStr">
        <is>
          <t>humanoid</t>
        </is>
      </c>
      <c r="G70" s="152" t="inlineStr">
        <is>
          <t>USA</t>
        </is>
      </c>
      <c r="H70" s="154" t="n">
        <v>2023</v>
      </c>
      <c r="I70" s="155" t="n">
        <v>50000</v>
      </c>
      <c r="J70" s="152" t="inlineStr">
        <is>
          <t>Website store</t>
        </is>
      </c>
      <c r="K70" s="156" t="inlineStr">
        <is>
          <t>Sprout is a friendly, lightweight humanoid robot built to work around people. It moves, senses, and interacts safely in everyday spaces.</t>
        </is>
      </c>
      <c r="L70" s="101" t="inlineStr">
        <is>
          <t>Sprout is a friendly, lightweight humanoid robot built to work around people. It moves, senses, and interacts safely in everyday spaces.</t>
        </is>
      </c>
      <c r="M70" s="101" t="inlineStr">
        <is>
          <t>Sprout is a friendly, lightweight humanoid robot built to work around people. It moves, senses, and interacts safely in everyday spaces. Public status is listed as limited, and it is positioned for compact companion-style.</t>
        </is>
      </c>
      <c r="N70" s="157" t="inlineStr">
        <is>
          <t>https://humanoid.guide/product/sprout/</t>
        </is>
      </c>
      <c r="O70" s="157" t="inlineStr">
        <is>
          <t>https://faunarobotics.com/</t>
        </is>
      </c>
      <c r="P70" s="152" t="inlineStr">
        <is>
          <t>3 ft 6 in</t>
        </is>
      </c>
      <c r="Q70" s="152" t="n">
        <v>107</v>
      </c>
      <c r="R70" s="152" t="n">
        <v>50</v>
      </c>
      <c r="S70" s="152" t="n">
        <v>22.7</v>
      </c>
      <c r="T70" s="156" t="inlineStr">
        <is>
          <t>Not disclosed</t>
        </is>
      </c>
      <c r="U70" s="152" t="n"/>
      <c r="V70" s="152" t="inlineStr">
        <is>
          <t>29</t>
        </is>
      </c>
      <c r="W70" s="156" t="inlineStr">
        <is>
          <t>1 DoF grippers each hand</t>
        </is>
      </c>
      <c r="X70" s="152" t="n">
        <v>4.4</v>
      </c>
      <c r="Y70" s="152" t="n">
        <v>2</v>
      </c>
      <c r="Z70" s="152" t="n">
        <v>1.24</v>
      </c>
      <c r="AA70" s="152" t="n">
        <v>2</v>
      </c>
      <c r="AB70" s="152" t="n"/>
      <c r="AC70" s="156" t="inlineStr">
        <is>
          <t>~3–3.5</t>
        </is>
      </c>
      <c r="AD70" s="156" t="inlineStr">
        <is>
          <t>~3–3.5</t>
        </is>
      </c>
      <c r="AE70" s="152" t="n"/>
      <c r="AF70" s="152" t="inlineStr">
        <is>
          <t>Not disclosed</t>
        </is>
      </c>
      <c r="AG70" s="156" t="inlineStr">
        <is>
          <t>Grippers or dexterous hands depending on configuration</t>
        </is>
      </c>
      <c r="AH70" s="152" t="inlineStr">
        <is>
          <t>3-finger grippers</t>
        </is>
      </c>
      <c r="AI70" s="152" t="n"/>
      <c r="AJ70" s="156" t="inlineStr">
        <is>
          <t>RGB and/or depth cameras for navigation and manipulation (configuration specific)</t>
        </is>
      </c>
      <c r="AK70" s="156" t="inlineStr">
        <is>
          <t>ZED 2i stereo camera</t>
        </is>
      </c>
      <c r="AL70" s="152" t="inlineStr">
        <is>
          <t>Onboard streams for teleoperation and logging when equipped</t>
        </is>
      </c>
      <c r="AM70" s="152" t="n"/>
      <c r="AN70" s="152" t="inlineStr">
        <is>
          <t>Not disclosed</t>
        </is>
      </c>
      <c r="AO70" s="152" t="inlineStr">
        <is>
          <t>Microphone array on interaction-oriented builds</t>
        </is>
      </c>
      <c r="AP70" s="152" t="inlineStr">
        <is>
          <t>Not disclosed</t>
        </is>
      </c>
      <c r="AQ70" s="152" t="inlineStr">
        <is>
          <t>Not disclosed</t>
        </is>
      </c>
      <c r="AR70" s="152" t="n"/>
      <c r="AS70" s="152" t="n"/>
      <c r="AT70" s="156" t="inlineStr">
        <is>
          <t>NVIDIA Jetson AGX Orin 64 GB</t>
        </is>
      </c>
      <c r="AU70" s="156" t="inlineStr">
        <is>
          <t>Ethernet, typical wireless (inferred)</t>
        </is>
      </c>
      <c r="AV70" s="152" t="inlineStr">
        <is>
          <t>Manufacturer app and/or SDK</t>
        </is>
      </c>
      <c r="AW70" s="156" t="inlineStr">
        <is>
          <t>Bipedal balance and walking controllers</t>
        </is>
      </c>
      <c r="AX70" s="152" t="n"/>
      <c r="AY70" s="156" t="inlineStr">
        <is>
          <t>Robot software with modular AI stack</t>
        </is>
      </c>
      <c r="AZ70" s="156" t="inlineStr">
        <is>
          <t>Supports developer-integrated models</t>
        </is>
      </c>
      <c r="BA70" s="156" t="n"/>
      <c r="BB70" s="156" t="inlineStr">
        <is>
          <t>Compliant motors with software torque limits</t>
        </is>
      </c>
      <c r="BC70" s="156" t="inlineStr">
        <is>
          <t>Not disclosed</t>
        </is>
      </c>
      <c r="BD70" s="152" t="inlineStr">
        <is>
          <t>Aluminum &amp; composites with soft foam exterior</t>
        </is>
      </c>
      <c r="BE70" s="152" t="inlineStr">
        <is>
          <t>Not disclosed</t>
        </is>
      </c>
      <c r="BF70" s="152" t="n"/>
      <c r="BG70" s="152" t="n"/>
      <c r="BH70" s="152" t="n"/>
      <c r="BI70" s="152" t="n"/>
      <c r="BJ70" s="152" t="n"/>
      <c r="BK70" s="152" t="n"/>
      <c r="BL70" s="152" t="n"/>
      <c r="BM70" s="152" t="inlineStr">
        <is>
          <t>Yes</t>
        </is>
      </c>
      <c r="BN70" s="152" t="inlineStr">
        <is>
          <t>Not disclosed</t>
        </is>
      </c>
      <c r="BO70" s="156" t="inlineStr">
        <is>
          <t>Market: Compact companion-style · Human-safe: Yes · AI: Supports developer-integrated models · Actuation: Compliant motors with software torque limits · Peak 2 km/h · Runtime ~3–3.5</t>
        </is>
      </c>
      <c r="BP70" s="152" t="n"/>
      <c r="BQ70" s="156" t="inlineStr">
        <is>
          <t>Compact companion-style</t>
        </is>
      </c>
      <c r="BR70" s="156" t="inlineStr">
        <is>
          <t>Limited</t>
        </is>
      </c>
      <c r="BS70" s="156" t="inlineStr">
        <is>
          <t>In production</t>
        </is>
      </c>
      <c r="BT70" s="152" t="n"/>
      <c r="BU70" s="152" t="inlineStr">
        <is>
          <t>Not verified</t>
        </is>
      </c>
      <c r="BV70" s="156" t="n"/>
      <c r="BW70" s="156" t="inlineStr">
        <is>
          <t>Origin &amp; status — USA · Limited · 2023 | Manipulation — Grippers or dexterous hands depending on configuration · 3-finger grippers · Hand DOF 1 DoF grippers each hand · Payload 4.4 lb (2 kg) | Sensing &amp; software — RGB and/or depth cameras for navigation and manipulation (configuration specific) · Supports developer-integrated models · Robot software with modular AI st… | Buying notes — From $50,000 · 12 months manufacturer standard (typical research/commercial humanoid) · Best fit: Compact companion-style</t>
        </is>
      </c>
      <c r="BX70" s="156" t="inlineStr">
        <is>
          <t>as_shipped|Sprout|50000|As shipped</t>
        </is>
      </c>
      <c r="BY70" s="152" t="inlineStr">
        <is>
          <t>sprout|Manufacturer finish|#e2e8f0|0</t>
        </is>
      </c>
      <c r="BZ70" s="152" t="inlineStr"/>
      <c r="CA70" s="156" t="inlineStr">
        <is>
          <t>Add-ons: case; 2 color options; Multi-year extended warranty available</t>
        </is>
      </c>
      <c r="CB70" s="156" t="inlineStr">
        <is>
          <t>12 months manufacturer standard (typical research/commercial humanoid)</t>
        </is>
      </c>
      <c r="CC70" s="154" t="n">
        <v>12</v>
      </c>
      <c r="CD70" s="156" t="inlineStr">
        <is>
          <t>+3 Year Extended ≈24% of configuration (default in configurator)</t>
        </is>
      </c>
      <c r="CE70" s="152" t="inlineStr">
        <is>
          <t>Humanoid category norm 2025–2026</t>
        </is>
      </c>
      <c r="CF70" s="152" t="inlineStr">
        <is>
          <t>Estimated</t>
        </is>
      </c>
      <c r="CG70" s="156" t="inlineStr">
        <is>
          <t>EDU or enterprise packages may differ; confirm on formal quote.</t>
        </is>
      </c>
      <c r="CH70" s="152" t="inlineStr">
        <is>
          <t>10%</t>
        </is>
      </c>
      <c r="CI70" s="152" t="inlineStr">
        <is>
          <t>17%</t>
        </is>
      </c>
      <c r="CJ70" s="152" t="inlineStr">
        <is>
          <t>24%</t>
        </is>
      </c>
      <c r="CK70"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70"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70" s="152" t="inlineStr">
        <is>
          <t>12 months manufacturer standard (typical research/commercial humanoid)</t>
        </is>
      </c>
      <c r="CQ70" s="101" t="inlineStr">
        <is>
          <t>Height: 3 ft 6 in | Weight: 50 | Degrees of Freedom: 29 | Payload: 4.4 | Max Speed: 1.24 | Battery / Runtime: ~3–3.5</t>
        </is>
      </c>
    </row>
    <row r="71" ht="31.5" customHeight="1" s="102">
      <c r="A71" s="145" t="inlineStr">
        <is>
          <t>figure_ai_figure_02</t>
        </is>
      </c>
      <c r="B71" s="153" t="inlineStr">
        <is>
          <t>Humanoid.guide</t>
        </is>
      </c>
      <c r="C71" s="145" t="inlineStr">
        <is>
          <t>Figure</t>
        </is>
      </c>
      <c r="D71" s="145" t="inlineStr">
        <is>
          <t>Figure 02</t>
        </is>
      </c>
      <c r="E71" s="145" t="inlineStr">
        <is>
          <t>[Figure] Figure 02 (2026)</t>
        </is>
      </c>
      <c r="F71" s="146" t="inlineStr">
        <is>
          <t>humanoid</t>
        </is>
      </c>
      <c r="G71" s="145" t="inlineStr">
        <is>
          <t>USA</t>
        </is>
      </c>
      <c r="H71" s="145" t="n"/>
      <c r="I71" s="148" t="n">
        <v>130000</v>
      </c>
      <c r="J71" s="145" t="inlineStr">
        <is>
          <t>Humanoid.guide list</t>
        </is>
      </c>
      <c r="K71" s="149" t="inlineStr">
        <is>
          <t>Figure 02 is the latest humanoid robot developed by Figure AI, a California-based company at the forefront of robotics innovation.</t>
        </is>
      </c>
      <c r="L71" s="101" t="inlineStr">
        <is>
          <t>Figure 02 is the latest humanoid robot developed by Figure AI, a California-based company at the forefront of robotics innovation.</t>
        </is>
      </c>
      <c r="M71" s="101" t="inlineStr">
        <is>
          <t>Figure 02 was Figure AI’s first widely shown work humanoid after the early Figure 01 prototype. It carried the company’s BMW and other industrial pilots and is the immediate predecessor to Figure 03.</t>
        </is>
      </c>
      <c r="N71" s="150" t="inlineStr">
        <is>
          <t>https://humanoid.guide/product/figure-02/</t>
        </is>
      </c>
      <c r="O71" s="150" t="inlineStr">
        <is>
          <t>https://www.figure.ai</t>
        </is>
      </c>
      <c r="P71" s="145" t="inlineStr">
        <is>
          <t>5 ft 6 in</t>
        </is>
      </c>
      <c r="Q71" s="145" t="n">
        <v>168</v>
      </c>
      <c r="R71" s="145" t="n">
        <v>154.3</v>
      </c>
      <c r="S71" s="145" t="n">
        <v>70</v>
      </c>
      <c r="T71" s="149" t="inlineStr">
        <is>
          <t>Not disclosed</t>
        </is>
      </c>
      <c r="U71" s="145" t="inlineStr">
        <is>
          <t>Not specified</t>
        </is>
      </c>
      <c r="V71" s="145" t="inlineStr">
        <is>
          <t>28</t>
        </is>
      </c>
      <c r="W71" s="149" t="inlineStr">
        <is>
          <t>Not disclosed</t>
        </is>
      </c>
      <c r="X71" s="145" t="n">
        <v>55.1</v>
      </c>
      <c r="Y71" s="145" t="n">
        <v>25</v>
      </c>
      <c r="Z71" s="145" t="n">
        <v>1.86</v>
      </c>
      <c r="AA71" s="145" t="n">
        <v>3</v>
      </c>
      <c r="AB71" s="145" t="n">
        <v>3</v>
      </c>
      <c r="AC71" s="149" t="inlineStr">
        <is>
          <t>≈ 5 hours</t>
        </is>
      </c>
      <c r="AD71" s="149" t="inlineStr">
        <is>
          <t>5</t>
        </is>
      </c>
      <c r="AE71" s="145" t="n"/>
      <c r="AF71" s="145" t="inlineStr">
        <is>
          <t>Not disclosed</t>
        </is>
      </c>
      <c r="AG71" s="149" t="inlineStr">
        <is>
          <t>10</t>
        </is>
      </c>
      <c r="AH71" s="145" t="inlineStr">
        <is>
          <t>10</t>
        </is>
      </c>
      <c r="AI71" s="151" t="n">
        <v>3</v>
      </c>
      <c r="AJ71" s="149" t="inlineStr">
        <is>
          <t>six RGB cameras</t>
        </is>
      </c>
      <c r="AK71" s="149" t="inlineStr">
        <is>
          <t>six RGB cameras</t>
        </is>
      </c>
      <c r="AL71" s="145" t="inlineStr">
        <is>
          <t>Not disclosed</t>
        </is>
      </c>
      <c r="AM71" s="145" t="n"/>
      <c r="AN71" s="145" t="inlineStr">
        <is>
          <t>Not disclosed</t>
        </is>
      </c>
      <c r="AO71" s="145" t="inlineStr">
        <is>
          <t>Not disclosed</t>
        </is>
      </c>
      <c r="AP71" s="145" t="inlineStr">
        <is>
          <t>Not disclosed</t>
        </is>
      </c>
      <c r="AQ71" s="145" t="inlineStr">
        <is>
          <t>Not disclosed</t>
        </is>
      </c>
      <c r="AR71" s="145" t="n"/>
      <c r="AS71" s="145" t="n"/>
      <c r="AT71" s="149" t="inlineStr">
        <is>
          <t>On‑robot compute with dual NVIDIA RTX GPU–based modules; ~3× on‑device inference vs Figure 01.</t>
        </is>
      </c>
      <c r="AU71" s="149" t="inlineStr">
        <is>
          <t>Not disclosed</t>
        </is>
      </c>
      <c r="AV71" s="145" t="inlineStr">
        <is>
          <t>Not disclosed</t>
        </is>
      </c>
      <c r="AW71" s="149" t="inlineStr">
        <is>
          <t>Not disclosed</t>
        </is>
      </c>
      <c r="AX71" s="151" t="n">
        <v>3</v>
      </c>
      <c r="AY71" s="149" t="inlineStr">
        <is>
          <t>Not disclosed</t>
        </is>
      </c>
      <c r="AZ71" s="149" t="inlineStr">
        <is>
          <t>OpenAI speech‑to‑speech voice; onboard VLM/VLA (“Helix”) for perception and reasoning</t>
        </is>
      </c>
      <c r="BA71" s="149" t="inlineStr">
        <is>
          <t>Not specified</t>
        </is>
      </c>
      <c r="BB71" s="149" t="inlineStr">
        <is>
          <t>Custom electric motors integrated with joint drivetrains; system is electric.</t>
        </is>
      </c>
      <c r="BC71" s="149" t="inlineStr">
        <is>
          <t>Not disclosed</t>
        </is>
      </c>
      <c r="BD71" s="145" t="inlineStr">
        <is>
          <t>matte‑black exterior with integrated cabling</t>
        </is>
      </c>
      <c r="BE71" s="145" t="inlineStr">
        <is>
          <t>Not disclosed</t>
        </is>
      </c>
      <c r="BF71" s="145" t="inlineStr">
        <is>
          <t>Not specified</t>
        </is>
      </c>
      <c r="BG71" s="145" t="n"/>
      <c r="BH71" s="145" t="n"/>
      <c r="BI71" s="145" t="n"/>
      <c r="BJ71" s="145" t="n"/>
      <c r="BK71" s="145" t="n"/>
      <c r="BL71" s="145" t="n"/>
      <c r="BM71" s="145" t="inlineStr">
        <is>
          <t>Yes</t>
        </is>
      </c>
      <c r="BN71" s="145" t="inlineStr">
        <is>
          <t>Not disclosed</t>
        </is>
      </c>
      <c r="BO71" s="149" t="inlineStr">
        <is>
          <t>Market: Industries; logistics; Warehouse · Manipulation 3/4 · Navigation 3/4 · Human-safe: Yes · AI: OpenAI speech‑to‑speech voice; onboard VLM/VLA (“Helix”) for perception and reasoning · Actuation: Custom electric motors integrated with joint drivetrains; system is electric. · Peak 3 km/h · Walk 3 km/h · Runtime 5</t>
        </is>
      </c>
      <c r="BP71" s="145" t="n"/>
      <c r="BQ71" s="149" t="inlineStr">
        <is>
          <t>Industries; logistics; Warehouse</t>
        </is>
      </c>
      <c r="BR71" s="149" t="inlineStr">
        <is>
          <t>Prototype</t>
        </is>
      </c>
      <c r="BS71" s="149" t="inlineStr">
        <is>
          <t>Prototype</t>
        </is>
      </c>
      <c r="BT71" s="145" t="inlineStr">
        <is>
          <t>Not specified</t>
        </is>
      </c>
      <c r="BU71" s="145" t="inlineStr">
        <is>
          <t>Not verified</t>
        </is>
      </c>
      <c r="BV71" s="149" t="n"/>
      <c r="BW71" s="149" t="inlineStr">
        <is>
          <t>Origin &amp; status — USA · Prototype · 2026 | Manipulation — 10 · 10 fingers · Payload 55.1 lb | Sensing &amp; software — six RGB cameras · OpenAI speech‑to‑speech voice; onboard VLM/VLA (“Helix”) for perception and reasoning | Buying notes — From $130,000 · 12 months manufacturer standard (typical research/commercial humanoid) · Best fit: Industries</t>
        </is>
      </c>
      <c r="BX71" s="149" t="inlineStr">
        <is>
          <t>as_shipped|Figure 02|130000|As shipped</t>
        </is>
      </c>
      <c r="BY71" s="145" t="inlineStr">
        <is>
          <t>not_specified|Not specified|#e2e8f0|0</t>
        </is>
      </c>
      <c r="BZ71" s="145" t="inlineStr"/>
      <c r="CA71" s="149" t="n"/>
      <c r="CB71" s="149" t="inlineStr">
        <is>
          <t>12 months manufacturer standard (typical research/commercial humanoid)</t>
        </is>
      </c>
      <c r="CC71" s="147" t="n">
        <v>12</v>
      </c>
      <c r="CD71" s="149" t="inlineStr">
        <is>
          <t>+3 Year Extended ≈24% of configuration (default in configurator)</t>
        </is>
      </c>
      <c r="CE71" s="145" t="inlineStr">
        <is>
          <t>Humanoid category norm 2025–2026</t>
        </is>
      </c>
      <c r="CF71" s="145" t="inlineStr">
        <is>
          <t>Estimated</t>
        </is>
      </c>
      <c r="CG71" s="149" t="inlineStr">
        <is>
          <t>Confirm on formal OEM quote. EDU or enterprise packages may differ.</t>
        </is>
      </c>
      <c r="CH71" s="145" t="inlineStr">
        <is>
          <t>10%</t>
        </is>
      </c>
      <c r="CI71" s="145" t="inlineStr">
        <is>
          <t>17%</t>
        </is>
      </c>
      <c r="CJ71" s="145" t="inlineStr">
        <is>
          <t>24%</t>
        </is>
      </c>
      <c r="CK71" s="149" t="inlineStr">
        <is>
          <t>+1yr ≈10% | +2yr ≈17% | +3yr ≈24% of selected configuration price (parts &amp; labor beyond manufacturer standard).</t>
        </is>
      </c>
      <c r="CL7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71" s="145" t="inlineStr">
        <is>
          <t>12 months manufacturer standard (typical research/commercial humanoid)</t>
        </is>
      </c>
      <c r="CQ71" s="101" t="inlineStr">
        <is>
          <t>Height: 5 ft 6 in | Weight: 154.3 | Degrees of Freedom: 28 | Payload: 55.1 | Max Speed: 1.86 | Battery / Runtime: ≈ 5 hours</t>
        </is>
      </c>
    </row>
    <row r="72" ht="31.5" customHeight="1" s="102">
      <c r="A72" s="159" t="inlineStr">
        <is>
          <t>figure03</t>
        </is>
      </c>
      <c r="B72" s="144" t="inlineStr">
        <is>
          <t>Major-player brief 11 Sep 2026</t>
        </is>
      </c>
      <c r="C72" s="152" t="inlineStr">
        <is>
          <t>Figure</t>
        </is>
      </c>
      <c r="D72" s="152" t="inlineStr">
        <is>
          <t>Figure 03</t>
        </is>
      </c>
      <c r="E72" s="152" t="inlineStr">
        <is>
          <t>[Figure] Figure 03 (2025)</t>
        </is>
      </c>
      <c r="F72" s="146" t="inlineStr">
        <is>
          <t>humanoid</t>
        </is>
      </c>
      <c r="G72" s="152" t="inlineStr">
        <is>
          <t>USA</t>
        </is>
      </c>
      <c r="H72" s="154" t="n">
        <v>2025</v>
      </c>
      <c r="I72" s="155" t="n">
        <v>150000</v>
      </c>
      <c r="J72" s="152" t="inlineStr">
        <is>
          <t>Website store</t>
        </is>
      </c>
      <c r="K72" s="156" t="inlineStr">
        <is>
          <t>Figure 03 is designed for both factories and homes, combining a human-shaped robot with Figure’s Helix AI system.</t>
        </is>
      </c>
      <c r="L72" s="101" t="inlineStr">
        <is>
          <t>Figure 03 is designed for both factories and homes, combining a human-shaped robot with Figure’s Helix AI system.</t>
        </is>
      </c>
      <c r="M72" s="101" t="inlineStr">
        <is>
          <t>Figure AI, based in California, moved from Figure 01 demos to Figure 02 factory pilots and then to Figure 03. Figure 03 is the platform designed for both factories and homes, running the company’s Helix AI system so the same humanoid form can work beside people in either setting.</t>
        </is>
      </c>
      <c r="N72" s="157" t="inlineStr">
        <is>
          <t>https://humanoid.guide/product/figure-03/</t>
        </is>
      </c>
      <c r="O72" s="157" t="inlineStr">
        <is>
          <t>https://www.figure.ai</t>
        </is>
      </c>
      <c r="P72" s="152" t="inlineStr">
        <is>
          <t>≈ 5 ft 6 in – 5 ft 8 in</t>
        </is>
      </c>
      <c r="Q72" s="152" t="n">
        <v>168</v>
      </c>
      <c r="R72" s="152" t="n">
        <v>132.3</v>
      </c>
      <c r="S72" s="152" t="n">
        <v>60</v>
      </c>
      <c r="T72" s="156" t="inlineStr">
        <is>
          <t>Not disclosed</t>
        </is>
      </c>
      <c r="U72" s="152" t="inlineStr">
        <is>
          <t>Not specified</t>
        </is>
      </c>
      <c r="V72" s="152" t="inlineStr">
        <is>
          <t>≈ 44 total · hands ≈ 16 DOF class</t>
        </is>
      </c>
      <c r="W72" s="156" t="inlineStr">
        <is>
          <t>20</t>
        </is>
      </c>
      <c r="X72" s="152" t="n">
        <v>44.1</v>
      </c>
      <c r="Y72" s="152" t="n">
        <v>20</v>
      </c>
      <c r="Z72" s="152" t="n">
        <v>2.67</v>
      </c>
      <c r="AA72" s="152" t="n">
        <v>4.3</v>
      </c>
      <c r="AB72" s="152" t="n">
        <v>4.3</v>
      </c>
      <c r="AC72" s="156" t="inlineStr">
        <is>
          <t>≈ 5 h class</t>
        </is>
      </c>
      <c r="AD72" s="156" t="inlineStr">
        <is>
          <t>5</t>
        </is>
      </c>
      <c r="AE72" s="152" t="n"/>
      <c r="AF72" s="152" t="inlineStr">
        <is>
          <t>Not disclosed</t>
        </is>
      </c>
      <c r="AG72" s="156" t="inlineStr">
        <is>
          <t>Compliant tactile hands ≈ 16 DOF class</t>
        </is>
      </c>
      <c r="AH72" s="152" t="inlineStr">
        <is>
          <t>10</t>
        </is>
      </c>
      <c r="AI72" s="151" t="n">
        <v>3</v>
      </c>
      <c r="AJ72" s="156" t="inlineStr">
        <is>
          <t>Multi-RGB camera suite (head, chest, back) + palm cameras on hands</t>
        </is>
      </c>
      <c r="AK72" s="156" t="inlineStr">
        <is>
          <t>03 introduces a new vision system with 2× frame rate, ¼ latency, and +60% FoV per camera, plus palm cameras in each hand.</t>
        </is>
      </c>
      <c r="AL72" s="152" t="inlineStr">
        <is>
          <t>Multi-view autonomy and teleoperation streams</t>
        </is>
      </c>
      <c r="AM72" s="152" t="n"/>
      <c r="AN72" s="152" t="inlineStr">
        <is>
          <t>Not disclosed</t>
        </is>
      </c>
      <c r="AO72" s="152" t="inlineStr">
        <is>
          <t>Upgraded speaker and repositioned microphones for voice interaction</t>
        </is>
      </c>
      <c r="AP72" s="152" t="inlineStr">
        <is>
          <t>Not disclosed</t>
        </is>
      </c>
      <c r="AQ72" s="152" t="inlineStr">
        <is>
          <t>Not disclosed</t>
        </is>
      </c>
      <c r="AR72" s="152" t="n"/>
      <c r="AS72" s="152" t="n"/>
      <c r="AT72" s="156" t="inlineStr">
        <is>
          <t>Helix runs entirely on‑board on dual low‑power embedded GPUs</t>
        </is>
      </c>
      <c r="AU72" s="156" t="inlineStr">
        <is>
          <t>10 Gbps mmWave data offload; wireless inductive charging and data offload</t>
        </is>
      </c>
      <c r="AV72" s="152" t="inlineStr">
        <is>
          <t>Figure autonomy and teleoperation stack</t>
        </is>
      </c>
      <c r="AW72" s="156" t="inlineStr">
        <is>
          <t>Bipedal locomotion for structured indoor environments</t>
        </is>
      </c>
      <c r="AX72" s="151" t="n">
        <v>3</v>
      </c>
      <c r="AY72" s="156" t="inlineStr">
        <is>
          <t>Ubuntu Linux (LTS) + RT‑komponenter</t>
        </is>
      </c>
      <c r="AZ72" s="156" t="inlineStr">
        <is>
          <t>Helix VLA</t>
        </is>
      </c>
      <c r="BA72" s="156" t="inlineStr">
        <is>
          <t>No numeric “glass‑to‑action” latency published. Site notes ¼ camera latency vs. prior architecture and 200 Hz low‑level control</t>
        </is>
      </c>
      <c r="BB72" s="156" t="inlineStr">
        <is>
          <t>Frameless BLDC‑motors</t>
        </is>
      </c>
      <c r="BC72" s="156" t="inlineStr">
        <is>
          <t>Strain‑wave (harmonic) and/or cycloidal</t>
        </is>
      </c>
      <c r="BD72" s="152" t="inlineStr">
        <is>
          <t>Battery enclosure uses stamped steel, die‑cast aluminum, and structural adhesives</t>
        </is>
      </c>
      <c r="BE72" s="152" t="inlineStr">
        <is>
          <t>Not disclosed</t>
        </is>
      </c>
      <c r="BF72" s="152" t="inlineStr">
        <is>
          <t>Not specified</t>
        </is>
      </c>
      <c r="BG72" s="152" t="n"/>
      <c r="BH72" s="152" t="n"/>
      <c r="BI72" s="152" t="n"/>
      <c r="BJ72" s="152" t="n"/>
      <c r="BK72" s="152" t="n"/>
      <c r="BL72" s="152" t="n"/>
      <c r="BM72" s="152" t="inlineStr">
        <is>
          <t>Not disclosed</t>
        </is>
      </c>
      <c r="BN72" s="152" t="inlineStr">
        <is>
          <t>Not disclosed</t>
        </is>
      </c>
      <c r="BO72" s="156" t="inlineStr">
        <is>
          <t>Market: Home service; Industries · Manipulation 3/4 · Navigation 3/4 · Human-safe: Not specified · AI: Helix uses an open‑source, open‑weight VLM for high‑level reasoning · Actuation: Frameless BLDC‑motors · Peak 4.3 km/h · Walk 4.3 km/h · Runtime 5</t>
        </is>
      </c>
      <c r="BP72" s="152" t="inlineStr">
        <is>
          <t>Factory pilot deployments; not public retail</t>
        </is>
      </c>
      <c r="BQ72" s="156" t="inlineStr">
        <is>
          <t>Factories and homes</t>
        </is>
      </c>
      <c r="BR72" s="156" t="inlineStr">
        <is>
          <t>Prototype</t>
        </is>
      </c>
      <c r="BS72" s="156" t="inlineStr">
        <is>
          <t>Prototype</t>
        </is>
      </c>
      <c r="BT72" s="152" t="inlineStr">
        <is>
          <t>Not specified</t>
        </is>
      </c>
      <c r="BU72" s="152" t="inlineStr">
        <is>
          <t>Not verified</t>
        </is>
      </c>
      <c r="BV72" s="156" t="n"/>
      <c r="BW72" s="156" t="inlineStr">
        <is>
          <t>Origin &amp; status — USA · Prototype · 2025 | Manipulation — Compliant tactile hands ≈ 16 DOF class · 10 fingers · Hand DOF 20 · Payload ≈ 44 lb class | Sensing &amp; software — Multi-RGB camera suite (head, chest, back) + palm cameras on hands · Helix VLA · Ubuntu Linux (LTS) + RT‑komponenter · Figure autonomy and teleoperation stack | Buying notes — From $150,000 · 12 months hardware defects (battery/actuators often 6 months) · Best fit: Home service</t>
        </is>
      </c>
      <c r="BX72" s="156" t="inlineStr">
        <is>
          <t>industrial|Figure 03 Industrial|150000|Enterprise estimate || research|Research / Partner|200000|Higher support package</t>
        </is>
      </c>
      <c r="BY72" s="152" t="inlineStr">
        <is>
          <t>black|Figure Black|#0f172a|0 || white|Lab White|#f8fafc|0</t>
        </is>
      </c>
      <c r="BZ72" s="152" t="inlineStr">
        <is>
          <t>warranty_figure</t>
        </is>
      </c>
      <c r="CA72" s="156" t="inlineStr">
        <is>
          <t>2 configuration tiers; 2 color options; Multi-year extended warranty available</t>
        </is>
      </c>
      <c r="CB72" s="156" t="inlineStr">
        <is>
          <t>12 months hardware defects (battery/actuators often 6 months)</t>
        </is>
      </c>
      <c r="CC72" s="154" t="n">
        <v>12</v>
      </c>
      <c r="CD72" s="156" t="inlineStr">
        <is>
          <t>+3 Year Extended ≈24% of configuration (default in configurator)</t>
        </is>
      </c>
      <c r="CE72" s="152" t="inlineStr">
        <is>
          <t>Figure Future Tech USA legal / warranty summary</t>
        </is>
      </c>
      <c r="CF72" s="152" t="inlineStr">
        <is>
          <t>Documented</t>
        </is>
      </c>
      <c r="CG72" s="156" t="inlineStr">
        <is>
          <t>Excludes accidental damage and misuse. Program deployments may differ.</t>
        </is>
      </c>
      <c r="CH72" s="152" t="inlineStr">
        <is>
          <t>10%</t>
        </is>
      </c>
      <c r="CI72" s="152" t="inlineStr">
        <is>
          <t>17%</t>
        </is>
      </c>
      <c r="CJ72" s="152" t="inlineStr">
        <is>
          <t>24%</t>
        </is>
      </c>
      <c r="CK72"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72"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72" s="152" t="inlineStr">
        <is>
          <t>12 months hardware defects (battery/actuators often 6 months)</t>
        </is>
      </c>
      <c r="CQ72" s="101" t="inlineStr">
        <is>
          <t>Height: ≈ 5 ft 6 in – 5 ft 8 in | Weight: 132.3 | Degrees of Freedom: ≈ 44 total · hands ≈ 16 DOF class | Payload: 44.1 | Max Speed: 2.67 | Battery / Runtime: ≈ 5 h class</t>
        </is>
      </c>
    </row>
    <row r="73" ht="31.5" customHeight="1" s="102">
      <c r="A73" s="145" t="inlineStr">
        <is>
          <t>flexiv_robotics_aico_2</t>
        </is>
      </c>
      <c r="B73" s="153" t="inlineStr">
        <is>
          <t>Humanoid.guide</t>
        </is>
      </c>
      <c r="C73" s="145" t="inlineStr">
        <is>
          <t>Flexiv Robotics</t>
        </is>
      </c>
      <c r="D73" s="145" t="inlineStr">
        <is>
          <t>AICO 2</t>
        </is>
      </c>
      <c r="E73" s="145" t="inlineStr">
        <is>
          <t>[Flexiv Robotics] AICO 2 (2026)</t>
        </is>
      </c>
      <c r="F73" s="146" t="inlineStr">
        <is>
          <t>humanoid</t>
        </is>
      </c>
      <c r="G73" s="145" t="inlineStr">
        <is>
          <t>USA</t>
        </is>
      </c>
      <c r="H73" s="145" t="n"/>
      <c r="I73" s="148" t="n">
        <v>120000</v>
      </c>
      <c r="J73" s="145" t="inlineStr">
        <is>
          <t>Humanoid.guide list</t>
        </is>
      </c>
      <c r="K73" s="149" t="inlineStr">
        <is>
          <t>AICO 2 is Flexiv Robotics’ mobile dual-arm robot, pairing force-controlled manipulation with a Laser SLAM wheeled base and ~6h battery life for flexible industrial automation.</t>
        </is>
      </c>
      <c r="L73" s="101" t="inlineStr">
        <is>
          <t>AICO 2 is Flexiv Robotics’ mobile dual-arm robot, pairing force-controlled manipulation with a Laser SLAM wheeled base and ~6h battery life for flexible industrial automation.</t>
        </is>
      </c>
      <c r="M73" s="101" t="inlineStr">
        <is>
          <t>AICO 2 is Flexiv Robotics’ mobile dual-arm robot, pairing force-controlled manipulation with a Laser SLAM wheeled base and ~6h battery life for flexible industrial automation. Public status is listed as in production, and it is positioned for industrial Manufacturing; logistics; Research.</t>
        </is>
      </c>
      <c r="N73" s="150" t="inlineStr">
        <is>
          <t>https://humanoid.guide/product/aico-2/</t>
        </is>
      </c>
      <c r="O73" s="150" t="inlineStr">
        <is>
          <t>https://www.flexiv.com</t>
        </is>
      </c>
      <c r="P73" s="145" t="inlineStr">
        <is>
          <t>5 ft 3 in</t>
        </is>
      </c>
      <c r="Q73" s="145" t="n">
        <v>160</v>
      </c>
      <c r="R73" s="145" t="n">
        <v>619.5</v>
      </c>
      <c r="S73" s="145" t="n">
        <v>281</v>
      </c>
      <c r="T73" s="149" t="inlineStr">
        <is>
          <t>Not disclosed</t>
        </is>
      </c>
      <c r="U73" s="145" t="n"/>
      <c r="V73" s="145" t="inlineStr">
        <is>
          <t>14</t>
        </is>
      </c>
      <c r="W73" s="149" t="inlineStr">
        <is>
          <t>Not disclosed</t>
        </is>
      </c>
      <c r="X73" s="145" t="n">
        <v>17.6</v>
      </c>
      <c r="Y73" s="145" t="n">
        <v>8</v>
      </c>
      <c r="Z73" s="145" t="n">
        <v>2.49</v>
      </c>
      <c r="AA73" s="145" t="n">
        <v>4</v>
      </c>
      <c r="AB73" s="145" t="n"/>
      <c r="AC73" s="149" t="inlineStr">
        <is>
          <t>≈ 6 hours</t>
        </is>
      </c>
      <c r="AD73" s="149" t="inlineStr">
        <is>
          <t>6</t>
        </is>
      </c>
      <c r="AE73" s="145" t="n"/>
      <c r="AF73" s="145" t="inlineStr">
        <is>
          <t>Not disclosed</t>
        </is>
      </c>
      <c r="AG73" s="149" t="inlineStr">
        <is>
          <t>2-finger gripping claws</t>
        </is>
      </c>
      <c r="AH73" s="145" t="inlineStr">
        <is>
          <t>2-finger gripping claws</t>
        </is>
      </c>
      <c r="AI73" s="145" t="n"/>
      <c r="AJ73" s="149" t="inlineStr">
        <is>
          <t>Not disclosed</t>
        </is>
      </c>
      <c r="AK73" s="149" t="n"/>
      <c r="AL73" s="145" t="inlineStr">
        <is>
          <t>Not disclosed</t>
        </is>
      </c>
      <c r="AM73" s="145" t="n"/>
      <c r="AN73" s="145" t="inlineStr">
        <is>
          <t>Not disclosed</t>
        </is>
      </c>
      <c r="AO73" s="145" t="inlineStr">
        <is>
          <t>Not disclosed</t>
        </is>
      </c>
      <c r="AP73" s="145" t="inlineStr">
        <is>
          <t>Not disclosed</t>
        </is>
      </c>
      <c r="AQ73" s="145" t="inlineStr">
        <is>
          <t>Not disclosed</t>
        </is>
      </c>
      <c r="AR73" s="145" t="n"/>
      <c r="AS73" s="145" t="n"/>
      <c r="AT73" s="149" t="inlineStr">
        <is>
          <t>Not disclosed</t>
        </is>
      </c>
      <c r="AU73" s="149" t="inlineStr">
        <is>
          <t>EtherCAT; Ethernet; RDK interface; TCP-IP</t>
        </is>
      </c>
      <c r="AV73" s="145" t="inlineStr">
        <is>
          <t>Not disclosed</t>
        </is>
      </c>
      <c r="AW73" s="149" t="inlineStr">
        <is>
          <t>Not disclosed</t>
        </is>
      </c>
      <c r="AX73" s="145" t="n"/>
      <c r="AY73" s="149" t="inlineStr">
        <is>
          <t>Flexiv RDK (Robotic Development Kit); Linux-based real-time control</t>
        </is>
      </c>
      <c r="AZ73" s="149" t="inlineStr">
        <is>
          <t>Not native; possible via RDK/SDK integration</t>
        </is>
      </c>
      <c r="BA73" s="149" t="inlineStr">
        <is>
          <t>Control loop runs at 1 kHz real-time; end-to-end perception latency not published</t>
        </is>
      </c>
      <c r="BB73" s="149" t="inlineStr">
        <is>
          <t>Proprietary force-controlled actuators (arms) + wheel-drive motors (base)</t>
        </is>
      </c>
      <c r="BC73" s="149" t="inlineStr">
        <is>
          <t>harmonic/strain-wave reducers</t>
        </is>
      </c>
      <c r="BD73" s="145" t="inlineStr">
        <is>
          <t>Aluminum alloy + steel base</t>
        </is>
      </c>
      <c r="BE73" s="145" t="inlineStr">
        <is>
          <t>IP54</t>
        </is>
      </c>
      <c r="BF73" s="145" t="inlineStr">
        <is>
          <t>IP54</t>
        </is>
      </c>
      <c r="BG73" s="145" t="n"/>
      <c r="BH73" s="145" t="n"/>
      <c r="BI73" s="145" t="n"/>
      <c r="BJ73" s="145" t="n"/>
      <c r="BK73" s="145" t="n"/>
      <c r="BL73" s="145" t="n"/>
      <c r="BM73" s="145" t="inlineStr">
        <is>
          <t>Yes</t>
        </is>
      </c>
      <c r="BN73" s="145" t="inlineStr">
        <is>
          <t>Not disclosed</t>
        </is>
      </c>
      <c r="BO73" s="149" t="inlineStr">
        <is>
          <t>Market: Industrial Manufacturing; logistics; Research · Human-safe: Yes · AI: Not native; possible via RDK/SDK integration · Actuation: Proprietary force-controlled actuators (arms) + wheel-drive motors (base) · Peak 4 km/h · Runtime 6</t>
        </is>
      </c>
      <c r="BP73" s="145" t="n"/>
      <c r="BQ73" s="149" t="inlineStr">
        <is>
          <t>Industrial Manufacturing; logistics; Research</t>
        </is>
      </c>
      <c r="BR73" s="149" t="inlineStr">
        <is>
          <t>In production</t>
        </is>
      </c>
      <c r="BS73" s="149" t="inlineStr">
        <is>
          <t>In production</t>
        </is>
      </c>
      <c r="BT73" s="145" t="inlineStr">
        <is>
          <t>Blue; Grey; White</t>
        </is>
      </c>
      <c r="BU73" s="145" t="n"/>
      <c r="BV73" s="149" t="n"/>
      <c r="BW73" s="149" t="inlineStr">
        <is>
          <t>Origin &amp; status — USA · In production · 2026 | Manipulation — 2-finger gripping claws · Payload 17.6 lb | Sensing &amp; software — Flexiv RDK (Robotic Development Kit); Linux-based real-time control | Buying notes — From $120,000 · 12 months manufacturer standard (typical research/commercial humanoid) · Best fit: Industrial Manufacturing</t>
        </is>
      </c>
      <c r="BX73" s="149" t="inlineStr">
        <is>
          <t>as_shipped|AICO 2|120000|As shipped</t>
        </is>
      </c>
      <c r="BY73" s="145" t="inlineStr">
        <is>
          <t>blue|Blue|#e2e8f0|0 || grey|Grey|#1e293b|0 || white|White|#0891b2|0</t>
        </is>
      </c>
      <c r="BZ73" s="145" t="inlineStr"/>
      <c r="CA73" s="149" t="n"/>
      <c r="CB73" s="149" t="inlineStr">
        <is>
          <t>12 months manufacturer standard (typical research/commercial humanoid)</t>
        </is>
      </c>
      <c r="CC73" s="147" t="n">
        <v>12</v>
      </c>
      <c r="CD73" s="149" t="inlineStr">
        <is>
          <t>+3 Year Extended ≈24% of configuration (default in configurator)</t>
        </is>
      </c>
      <c r="CE73" s="145" t="inlineStr">
        <is>
          <t>Humanoid category norm 2025–2026</t>
        </is>
      </c>
      <c r="CF73" s="145" t="inlineStr">
        <is>
          <t>Estimated</t>
        </is>
      </c>
      <c r="CG73" s="149" t="inlineStr">
        <is>
          <t>Confirm on formal OEM quote. EDU or enterprise packages may differ.</t>
        </is>
      </c>
      <c r="CH73" s="145" t="inlineStr">
        <is>
          <t>10%</t>
        </is>
      </c>
      <c r="CI73" s="145" t="inlineStr">
        <is>
          <t>17%</t>
        </is>
      </c>
      <c r="CJ73" s="145" t="inlineStr">
        <is>
          <t>24%</t>
        </is>
      </c>
      <c r="CK73" s="149" t="inlineStr">
        <is>
          <t>+1yr ≈10% | +2yr ≈17% | +3yr ≈24% of selected configuration price (parts &amp; labor beyond manufacturer standard).</t>
        </is>
      </c>
      <c r="CL73"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73" s="145" t="inlineStr">
        <is>
          <t>12 months manufacturer standard (typical research/commercial humanoid)</t>
        </is>
      </c>
      <c r="CQ73" s="101" t="inlineStr">
        <is>
          <t>Height: 5 ft 3 in | Weight: 619.5 | Degrees of Freedom: 14 | Payload: 17.6 | Max Speed: 2.49 | Battery / Runtime: ≈ 6 hours</t>
        </is>
      </c>
    </row>
    <row r="74" ht="31.5" customHeight="1" s="102">
      <c r="A74" s="152" t="inlineStr">
        <is>
          <t>flexiv_robotics_mico</t>
        </is>
      </c>
      <c r="B74" s="153" t="inlineStr">
        <is>
          <t>Humanoid.guide</t>
        </is>
      </c>
      <c r="C74" s="152" t="inlineStr">
        <is>
          <t>Flexiv Robotics</t>
        </is>
      </c>
      <c r="D74" s="152" t="inlineStr">
        <is>
          <t>MICO</t>
        </is>
      </c>
      <c r="E74" s="152" t="inlineStr">
        <is>
          <t>[Flexiv Robotics] MICO (2026)</t>
        </is>
      </c>
      <c r="F74" s="146" t="inlineStr">
        <is>
          <t>humanoid</t>
        </is>
      </c>
      <c r="G74" s="152" t="inlineStr">
        <is>
          <t>USA</t>
        </is>
      </c>
      <c r="H74" s="152" t="n"/>
      <c r="I74" s="155" t="n">
        <v>80000</v>
      </c>
      <c r="J74" s="152" t="inlineStr">
        <is>
          <t>Humanoid.guide list</t>
        </is>
      </c>
      <c r="K74" s="156" t="inlineStr">
        <is>
          <t>MICO is Flexiv Robotics’ dual-arm humanoid system, built around advanced force control for dexterous, adaptive manipulation in industrial, commercial, and research settings.</t>
        </is>
      </c>
      <c r="L74" s="101" t="inlineStr">
        <is>
          <t>MICO is Flexiv Robotics’ dual-arm humanoid system, built around advanced force control for dexterous, adaptive manipulation in industrial, commercial, and research settings.</t>
        </is>
      </c>
      <c r="M74" s="101" t="inlineStr">
        <is>
          <t>MICO is Flexiv Robotics’ dual-arm humanoid system, built around advanced force control for dexterous, adaptive manipulation in industrial, commercial, and research settings. Public status is listed as in production, and it is positioned for industrial Manufacturing; logistics; Research.</t>
        </is>
      </c>
      <c r="N74" s="157" t="inlineStr">
        <is>
          <t>https://humanoid.guide/product/mico/</t>
        </is>
      </c>
      <c r="O74" s="157" t="inlineStr">
        <is>
          <t>https://www.flexiv.com</t>
        </is>
      </c>
      <c r="P74" s="152" t="inlineStr">
        <is>
          <t>4 ft 11 in</t>
        </is>
      </c>
      <c r="Q74" s="152" t="n">
        <v>150</v>
      </c>
      <c r="R74" s="152" t="n">
        <v>174.2</v>
      </c>
      <c r="S74" s="152" t="n">
        <v>79</v>
      </c>
      <c r="T74" s="156" t="inlineStr">
        <is>
          <t>Not disclosed</t>
        </is>
      </c>
      <c r="U74" s="152" t="n"/>
      <c r="V74" s="152" t="inlineStr">
        <is>
          <t>14</t>
        </is>
      </c>
      <c r="W74" s="156" t="inlineStr">
        <is>
          <t>Not disclosed</t>
        </is>
      </c>
      <c r="X74" s="152" t="n">
        <v>22</v>
      </c>
      <c r="Y74" s="152" t="n">
        <v>10</v>
      </c>
      <c r="Z74" s="152" t="n">
        <v>1.86</v>
      </c>
      <c r="AA74" s="152" t="n">
        <v>3</v>
      </c>
      <c r="AB74" s="152" t="n"/>
      <c r="AC74" s="156" t="inlineStr">
        <is>
          <t>Not disclosed</t>
        </is>
      </c>
      <c r="AD74" s="156" t="n"/>
      <c r="AE74" s="152" t="n"/>
      <c r="AF74" s="152" t="inlineStr">
        <is>
          <t>Not disclosed</t>
        </is>
      </c>
      <c r="AG74" s="156" t="inlineStr">
        <is>
          <t>2-finger gripping claws</t>
        </is>
      </c>
      <c r="AH74" s="152" t="inlineStr">
        <is>
          <t>2-finger gripping claws</t>
        </is>
      </c>
      <c r="AI74" s="152" t="n"/>
      <c r="AJ74" s="156" t="inlineStr">
        <is>
          <t>Not disclosed</t>
        </is>
      </c>
      <c r="AK74" s="156" t="n"/>
      <c r="AL74" s="152" t="inlineStr">
        <is>
          <t>Not disclosed</t>
        </is>
      </c>
      <c r="AM74" s="152" t="n"/>
      <c r="AN74" s="152" t="inlineStr">
        <is>
          <t>Not disclosed</t>
        </is>
      </c>
      <c r="AO74" s="152" t="inlineStr">
        <is>
          <t>Not disclosed</t>
        </is>
      </c>
      <c r="AP74" s="152" t="inlineStr">
        <is>
          <t>Not disclosed</t>
        </is>
      </c>
      <c r="AQ74" s="152" t="inlineStr">
        <is>
          <t>Not disclosed</t>
        </is>
      </c>
      <c r="AR74" s="152" t="n"/>
      <c r="AS74" s="152" t="n"/>
      <c r="AT74" s="156" t="inlineStr">
        <is>
          <t>Not disclosed</t>
        </is>
      </c>
      <c r="AU74" s="156" t="inlineStr">
        <is>
          <t>EtherCAT; Ethernet; TCP-IP</t>
        </is>
      </c>
      <c r="AV74" s="152" t="inlineStr">
        <is>
          <t>Not disclosed</t>
        </is>
      </c>
      <c r="AW74" s="156" t="inlineStr">
        <is>
          <t>Not disclosed</t>
        </is>
      </c>
      <c r="AX74" s="152" t="n"/>
      <c r="AY74" s="156" t="inlineStr">
        <is>
          <t>Flexiv RDK (Robotic Development Kit); Linux-based real-time control</t>
        </is>
      </c>
      <c r="AZ74" s="156" t="inlineStr">
        <is>
          <t>Not native; possible via RDK/SDK integration</t>
        </is>
      </c>
      <c r="BA74" s="156" t="inlineStr">
        <is>
          <t>Control loop runs at 1 kHz real-time; end-to-end perception latency not published</t>
        </is>
      </c>
      <c r="BB74" s="156" t="inlineStr">
        <is>
          <t>Assumption: proprietary force-controlled actuators (Flexiv's core technology)</t>
        </is>
      </c>
      <c r="BC74" s="156" t="inlineStr">
        <is>
          <t>harmonic/strain-wave reducers</t>
        </is>
      </c>
      <c r="BD74" s="152" t="inlineStr">
        <is>
          <t>Not disclosed</t>
        </is>
      </c>
      <c r="BE74" s="152" t="inlineStr">
        <is>
          <t>IP54</t>
        </is>
      </c>
      <c r="BF74" s="152" t="inlineStr">
        <is>
          <t>IP54</t>
        </is>
      </c>
      <c r="BG74" s="152" t="n"/>
      <c r="BH74" s="152" t="n"/>
      <c r="BI74" s="152" t="n"/>
      <c r="BJ74" s="152" t="n"/>
      <c r="BK74" s="152" t="n"/>
      <c r="BL74" s="152" t="n"/>
      <c r="BM74" s="152" t="inlineStr">
        <is>
          <t>Yes</t>
        </is>
      </c>
      <c r="BN74" s="152" t="inlineStr">
        <is>
          <t>Not disclosed</t>
        </is>
      </c>
      <c r="BO74" s="156" t="inlineStr">
        <is>
          <t>Market: Industrial Manufacturing; logistics; Research · Human-safe: Yes · AI: Not native; possible via RDK/SDK integration · Actuation: Assumption: proprietary force-controlled actuators (Flexiv's core technology) · Peak 3 km/h</t>
        </is>
      </c>
      <c r="BP74" s="152" t="n"/>
      <c r="BQ74" s="156" t="inlineStr">
        <is>
          <t>Industrial Manufacturing; logistics; Research</t>
        </is>
      </c>
      <c r="BR74" s="156" t="inlineStr">
        <is>
          <t>In production</t>
        </is>
      </c>
      <c r="BS74" s="156" t="inlineStr">
        <is>
          <t>In production</t>
        </is>
      </c>
      <c r="BT74" s="152" t="inlineStr">
        <is>
          <t>Blue; Grey; White</t>
        </is>
      </c>
      <c r="BU74" s="152" t="n"/>
      <c r="BV74" s="156" t="n"/>
      <c r="BW74" s="156" t="inlineStr">
        <is>
          <t>Origin &amp; status — USA · In production · 2026 | Manipulation — 2-finger gripping claws · Payload 22 lb | Sensing &amp; software — Flexiv RDK (Robotic Development Kit); Linux-based real-time control | Buying notes — From $80,000 · 12 months manufacturer standard (typical research/commercial humanoid) · Best fit: Industrial Manufacturing</t>
        </is>
      </c>
      <c r="BX74" s="156" t="inlineStr">
        <is>
          <t>as_shipped|MICO|80000|As shipped</t>
        </is>
      </c>
      <c r="BY74" s="152" t="inlineStr">
        <is>
          <t>blue|Blue|#e2e8f0|0 || grey|Grey|#1e293b|0 || white|White|#0891b2|0</t>
        </is>
      </c>
      <c r="BZ74" s="152" t="inlineStr"/>
      <c r="CA74" s="156" t="n"/>
      <c r="CB74" s="156" t="inlineStr">
        <is>
          <t>12 months manufacturer standard (typical research/commercial humanoid)</t>
        </is>
      </c>
      <c r="CC74" s="154" t="n">
        <v>12</v>
      </c>
      <c r="CD74" s="156" t="inlineStr">
        <is>
          <t>+3 Year Extended ≈24% of configuration (default in configurator)</t>
        </is>
      </c>
      <c r="CE74" s="152" t="inlineStr">
        <is>
          <t>Humanoid category norm 2025–2026</t>
        </is>
      </c>
      <c r="CF74" s="152" t="inlineStr">
        <is>
          <t>Estimated</t>
        </is>
      </c>
      <c r="CG74" s="156" t="inlineStr">
        <is>
          <t>Confirm on formal OEM quote. EDU or enterprise packages may differ.</t>
        </is>
      </c>
      <c r="CH74" s="152" t="inlineStr">
        <is>
          <t>10%</t>
        </is>
      </c>
      <c r="CI74" s="152" t="inlineStr">
        <is>
          <t>17%</t>
        </is>
      </c>
      <c r="CJ74" s="152" t="inlineStr">
        <is>
          <t>24%</t>
        </is>
      </c>
      <c r="CK74" s="156" t="inlineStr">
        <is>
          <t>+1yr ≈10% | +2yr ≈17% | +3yr ≈24% of selected configuration price (parts &amp; labor beyond manufacturer standard).</t>
        </is>
      </c>
      <c r="CL74"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74" s="152" t="inlineStr">
        <is>
          <t>12 months manufacturer standard (typical research/commercial humanoid)</t>
        </is>
      </c>
      <c r="CQ74" s="101" t="inlineStr">
        <is>
          <t>Height: 4 ft 11 in | Weight: 174.2 | Degrees of Freedom: 14 | Payload: 22 | Max Speed: 1.86 | Battery / Runtime: Not disclosed</t>
        </is>
      </c>
    </row>
    <row r="75" ht="31.5" customHeight="1" s="102">
      <c r="A75" s="143" t="inlineStr">
        <is>
          <t>foundation_robotics_phantom_mk1</t>
        </is>
      </c>
      <c r="B75" s="144" t="inlineStr">
        <is>
          <t>Major-player brief 11 Sep 2026</t>
        </is>
      </c>
      <c r="C75" s="145" t="inlineStr">
        <is>
          <t>Foundation</t>
        </is>
      </c>
      <c r="D75" s="145" t="inlineStr">
        <is>
          <t>Phantom</t>
        </is>
      </c>
      <c r="E75" s="145" t="inlineStr">
        <is>
          <t>[Foundation] Phantom (2024)</t>
        </is>
      </c>
      <c r="F75" s="146" t="inlineStr">
        <is>
          <t>humanoid</t>
        </is>
      </c>
      <c r="G75" s="145" t="inlineStr">
        <is>
          <t>USA</t>
        </is>
      </c>
      <c r="H75" s="147" t="n">
        <v>2024</v>
      </c>
      <c r="I75" s="148" t="n">
        <v>50000</v>
      </c>
      <c r="J75" s="145" t="inlineStr">
        <is>
          <t>Website store</t>
        </is>
      </c>
      <c r="K75" s="149" t="inlineStr">
        <is>
          <t>Phantom is aimed at demanding industrial and defence applications, with a focus on strength, speed and heavy payloads.</t>
        </is>
      </c>
      <c r="L75" s="101" t="inlineStr">
        <is>
          <t>Phantom is aimed at demanding industrial and defence applications, with a focus on strength, speed and heavy payloads.</t>
        </is>
      </c>
      <c r="M75" s="101" t="inlineStr">
        <is>
          <t>Foundation (Foundation Future Industries) is a San Francisco startup that unveiled Phantom for industrial and defence work. The platform emphasizes strength, speed, and heavy payload rather than home companionship, with in-house cycloidal actuators and camera-based perception.</t>
        </is>
      </c>
      <c r="N75" s="150" t="inlineStr">
        <is>
          <t>https://humanoid.guide/product/phantom-mk1/</t>
        </is>
      </c>
      <c r="O75" s="145" t="inlineStr">
        <is>
          <t>https://foundation.bot</t>
        </is>
      </c>
      <c r="P75" s="145" t="inlineStr">
        <is>
          <t>5 ft 9 in</t>
        </is>
      </c>
      <c r="Q75" s="145" t="n">
        <v>175</v>
      </c>
      <c r="R75" s="145" t="n">
        <v>176.4</v>
      </c>
      <c r="S75" s="145" t="n">
        <v>80</v>
      </c>
      <c r="T75" s="149" t="inlineStr">
        <is>
          <t>Not disclosed</t>
        </is>
      </c>
      <c r="U75" s="145" t="inlineStr">
        <is>
          <t>Not specified</t>
        </is>
      </c>
      <c r="V75" s="145" t="inlineStr">
        <is>
          <t>19; Upper body</t>
        </is>
      </c>
      <c r="W75" s="149" t="inlineStr">
        <is>
          <t>Not disclosed</t>
        </is>
      </c>
      <c r="X75" s="145" t="n">
        <v>44.1</v>
      </c>
      <c r="Y75" s="145" t="n">
        <v>20</v>
      </c>
      <c r="Z75" s="145" t="n">
        <v>3.79</v>
      </c>
      <c r="AA75" s="145" t="n">
        <v>6.1</v>
      </c>
      <c r="AB75" s="145" t="n">
        <v>6</v>
      </c>
      <c r="AC75" s="149" t="inlineStr">
        <is>
          <t>Not disclosed</t>
        </is>
      </c>
      <c r="AD75" s="149" t="inlineStr">
        <is>
          <t>Not specified</t>
        </is>
      </c>
      <c r="AE75" s="145" t="n"/>
      <c r="AF75" s="145" t="inlineStr">
        <is>
          <t>Not disclosed</t>
        </is>
      </c>
      <c r="AG75" s="149" t="inlineStr">
        <is>
          <t>10</t>
        </is>
      </c>
      <c r="AH75" s="145" t="inlineStr">
        <is>
          <t>10</t>
        </is>
      </c>
      <c r="AI75" s="158" t="n">
        <v>2</v>
      </c>
      <c r="AJ75" s="149" t="inlineStr">
        <is>
          <t>Head/body cameras for education and demo use</t>
        </is>
      </c>
      <c r="AK75" s="149" t="inlineStr">
        <is>
          <t>Not specified</t>
        </is>
      </c>
      <c r="AL75" s="145" t="inlineStr">
        <is>
          <t>Demo and classroom capture paths</t>
        </is>
      </c>
      <c r="AM75" s="145" t="n"/>
      <c r="AN75" s="145" t="inlineStr">
        <is>
          <t>Not disclosed</t>
        </is>
      </c>
      <c r="AO75" s="145" t="inlineStr">
        <is>
          <t>Microphone support on education tiers</t>
        </is>
      </c>
      <c r="AP75" s="145" t="inlineStr">
        <is>
          <t>Not disclosed</t>
        </is>
      </c>
      <c r="AQ75" s="145" t="inlineStr">
        <is>
          <t>Not disclosed</t>
        </is>
      </c>
      <c r="AR75" s="145" t="n"/>
      <c r="AS75" s="145" t="n"/>
      <c r="AT75" s="149" t="inlineStr">
        <is>
          <t>Not disclosed</t>
        </is>
      </c>
      <c r="AU75" s="149" t="inlineStr">
        <is>
          <t>Not disclosed</t>
        </is>
      </c>
      <c r="AV75" s="145" t="inlineStr">
        <is>
          <t>Education SDK and app tiers (Seek / Education / Professional)</t>
        </is>
      </c>
      <c r="AW75" s="149" t="inlineStr">
        <is>
          <t>Compact bipedal walking for indoor spaces</t>
        </is>
      </c>
      <c r="AX75" s="158" t="n">
        <v>2</v>
      </c>
      <c r="AY75" s="149" t="inlineStr">
        <is>
          <t>Not disclosed</t>
        </is>
      </c>
      <c r="AZ75" s="149" t="inlineStr">
        <is>
          <t>Yes</t>
        </is>
      </c>
      <c r="BA75" s="149" t="inlineStr">
        <is>
          <t>Not specified</t>
        </is>
      </c>
      <c r="BB75" s="149" t="inlineStr">
        <is>
          <t>cycloidal actuators</t>
        </is>
      </c>
      <c r="BC75" s="149" t="inlineStr">
        <is>
          <t>Cycloidal</t>
        </is>
      </c>
      <c r="BD75" s="145" t="inlineStr">
        <is>
          <t>Not disclosed</t>
        </is>
      </c>
      <c r="BE75" s="145" t="inlineStr">
        <is>
          <t>Not disclosed</t>
        </is>
      </c>
      <c r="BF75" s="145" t="inlineStr">
        <is>
          <t>Not specified</t>
        </is>
      </c>
      <c r="BG75" s="145" t="n"/>
      <c r="BH75" s="145" t="n"/>
      <c r="BI75" s="145" t="n"/>
      <c r="BJ75" s="145" t="n"/>
      <c r="BK75" s="145" t="n"/>
      <c r="BL75" s="145" t="n"/>
      <c r="BM75" s="145" t="inlineStr">
        <is>
          <t>backdrivable cycloid‑aktuatorer</t>
        </is>
      </c>
      <c r="BN75" s="145" t="inlineStr">
        <is>
          <t>Not disclosed</t>
        </is>
      </c>
      <c r="BO75" s="149" t="inlineStr">
        <is>
          <t>Market: Defense / Industrial · Manipulation 2/4 · Navigation 2/4 · Human-safe: backdrivable cycloid‑aktuatorer · AI: Yes · Actuation: cycloidal actuators · Peak 6.1 km/h · Walk 6 km/h · Runtime Not specified</t>
        </is>
      </c>
      <c r="BP75" s="145" t="n"/>
      <c r="BQ75" s="149" t="inlineStr">
        <is>
          <t>Industrial and defence; strength, speed, heavy payload</t>
        </is>
      </c>
      <c r="BR75" s="149" t="inlineStr">
        <is>
          <t>Early</t>
        </is>
      </c>
      <c r="BS75" s="149" t="inlineStr">
        <is>
          <t>Prototype</t>
        </is>
      </c>
      <c r="BT75" s="145" t="inlineStr">
        <is>
          <t>Not specified</t>
        </is>
      </c>
      <c r="BU75" s="145" t="inlineStr">
        <is>
          <t>Not verified</t>
        </is>
      </c>
      <c r="BV75" s="149" t="inlineStr">
        <is>
          <t>Humanoid.guide listed price $100,000.</t>
        </is>
      </c>
      <c r="BW75" s="149" t="inlineStr">
        <is>
          <t>Origin &amp; status — USA · Early · 2024 | Manipulation — 10 · 10 fingers · Payload 44.1 lb (20 kg) | Sensing &amp; software — Head/body cameras for education and demo use · Yes · Education SDK and app tiers (Seek / Education / Professional) | Buying notes — From $50,000 · 12 months manufacturer standard (typical research/commercial humanoid) · Best fit: Defense</t>
        </is>
      </c>
      <c r="BX75" s="149" t="inlineStr">
        <is>
          <t>as_shipped|Phantom Mk1|50000|As shipped</t>
        </is>
      </c>
      <c r="BY75" s="145" t="inlineStr">
        <is>
          <t>phantom_mk1|Manufacturer finish|#e2e8f0|0</t>
        </is>
      </c>
      <c r="BZ75" s="145" t="inlineStr"/>
      <c r="CA75" s="149" t="inlineStr">
        <is>
          <t>Add-ons: case; 2 color options; Multi-year extended warranty available</t>
        </is>
      </c>
      <c r="CB75" s="149" t="inlineStr">
        <is>
          <t>12 months manufacturer standard (typical research/commercial humanoid)</t>
        </is>
      </c>
      <c r="CC75" s="147" t="n">
        <v>12</v>
      </c>
      <c r="CD75" s="149" t="inlineStr">
        <is>
          <t>+3 Year Extended ≈24% of configuration (default in configurator)</t>
        </is>
      </c>
      <c r="CE75" s="145" t="inlineStr">
        <is>
          <t>Humanoid category norm 2025–2026</t>
        </is>
      </c>
      <c r="CF75" s="145" t="inlineStr">
        <is>
          <t>Estimated</t>
        </is>
      </c>
      <c r="CG75" s="149" t="inlineStr">
        <is>
          <t>EDU or enterprise packages may differ; confirm on formal quote.</t>
        </is>
      </c>
      <c r="CH75" s="145" t="inlineStr">
        <is>
          <t>10%</t>
        </is>
      </c>
      <c r="CI75" s="145" t="inlineStr">
        <is>
          <t>17%</t>
        </is>
      </c>
      <c r="CJ75" s="145" t="inlineStr">
        <is>
          <t>24%</t>
        </is>
      </c>
      <c r="CK7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7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75" s="145" t="inlineStr">
        <is>
          <t>12 months manufacturer standard (typical research/commercial humanoid)</t>
        </is>
      </c>
      <c r="CQ75" s="101" t="inlineStr">
        <is>
          <t>Height: 5 ft 9 in | Weight: 176.4 | Degrees of Freedom: 19; Upper body | Payload: 44.1 | Max Speed: 3.79 | Battery / Runtime: Not disclosed</t>
        </is>
      </c>
    </row>
    <row r="76" ht="31.5" customHeight="1" s="102">
      <c r="A76" s="152" t="inlineStr">
        <is>
          <t>fourier_intelligence_gr_1</t>
        </is>
      </c>
      <c r="B76" s="153" t="inlineStr">
        <is>
          <t>Humanoid.guide</t>
        </is>
      </c>
      <c r="C76" s="152" t="inlineStr">
        <is>
          <t>Fourier</t>
        </is>
      </c>
      <c r="D76" s="152" t="inlineStr">
        <is>
          <t>GR-1</t>
        </is>
      </c>
      <c r="E76" s="152" t="inlineStr">
        <is>
          <t>[Fourier] GR-1 (2021)</t>
        </is>
      </c>
      <c r="F76" s="146" t="inlineStr">
        <is>
          <t>humanoid</t>
        </is>
      </c>
      <c r="G76" s="152" t="inlineStr">
        <is>
          <t>China</t>
        </is>
      </c>
      <c r="H76" s="152" t="n"/>
      <c r="I76" s="155" t="n">
        <v>150000</v>
      </c>
      <c r="J76" s="152" t="inlineStr">
        <is>
          <t>Robot Price Index Aug 2026 · enterprise estimate</t>
        </is>
      </c>
      <c r="K76" s="156" t="inlineStr">
        <is>
          <t>The GR-1 is an advanced humanoid robot developed by Fourier Intelligence, a Shanghai-based company specializing in robotics and rehabilitation technology.</t>
        </is>
      </c>
      <c r="L76" s="101" t="inlineStr">
        <is>
          <t>The GR-1 is an advanced humanoid robot developed by Fourier Intelligence, a Shanghai-based company specializing in robotics and rehabilitation technology.</t>
        </is>
      </c>
      <c r="M76" s="101" t="inlineStr">
        <is>
          <t>The GR-1 is an advanced humanoid robot developed by Fourier Intelligence, a Shanghai-based company specializing in robotics and rehabilitation technology. Public status is listed as prototype.</t>
        </is>
      </c>
      <c r="N76" s="157" t="inlineStr">
        <is>
          <t>https://humanoid.guide/product/gr-1/</t>
        </is>
      </c>
      <c r="O76" s="157" t="inlineStr">
        <is>
          <t>https://www.fftai.com</t>
        </is>
      </c>
      <c r="P76" s="152" t="inlineStr">
        <is>
          <t>5 ft 5 in</t>
        </is>
      </c>
      <c r="Q76" s="152" t="n">
        <v>165</v>
      </c>
      <c r="R76" s="152" t="n">
        <v>121.3</v>
      </c>
      <c r="S76" s="152" t="n">
        <v>55</v>
      </c>
      <c r="T76" s="156" t="inlineStr">
        <is>
          <t>Not disclosed</t>
        </is>
      </c>
      <c r="U76" s="152" t="n"/>
      <c r="V76" s="152" t="inlineStr">
        <is>
          <t>25</t>
        </is>
      </c>
      <c r="W76" s="156" t="inlineStr">
        <is>
          <t>Not disclosed</t>
        </is>
      </c>
      <c r="X76" s="152" t="n">
        <v>33.1</v>
      </c>
      <c r="Y76" s="152" t="n">
        <v>15</v>
      </c>
      <c r="Z76" s="152" t="n">
        <v>3.11</v>
      </c>
      <c r="AA76" s="152" t="n">
        <v>5</v>
      </c>
      <c r="AB76" s="152" t="n">
        <v>3</v>
      </c>
      <c r="AC76" s="156" t="inlineStr">
        <is>
          <t>≈ 2 hours</t>
        </is>
      </c>
      <c r="AD76" s="156" t="inlineStr">
        <is>
          <t>2</t>
        </is>
      </c>
      <c r="AE76" s="152" t="n"/>
      <c r="AF76" s="152" t="inlineStr">
        <is>
          <t>Not disclosed</t>
        </is>
      </c>
      <c r="AG76" s="156" t="inlineStr">
        <is>
          <t>Not disclosed</t>
        </is>
      </c>
      <c r="AH76" s="152" t="inlineStr">
        <is>
          <t>Not disclosed</t>
        </is>
      </c>
      <c r="AI76" s="151" t="n">
        <v>3</v>
      </c>
      <c r="AJ76" s="156" t="inlineStr">
        <is>
          <t>Not disclosed</t>
        </is>
      </c>
      <c r="AK76" s="156" t="n"/>
      <c r="AL76" s="152" t="inlineStr">
        <is>
          <t>Not disclosed</t>
        </is>
      </c>
      <c r="AM76" s="152" t="n"/>
      <c r="AN76" s="152" t="inlineStr">
        <is>
          <t>Not disclosed</t>
        </is>
      </c>
      <c r="AO76" s="152" t="inlineStr">
        <is>
          <t>Not disclosed</t>
        </is>
      </c>
      <c r="AP76" s="152" t="inlineStr">
        <is>
          <t>Not disclosed</t>
        </is>
      </c>
      <c r="AQ76" s="152" t="inlineStr">
        <is>
          <t>Not disclosed</t>
        </is>
      </c>
      <c r="AR76" s="152" t="n"/>
      <c r="AS76" s="152" t="n"/>
      <c r="AT76" s="156" t="inlineStr">
        <is>
          <t>Not disclosed</t>
        </is>
      </c>
      <c r="AU76" s="156" t="inlineStr">
        <is>
          <t>Not disclosed</t>
        </is>
      </c>
      <c r="AV76" s="152" t="inlineStr">
        <is>
          <t>Not disclosed</t>
        </is>
      </c>
      <c r="AW76" s="156" t="inlineStr">
        <is>
          <t>Not disclosed</t>
        </is>
      </c>
      <c r="AX76" s="151" t="n">
        <v>3</v>
      </c>
      <c r="AY76" s="156" t="inlineStr">
        <is>
          <t>Not disclosed</t>
        </is>
      </c>
      <c r="AZ76" s="156" t="inlineStr">
        <is>
          <t>Not disclosed</t>
        </is>
      </c>
      <c r="BA76" s="156" t="n"/>
      <c r="BB76" s="156" t="inlineStr">
        <is>
          <t>Not disclosed</t>
        </is>
      </c>
      <c r="BC76" s="156" t="inlineStr">
        <is>
          <t>Not disclosed</t>
        </is>
      </c>
      <c r="BD76" s="152" t="inlineStr">
        <is>
          <t>Not disclosed</t>
        </is>
      </c>
      <c r="BE76" s="152" t="inlineStr">
        <is>
          <t>Not disclosed</t>
        </is>
      </c>
      <c r="BF76" s="152" t="n"/>
      <c r="BG76" s="152" t="n"/>
      <c r="BH76" s="152" t="n"/>
      <c r="BI76" s="152" t="n"/>
      <c r="BJ76" s="152" t="n"/>
      <c r="BK76" s="152" t="n"/>
      <c r="BL76" s="152" t="n"/>
      <c r="BM76" s="152" t="inlineStr">
        <is>
          <t>Not disclosed</t>
        </is>
      </c>
      <c r="BN76" s="152" t="inlineStr">
        <is>
          <t>Not disclosed</t>
        </is>
      </c>
      <c r="BO76" s="156" t="inlineStr">
        <is>
          <t>Manipulation 3/4 · Navigation 3/4 · Peak 5 km/h · Walk 3 km/h · Runtime 2</t>
        </is>
      </c>
      <c r="BP76" s="152" t="n"/>
      <c r="BQ76" s="156" t="inlineStr">
        <is>
          <t>Research labs, commercial pilots, and education programs evaluating a humanoid from Fourier Intelligence (China) now listed as prototype.</t>
        </is>
      </c>
      <c r="BR76" s="156" t="inlineStr">
        <is>
          <t>Prototype</t>
        </is>
      </c>
      <c r="BS76" s="156" t="inlineStr">
        <is>
          <t>Prototype</t>
        </is>
      </c>
      <c r="BT76" s="152" t="n"/>
      <c r="BU76" s="152" t="inlineStr">
        <is>
          <t>Not verified</t>
        </is>
      </c>
      <c r="BV76" s="156" t="n"/>
      <c r="BW76" s="156" t="inlineStr">
        <is>
          <t>Origin &amp; status — China · Prototype · 2026 | Manipulation — Payload 33.1 lb | Sensing &amp; software — Sensor and compute package confirmed on formal quote | Buying notes — From $150,000 · 12 months manufacturer standard (typical research/commercial humanoid)</t>
        </is>
      </c>
      <c r="BX76" s="156" t="inlineStr">
        <is>
          <t>as_shipped|GR-1|150000|As shipped</t>
        </is>
      </c>
      <c r="BY76" s="152" t="inlineStr">
        <is>
          <t>gr_1|Manufacturer finish|#e2e8f0|0</t>
        </is>
      </c>
      <c r="BZ76" s="152" t="inlineStr"/>
      <c r="CA76" s="156" t="n"/>
      <c r="CB76" s="156" t="inlineStr">
        <is>
          <t>12 months manufacturer standard (typical research/commercial humanoid)</t>
        </is>
      </c>
      <c r="CC76" s="154" t="n">
        <v>12</v>
      </c>
      <c r="CD76" s="156" t="inlineStr">
        <is>
          <t>+3 Year Extended ≈24% of configuration (default in configurator)</t>
        </is>
      </c>
      <c r="CE76" s="152" t="inlineStr">
        <is>
          <t>Humanoid category norm 2025–2026</t>
        </is>
      </c>
      <c r="CF76" s="152" t="inlineStr">
        <is>
          <t>Estimated</t>
        </is>
      </c>
      <c r="CG76" s="156" t="inlineStr">
        <is>
          <t>Confirm on formal OEM quote. EDU or enterprise packages may differ.</t>
        </is>
      </c>
      <c r="CH76" s="152" t="inlineStr">
        <is>
          <t>10%</t>
        </is>
      </c>
      <c r="CI76" s="152" t="inlineStr">
        <is>
          <t>17%</t>
        </is>
      </c>
      <c r="CJ76" s="152" t="inlineStr">
        <is>
          <t>24%</t>
        </is>
      </c>
      <c r="CK76" s="156" t="inlineStr">
        <is>
          <t>+1yr ≈10% | +2yr ≈17% | +3yr ≈24% of selected configuration price (parts &amp; labor beyond manufacturer standard).</t>
        </is>
      </c>
      <c r="CL76"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76" s="152" t="inlineStr">
        <is>
          <t>12 months manufacturer standard (typical research/commercial humanoid)</t>
        </is>
      </c>
      <c r="CQ76" s="101" t="inlineStr">
        <is>
          <t>Height: 5 ft 5 in | Weight: 121.3 | Degrees of Freedom: 25 | Payload: 33.1 | Max Speed: 3.11 | Battery / Runtime: ≈ 2 hours</t>
        </is>
      </c>
    </row>
    <row r="77" ht="31.5" customHeight="1" s="102">
      <c r="A77" s="145" t="inlineStr">
        <is>
          <t>fourier_intelligence_gr_2</t>
        </is>
      </c>
      <c r="B77" s="153" t="inlineStr">
        <is>
          <t>Humanoid.guide</t>
        </is>
      </c>
      <c r="C77" s="145" t="inlineStr">
        <is>
          <t>Fourier</t>
        </is>
      </c>
      <c r="D77" s="145" t="inlineStr">
        <is>
          <t>GR-2</t>
        </is>
      </c>
      <c r="E77" s="145" t="inlineStr">
        <is>
          <t>[Fourier] GR-2 (2024)</t>
        </is>
      </c>
      <c r="F77" s="146" t="inlineStr">
        <is>
          <t>humanoid</t>
        </is>
      </c>
      <c r="G77" s="145" t="inlineStr">
        <is>
          <t>China</t>
        </is>
      </c>
      <c r="H77" s="145" t="n"/>
      <c r="I77" s="148" t="n">
        <v>150000</v>
      </c>
      <c r="J77" s="145" t="inlineStr">
        <is>
          <t>Robot Price Index Aug 2026</t>
        </is>
      </c>
      <c r="K77" s="149" t="inlineStr">
        <is>
          <t>Fourier’s GR-2 humanoid robot represents the next milestone in robotics with its combination of advanced agility, precision, and innovative AI features.</t>
        </is>
      </c>
      <c r="L77" s="101" t="inlineStr">
        <is>
          <t>Fourier’s GR-2 humanoid robot represents the next milestone in robotics with its combination of advanced agility, precision, and innovative AI features.</t>
        </is>
      </c>
      <c r="M77" s="101" t="inlineStr">
        <is>
          <t>GR-2 is Fourier's humanoid, introduced around 2026 in China. Fourier’s GR-2 humanoid robot represents the next milestone in robotics with its combination of advanced agility, precision, and innovative AI features. Public status is listed as prototype.</t>
        </is>
      </c>
      <c r="N77" s="150" t="inlineStr">
        <is>
          <t>https://humanoid.guide/product/gr-2/</t>
        </is>
      </c>
      <c r="O77" s="150" t="inlineStr">
        <is>
          <t>https://www.fftai.com</t>
        </is>
      </c>
      <c r="P77" s="145" t="inlineStr">
        <is>
          <t>5 ft 9 in</t>
        </is>
      </c>
      <c r="Q77" s="145" t="n">
        <v>175</v>
      </c>
      <c r="R77" s="145" t="n">
        <v>143.3</v>
      </c>
      <c r="S77" s="145" t="n">
        <v>65</v>
      </c>
      <c r="T77" s="149" t="inlineStr">
        <is>
          <t>Not disclosed</t>
        </is>
      </c>
      <c r="U77" s="145" t="n"/>
      <c r="V77" s="145" t="inlineStr">
        <is>
          <t>53</t>
        </is>
      </c>
      <c r="W77" s="149" t="inlineStr">
        <is>
          <t>Not disclosed</t>
        </is>
      </c>
      <c r="X77" s="145" t="n">
        <v>6.6</v>
      </c>
      <c r="Y77" s="145" t="n">
        <v>3</v>
      </c>
      <c r="Z77" s="145" t="n">
        <v>3.11</v>
      </c>
      <c r="AA77" s="145" t="n">
        <v>5</v>
      </c>
      <c r="AB77" s="145" t="n">
        <v>5</v>
      </c>
      <c r="AC77" s="149" t="inlineStr">
        <is>
          <t>≈ 2 hours</t>
        </is>
      </c>
      <c r="AD77" s="149" t="inlineStr">
        <is>
          <t>2</t>
        </is>
      </c>
      <c r="AE77" s="145" t="n"/>
      <c r="AF77" s="145" t="inlineStr">
        <is>
          <t>Not disclosed</t>
        </is>
      </c>
      <c r="AG77" s="149" t="inlineStr">
        <is>
          <t>Not disclosed</t>
        </is>
      </c>
      <c r="AH77" s="145" t="inlineStr">
        <is>
          <t>Not disclosed</t>
        </is>
      </c>
      <c r="AI77" s="158" t="n">
        <v>2</v>
      </c>
      <c r="AJ77" s="149" t="inlineStr">
        <is>
          <t>Not disclosed</t>
        </is>
      </c>
      <c r="AK77" s="149" t="n"/>
      <c r="AL77" s="145" t="inlineStr">
        <is>
          <t>Not disclosed</t>
        </is>
      </c>
      <c r="AM77" s="145" t="n"/>
      <c r="AN77" s="145" t="inlineStr">
        <is>
          <t>Not disclosed</t>
        </is>
      </c>
      <c r="AO77" s="145" t="inlineStr">
        <is>
          <t>Not disclosed</t>
        </is>
      </c>
      <c r="AP77" s="145" t="inlineStr">
        <is>
          <t>Not disclosed</t>
        </is>
      </c>
      <c r="AQ77" s="145" t="inlineStr">
        <is>
          <t>Not disclosed</t>
        </is>
      </c>
      <c r="AR77" s="145" t="n"/>
      <c r="AS77" s="145" t="n"/>
      <c r="AT77" s="149" t="inlineStr">
        <is>
          <t>Not disclosed</t>
        </is>
      </c>
      <c r="AU77" s="149" t="inlineStr">
        <is>
          <t>Not disclosed</t>
        </is>
      </c>
      <c r="AV77" s="145" t="inlineStr">
        <is>
          <t>Not disclosed</t>
        </is>
      </c>
      <c r="AW77" s="149" t="inlineStr">
        <is>
          <t>Not disclosed</t>
        </is>
      </c>
      <c r="AX77" s="158" t="n">
        <v>2</v>
      </c>
      <c r="AY77" s="149" t="inlineStr">
        <is>
          <t>Not disclosed</t>
        </is>
      </c>
      <c r="AZ77" s="149" t="inlineStr">
        <is>
          <t>Not disclosed</t>
        </is>
      </c>
      <c r="BA77" s="149" t="n"/>
      <c r="BB77" s="149" t="inlineStr">
        <is>
          <t>Not disclosed</t>
        </is>
      </c>
      <c r="BC77" s="149" t="inlineStr">
        <is>
          <t>Not disclosed</t>
        </is>
      </c>
      <c r="BD77" s="145" t="inlineStr">
        <is>
          <t>Not disclosed</t>
        </is>
      </c>
      <c r="BE77" s="145" t="inlineStr">
        <is>
          <t>Not disclosed</t>
        </is>
      </c>
      <c r="BF77" s="145" t="n"/>
      <c r="BG77" s="145" t="n"/>
      <c r="BH77" s="145" t="n"/>
      <c r="BI77" s="145" t="n"/>
      <c r="BJ77" s="145" t="n"/>
      <c r="BK77" s="145" t="n"/>
      <c r="BL77" s="145" t="n"/>
      <c r="BM77" s="145" t="inlineStr">
        <is>
          <t>Not disclosed</t>
        </is>
      </c>
      <c r="BN77" s="145" t="inlineStr">
        <is>
          <t>Not disclosed</t>
        </is>
      </c>
      <c r="BO77" s="149" t="inlineStr">
        <is>
          <t>Manipulation 2/4 · Navigation 2/4 · Peak 5 km/h · Walk 5 km/h · Runtime 2</t>
        </is>
      </c>
      <c r="BP77" s="145" t="n"/>
      <c r="BQ77" s="149" t="inlineStr">
        <is>
          <t>Research labs, commercial pilots, and education programs evaluating a humanoid from Fourier Intelligence (China) now listed as prototype.</t>
        </is>
      </c>
      <c r="BR77" s="149" t="inlineStr">
        <is>
          <t>Prototype</t>
        </is>
      </c>
      <c r="BS77" s="149" t="inlineStr">
        <is>
          <t>Prototype</t>
        </is>
      </c>
      <c r="BT77" s="145" t="n"/>
      <c r="BU77" s="145" t="inlineStr">
        <is>
          <t>Verified</t>
        </is>
      </c>
      <c r="BV77" s="149" t="n"/>
      <c r="BW77" s="149" t="inlineStr">
        <is>
          <t>Origin &amp; status — China · Prototype · 2026 | Manipulation — Payload 6.6 lb | Sensing &amp; software — Sensor and compute package confirmed on formal quote | Buying notes — From $150,000 · 12 months manufacturer standard (typical research/commercial humanoid)</t>
        </is>
      </c>
      <c r="BX77" s="149" t="inlineStr">
        <is>
          <t>as_shipped|GR-2|150000|As shipped</t>
        </is>
      </c>
      <c r="BY77" s="145" t="inlineStr">
        <is>
          <t>gr_2|Manufacturer finish|#e2e8f0|0</t>
        </is>
      </c>
      <c r="BZ77" s="145" t="inlineStr"/>
      <c r="CA77" s="149" t="n"/>
      <c r="CB77" s="149" t="inlineStr">
        <is>
          <t>12 months manufacturer standard (typical research/commercial humanoid)</t>
        </is>
      </c>
      <c r="CC77" s="147" t="n">
        <v>12</v>
      </c>
      <c r="CD77" s="149" t="inlineStr">
        <is>
          <t>+3 Year Extended ≈24% of configuration (default in configurator)</t>
        </is>
      </c>
      <c r="CE77" s="145" t="inlineStr">
        <is>
          <t>Humanoid category norm 2025–2026</t>
        </is>
      </c>
      <c r="CF77" s="145" t="inlineStr">
        <is>
          <t>Estimated</t>
        </is>
      </c>
      <c r="CG77" s="149" t="inlineStr">
        <is>
          <t>Confirm on formal OEM quote. EDU or enterprise packages may differ.</t>
        </is>
      </c>
      <c r="CH77" s="145" t="inlineStr">
        <is>
          <t>10%</t>
        </is>
      </c>
      <c r="CI77" s="145" t="inlineStr">
        <is>
          <t>17%</t>
        </is>
      </c>
      <c r="CJ77" s="145" t="inlineStr">
        <is>
          <t>24%</t>
        </is>
      </c>
      <c r="CK77" s="149" t="inlineStr">
        <is>
          <t>+1yr ≈10% | +2yr ≈17% | +3yr ≈24% of selected configuration price (parts &amp; labor beyond manufacturer standard).</t>
        </is>
      </c>
      <c r="CL77"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77" s="145" t="inlineStr">
        <is>
          <t>12 months manufacturer standard (typical research/commercial humanoid)</t>
        </is>
      </c>
      <c r="CQ77" s="101" t="inlineStr">
        <is>
          <t>Height: 5 ft 9 in | Weight: 143.3 | Degrees of Freedom: 53 | Payload: 6.6 | Max Speed: 3.11 | Battery / Runtime: ≈ 2 hours</t>
        </is>
      </c>
    </row>
    <row r="78" ht="31.5" customHeight="1" s="102">
      <c r="A78" s="159" t="inlineStr">
        <is>
          <t>fourier_intelligence_gr_1_gr_2_gr_3</t>
        </is>
      </c>
      <c r="B78" s="144" t="inlineStr">
        <is>
          <t>Both</t>
        </is>
      </c>
      <c r="C78" s="152" t="inlineStr">
        <is>
          <t>Fourier</t>
        </is>
      </c>
      <c r="D78" s="152" t="inlineStr">
        <is>
          <t>GR-3</t>
        </is>
      </c>
      <c r="E78" s="152" t="inlineStr">
        <is>
          <t>[Fourier] GR-3 (2023)</t>
        </is>
      </c>
      <c r="F78" s="146" t="inlineStr">
        <is>
          <t>humanoid</t>
        </is>
      </c>
      <c r="G78" s="152" t="inlineStr">
        <is>
          <t>China</t>
        </is>
      </c>
      <c r="H78" s="154" t="n">
        <v>2023</v>
      </c>
      <c r="I78" s="155" t="n">
        <v>27500</v>
      </c>
      <c r="J78" s="152" t="inlineStr">
        <is>
          <t>Robot Price Index Aug 2026 · entry</t>
        </is>
      </c>
      <c r="K78" s="156" t="inlineStr">
        <is>
          <t>Fourier GR-3 is a care-focused humanoid robot designed for social interaction, companionship, and human-centered service tasks.</t>
        </is>
      </c>
      <c r="L78" s="101" t="inlineStr">
        <is>
          <t>Fourier GR-3 is a care-focused humanoid robot designed for social interaction, companionship, and human-centered service tasks.</t>
        </is>
      </c>
      <c r="M78" s="101" t="inlineStr">
        <is>
          <t>Fourier GR-3 is a care-focused humanoid robot designed for social interaction, companionship, and human-centered service tasks. Public status is listed as limited availability / ~600 shipped (GR-1), and it is positioned for research / Service / Healthcare / Care.</t>
        </is>
      </c>
      <c r="N78" s="157" t="inlineStr">
        <is>
          <t>https://humanoid.guide/product/fourier-gr-3/</t>
        </is>
      </c>
      <c r="O78" s="157" t="inlineStr">
        <is>
          <t>https://www.fftai.com</t>
        </is>
      </c>
      <c r="P78" s="152" t="inlineStr">
        <is>
          <t>5 ft 5 in – 5 ft 9 in</t>
        </is>
      </c>
      <c r="Q78" s="152" t="n">
        <v>165</v>
      </c>
      <c r="R78" s="152" t="n">
        <v>156.5</v>
      </c>
      <c r="S78" s="152" t="n">
        <v>71</v>
      </c>
      <c r="T78" s="156" t="inlineStr">
        <is>
          <t>Not disclosed</t>
        </is>
      </c>
      <c r="U78" s="152" t="n"/>
      <c r="V78" s="152" t="inlineStr">
        <is>
          <t>40–55</t>
        </is>
      </c>
      <c r="W78" s="156" t="inlineStr">
        <is>
          <t>12</t>
        </is>
      </c>
      <c r="X78" s="152" t="n">
        <v>33.1</v>
      </c>
      <c r="Y78" s="152" t="n">
        <v>15</v>
      </c>
      <c r="Z78" s="152" t="n">
        <v>3.11</v>
      </c>
      <c r="AA78" s="152" t="n">
        <v>5</v>
      </c>
      <c r="AB78" s="152" t="n">
        <v>5</v>
      </c>
      <c r="AC78" s="156" t="inlineStr">
        <is>
          <t>≈ 3 hours</t>
        </is>
      </c>
      <c r="AD78" s="156" t="inlineStr">
        <is>
          <t>3</t>
        </is>
      </c>
      <c r="AE78" s="152" t="n"/>
      <c r="AF78" s="152" t="inlineStr">
        <is>
          <t>Not disclosed</t>
        </is>
      </c>
      <c r="AG78" s="156" t="inlineStr">
        <is>
          <t>Manipulation for care and service demos</t>
        </is>
      </c>
      <c r="AH78" s="152" t="inlineStr">
        <is>
          <t>5 per hand</t>
        </is>
      </c>
      <c r="AI78" s="152" t="n"/>
      <c r="AJ78" s="156" t="inlineStr">
        <is>
          <t>Service/healthcare oriented vision</t>
        </is>
      </c>
      <c r="AK78" s="156" t="inlineStr">
        <is>
          <t>RGB + structured-light camera module</t>
        </is>
      </c>
      <c r="AL78" s="152" t="inlineStr">
        <is>
          <t>Not disclosed</t>
        </is>
      </c>
      <c r="AM78" s="152" t="n"/>
      <c r="AN78" s="152" t="inlineStr">
        <is>
          <t>Not disclosed</t>
        </is>
      </c>
      <c r="AO78" s="152" t="inlineStr">
        <is>
          <t>Not disclosed</t>
        </is>
      </c>
      <c r="AP78" s="152" t="inlineStr">
        <is>
          <t>Not disclosed</t>
        </is>
      </c>
      <c r="AQ78" s="152" t="inlineStr">
        <is>
          <t>Not disclosed</t>
        </is>
      </c>
      <c r="AR78" s="152" t="n"/>
      <c r="AS78" s="152" t="n"/>
      <c r="AT78" s="156" t="inlineStr">
        <is>
          <t>Not disclosed</t>
        </is>
      </c>
      <c r="AU78" s="156" t="inlineStr">
        <is>
          <t>Ethernet; WiFi</t>
        </is>
      </c>
      <c r="AV78" s="152" t="inlineStr">
        <is>
          <t>Fourier GR series software</t>
        </is>
      </c>
      <c r="AW78" s="156" t="inlineStr">
        <is>
          <t>Bipedal walking for research and care environments</t>
        </is>
      </c>
      <c r="AX78" s="152" t="n"/>
      <c r="AY78" s="156" t="inlineStr">
        <is>
          <t>Linux-based robotics stack (ROS-compatible, assumed)</t>
        </is>
      </c>
      <c r="AZ78" s="156" t="inlineStr">
        <is>
          <t>Yes</t>
        </is>
      </c>
      <c r="BA78" s="156" t="inlineStr">
        <is>
          <t>Low-latency real-time response</t>
        </is>
      </c>
      <c r="BB78" s="156" t="inlineStr">
        <is>
          <t>High-performance electric actuators</t>
        </is>
      </c>
      <c r="BC78" s="156" t="inlineStr">
        <is>
          <t>Precision reduction gears</t>
        </is>
      </c>
      <c r="BD78" s="152" t="inlineStr">
        <is>
          <t>Soft polymer shell with padded upholstery</t>
        </is>
      </c>
      <c r="BE78" s="152" t="inlineStr">
        <is>
          <t>Not disclosed</t>
        </is>
      </c>
      <c r="BF78" s="152" t="n"/>
      <c r="BG78" s="152" t="n"/>
      <c r="BH78" s="152" t="n"/>
      <c r="BI78" s="152" t="n"/>
      <c r="BJ78" s="152" t="n"/>
      <c r="BK78" s="152" t="n"/>
      <c r="BL78" s="152" t="n"/>
      <c r="BM78" s="152" t="inlineStr">
        <is>
          <t>Yes</t>
        </is>
      </c>
      <c r="BN78" s="152" t="inlineStr">
        <is>
          <t>Not disclosed</t>
        </is>
      </c>
      <c r="BO78" s="156" t="inlineStr">
        <is>
          <t>Market: Research / Service / Healthcare / Care · Human-safe: Yes · AI: Yes · Actuation: High-performance electric actuators · Peak 5 km/h · Walk 5 km/h · Runtime 3</t>
        </is>
      </c>
      <c r="BP78" s="152" t="n"/>
      <c r="BQ78" s="156" t="inlineStr">
        <is>
          <t>Research / Service / Healthcare / Care</t>
        </is>
      </c>
      <c r="BR78" s="156" t="inlineStr">
        <is>
          <t>Limited availability / ~600 shipped (GR-1)</t>
        </is>
      </c>
      <c r="BS78" s="156" t="inlineStr">
        <is>
          <t>In production</t>
        </is>
      </c>
      <c r="BT78" s="152" t="n"/>
      <c r="BU78" s="152" t="n"/>
      <c r="BV78" s="156" t="inlineStr">
        <is>
          <t>Strong clinical/rehab presence; merged GR series Humanoid.guide listed price $80,000.</t>
        </is>
      </c>
      <c r="BW78" s="156" t="inlineStr">
        <is>
          <t>Origin &amp; status — China · Limited availability / ~600 shipped (GR-1) · 2023 | Manipulation — Manipulation for care and service demos · 5 per hand fingers · Hand DOF 12 · Payload ≈ 33–110 lb class depending on model | Sensing &amp; software — Service/healthcare oriented vision · Yes · Linux-based robotics stack (ROS-compatible, assumed) · Fourier GR series software | Buying notes — From $27,500 · 12 months manufacturer standard (typical research/commercial humanoid) · Best fit: Research</t>
        </is>
      </c>
      <c r="BX78" s="156" t="inlineStr">
        <is>
          <t>as_shipped|GR-3|27500|As shipped</t>
        </is>
      </c>
      <c r="BY78" s="152" t="inlineStr">
        <is>
          <t>gr_3|Manufacturer finish|#e2e8f0|0</t>
        </is>
      </c>
      <c r="BZ78" s="152" t="inlineStr"/>
      <c r="CA78" s="156" t="inlineStr">
        <is>
          <t>Add-ons: case; 2 color options; Multi-year extended warranty available</t>
        </is>
      </c>
      <c r="CB78" s="156" t="inlineStr">
        <is>
          <t>12 months manufacturer standard (typical research/commercial humanoid)</t>
        </is>
      </c>
      <c r="CC78" s="154" t="n">
        <v>12</v>
      </c>
      <c r="CD78" s="156" t="inlineStr">
        <is>
          <t>+3 Year Extended ≈24% of configuration (default in configurator)</t>
        </is>
      </c>
      <c r="CE78" s="152" t="inlineStr">
        <is>
          <t>Humanoid category norm 2025–2026</t>
        </is>
      </c>
      <c r="CF78" s="152" t="inlineStr">
        <is>
          <t>Estimated</t>
        </is>
      </c>
      <c r="CG78" s="156" t="inlineStr">
        <is>
          <t>EDU or enterprise packages may differ; confirm on formal quote.</t>
        </is>
      </c>
      <c r="CH78" s="152" t="inlineStr">
        <is>
          <t>10%</t>
        </is>
      </c>
      <c r="CI78" s="152" t="inlineStr">
        <is>
          <t>17%</t>
        </is>
      </c>
      <c r="CJ78" s="152" t="inlineStr">
        <is>
          <t>24%</t>
        </is>
      </c>
      <c r="CK78"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78"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78" s="152" t="inlineStr">
        <is>
          <t>12 months manufacturer standard (typical research/commercial humanoid)</t>
        </is>
      </c>
      <c r="CQ78" s="101" t="inlineStr">
        <is>
          <t>Height: 5 ft 5 in – 5 ft 9 in | Weight: 156.5 | Degrees of Freedom: 40–55 | Payload: 33.1 | Max Speed: 3.11 | Battery / Runtime: ≈ 3 hours</t>
        </is>
      </c>
    </row>
    <row r="79" ht="31.5" customHeight="1" s="102">
      <c r="A79" s="145" t="inlineStr">
        <is>
          <t>futuring_robot_futuring_2</t>
        </is>
      </c>
      <c r="B79" s="153" t="inlineStr">
        <is>
          <t>Humanoid.guide</t>
        </is>
      </c>
      <c r="C79" s="145" t="inlineStr">
        <is>
          <t>Futuring Robot</t>
        </is>
      </c>
      <c r="D79" s="145" t="inlineStr">
        <is>
          <t>Futuring 2</t>
        </is>
      </c>
      <c r="E79" s="145" t="inlineStr">
        <is>
          <t>[Futuring Robot] Futuring 2 (2026)</t>
        </is>
      </c>
      <c r="F79" s="146" t="inlineStr">
        <is>
          <t>humanoid</t>
        </is>
      </c>
      <c r="G79" s="145" t="inlineStr">
        <is>
          <t>China</t>
        </is>
      </c>
      <c r="H79" s="145" t="n"/>
      <c r="I79" s="148" t="n">
        <v>5000</v>
      </c>
      <c r="J79" s="145" t="inlineStr">
        <is>
          <t>Humanoid.guide list</t>
        </is>
      </c>
      <c r="K79" s="149" t="inlineStr">
        <is>
          <t>Futuring 2 is an advanced humanoid robot designed for real-world tasks, combining mobility, precision, and AI-driven interaction for industrial and service environments.</t>
        </is>
      </c>
      <c r="L79" s="101" t="inlineStr">
        <is>
          <t>Futuring 2 is an advanced humanoid robot designed for real-world tasks, combining mobility, precision, and AI-driven interaction for industrial and service environments.</t>
        </is>
      </c>
      <c r="M79" s="101" t="inlineStr">
        <is>
          <t>Futuring 2 is an advanced humanoid robot designed for real-world tasks, combining mobility, precision, and AI-driven interaction for industrial and service environments. Public status is listed as prototype, and it is positioned for companion robotics; Education &amp; research; Healthcare &amp; assisted living; Public service &amp; hospitality.</t>
        </is>
      </c>
      <c r="N79" s="150" t="inlineStr">
        <is>
          <t>https://humanoid.guide/product/futuring-2/</t>
        </is>
      </c>
      <c r="O79" s="150" t="inlineStr">
        <is>
          <t>https://futuringrobot.com/</t>
        </is>
      </c>
      <c r="P79" s="145" t="inlineStr">
        <is>
          <t>4 ft 11 in</t>
        </is>
      </c>
      <c r="Q79" s="145" t="n">
        <v>150</v>
      </c>
      <c r="R79" s="145" t="n">
        <v>154.3</v>
      </c>
      <c r="S79" s="145" t="n">
        <v>70</v>
      </c>
      <c r="T79" s="149" t="inlineStr">
        <is>
          <t>Not disclosed</t>
        </is>
      </c>
      <c r="U79" s="145" t="n"/>
      <c r="V79" s="145" t="inlineStr">
        <is>
          <t>26</t>
        </is>
      </c>
      <c r="W79" s="149" t="inlineStr">
        <is>
          <t>12</t>
        </is>
      </c>
      <c r="X79" s="145" t="n">
        <v>13.2</v>
      </c>
      <c r="Y79" s="145" t="n">
        <v>6</v>
      </c>
      <c r="Z79" s="145" t="n">
        <v>2.49</v>
      </c>
      <c r="AA79" s="145" t="n">
        <v>4</v>
      </c>
      <c r="AB79" s="145" t="n"/>
      <c r="AC79" s="149" t="inlineStr">
        <is>
          <t>≈ 3 hours</t>
        </is>
      </c>
      <c r="AD79" s="149" t="inlineStr">
        <is>
          <t>3</t>
        </is>
      </c>
      <c r="AE79" s="145" t="n"/>
      <c r="AF79" s="145" t="inlineStr">
        <is>
          <t>Not disclosed</t>
        </is>
      </c>
      <c r="AG79" s="149" t="inlineStr">
        <is>
          <t>2-finger gripping claws</t>
        </is>
      </c>
      <c r="AH79" s="145" t="inlineStr">
        <is>
          <t>2-finger gripping claws</t>
        </is>
      </c>
      <c r="AI79" s="145" t="n"/>
      <c r="AJ79" s="149" t="inlineStr">
        <is>
          <t>HD to 4K stereo vision (estimated)</t>
        </is>
      </c>
      <c r="AK79" s="149" t="inlineStr">
        <is>
          <t>HD to 4K stereo vision (estimated)</t>
        </is>
      </c>
      <c r="AL79" s="145" t="inlineStr">
        <is>
          <t>Not disclosed</t>
        </is>
      </c>
      <c r="AM79" s="145" t="n"/>
      <c r="AN79" s="145" t="inlineStr">
        <is>
          <t>Not disclosed</t>
        </is>
      </c>
      <c r="AO79" s="145" t="inlineStr">
        <is>
          <t>Not disclosed</t>
        </is>
      </c>
      <c r="AP79" s="145" t="inlineStr">
        <is>
          <t>Not disclosed</t>
        </is>
      </c>
      <c r="AQ79" s="145" t="inlineStr">
        <is>
          <t>Not disclosed</t>
        </is>
      </c>
      <c r="AR79" s="145" t="n"/>
      <c r="AS79" s="145" t="n"/>
      <c r="AT79" s="149" t="inlineStr">
        <is>
          <t>AI edge computing unit (likely NVIDIA-based or equivalent)</t>
        </is>
      </c>
      <c r="AU79" s="149" t="inlineStr">
        <is>
          <t>Ethernet; WiFi</t>
        </is>
      </c>
      <c r="AV79" s="145" t="inlineStr">
        <is>
          <t>Not disclosed</t>
        </is>
      </c>
      <c r="AW79" s="149" t="inlineStr">
        <is>
          <t>Not disclosed</t>
        </is>
      </c>
      <c r="AX79" s="145" t="n"/>
      <c r="AY79" s="149" t="inlineStr">
        <is>
          <t>Linux-based robotics OS (ROS/ROS2 likely)</t>
        </is>
      </c>
      <c r="AZ79" s="149" t="inlineStr">
        <is>
          <t>Likely supported (cloud or edge AI integration)</t>
        </is>
      </c>
      <c r="BA79" s="149" t="n"/>
      <c r="BB79" s="149" t="inlineStr">
        <is>
          <t>Electric servo motors</t>
        </is>
      </c>
      <c r="BC79" s="149" t="inlineStr">
        <is>
          <t>Harmonic drives / precision reducers</t>
        </is>
      </c>
      <c r="BD79" s="145" t="inlineStr">
        <is>
          <t>Likely aluminum alloy + composite materials</t>
        </is>
      </c>
      <c r="BE79" s="145" t="inlineStr">
        <is>
          <t>Not disclosed</t>
        </is>
      </c>
      <c r="BF79" s="145" t="n"/>
      <c r="BG79" s="145" t="n"/>
      <c r="BH79" s="145" t="n"/>
      <c r="BI79" s="145" t="n"/>
      <c r="BJ79" s="145" t="n"/>
      <c r="BK79" s="145" t="n"/>
      <c r="BL79" s="145" t="n"/>
      <c r="BM79" s="145" t="inlineStr">
        <is>
          <t>Yes</t>
        </is>
      </c>
      <c r="BN79" s="145" t="inlineStr">
        <is>
          <t>Not disclosed</t>
        </is>
      </c>
      <c r="BO79" s="149" t="inlineStr">
        <is>
          <t>Market: Companion robotics; Education &amp; research; Healthcare &amp; assisted living; Public service &amp; hospitality · Human-safe: Yes · AI: Likely supported (cloud or edge AI integration) · Actuation: Electric servo motors · Peak 4 km/h · Runtime 3</t>
        </is>
      </c>
      <c r="BP79" s="145" t="n"/>
      <c r="BQ79" s="149" t="inlineStr">
        <is>
          <t>Companion robotics; Education &amp; research; Healthcare &amp; assisted living; Public service &amp; hospitality</t>
        </is>
      </c>
      <c r="BR79" s="149" t="inlineStr">
        <is>
          <t>Prototype</t>
        </is>
      </c>
      <c r="BS79" s="149" t="inlineStr">
        <is>
          <t>Prototype</t>
        </is>
      </c>
      <c r="BT79" s="145" t="n"/>
      <c r="BU79" s="145" t="n"/>
      <c r="BV79" s="149" t="n"/>
      <c r="BW79" s="149" t="inlineStr">
        <is>
          <t>Origin &amp; status — China · Prototype · 2026 | Manipulation — 2-finger gripping claws · Hand DOF 12 · Payload 13.2 lb | Sensing &amp; software — HD to 4K stereo vision (estimated) · Likely supported (cloud or edge AI integration) · Linux-based robotics OS (ROS/ROS2 likely) | Buying notes — From $5,000 · 12 months manufacturer standard (typical research/commercial humanoid) · Best fit: Companion robotics</t>
        </is>
      </c>
      <c r="BX79" s="149" t="inlineStr">
        <is>
          <t>as_shipped|Futuring 2|5000|As shipped</t>
        </is>
      </c>
      <c r="BY79" s="145" t="inlineStr">
        <is>
          <t>futuring_2|Manufacturer finish|#e2e8f0|0</t>
        </is>
      </c>
      <c r="BZ79" s="145" t="inlineStr"/>
      <c r="CA79" s="149" t="n"/>
      <c r="CB79" s="149" t="inlineStr">
        <is>
          <t>12 months manufacturer standard (typical research/commercial humanoid)</t>
        </is>
      </c>
      <c r="CC79" s="147" t="n">
        <v>12</v>
      </c>
      <c r="CD79" s="149" t="inlineStr">
        <is>
          <t>+3 Year Extended ≈24% of configuration (default in configurator)</t>
        </is>
      </c>
      <c r="CE79" s="145" t="inlineStr">
        <is>
          <t>Humanoid category norm 2025–2026</t>
        </is>
      </c>
      <c r="CF79" s="145" t="inlineStr">
        <is>
          <t>Estimated</t>
        </is>
      </c>
      <c r="CG79" s="149" t="inlineStr">
        <is>
          <t>Confirm on formal OEM quote. EDU or enterprise packages may differ.</t>
        </is>
      </c>
      <c r="CH79" s="145" t="inlineStr">
        <is>
          <t>10%</t>
        </is>
      </c>
      <c r="CI79" s="145" t="inlineStr">
        <is>
          <t>17%</t>
        </is>
      </c>
      <c r="CJ79" s="145" t="inlineStr">
        <is>
          <t>24%</t>
        </is>
      </c>
      <c r="CK79" s="149" t="inlineStr">
        <is>
          <t>+1yr ≈10% | +2yr ≈17% | +3yr ≈24% of selected configuration price (parts &amp; labor beyond manufacturer standard).</t>
        </is>
      </c>
      <c r="CL7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79" s="145" t="inlineStr">
        <is>
          <t>12 months manufacturer standard (typical research/commercial humanoid)</t>
        </is>
      </c>
      <c r="CQ79" s="101" t="inlineStr">
        <is>
          <t>Height: 4 ft 11 in | Weight: 154.3 | Degrees of Freedom: 26 | Payload: 13.2 | Max Speed: 2.49 | Battery / Runtime: ≈ 3 hours</t>
        </is>
      </c>
    </row>
    <row r="80" ht="31.5" customHeight="1" s="102">
      <c r="A80" s="152" t="inlineStr">
        <is>
          <t>galaxea_dynamics_kengo</t>
        </is>
      </c>
      <c r="B80" s="153" t="inlineStr">
        <is>
          <t>Humanoid.guide</t>
        </is>
      </c>
      <c r="C80" s="152" t="inlineStr">
        <is>
          <t>Galaxea Dynamics</t>
        </is>
      </c>
      <c r="D80" s="152" t="inlineStr">
        <is>
          <t>Kengo</t>
        </is>
      </c>
      <c r="E80" s="152" t="inlineStr">
        <is>
          <t>[Galaxea Dynamics] Kengo (2026)</t>
        </is>
      </c>
      <c r="F80" s="146" t="inlineStr">
        <is>
          <t>humanoid</t>
        </is>
      </c>
      <c r="G80" s="152" t="inlineStr">
        <is>
          <t>China</t>
        </is>
      </c>
      <c r="H80" s="154" t="n">
        <v>2026</v>
      </c>
      <c r="I80" s="155" t="n">
        <v>69999</v>
      </c>
      <c r="J80" s="152" t="inlineStr">
        <is>
          <t>Humanoid.guide list</t>
        </is>
      </c>
      <c r="K80" s="156" t="inlineStr">
        <is>
          <t>Kengo is Galaxea Dynamics's humanoid — 5 ft 7 in class, 32 DOF, 44.1 lb payload. 10; onboard AI: Yes via Galaxea's "embodied AI brain" — VLA-style architecture.</t>
        </is>
      </c>
      <c r="L80" s="101" t="inlineStr">
        <is>
          <t>Kengo is Galaxea Dynamics's humanoid — 5 ft 7 in class, 32 DOF, 44.1 lb payload. 10; onboard AI: Yes via Galaxea's "embodied AI brain" — VLA-style architecture.</t>
        </is>
      </c>
      <c r="M80" s="101" t="inlineStr">
        <is>
          <t>Kengo is Galaxea Dynamics's humanoid — 5 ft 7 in class, 32 DOF, 44.1 lb payload. 10; onboard AI: Yes via Galaxea's "embodied AI brain" — VLA-style architecture. Public status is listed as prototype, and it is positioned for commercial services; Everyday home life; Industrial Manufacturing.</t>
        </is>
      </c>
      <c r="N80" s="157" t="inlineStr">
        <is>
          <t>https://humanoid.guide/product/kengo/</t>
        </is>
      </c>
      <c r="O80" s="157" t="inlineStr">
        <is>
          <t>https://galaxea-dynamics.com/</t>
        </is>
      </c>
      <c r="P80" s="152" t="inlineStr">
        <is>
          <t>5 ft 7 in</t>
        </is>
      </c>
      <c r="Q80" s="152" t="n">
        <v>170</v>
      </c>
      <c r="R80" s="152" t="n">
        <v>143.3</v>
      </c>
      <c r="S80" s="152" t="n">
        <v>65</v>
      </c>
      <c r="T80" s="156" t="inlineStr">
        <is>
          <t>Not disclosed</t>
        </is>
      </c>
      <c r="U80" s="152" t="n"/>
      <c r="V80" s="152" t="inlineStr">
        <is>
          <t>32</t>
        </is>
      </c>
      <c r="W80" s="156" t="inlineStr">
        <is>
          <t>12</t>
        </is>
      </c>
      <c r="X80" s="152" t="n">
        <v>44.1</v>
      </c>
      <c r="Y80" s="152" t="n">
        <v>20</v>
      </c>
      <c r="Z80" s="152" t="n">
        <v>3.73</v>
      </c>
      <c r="AA80" s="152" t="n">
        <v>6</v>
      </c>
      <c r="AB80" s="152" t="n">
        <v>4</v>
      </c>
      <c r="AC80" s="156" t="inlineStr">
        <is>
          <t>Not disclosed</t>
        </is>
      </c>
      <c r="AD80" s="156" t="n"/>
      <c r="AE80" s="152" t="n"/>
      <c r="AF80" s="152" t="inlineStr">
        <is>
          <t>Not disclosed</t>
        </is>
      </c>
      <c r="AG80" s="156" t="inlineStr">
        <is>
          <t>10</t>
        </is>
      </c>
      <c r="AH80" s="152" t="inlineStr">
        <is>
          <t>10</t>
        </is>
      </c>
      <c r="AI80" s="152" t="n"/>
      <c r="AJ80" s="156" t="inlineStr">
        <is>
          <t>Not disclosed</t>
        </is>
      </c>
      <c r="AK80" s="156" t="n"/>
      <c r="AL80" s="152" t="inlineStr">
        <is>
          <t>Not disclosed</t>
        </is>
      </c>
      <c r="AM80" s="152" t="n"/>
      <c r="AN80" s="152" t="inlineStr">
        <is>
          <t>Not disclosed</t>
        </is>
      </c>
      <c r="AO80" s="152" t="inlineStr">
        <is>
          <t>Not disclosed</t>
        </is>
      </c>
      <c r="AP80" s="152" t="inlineStr">
        <is>
          <t>Not disclosed</t>
        </is>
      </c>
      <c r="AQ80" s="152" t="inlineStr">
        <is>
          <t>Not disclosed</t>
        </is>
      </c>
      <c r="AR80" s="152" t="n"/>
      <c r="AS80" s="152" t="n"/>
      <c r="AT80" s="156" t="inlineStr">
        <is>
          <t>Not disclosed</t>
        </is>
      </c>
      <c r="AU80" s="156" t="inlineStr">
        <is>
          <t>Ethernet; Wi-Fi</t>
        </is>
      </c>
      <c r="AV80" s="152" t="inlineStr">
        <is>
          <t>Not disclosed</t>
        </is>
      </c>
      <c r="AW80" s="156" t="inlineStr">
        <is>
          <t>Not disclosed</t>
        </is>
      </c>
      <c r="AX80" s="152" t="n"/>
      <c r="AY80" s="156" t="inlineStr">
        <is>
          <t>Linux + ROS-based stack with Galaxea proprietary layer</t>
        </is>
      </c>
      <c r="AZ80" s="156" t="inlineStr">
        <is>
          <t>Yes via Galaxea's "embodied AI brain" — VLA-style architecture</t>
        </is>
      </c>
      <c r="BA80" s="156" t="n"/>
      <c r="BB80" s="156" t="inlineStr">
        <is>
          <t>Two core actuator modules drive the entire joint system</t>
        </is>
      </c>
      <c r="BC80" s="156" t="inlineStr">
        <is>
          <t>Harmonic-style reducers</t>
        </is>
      </c>
      <c r="BD80" s="152" t="inlineStr">
        <is>
          <t>Aluminum alloy with composite covers</t>
        </is>
      </c>
      <c r="BE80" s="152" t="inlineStr">
        <is>
          <t>Not disclosed</t>
        </is>
      </c>
      <c r="BF80" s="152" t="n"/>
      <c r="BG80" s="152" t="n"/>
      <c r="BH80" s="152" t="n"/>
      <c r="BI80" s="152" t="n"/>
      <c r="BJ80" s="152" t="n"/>
      <c r="BK80" s="152" t="n"/>
      <c r="BL80" s="152" t="n"/>
      <c r="BM80" s="152" t="inlineStr">
        <is>
          <t>Yes</t>
        </is>
      </c>
      <c r="BN80" s="152" t="inlineStr">
        <is>
          <t>Not disclosed</t>
        </is>
      </c>
      <c r="BO80" s="156" t="inlineStr">
        <is>
          <t>Market: Commercial services; Everyday home life; Industrial Manufacturing · Human-safe: Yes · AI: Yes via Galaxea's "embodied AI brain" — VLA-style architecture · Actuation: Two core actuator modules drive the entire joint system · Peak 6 km/h · Walk 4 km/h</t>
        </is>
      </c>
      <c r="BP80" s="152" t="n"/>
      <c r="BQ80" s="156" t="inlineStr">
        <is>
          <t>Commercial services; Everyday home life; Industrial Manufacturing</t>
        </is>
      </c>
      <c r="BR80" s="156" t="inlineStr">
        <is>
          <t>Prototype</t>
        </is>
      </c>
      <c r="BS80" s="156" t="inlineStr">
        <is>
          <t>Prototype</t>
        </is>
      </c>
      <c r="BT80" s="152" t="inlineStr">
        <is>
          <t>Blue; Grey; White</t>
        </is>
      </c>
      <c r="BU80" s="152" t="n"/>
      <c r="BV80" s="156" t="n"/>
      <c r="BW80" s="156" t="inlineStr">
        <is>
          <t>Origin &amp; status — China · Prototype · 2026 | Manipulation — 10 · 10 fingers · Hand DOF 12 · Payload 44.1 lb | Sensing &amp; software — Yes via Galaxea's "embodied AI brain" — VLA-style architecture · Linux + ROS-based stack with Galaxea proprietary layer | Buying notes — From $69,999 · 12 months manufacturer standard (typical research/commercial humanoid) · Best fit: Commercial services</t>
        </is>
      </c>
      <c r="BX80" s="156" t="inlineStr">
        <is>
          <t>as_shipped|Kengo|69999|As shipped</t>
        </is>
      </c>
      <c r="BY80" s="152" t="inlineStr">
        <is>
          <t>blue|Blue|#e2e8f0|0 || grey|Grey|#1e293b|0 || white|White|#0891b2|0</t>
        </is>
      </c>
      <c r="BZ80" s="152" t="inlineStr"/>
      <c r="CA80" s="156" t="n"/>
      <c r="CB80" s="156" t="inlineStr">
        <is>
          <t>12 months manufacturer standard (typical research/commercial humanoid)</t>
        </is>
      </c>
      <c r="CC80" s="154" t="n">
        <v>12</v>
      </c>
      <c r="CD80" s="156" t="inlineStr">
        <is>
          <t>+3 Year Extended ≈24% of configuration (default in configurator)</t>
        </is>
      </c>
      <c r="CE80" s="152" t="inlineStr">
        <is>
          <t>Humanoid category norm 2025–2026</t>
        </is>
      </c>
      <c r="CF80" s="152" t="inlineStr">
        <is>
          <t>Estimated</t>
        </is>
      </c>
      <c r="CG80" s="156" t="inlineStr">
        <is>
          <t>Confirm on formal OEM quote. EDU or enterprise packages may differ.</t>
        </is>
      </c>
      <c r="CH80" s="152" t="inlineStr">
        <is>
          <t>10%</t>
        </is>
      </c>
      <c r="CI80" s="152" t="inlineStr">
        <is>
          <t>17%</t>
        </is>
      </c>
      <c r="CJ80" s="152" t="inlineStr">
        <is>
          <t>24%</t>
        </is>
      </c>
      <c r="CK80" s="156" t="inlineStr">
        <is>
          <t>+1yr ≈10% | +2yr ≈17% | +3yr ≈24% of selected configuration price (parts &amp; labor beyond manufacturer standard).</t>
        </is>
      </c>
      <c r="CL80"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80" s="152" t="inlineStr">
        <is>
          <t>12 months manufacturer standard (typical research/commercial humanoid)</t>
        </is>
      </c>
      <c r="CQ80" s="101" t="inlineStr">
        <is>
          <t>Height: 5 ft 7 in | Weight: 143.3 | Degrees of Freedom: 32 | Payload: 44.1 | Max Speed: 3.73 | Battery / Runtime: Not disclosed</t>
        </is>
      </c>
    </row>
    <row r="81" ht="31.5" customHeight="1" s="102">
      <c r="A81" s="145" t="inlineStr">
        <is>
          <t>galaxea_dynamics_r1_pro</t>
        </is>
      </c>
      <c r="B81" s="153" t="inlineStr">
        <is>
          <t>Humanoid.guide</t>
        </is>
      </c>
      <c r="C81" s="145" t="inlineStr">
        <is>
          <t>Galaxea Dynamics</t>
        </is>
      </c>
      <c r="D81" s="145" t="inlineStr">
        <is>
          <t>R1 PRO</t>
        </is>
      </c>
      <c r="E81" s="145" t="inlineStr">
        <is>
          <t>[Galaxea Dynamics] R1 PRO (2026)</t>
        </is>
      </c>
      <c r="F81" s="146" t="inlineStr">
        <is>
          <t>humanoid</t>
        </is>
      </c>
      <c r="G81" s="145" t="inlineStr">
        <is>
          <t>China</t>
        </is>
      </c>
      <c r="H81" s="145" t="n"/>
      <c r="I81" s="148" t="n">
        <v>69999</v>
      </c>
      <c r="J81" s="145" t="inlineStr">
        <is>
          <t>Humanoid.guide list</t>
        </is>
      </c>
      <c r="K81" s="149" t="inlineStr">
        <is>
          <t>R1 Pro is Galaxea Dynamics’ wheeled dual-arm humanoid robot built for research, industrial use, and robotics development – offering mobility, perception, and manipulation in a single platform.</t>
        </is>
      </c>
      <c r="L81" s="101" t="inlineStr">
        <is>
          <t>R1 Pro is Galaxea Dynamics’ wheeled dual-arm humanoid robot built for research, industrial use, and robotics development – offering mobility, perception, and manipulation in a single platform.</t>
        </is>
      </c>
      <c r="M81" s="101" t="inlineStr">
        <is>
          <t>R1 Pro is Galaxea Dynamics’ wheeled dual-arm humanoid robot built for research, industrial use, and robotics development – offering mobility, perception, and manipulation in a single platform. Public status is listed as in production, and it is positioned for industrial automation; Industrial R&amp;D; research labs; Warehouse &amp; logistics pick‑/place.</t>
        </is>
      </c>
      <c r="N81" s="150" t="inlineStr">
        <is>
          <t>https://humanoid.guide/product/r1-pro/</t>
        </is>
      </c>
      <c r="O81" s="150" t="inlineStr">
        <is>
          <t>https://galaxea-dynamics.com/</t>
        </is>
      </c>
      <c r="P81" s="145" t="inlineStr">
        <is>
          <t>5 ft 7 in</t>
        </is>
      </c>
      <c r="Q81" s="145" t="n">
        <v>170</v>
      </c>
      <c r="R81" s="145" t="n">
        <v>211.6</v>
      </c>
      <c r="S81" s="145" t="n">
        <v>96</v>
      </c>
      <c r="T81" s="149" t="inlineStr">
        <is>
          <t>Not disclosed</t>
        </is>
      </c>
      <c r="U81" s="145" t="inlineStr">
        <is>
          <t>170 × 70 × 60 cm</t>
        </is>
      </c>
      <c r="V81" s="145" t="inlineStr">
        <is>
          <t>26</t>
        </is>
      </c>
      <c r="W81" s="149" t="inlineStr">
        <is>
          <t>7</t>
        </is>
      </c>
      <c r="X81" s="145" t="n">
        <v>22</v>
      </c>
      <c r="Y81" s="145" t="n">
        <v>10</v>
      </c>
      <c r="Z81" s="145" t="n">
        <v>3.36</v>
      </c>
      <c r="AA81" s="145" t="n">
        <v>5.4</v>
      </c>
      <c r="AB81" s="145" t="n">
        <v>5.4</v>
      </c>
      <c r="AC81" s="149" t="inlineStr">
        <is>
          <t>≈ 3 hours</t>
        </is>
      </c>
      <c r="AD81" s="149" t="inlineStr">
        <is>
          <t>3</t>
        </is>
      </c>
      <c r="AE81" s="145" t="n"/>
      <c r="AF81" s="145" t="inlineStr">
        <is>
          <t>Not disclosed</t>
        </is>
      </c>
      <c r="AG81" s="149" t="inlineStr">
        <is>
          <t>Two parallel grippers (not individual fingers) — no anthropomorphic hand by default</t>
        </is>
      </c>
      <c r="AH81" s="145" t="inlineStr">
        <is>
          <t>Two parallel grippers (not individual fingers) — no anthropomorphic hand by default</t>
        </is>
      </c>
      <c r="AI81" s="151" t="n">
        <v>3</v>
      </c>
      <c r="AJ81" s="149" t="inlineStr">
        <is>
          <t>Head: 1 binocular RGB camera; Chassis: 5 monocular cameras; 1 × 360° LiDAR standard; wrist cameras optional</t>
        </is>
      </c>
      <c r="AK81" s="149" t="inlineStr">
        <is>
          <t>Head: 1 binocular RGB camera; Chassis: 5 monocular cameras; 1 × 360° LiDAR standard; wrist cameras optional</t>
        </is>
      </c>
      <c r="AL81" s="145" t="inlineStr">
        <is>
          <t>Not disclosed</t>
        </is>
      </c>
      <c r="AM81" s="145" t="n"/>
      <c r="AN81" s="145" t="inlineStr">
        <is>
          <t>Not disclosed</t>
        </is>
      </c>
      <c r="AO81" s="145" t="inlineStr">
        <is>
          <t>Not disclosed</t>
        </is>
      </c>
      <c r="AP81" s="145" t="inlineStr">
        <is>
          <t>Not disclosed</t>
        </is>
      </c>
      <c r="AQ81" s="145" t="inlineStr">
        <is>
          <t>Not disclosed</t>
        </is>
      </c>
      <c r="AR81" s="145" t="n"/>
      <c r="AS81" s="145" t="n"/>
      <c r="AT81" s="149" t="inlineStr">
        <is>
          <t>NVIDIA Jetson AGX Orin 32 GB, 8-core CPU + 200 TOPS GPU</t>
        </is>
      </c>
      <c r="AU81" s="149" t="inlineStr">
        <is>
          <t>Ethernet; HDMI; USB</t>
        </is>
      </c>
      <c r="AV81" s="145" t="inlineStr">
        <is>
          <t>Not disclosed</t>
        </is>
      </c>
      <c r="AW81" s="149" t="inlineStr">
        <is>
          <t>Not disclosed</t>
        </is>
      </c>
      <c r="AX81" s="158" t="n">
        <v>2</v>
      </c>
      <c r="AY81" s="149" t="inlineStr">
        <is>
          <t>Linux (ROS2-based)</t>
        </is>
      </c>
      <c r="AZ81" s="149" t="inlineStr">
        <is>
          <t>External cloud connection possible; not native</t>
        </is>
      </c>
      <c r="BA81" s="149" t="inlineStr">
        <is>
          <t>&amp;lt;200ms (End-to-End)</t>
        </is>
      </c>
      <c r="BB81" s="149" t="inlineStr">
        <is>
          <t>Servo motors (robotic-grade actuators)</t>
        </is>
      </c>
      <c r="BC81" s="149" t="inlineStr">
        <is>
          <t>High-precision harmonic / planetary drives</t>
        </is>
      </c>
      <c r="BD81" s="145" t="inlineStr">
        <is>
          <t>Aluminum frame + composite panels</t>
        </is>
      </c>
      <c r="BE81" s="145" t="inlineStr">
        <is>
          <t>IP20</t>
        </is>
      </c>
      <c r="BF81" s="145" t="inlineStr">
        <is>
          <t>IP20</t>
        </is>
      </c>
      <c r="BG81" s="145" t="n"/>
      <c r="BH81" s="145" t="n"/>
      <c r="BI81" s="145" t="n"/>
      <c r="BJ81" s="145" t="n"/>
      <c r="BK81" s="145" t="n"/>
      <c r="BL81" s="145" t="n"/>
      <c r="BM81" s="145" t="inlineStr">
        <is>
          <t>Yes</t>
        </is>
      </c>
      <c r="BN81" s="145" t="inlineStr">
        <is>
          <t>Not disclosed</t>
        </is>
      </c>
      <c r="BO81" s="149" t="inlineStr">
        <is>
          <t>Market: Industrial automation; Industrial R&amp;D; research labs; Warehouse &amp; logistics pick‑/place · Manipulation 3/4 · Navigation 2/4 · Human-safe: Yes · AI: External cloud connection possible; not native · Actuation: Servo motors (robotic-grade actuators) · Peak 5.4 km/h · Walk 5.4 km/h · Runtime 3</t>
        </is>
      </c>
      <c r="BP81" s="145" t="n"/>
      <c r="BQ81" s="149" t="inlineStr">
        <is>
          <t>Industrial automation; Industrial R&amp;D; research labs; Warehouse &amp; logistics pick‑/place</t>
        </is>
      </c>
      <c r="BR81" s="149" t="inlineStr">
        <is>
          <t>In production</t>
        </is>
      </c>
      <c r="BS81" s="149" t="inlineStr">
        <is>
          <t>In production</t>
        </is>
      </c>
      <c r="BT81" s="145" t="inlineStr">
        <is>
          <t>Grey</t>
        </is>
      </c>
      <c r="BU81" s="145" t="inlineStr">
        <is>
          <t>Verified</t>
        </is>
      </c>
      <c r="BV81" s="149" t="n"/>
      <c r="BW81" s="149" t="inlineStr">
        <is>
          <t>Origin &amp; status — China · In production · 2026 | Manipulation — Two parallel grippers (not individual fingers) — no anthropomorphic hand by default · Hand DOF 7 · Payload 22 lb | Sensing &amp; software — Head: 1 binocular RGB camera; Chassis: 5 monocular cameras; 1 × 360° LiDAR standard; wrist cameras optional · External cloud connection possible; not native… | Buying notes — From $69,999 · 12 months manufacturer standard (typical research/commercial humanoid) · Best fit: Industrial automation</t>
        </is>
      </c>
      <c r="BX81" s="149" t="inlineStr">
        <is>
          <t>as_shipped|R1 PRO|69999|As shipped</t>
        </is>
      </c>
      <c r="BY81" s="145" t="inlineStr">
        <is>
          <t>grey|Grey|#e2e8f0|0</t>
        </is>
      </c>
      <c r="BZ81" s="145" t="inlineStr"/>
      <c r="CA81" s="149" t="n"/>
      <c r="CB81" s="149" t="inlineStr">
        <is>
          <t>12 months manufacturer standard (typical research/commercial humanoid)</t>
        </is>
      </c>
      <c r="CC81" s="147" t="n">
        <v>12</v>
      </c>
      <c r="CD81" s="149" t="inlineStr">
        <is>
          <t>+3 Year Extended ≈24% of configuration (default in configurator)</t>
        </is>
      </c>
      <c r="CE81" s="145" t="inlineStr">
        <is>
          <t>Humanoid category norm 2025–2026</t>
        </is>
      </c>
      <c r="CF81" s="145" t="inlineStr">
        <is>
          <t>Estimated</t>
        </is>
      </c>
      <c r="CG81" s="149" t="inlineStr">
        <is>
          <t>Confirm on formal OEM quote. EDU or enterprise packages may differ.</t>
        </is>
      </c>
      <c r="CH81" s="145" t="inlineStr">
        <is>
          <t>10%</t>
        </is>
      </c>
      <c r="CI81" s="145" t="inlineStr">
        <is>
          <t>17%</t>
        </is>
      </c>
      <c r="CJ81" s="145" t="inlineStr">
        <is>
          <t>24%</t>
        </is>
      </c>
      <c r="CK81" s="149" t="inlineStr">
        <is>
          <t>+1yr ≈10% | +2yr ≈17% | +3yr ≈24% of selected configuration price (parts &amp; labor beyond manufacturer standard).</t>
        </is>
      </c>
      <c r="CL8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81" s="145" t="inlineStr">
        <is>
          <t>12 months manufacturer standard (typical research/commercial humanoid)</t>
        </is>
      </c>
      <c r="CQ81" s="101" t="inlineStr">
        <is>
          <t>Height: 5 ft 7 in | Weight: 211.6 | Degrees of Freedom: 26 | Payload: 22 | Max Speed: 3.36 | Battery / Runtime: ≈ 3 hours</t>
        </is>
      </c>
    </row>
    <row r="82" ht="31.5" customHeight="1" s="102">
      <c r="A82" s="159" t="inlineStr">
        <is>
          <t>galbot_galaxy_general_g1_wheeled_dual_ar</t>
        </is>
      </c>
      <c r="B82" s="144" t="inlineStr">
        <is>
          <t>Both</t>
        </is>
      </c>
      <c r="C82" s="152" t="inlineStr">
        <is>
          <t>Galbot</t>
        </is>
      </c>
      <c r="D82" s="152" t="inlineStr">
        <is>
          <t>G1</t>
        </is>
      </c>
      <c r="E82" s="152" t="inlineStr">
        <is>
          <t>[Galbot] G1 (2024)</t>
        </is>
      </c>
      <c r="F82" s="146" t="inlineStr">
        <is>
          <t>humanoid</t>
        </is>
      </c>
      <c r="G82" s="152" t="inlineStr">
        <is>
          <t>China</t>
        </is>
      </c>
      <c r="H82" s="154" t="n">
        <v>2024</v>
      </c>
      <c r="I82" s="155" t="n">
        <v>87000</v>
      </c>
      <c r="J82" s="152" t="inlineStr">
        <is>
          <t>Robot Price Index Aug 2026 · entry</t>
        </is>
      </c>
      <c r="K82" s="156" t="inlineStr">
        <is>
          <t>Galbot is an innovative humanoid robot developed by Beijing Galaxy General Robot Co., Ltd., also known as Galbot.</t>
        </is>
      </c>
      <c r="L82" s="101" t="inlineStr">
        <is>
          <t>Galbot is an innovative humanoid robot developed by Beijing Galaxy General Robot Co., Ltd., also known as Galbot.</t>
        </is>
      </c>
      <c r="M82" s="101" t="inlineStr">
        <is>
          <t>G1 is Galbot's humanoid, introduced around 2024 in China. Galbot is an innovative humanoid robot developed by Beijing Galaxy General Robot Co., Ltd., also known as Galbot. Public status is listed as commercial deployment / Small batch, and it is positioned for retail / Logistics / Industrial / Service.</t>
        </is>
      </c>
      <c r="N82" s="157" t="inlineStr">
        <is>
          <t>https://humanoid.guide/product/galbot/</t>
        </is>
      </c>
      <c r="O82" s="157" t="inlineStr">
        <is>
          <t>https://www.galbot.com/</t>
        </is>
      </c>
      <c r="P82" s="152" t="inlineStr">
        <is>
          <t>5 ft 8 in</t>
        </is>
      </c>
      <c r="Q82" s="152" t="n">
        <v>173</v>
      </c>
      <c r="R82" s="152" t="n">
        <v>194</v>
      </c>
      <c r="S82" s="152" t="n">
        <v>88</v>
      </c>
      <c r="T82" s="156" t="inlineStr">
        <is>
          <t>Not disclosed</t>
        </is>
      </c>
      <c r="U82" s="152" t="n"/>
      <c r="V82" s="152" t="inlineStr">
        <is>
          <t>24–34</t>
        </is>
      </c>
      <c r="W82" s="156" t="inlineStr">
        <is>
          <t>Not disclosed</t>
        </is>
      </c>
      <c r="X82" s="152" t="inlineStr">
        <is>
          <t>5 lb per arm / 10 lb total</t>
        </is>
      </c>
      <c r="Y82" s="152" t="n">
        <v>15</v>
      </c>
      <c r="Z82" s="152" t="n">
        <v>3.11</v>
      </c>
      <c r="AA82" s="152" t="n">
        <v>5</v>
      </c>
      <c r="AB82" s="152" t="n">
        <v>3</v>
      </c>
      <c r="AC82" s="156" t="inlineStr">
        <is>
          <t>≈ 2 hours</t>
        </is>
      </c>
      <c r="AD82" s="156" t="inlineStr">
        <is>
          <t>2</t>
        </is>
      </c>
      <c r="AE82" s="152" t="n"/>
      <c r="AF82" s="152" t="inlineStr">
        <is>
          <t>9 000 mAh quick-swap pack; ~2 h class runtime</t>
        </is>
      </c>
      <c r="AG82" s="156" t="inlineStr">
        <is>
          <t>Optional Dex3-1 or equivalent dexterous hands (pair)</t>
        </is>
      </c>
      <c r="AH82" s="152" t="inlineStr">
        <is>
          <t>Not disclosed</t>
        </is>
      </c>
      <c r="AI82" s="158" t="n">
        <v>2</v>
      </c>
      <c r="AJ82" s="156" t="inlineStr">
        <is>
          <t>Depth camera suite; optional 3D LiDAR on research builds</t>
        </is>
      </c>
      <c r="AK82" s="156" t="n"/>
      <c r="AL82" s="152" t="inlineStr">
        <is>
          <t>Depth + RGB streams for teleoperation and dataset capture</t>
        </is>
      </c>
      <c r="AM82" s="152" t="n"/>
      <c r="AN82" s="152" t="inlineStr">
        <is>
          <t>Not disclosed</t>
        </is>
      </c>
      <c r="AO82" s="152" t="inlineStr">
        <is>
          <t>4-microphone array</t>
        </is>
      </c>
      <c r="AP82" s="152" t="inlineStr">
        <is>
          <t>Not disclosed</t>
        </is>
      </c>
      <c r="AQ82" s="152" t="inlineStr">
        <is>
          <t>Not disclosed</t>
        </is>
      </c>
      <c r="AR82" s="152" t="n"/>
      <c r="AS82" s="152" t="n"/>
      <c r="AT82" s="156" t="inlineStr">
        <is>
          <t>Not disclosed</t>
        </is>
      </c>
      <c r="AU82" s="156" t="inlineStr">
        <is>
          <t>Not disclosed</t>
        </is>
      </c>
      <c r="AV82" s="152" t="inlineStr">
        <is>
          <t>SDK, app, EDU Jetson expansion</t>
        </is>
      </c>
      <c r="AW82" s="156" t="inlineStr">
        <is>
          <t>Whole-body balance; vision and optional LiDAR mapping</t>
        </is>
      </c>
      <c r="AX82" s="158" t="n">
        <v>2</v>
      </c>
      <c r="AY82" s="156" t="inlineStr">
        <is>
          <t>Not disclosed</t>
        </is>
      </c>
      <c r="AZ82" s="156" t="inlineStr">
        <is>
          <t>Not disclosed</t>
        </is>
      </c>
      <c r="BA82" s="156" t="n"/>
      <c r="BB82" s="156" t="inlineStr">
        <is>
          <t>Not disclosed</t>
        </is>
      </c>
      <c r="BC82" s="156" t="inlineStr">
        <is>
          <t>Not disclosed</t>
        </is>
      </c>
      <c r="BD82" s="152" t="inlineStr">
        <is>
          <t>Not disclosed</t>
        </is>
      </c>
      <c r="BE82" s="152" t="inlineStr">
        <is>
          <t>Not disclosed</t>
        </is>
      </c>
      <c r="BF82" s="152" t="n"/>
      <c r="BG82" s="152" t="n"/>
      <c r="BH82" s="152" t="n"/>
      <c r="BI82" s="152" t="n"/>
      <c r="BJ82" s="152" t="n"/>
      <c r="BK82" s="152" t="n"/>
      <c r="BL82" s="152" t="n"/>
      <c r="BM82" s="152" t="inlineStr">
        <is>
          <t>Not disclosed</t>
        </is>
      </c>
      <c r="BN82" s="152" t="inlineStr">
        <is>
          <t>Not disclosed</t>
        </is>
      </c>
      <c r="BO82" s="156" t="inlineStr">
        <is>
          <t>Market: Retail / Logistics / Industrial / Service · Manipulation 2/4 · Navigation 2/4 · Peak 5 km/h · Walk 3 km/h · Runtime 2</t>
        </is>
      </c>
      <c r="BP82" s="152" t="n"/>
      <c r="BQ82" s="156" t="inlineStr">
        <is>
          <t>Retail / Logistics / Industrial / Service</t>
        </is>
      </c>
      <c r="BR82" s="156" t="inlineStr">
        <is>
          <t>Commercial deployment / Small batch</t>
        </is>
      </c>
      <c r="BS82" s="156" t="inlineStr">
        <is>
          <t>Prototype</t>
        </is>
      </c>
      <c r="BT82" s="152" t="n"/>
      <c r="BU82" s="152" t="inlineStr">
        <is>
          <t>Not verified</t>
        </is>
      </c>
      <c r="BV82" s="156" t="inlineStr">
        <is>
          <t>Wheeled humanoid form; strong embodied AI; WHRG presence</t>
        </is>
      </c>
      <c r="BW82" s="156" t="inlineStr">
        <is>
          <t>Origin &amp; status — China · Commercial deployment / Small batch · 2024 | Manipulation — Optional Dex3-1 or equivalent dexterous hands (pair) · Payload 5 lb per arm / 10 lb total | Sensing &amp; software — Depth camera suite; optional 3D LiDAR on research builds · SDK, app, EDU Jetson expansion | Buying notes — From $87,000 · 12 months manufacturer standard (typical research/commercial humanoid) · Best fit: Retail</t>
        </is>
      </c>
      <c r="BX82" s="156" t="inlineStr">
        <is>
          <t>as_shipped|G1|87000|As shipped</t>
        </is>
      </c>
      <c r="BY82" s="152" t="inlineStr">
        <is>
          <t>g1|Manufacturer finish|#e2e8f0|0</t>
        </is>
      </c>
      <c r="BZ82" s="152" t="inlineStr"/>
      <c r="CA82" s="156" t="inlineStr">
        <is>
          <t>Add-ons: case; 2 color options; Multi-year extended warranty available</t>
        </is>
      </c>
      <c r="CB82" s="156" t="inlineStr">
        <is>
          <t>12 months manufacturer standard (typical research/commercial humanoid)</t>
        </is>
      </c>
      <c r="CC82" s="154" t="n">
        <v>12</v>
      </c>
      <c r="CD82" s="156" t="inlineStr">
        <is>
          <t>+3 Year Extended ≈24% of configuration (default in configurator)</t>
        </is>
      </c>
      <c r="CE82" s="152" t="inlineStr">
        <is>
          <t>Humanoid category norm 2025–2026</t>
        </is>
      </c>
      <c r="CF82" s="152" t="inlineStr">
        <is>
          <t>Estimated</t>
        </is>
      </c>
      <c r="CG82" s="156" t="inlineStr">
        <is>
          <t>EDU or enterprise packages may differ; confirm on formal quote.</t>
        </is>
      </c>
      <c r="CH82" s="152" t="inlineStr">
        <is>
          <t>10%</t>
        </is>
      </c>
      <c r="CI82" s="152" t="inlineStr">
        <is>
          <t>17%</t>
        </is>
      </c>
      <c r="CJ82" s="152" t="inlineStr">
        <is>
          <t>24%</t>
        </is>
      </c>
      <c r="CK82"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82"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82" s="152" t="inlineStr">
        <is>
          <t>12 months manufacturer standard (typical research/commercial humanoid)</t>
        </is>
      </c>
      <c r="CQ82" s="101" t="inlineStr">
        <is>
          <t>Height: 5 ft 8 in | Weight: 194 | Degrees of Freedom: 24–34 | Payload: 5 lb per arm / 10 lb total | Max Speed: 3.11 | Battery / Runtime: ≈ 2 hours</t>
        </is>
      </c>
    </row>
    <row r="83" ht="31.5" customHeight="1" s="102">
      <c r="A83" s="159" t="inlineStr">
        <is>
          <t>galbot_galaxy_general_g1_wheeled_dual_ar_wheeled</t>
        </is>
      </c>
      <c r="B83" s="144" t="inlineStr">
        <is>
          <t>Both</t>
        </is>
      </c>
      <c r="C83" s="152" t="inlineStr">
        <is>
          <t>Galbot</t>
        </is>
      </c>
      <c r="D83" s="152" t="inlineStr">
        <is>
          <t>Wheeled Dual-Arm</t>
        </is>
      </c>
      <c r="E83" s="152" t="inlineStr">
        <is>
          <t>[Galbot] Wheeled Dual-Arm (2024)</t>
        </is>
      </c>
      <c r="F83" s="146" t="inlineStr">
        <is>
          <t>humanoid</t>
        </is>
      </c>
      <c r="G83" s="152" t="inlineStr">
        <is>
          <t>China</t>
        </is>
      </c>
      <c r="H83" s="154" t="n">
        <v>2024</v>
      </c>
      <c r="I83" s="155" t="n">
        <v>50000</v>
      </c>
      <c r="J83" s="152" t="inlineStr">
        <is>
          <t>Website store</t>
        </is>
      </c>
      <c r="K83" s="156" t="inlineStr">
        <is>
          <t>Galbot is an innovative humanoid robot developed by Beijing Galaxy General Robot Co., Ltd., also known as Galbot.</t>
        </is>
      </c>
      <c r="L83" s="101" t="inlineStr">
        <is>
          <t>Galbot is an innovative humanoid robot developed by Beijing Galaxy General Robot Co., Ltd., also known as Galbot.</t>
        </is>
      </c>
      <c r="M83" s="101" t="inlineStr">
        <is>
          <t>Wheeled Dual-Arm is Galbot's humanoid, introduced around 2024 in China. Galbot is an innovative humanoid robot developed by Beijing Galaxy General Robot Co., Ltd., also known as Galbot. Public status is listed as commercial deployment / Small batch, and it is positioned for retail / Logistics / Industrial / Service.</t>
        </is>
      </c>
      <c r="N83" s="157" t="inlineStr">
        <is>
          <t>https://humanoid.guide/product/galbot/</t>
        </is>
      </c>
      <c r="O83" s="157" t="inlineStr">
        <is>
          <t>https://www.galbot.com/</t>
        </is>
      </c>
      <c r="P83" s="152" t="inlineStr">
        <is>
          <t>5 ft 8 in</t>
        </is>
      </c>
      <c r="Q83" s="152" t="n">
        <v>173</v>
      </c>
      <c r="R83" s="152" t="n">
        <v>194</v>
      </c>
      <c r="S83" s="152" t="n">
        <v>88</v>
      </c>
      <c r="T83" s="156" t="inlineStr">
        <is>
          <t>Not disclosed</t>
        </is>
      </c>
      <c r="U83" s="152" t="n"/>
      <c r="V83" s="152" t="inlineStr">
        <is>
          <t>24–34</t>
        </is>
      </c>
      <c r="W83" s="156" t="inlineStr">
        <is>
          <t>Not disclosed</t>
        </is>
      </c>
      <c r="X83" s="152" t="inlineStr">
        <is>
          <t>5 lb per arm / 10 lb total</t>
        </is>
      </c>
      <c r="Y83" s="152" t="n">
        <v>15</v>
      </c>
      <c r="Z83" s="152" t="n">
        <v>3.11</v>
      </c>
      <c r="AA83" s="152" t="n">
        <v>5</v>
      </c>
      <c r="AB83" s="152" t="n">
        <v>3</v>
      </c>
      <c r="AC83" s="156" t="inlineStr">
        <is>
          <t>≈ 2 hours</t>
        </is>
      </c>
      <c r="AD83" s="156" t="inlineStr">
        <is>
          <t>2</t>
        </is>
      </c>
      <c r="AE83" s="152" t="n"/>
      <c r="AF83" s="152" t="inlineStr">
        <is>
          <t>9 000 mAh quick-swap pack; ~2 h class runtime</t>
        </is>
      </c>
      <c r="AG83" s="156" t="inlineStr">
        <is>
          <t>Optional Dex3-1 or equivalent dexterous hands (pair)</t>
        </is>
      </c>
      <c r="AH83" s="152" t="inlineStr">
        <is>
          <t>Not disclosed</t>
        </is>
      </c>
      <c r="AI83" s="158" t="n">
        <v>2</v>
      </c>
      <c r="AJ83" s="156" t="inlineStr">
        <is>
          <t>Depth camera suite; optional 3D LiDAR on research builds</t>
        </is>
      </c>
      <c r="AK83" s="156" t="n"/>
      <c r="AL83" s="152" t="inlineStr">
        <is>
          <t>Depth + RGB streams for teleoperation and dataset capture</t>
        </is>
      </c>
      <c r="AM83" s="152" t="n"/>
      <c r="AN83" s="152" t="inlineStr">
        <is>
          <t>Not disclosed</t>
        </is>
      </c>
      <c r="AO83" s="152" t="inlineStr">
        <is>
          <t>4-microphone array</t>
        </is>
      </c>
      <c r="AP83" s="152" t="inlineStr">
        <is>
          <t>Not disclosed</t>
        </is>
      </c>
      <c r="AQ83" s="152" t="inlineStr">
        <is>
          <t>Not disclosed</t>
        </is>
      </c>
      <c r="AR83" s="152" t="n"/>
      <c r="AS83" s="152" t="n"/>
      <c r="AT83" s="156" t="inlineStr">
        <is>
          <t>Not disclosed</t>
        </is>
      </c>
      <c r="AU83" s="156" t="inlineStr">
        <is>
          <t>Not disclosed</t>
        </is>
      </c>
      <c r="AV83" s="152" t="inlineStr">
        <is>
          <t>SDK, app, EDU Jetson expansion</t>
        </is>
      </c>
      <c r="AW83" s="156" t="inlineStr">
        <is>
          <t>Whole-body balance; vision and optional LiDAR mapping</t>
        </is>
      </c>
      <c r="AX83" s="158" t="n">
        <v>2</v>
      </c>
      <c r="AY83" s="156" t="inlineStr">
        <is>
          <t>Not disclosed</t>
        </is>
      </c>
      <c r="AZ83" s="156" t="inlineStr">
        <is>
          <t>Not disclosed</t>
        </is>
      </c>
      <c r="BA83" s="156" t="n"/>
      <c r="BB83" s="156" t="inlineStr">
        <is>
          <t>Not disclosed</t>
        </is>
      </c>
      <c r="BC83" s="156" t="inlineStr">
        <is>
          <t>Not disclosed</t>
        </is>
      </c>
      <c r="BD83" s="152" t="inlineStr">
        <is>
          <t>Not disclosed</t>
        </is>
      </c>
      <c r="BE83" s="152" t="inlineStr">
        <is>
          <t>Not disclosed</t>
        </is>
      </c>
      <c r="BF83" s="152" t="n"/>
      <c r="BG83" s="152" t="n"/>
      <c r="BH83" s="152" t="n"/>
      <c r="BI83" s="152" t="n"/>
      <c r="BJ83" s="152" t="n"/>
      <c r="BK83" s="152" t="n"/>
      <c r="BL83" s="152" t="n"/>
      <c r="BM83" s="152" t="inlineStr">
        <is>
          <t>Not disclosed</t>
        </is>
      </c>
      <c r="BN83" s="152" t="inlineStr">
        <is>
          <t>Not disclosed</t>
        </is>
      </c>
      <c r="BO83" s="156" t="inlineStr">
        <is>
          <t>Market: Retail / Logistics / Industrial / Service · Manipulation 2/4 · Navigation 2/4 · Peak 5 km/h · Walk 3 km/h · Runtime 2</t>
        </is>
      </c>
      <c r="BP83" s="152" t="n"/>
      <c r="BQ83" s="156" t="inlineStr">
        <is>
          <t>Retail / Logistics / Industrial / Service</t>
        </is>
      </c>
      <c r="BR83" s="156" t="inlineStr">
        <is>
          <t>Commercial deployment / Small batch</t>
        </is>
      </c>
      <c r="BS83" s="156" t="inlineStr">
        <is>
          <t>Prototype</t>
        </is>
      </c>
      <c r="BT83" s="152" t="n"/>
      <c r="BU83" s="152" t="inlineStr">
        <is>
          <t>Not verified</t>
        </is>
      </c>
      <c r="BV83" s="156" t="inlineStr">
        <is>
          <t>Wheeled humanoid form; strong embodied AI; WHRG presence</t>
        </is>
      </c>
      <c r="BW83" s="156" t="inlineStr">
        <is>
          <t>Origin &amp; status — China · Commercial deployment / Small batch · 2024 | Manipulation — Optional Dex3-1 or equivalent dexterous hands (pair) · Payload 5 lb per arm / 10 lb total | Sensing &amp; software — Depth camera suite; optional 3D LiDAR on research builds · SDK, app, EDU Jetson expansion | Buying notes — From $50,000 · 12 months manufacturer standard (typical research/commercial humanoid) · Best fit: Retail</t>
        </is>
      </c>
      <c r="BX83" s="156" t="inlineStr">
        <is>
          <t>as_shipped|Wheeled Dual-Arm|50000|As shipped</t>
        </is>
      </c>
      <c r="BY83" s="152" t="inlineStr">
        <is>
          <t>wheeled_dual_arm|Manufacturer finish|#e2e8f0|0</t>
        </is>
      </c>
      <c r="BZ83" s="152" t="inlineStr"/>
      <c r="CA83" s="156" t="inlineStr">
        <is>
          <t>Add-ons: case; 2 color options; Multi-year extended warranty available</t>
        </is>
      </c>
      <c r="CB83" s="156" t="inlineStr">
        <is>
          <t>12 months manufacturer standard (typical research/commercial humanoid)</t>
        </is>
      </c>
      <c r="CC83" s="154" t="n">
        <v>12</v>
      </c>
      <c r="CD83" s="156" t="inlineStr">
        <is>
          <t>+3 Year Extended ≈24% of configuration (default in configurator)</t>
        </is>
      </c>
      <c r="CE83" s="152" t="inlineStr">
        <is>
          <t>Humanoid category norm 2025–2026</t>
        </is>
      </c>
      <c r="CF83" s="152" t="inlineStr">
        <is>
          <t>Estimated</t>
        </is>
      </c>
      <c r="CG83" s="156" t="inlineStr">
        <is>
          <t>EDU or enterprise packages may differ; confirm on formal quote.</t>
        </is>
      </c>
      <c r="CH83" s="152" t="inlineStr">
        <is>
          <t>10%</t>
        </is>
      </c>
      <c r="CI83" s="152" t="inlineStr">
        <is>
          <t>17%</t>
        </is>
      </c>
      <c r="CJ83" s="152" t="inlineStr">
        <is>
          <t>24%</t>
        </is>
      </c>
      <c r="CK83"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83"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83" s="152" t="inlineStr">
        <is>
          <t>12 months manufacturer standard (typical research/commercial humanoid)</t>
        </is>
      </c>
      <c r="CQ83" s="101" t="inlineStr">
        <is>
          <t>Height: 5 ft 8 in | Weight: 194 | Degrees of Freedom: 24–34 | Payload: 5 lb per arm / 10 lb total | Max Speed: 3.11 | Battery / Runtime: ≈ 2 hours</t>
        </is>
      </c>
    </row>
    <row r="84" ht="31.5" customHeight="1" s="102">
      <c r="A84" s="152" t="inlineStr">
        <is>
          <t>genesis_ai_eno</t>
        </is>
      </c>
      <c r="B84" s="153" t="inlineStr">
        <is>
          <t>Humanoid.guide</t>
        </is>
      </c>
      <c r="C84" s="152" t="inlineStr">
        <is>
          <t>Genesis AI</t>
        </is>
      </c>
      <c r="D84" s="152" t="inlineStr">
        <is>
          <t>Eno</t>
        </is>
      </c>
      <c r="E84" s="152" t="inlineStr">
        <is>
          <t>[Genesis AI] Eno (2026)</t>
        </is>
      </c>
      <c r="F84" s="146" t="inlineStr">
        <is>
          <t>humanoid</t>
        </is>
      </c>
      <c r="G84" s="152" t="inlineStr">
        <is>
          <t>USA</t>
        </is>
      </c>
      <c r="H84" s="152" t="n"/>
      <c r="I84" s="155" t="n">
        <v>90000</v>
      </c>
      <c r="J84" s="152" t="inlineStr">
        <is>
          <t>Humanoid.guide list</t>
        </is>
      </c>
      <c r="K84" s="156" t="inlineStr">
        <is>
          <t>Eno is a wheeled general-purpose robot developed by Genesis AI. It combines advanced manipulation capabilities, adaptive AI, and a practical mobile design to perform a wide range of tasks across industrial, commercial, and future consumer environments.</t>
        </is>
      </c>
      <c r="L84" s="101" t="inlineStr">
        <is>
          <t>Eno is a wheeled general-purpose robot developed by Genesis AI. It combines advanced manipulation capabilities, adaptive AI, and a practical mobile design to perform a wide range of tasks across industrial, commercial, and future consumer environments.</t>
        </is>
      </c>
      <c r="M84" s="101" t="inlineStr">
        <is>
          <t>Eno is a wheeled general-purpose robot developed by Genesis AI. It combines advanced manipulation capabilities, adaptive AI, and a practical mobile design to perform a wide range of tasks across industrial, commercial, and future consumer environments. Public status is listed as prototype, and it is positioned for healthcare; Hospitality; laboratories; logistics; Manufacturing.</t>
        </is>
      </c>
      <c r="N84" s="157" t="inlineStr">
        <is>
          <t>https://humanoid.guide/product/eno/</t>
        </is>
      </c>
      <c r="O84" s="157" t="inlineStr">
        <is>
          <t>https://www.genesis.ai/</t>
        </is>
      </c>
      <c r="P84" s="152" t="inlineStr">
        <is>
          <t>5 ft 7 in</t>
        </is>
      </c>
      <c r="Q84" s="152" t="n">
        <v>170</v>
      </c>
      <c r="R84" s="152" t="n">
        <v>264.6</v>
      </c>
      <c r="S84" s="152" t="n">
        <v>120</v>
      </c>
      <c r="T84" s="156" t="inlineStr">
        <is>
          <t>Not disclosed</t>
        </is>
      </c>
      <c r="U84" s="152" t="n"/>
      <c r="V84" s="152" t="inlineStr">
        <is>
          <t>40</t>
        </is>
      </c>
      <c r="W84" s="156" t="inlineStr">
        <is>
          <t>20</t>
        </is>
      </c>
      <c r="X84" s="152" t="n">
        <v>26.5</v>
      </c>
      <c r="Y84" s="152" t="n">
        <v>12</v>
      </c>
      <c r="Z84" s="152" t="n">
        <v>3.73</v>
      </c>
      <c r="AA84" s="152" t="n">
        <v>6</v>
      </c>
      <c r="AB84" s="152" t="n"/>
      <c r="AC84" s="156" t="inlineStr">
        <is>
          <t>≈ 8 hours</t>
        </is>
      </c>
      <c r="AD84" s="156" t="inlineStr">
        <is>
          <t>8</t>
        </is>
      </c>
      <c r="AE84" s="152" t="n"/>
      <c r="AF84" s="152" t="inlineStr">
        <is>
          <t>Not disclosed</t>
        </is>
      </c>
      <c r="AG84" s="156" t="inlineStr">
        <is>
          <t>10 (5 per hand)</t>
        </is>
      </c>
      <c r="AH84" s="152" t="inlineStr">
        <is>
          <t>10 (5 per hand)</t>
        </is>
      </c>
      <c r="AI84" s="152" t="n"/>
      <c r="AJ84" s="156" t="inlineStr">
        <is>
          <t>Not disclosed</t>
        </is>
      </c>
      <c r="AK84" s="156" t="n"/>
      <c r="AL84" s="152" t="inlineStr">
        <is>
          <t>Not disclosed</t>
        </is>
      </c>
      <c r="AM84" s="152" t="n"/>
      <c r="AN84" s="152" t="inlineStr">
        <is>
          <t>Not disclosed</t>
        </is>
      </c>
      <c r="AO84" s="152" t="inlineStr">
        <is>
          <t>Not disclosed</t>
        </is>
      </c>
      <c r="AP84" s="152" t="inlineStr">
        <is>
          <t>Not disclosed</t>
        </is>
      </c>
      <c r="AQ84" s="152" t="inlineStr">
        <is>
          <t>Not disclosed</t>
        </is>
      </c>
      <c r="AR84" s="152" t="n"/>
      <c r="AS84" s="152" t="n"/>
      <c r="AT84" s="156" t="inlineStr">
        <is>
          <t>Not disclosed</t>
        </is>
      </c>
      <c r="AU84" s="156" t="inlineStr">
        <is>
          <t>Cloud‑connected; Ethernet; Wi-Fi</t>
        </is>
      </c>
      <c r="AV84" s="152" t="inlineStr">
        <is>
          <t>Not disclosed</t>
        </is>
      </c>
      <c r="AW84" s="156" t="inlineStr">
        <is>
          <t>Not disclosed</t>
        </is>
      </c>
      <c r="AX84" s="152" t="n"/>
      <c r="AY84" s="156" t="inlineStr">
        <is>
          <t>Proprietary Genesis AI robotics platform</t>
        </is>
      </c>
      <c r="AZ84" s="156" t="inlineStr">
        <is>
          <t>Yes, powered by GENE robotics foundation model</t>
        </is>
      </c>
      <c r="BA84" s="156" t="n"/>
      <c r="BB84" s="156" t="inlineStr">
        <is>
          <t>Electric servo actuators</t>
        </is>
      </c>
      <c r="BC84" s="156" t="inlineStr">
        <is>
          <t>Not disclosed</t>
        </is>
      </c>
      <c r="BD84" s="152" t="inlineStr">
        <is>
          <t>Aluminum alloys, composites, and engineering plastics</t>
        </is>
      </c>
      <c r="BE84" s="152" t="inlineStr">
        <is>
          <t>Not disclosed</t>
        </is>
      </c>
      <c r="BF84" s="152" t="n"/>
      <c r="BG84" s="152" t="n"/>
      <c r="BH84" s="152" t="n"/>
      <c r="BI84" s="152" t="n"/>
      <c r="BJ84" s="152" t="n"/>
      <c r="BK84" s="152" t="n"/>
      <c r="BL84" s="152" t="n"/>
      <c r="BM84" s="152" t="inlineStr">
        <is>
          <t>Yes</t>
        </is>
      </c>
      <c r="BN84" s="152" t="inlineStr">
        <is>
          <t>Not disclosed</t>
        </is>
      </c>
      <c r="BO84" s="156" t="inlineStr">
        <is>
          <t>Market: healthcare; Hospitality; laboratories; logistics; Manufacturing · Human-safe: Yes · AI: Yes, powered by GENE robotics foundation model · Actuation: Electric servo actuators · Peak 6 km/h · Runtime 8</t>
        </is>
      </c>
      <c r="BP84" s="152" t="n"/>
      <c r="BQ84" s="156" t="inlineStr">
        <is>
          <t>healthcare; Hospitality; laboratories; logistics; Manufacturing</t>
        </is>
      </c>
      <c r="BR84" s="156" t="inlineStr">
        <is>
          <t>Prototype</t>
        </is>
      </c>
      <c r="BS84" s="156" t="inlineStr">
        <is>
          <t>Prototype</t>
        </is>
      </c>
      <c r="BT84" s="152" t="inlineStr">
        <is>
          <t>White; customizable colors planned</t>
        </is>
      </c>
      <c r="BU84" s="152" t="n"/>
      <c r="BV84" s="156" t="n"/>
      <c r="BW84" s="156" t="inlineStr">
        <is>
          <t>Origin &amp; status — USA · Prototype · 2026 | Manipulation — 10 (5 per hand) · 10 (5 per hand) fingers · Hand DOF 20 · Payload 26.5 lb | Sensing &amp; software — Yes, powered by GENE robotics foundation model · Proprietary Genesis AI robotics platform | Buying notes — From $90,000 · 12 months manufacturer standard (typical research/commercial humanoid) · Best fit: healthcare</t>
        </is>
      </c>
      <c r="BX84" s="156" t="inlineStr">
        <is>
          <t>as_shipped|Eno|90000|As shipped</t>
        </is>
      </c>
      <c r="BY84" s="152" t="inlineStr">
        <is>
          <t>white|White|#e2e8f0|0 || customizable_colors_planned|customizable colors planned|#1e293b|0</t>
        </is>
      </c>
      <c r="BZ84" s="152" t="inlineStr"/>
      <c r="CA84" s="156" t="n"/>
      <c r="CB84" s="156" t="inlineStr">
        <is>
          <t>12 months manufacturer standard (typical research/commercial humanoid)</t>
        </is>
      </c>
      <c r="CC84" s="154" t="n">
        <v>12</v>
      </c>
      <c r="CD84" s="156" t="inlineStr">
        <is>
          <t>+3 Year Extended ≈24% of configuration (default in configurator)</t>
        </is>
      </c>
      <c r="CE84" s="152" t="inlineStr">
        <is>
          <t>Humanoid category norm 2025–2026</t>
        </is>
      </c>
      <c r="CF84" s="152" t="inlineStr">
        <is>
          <t>Estimated</t>
        </is>
      </c>
      <c r="CG84" s="156" t="inlineStr">
        <is>
          <t>Confirm on formal OEM quote. EDU or enterprise packages may differ.</t>
        </is>
      </c>
      <c r="CH84" s="152" t="inlineStr">
        <is>
          <t>10%</t>
        </is>
      </c>
      <c r="CI84" s="152" t="inlineStr">
        <is>
          <t>17%</t>
        </is>
      </c>
      <c r="CJ84" s="152" t="inlineStr">
        <is>
          <t>24%</t>
        </is>
      </c>
      <c r="CK84" s="156" t="inlineStr">
        <is>
          <t>+1yr ≈10% | +2yr ≈17% | +3yr ≈24% of selected configuration price (parts &amp; labor beyond manufacturer standard).</t>
        </is>
      </c>
      <c r="CL84"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84" s="152" t="inlineStr">
        <is>
          <t>12 months manufacturer standard (typical research/commercial humanoid)</t>
        </is>
      </c>
      <c r="CQ84" s="101" t="inlineStr">
        <is>
          <t>Height: 5 ft 7 in | Weight: 264.6 | Degrees of Freedom: 40 | Payload: 26.5 | Max Speed: 3.73 | Battery / Runtime: ≈ 8 hours</t>
        </is>
      </c>
    </row>
    <row r="85" ht="31.5" customHeight="1" s="102">
      <c r="A85" s="145" t="inlineStr">
        <is>
          <t>gigaai_maker_h01</t>
        </is>
      </c>
      <c r="B85" s="153" t="inlineStr">
        <is>
          <t>Humanoid.guide</t>
        </is>
      </c>
      <c r="C85" s="145" t="inlineStr">
        <is>
          <t>GigaAI</t>
        </is>
      </c>
      <c r="D85" s="145" t="inlineStr">
        <is>
          <t>Maker H01</t>
        </is>
      </c>
      <c r="E85" s="145" t="inlineStr">
        <is>
          <t>[GigaAI] Maker H01 (2026)</t>
        </is>
      </c>
      <c r="F85" s="146" t="inlineStr">
        <is>
          <t>humanoid</t>
        </is>
      </c>
      <c r="G85" s="145" t="inlineStr">
        <is>
          <t>China</t>
        </is>
      </c>
      <c r="H85" s="145" t="n"/>
      <c r="I85" s="148" t="n">
        <v>160000</v>
      </c>
      <c r="J85" s="145" t="inlineStr">
        <is>
          <t>Humanoid.guide list</t>
        </is>
      </c>
      <c r="K85" s="149" t="inlineStr">
        <is>
          <t>Maker H01 is a wheeled humanoid from GigaAI — pairing dual 7-DOF arms, rich sensing, and agile mobility to bring embodied AI into real-world tasks with flexibility and precision.</t>
        </is>
      </c>
      <c r="L85" s="101" t="inlineStr">
        <is>
          <t>Maker H01 is a wheeled humanoid from GigaAI — pairing dual 7-DOF arms, rich sensing, and agile mobility to bring embodied AI into real-world tasks with flexibility and precision.</t>
        </is>
      </c>
      <c r="M85" s="101" t="inlineStr">
        <is>
          <t>Maker H01 is a wheeled humanoid from GigaAI — pairing dual 7-DOF arms, rich sensing, and agile mobility to bring embodied AI into real-world tasks with flexibility and precision. Public status is listed as prototype, and it is positioned for home service; Hospitality; reception; Workplace assistance, light logistics, education.</t>
        </is>
      </c>
      <c r="N85" s="150" t="inlineStr">
        <is>
          <t>https://humanoid.guide/product/maker-h01/</t>
        </is>
      </c>
      <c r="O85" s="145" t="inlineStr">
        <is>
          <t>https://www.gigaai.co</t>
        </is>
      </c>
      <c r="P85" s="145" t="inlineStr">
        <is>
          <t>5 ft 3 in</t>
        </is>
      </c>
      <c r="Q85" s="145" t="n">
        <v>160</v>
      </c>
      <c r="R85" s="145" t="n">
        <v>141.1</v>
      </c>
      <c r="S85" s="145" t="n">
        <v>64</v>
      </c>
      <c r="T85" s="149" t="inlineStr">
        <is>
          <t>Not disclosed</t>
        </is>
      </c>
      <c r="U85" s="145" t="inlineStr">
        <is>
          <t>170 cm × 70 cm × 50 cm</t>
        </is>
      </c>
      <c r="V85" s="145" t="inlineStr">
        <is>
          <t>28</t>
        </is>
      </c>
      <c r="W85" s="149" t="inlineStr">
        <is>
          <t>14</t>
        </is>
      </c>
      <c r="X85" s="145" t="n">
        <v>17.6</v>
      </c>
      <c r="Y85" s="145" t="n">
        <v>8</v>
      </c>
      <c r="Z85" s="145" t="n">
        <v>4.97</v>
      </c>
      <c r="AA85" s="145" t="n">
        <v>8</v>
      </c>
      <c r="AB85" s="145" t="n"/>
      <c r="AC85" s="149" t="inlineStr">
        <is>
          <t>≈ 4 hours</t>
        </is>
      </c>
      <c r="AD85" s="149" t="inlineStr">
        <is>
          <t>4</t>
        </is>
      </c>
      <c r="AE85" s="145" t="n"/>
      <c r="AF85" s="145" t="inlineStr">
        <is>
          <t>Not disclosed</t>
        </is>
      </c>
      <c r="AG85" s="149" t="inlineStr">
        <is>
          <t>5 per hand</t>
        </is>
      </c>
      <c r="AH85" s="145" t="inlineStr">
        <is>
          <t>5 per hand</t>
        </is>
      </c>
      <c r="AI85" s="161" t="n">
        <v>4</v>
      </c>
      <c r="AJ85" s="149" t="inlineStr">
        <is>
          <t>Not disclosed</t>
        </is>
      </c>
      <c r="AK85" s="149" t="n"/>
      <c r="AL85" s="145" t="inlineStr">
        <is>
          <t>Not disclosed</t>
        </is>
      </c>
      <c r="AM85" s="145" t="n"/>
      <c r="AN85" s="145" t="inlineStr">
        <is>
          <t>Not disclosed</t>
        </is>
      </c>
      <c r="AO85" s="145" t="inlineStr">
        <is>
          <t>Not disclosed</t>
        </is>
      </c>
      <c r="AP85" s="145" t="inlineStr">
        <is>
          <t>Not disclosed</t>
        </is>
      </c>
      <c r="AQ85" s="145" t="inlineStr">
        <is>
          <t>Not disclosed</t>
        </is>
      </c>
      <c r="AR85" s="145" t="n"/>
      <c r="AS85" s="145" t="n"/>
      <c r="AT85" s="149" t="inlineStr">
        <is>
          <t>Not disclosed</t>
        </is>
      </c>
      <c r="AU85" s="149" t="inlineStr">
        <is>
          <t>Bluetooth; Ethernet; Wi‑Fi</t>
        </is>
      </c>
      <c r="AV85" s="145" t="inlineStr">
        <is>
          <t>Not disclosed</t>
        </is>
      </c>
      <c r="AW85" s="149" t="inlineStr">
        <is>
          <t>Not disclosed</t>
        </is>
      </c>
      <c r="AX85" s="151" t="n">
        <v>3</v>
      </c>
      <c r="AY85" s="149" t="inlineStr">
        <is>
          <t>Likely Linux + custom robot control stack</t>
        </is>
      </c>
      <c r="AZ85" s="149" t="inlineStr">
        <is>
          <t>Not disclosed</t>
        </is>
      </c>
      <c r="BA85" s="149" t="inlineStr">
        <is>
          <t>250–450 ms</t>
        </is>
      </c>
      <c r="BB85" s="149" t="inlineStr">
        <is>
          <t>Not disclosed</t>
        </is>
      </c>
      <c r="BC85" s="149" t="inlineStr">
        <is>
          <t>Not disclosed</t>
        </is>
      </c>
      <c r="BD85" s="145" t="inlineStr">
        <is>
          <t>Aluminum alloy + ABS composite shells</t>
        </is>
      </c>
      <c r="BE85" s="145" t="inlineStr">
        <is>
          <t>IP20</t>
        </is>
      </c>
      <c r="BF85" s="145" t="inlineStr">
        <is>
          <t>IP20</t>
        </is>
      </c>
      <c r="BG85" s="145" t="n"/>
      <c r="BH85" s="145" t="n"/>
      <c r="BI85" s="145" t="n"/>
      <c r="BJ85" s="145" t="n"/>
      <c r="BK85" s="145" t="n"/>
      <c r="BL85" s="145" t="n"/>
      <c r="BM85" s="145" t="inlineStr">
        <is>
          <t>Yes</t>
        </is>
      </c>
      <c r="BN85" s="145" t="inlineStr">
        <is>
          <t>Not disclosed</t>
        </is>
      </c>
      <c r="BO85" s="149" t="inlineStr">
        <is>
          <t>Market: Home service; Hospitality; reception; Workplace assistance, light logistics, education · Manipulation 4/4 · Navigation 3/4 · Human-safe: Yes · Peak 8 km/h · Runtime 4</t>
        </is>
      </c>
      <c r="BP85" s="145" t="n"/>
      <c r="BQ85" s="149" t="inlineStr">
        <is>
          <t>Home service; Hospitality; reception; Workplace assistance, light logistics, education</t>
        </is>
      </c>
      <c r="BR85" s="149" t="inlineStr">
        <is>
          <t>Prototype</t>
        </is>
      </c>
      <c r="BS85" s="149" t="inlineStr">
        <is>
          <t>Prototype</t>
        </is>
      </c>
      <c r="BT85" s="145" t="inlineStr">
        <is>
          <t>White</t>
        </is>
      </c>
      <c r="BU85" s="145" t="inlineStr">
        <is>
          <t>Not verified</t>
        </is>
      </c>
      <c r="BV85" s="149" t="n"/>
      <c r="BW85" s="149" t="inlineStr">
        <is>
          <t>Origin &amp; status — China · Prototype · 2026 | Manipulation — 5 per hand · 5 per hand fingers · Hand DOF 14 · Payload 17.6 lb | Sensing &amp; software — Likely Linux + custom robot control stack | Buying notes — From $160,000 · 12 months manufacturer standard (typical research/commercial humanoid) · Best fit: Home service</t>
        </is>
      </c>
      <c r="BX85" s="149" t="inlineStr">
        <is>
          <t>as_shipped|Maker H01|160000|As shipped</t>
        </is>
      </c>
      <c r="BY85" s="145" t="inlineStr">
        <is>
          <t>white|White|#e2e8f0|0</t>
        </is>
      </c>
      <c r="BZ85" s="145" t="inlineStr"/>
      <c r="CA85" s="149" t="n"/>
      <c r="CB85" s="149" t="inlineStr">
        <is>
          <t>12 months manufacturer standard (typical research/commercial humanoid)</t>
        </is>
      </c>
      <c r="CC85" s="147" t="n">
        <v>12</v>
      </c>
      <c r="CD85" s="149" t="inlineStr">
        <is>
          <t>+3 Year Extended ≈24% of configuration (default in configurator)</t>
        </is>
      </c>
      <c r="CE85" s="145" t="inlineStr">
        <is>
          <t>Humanoid category norm 2025–2026</t>
        </is>
      </c>
      <c r="CF85" s="145" t="inlineStr">
        <is>
          <t>Estimated</t>
        </is>
      </c>
      <c r="CG85" s="149" t="inlineStr">
        <is>
          <t>Confirm on formal OEM quote. EDU or enterprise packages may differ.</t>
        </is>
      </c>
      <c r="CH85" s="145" t="inlineStr">
        <is>
          <t>10%</t>
        </is>
      </c>
      <c r="CI85" s="145" t="inlineStr">
        <is>
          <t>17%</t>
        </is>
      </c>
      <c r="CJ85" s="145" t="inlineStr">
        <is>
          <t>24%</t>
        </is>
      </c>
      <c r="CK85" s="149" t="inlineStr">
        <is>
          <t>+1yr ≈10% | +2yr ≈17% | +3yr ≈24% of selected configuration price (parts &amp; labor beyond manufacturer standard).</t>
        </is>
      </c>
      <c r="CL8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85" s="145" t="inlineStr">
        <is>
          <t>12 months manufacturer standard (typical research/commercial humanoid)</t>
        </is>
      </c>
      <c r="CQ85" s="101" t="inlineStr">
        <is>
          <t>Height: 5 ft 3 in | Weight: 141.1 | Degrees of Freedom: 28 | Payload: 17.6 | Max Speed: 4.97 | Battery / Runtime: ≈ 4 hours</t>
        </is>
      </c>
    </row>
    <row r="86" ht="31.5" customHeight="1" s="102">
      <c r="A86" s="152" t="inlineStr">
        <is>
          <t>haier_hiva_haiwa</t>
        </is>
      </c>
      <c r="B86" s="153" t="inlineStr">
        <is>
          <t>Humanoid.guide</t>
        </is>
      </c>
      <c r="C86" s="152" t="inlineStr">
        <is>
          <t>Haier</t>
        </is>
      </c>
      <c r="D86" s="152" t="inlineStr">
        <is>
          <t>HIVA Haiwa</t>
        </is>
      </c>
      <c r="E86" s="152" t="inlineStr">
        <is>
          <t>[Haier] HIVA Haiwa (2026)</t>
        </is>
      </c>
      <c r="F86" s="146" t="inlineStr">
        <is>
          <t>humanoid</t>
        </is>
      </c>
      <c r="G86" s="152" t="inlineStr">
        <is>
          <t>China</t>
        </is>
      </c>
      <c r="H86" s="152" t="n"/>
      <c r="I86" s="155" t="n">
        <v>80000</v>
      </c>
      <c r="J86" s="152" t="inlineStr">
        <is>
          <t>Humanoid.guide list</t>
        </is>
      </c>
      <c r="K86" s="156" t="inlineStr">
        <is>
          <t>The HIVA Haiwa is a 165 cm wheeled humanoid robot from Haier, created as an advanced domestic helper.</t>
        </is>
      </c>
      <c r="L86" s="101" t="inlineStr">
        <is>
          <t>The HIVA Haiwa is a 165 cm wheeled humanoid robot from Haier, created as an advanced domestic helper.</t>
        </is>
      </c>
      <c r="M86" s="101" t="inlineStr">
        <is>
          <t>The HIVA Haiwa is a 165 cm wheeled humanoid robot from Haier, created as an advanced domestic helper. Public status is listed as prototype, and it is positioned for consumer home use; Home assistance; Home service.</t>
        </is>
      </c>
      <c r="N86" s="157" t="inlineStr">
        <is>
          <t>https://humanoid.guide/product/hiva-haiwa/</t>
        </is>
      </c>
      <c r="O86" s="157" t="inlineStr">
        <is>
          <t>https://www.haier.com</t>
        </is>
      </c>
      <c r="P86" s="152" t="inlineStr">
        <is>
          <t>5 ft 5 in</t>
        </is>
      </c>
      <c r="Q86" s="152" t="n">
        <v>165</v>
      </c>
      <c r="R86" s="152" t="n">
        <v>154.3</v>
      </c>
      <c r="S86" s="152" t="n">
        <v>70</v>
      </c>
      <c r="T86" s="156" t="inlineStr">
        <is>
          <t>Not disclosed</t>
        </is>
      </c>
      <c r="U86" s="152" t="inlineStr">
        <is>
          <t>~180 × 80 × 60 cm crate (assumed)</t>
        </is>
      </c>
      <c r="V86" s="152" t="inlineStr">
        <is>
          <t>44</t>
        </is>
      </c>
      <c r="W86" s="156" t="inlineStr">
        <is>
          <t>12</t>
        </is>
      </c>
      <c r="X86" s="152" t="n">
        <v>17.6</v>
      </c>
      <c r="Y86" s="152" t="n">
        <v>8</v>
      </c>
      <c r="Z86" s="152" t="n">
        <v>2.49</v>
      </c>
      <c r="AA86" s="152" t="n">
        <v>4</v>
      </c>
      <c r="AB86" s="152" t="n">
        <v>2.5</v>
      </c>
      <c r="AC86" s="156" t="inlineStr">
        <is>
          <t>≈ 1 hours</t>
        </is>
      </c>
      <c r="AD86" s="156" t="inlineStr">
        <is>
          <t>1</t>
        </is>
      </c>
      <c r="AE86" s="152" t="n"/>
      <c r="AF86" s="152" t="inlineStr">
        <is>
          <t>Not disclosed</t>
        </is>
      </c>
      <c r="AG86" s="156" t="inlineStr">
        <is>
          <t>5 per hand</t>
        </is>
      </c>
      <c r="AH86" s="152" t="inlineStr">
        <is>
          <t>5 per hand</t>
        </is>
      </c>
      <c r="AI86" s="151" t="n">
        <v>3</v>
      </c>
      <c r="AJ86" s="156" t="inlineStr">
        <is>
          <t>Not disclosed</t>
        </is>
      </c>
      <c r="AK86" s="156" t="n"/>
      <c r="AL86" s="152" t="inlineStr">
        <is>
          <t>Not disclosed</t>
        </is>
      </c>
      <c r="AM86" s="152" t="n"/>
      <c r="AN86" s="152" t="inlineStr">
        <is>
          <t>Not disclosed</t>
        </is>
      </c>
      <c r="AO86" s="152" t="inlineStr">
        <is>
          <t>Not disclosed</t>
        </is>
      </c>
      <c r="AP86" s="152" t="inlineStr">
        <is>
          <t>Not disclosed</t>
        </is>
      </c>
      <c r="AQ86" s="152" t="inlineStr">
        <is>
          <t>Not disclosed</t>
        </is>
      </c>
      <c r="AR86" s="152" t="n"/>
      <c r="AS86" s="152" t="n"/>
      <c r="AT86" s="156" t="inlineStr">
        <is>
          <t>Embedded CPU + AI accelerator</t>
        </is>
      </c>
      <c r="AU86" s="156" t="inlineStr">
        <is>
          <t>Bluetooth; Smart Home Network; Wi‑Fi</t>
        </is>
      </c>
      <c r="AV86" s="152" t="inlineStr">
        <is>
          <t>Not disclosed</t>
        </is>
      </c>
      <c r="AW86" s="156" t="inlineStr">
        <is>
          <t>Not disclosed</t>
        </is>
      </c>
      <c r="AX86" s="158" t="n">
        <v>2</v>
      </c>
      <c r="AY86" s="156" t="inlineStr">
        <is>
          <t>Linux-based ROS environment</t>
        </is>
      </c>
      <c r="AZ86" s="156" t="inlineStr">
        <is>
          <t>Possible via external system integration</t>
        </is>
      </c>
      <c r="BA86" s="156" t="inlineStr">
        <is>
          <t>250–450 ms</t>
        </is>
      </c>
      <c r="BB86" s="156" t="inlineStr">
        <is>
          <t>Electric servo motors</t>
        </is>
      </c>
      <c r="BC86" s="156" t="inlineStr">
        <is>
          <t>Harmonic / planetary gears (assumed)</t>
        </is>
      </c>
      <c r="BD86" s="152" t="inlineStr">
        <is>
          <t>Aluminum alloy frame</t>
        </is>
      </c>
      <c r="BE86" s="152" t="inlineStr">
        <is>
          <t>IP20</t>
        </is>
      </c>
      <c r="BF86" s="152" t="inlineStr">
        <is>
          <t>IP20</t>
        </is>
      </c>
      <c r="BG86" s="152" t="n"/>
      <c r="BH86" s="152" t="n"/>
      <c r="BI86" s="152" t="n"/>
      <c r="BJ86" s="152" t="n"/>
      <c r="BK86" s="152" t="n"/>
      <c r="BL86" s="152" t="n"/>
      <c r="BM86" s="152" t="inlineStr">
        <is>
          <t>Yes</t>
        </is>
      </c>
      <c r="BN86" s="152" t="inlineStr">
        <is>
          <t>Not disclosed</t>
        </is>
      </c>
      <c r="BO86" s="156" t="inlineStr">
        <is>
          <t>Market: Consumer home use; Home assistance; Home service · Manipulation 3/4 · Navigation 2/4 · Human-safe: Yes · AI: Possible via external system integration · Actuation: Electric servo motors · Peak 4 km/h · Walk 2.5 km/h · Runtime 1</t>
        </is>
      </c>
      <c r="BP86" s="152" t="n"/>
      <c r="BQ86" s="156" t="inlineStr">
        <is>
          <t>Consumer home use; Home assistance; Home service</t>
        </is>
      </c>
      <c r="BR86" s="156" t="inlineStr">
        <is>
          <t>Prototype</t>
        </is>
      </c>
      <c r="BS86" s="156" t="inlineStr">
        <is>
          <t>Prototype</t>
        </is>
      </c>
      <c r="BT86" s="152" t="inlineStr">
        <is>
          <t>White</t>
        </is>
      </c>
      <c r="BU86" s="152" t="inlineStr">
        <is>
          <t>Not verified</t>
        </is>
      </c>
      <c r="BV86" s="156" t="n"/>
      <c r="BW86" s="156" t="inlineStr">
        <is>
          <t>Origin &amp; status — China · Prototype · 2026 | Manipulation — 5 per hand · 5 per hand fingers · Hand DOF 12 · Payload 17.6 lb | Sensing &amp; software — Possible via external system integration · Linux-based ROS environment | Buying notes — From $80,000 · 12 months manufacturer standard (typical research/commercial humanoid) · Best fit: Consumer home use</t>
        </is>
      </c>
      <c r="BX86" s="156" t="inlineStr">
        <is>
          <t>as_shipped|HIVA Haiwa|80000|As shipped</t>
        </is>
      </c>
      <c r="BY86" s="152" t="inlineStr">
        <is>
          <t>white|White|#e2e8f0|0</t>
        </is>
      </c>
      <c r="BZ86" s="152" t="inlineStr"/>
      <c r="CA86" s="156" t="n"/>
      <c r="CB86" s="156" t="inlineStr">
        <is>
          <t>12 months manufacturer standard (typical research/commercial humanoid)</t>
        </is>
      </c>
      <c r="CC86" s="154" t="n">
        <v>12</v>
      </c>
      <c r="CD86" s="156" t="inlineStr">
        <is>
          <t>+3 Year Extended ≈24% of configuration (default in configurator)</t>
        </is>
      </c>
      <c r="CE86" s="152" t="inlineStr">
        <is>
          <t>Humanoid category norm 2025–2026</t>
        </is>
      </c>
      <c r="CF86" s="152" t="inlineStr">
        <is>
          <t>Estimated</t>
        </is>
      </c>
      <c r="CG86" s="156" t="inlineStr">
        <is>
          <t>Confirm on formal OEM quote. EDU or enterprise packages may differ.</t>
        </is>
      </c>
      <c r="CH86" s="152" t="inlineStr">
        <is>
          <t>10%</t>
        </is>
      </c>
      <c r="CI86" s="152" t="inlineStr">
        <is>
          <t>17%</t>
        </is>
      </c>
      <c r="CJ86" s="152" t="inlineStr">
        <is>
          <t>24%</t>
        </is>
      </c>
      <c r="CK86" s="156" t="inlineStr">
        <is>
          <t>+1yr ≈10% | +2yr ≈17% | +3yr ≈24% of selected configuration price (parts &amp; labor beyond manufacturer standard).</t>
        </is>
      </c>
      <c r="CL86"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86" s="152" t="inlineStr">
        <is>
          <t>12 months manufacturer standard (typical research/commercial humanoid)</t>
        </is>
      </c>
      <c r="CQ86" s="101" t="inlineStr">
        <is>
          <t>Height: 5 ft 5 in | Weight: 154.3 | Degrees of Freedom: 44 | Payload: 17.6 | Max Speed: 2.49 | Battery / Runtime: ≈ 1 hours</t>
        </is>
      </c>
    </row>
    <row r="87" ht="31.5" customHeight="1" s="102">
      <c r="A87" s="145" t="inlineStr">
        <is>
          <t>hexagon_aeon</t>
        </is>
      </c>
      <c r="B87" s="153" t="inlineStr">
        <is>
          <t>Humanoid.guide</t>
        </is>
      </c>
      <c r="C87" s="145" t="inlineStr">
        <is>
          <t>Hexagon</t>
        </is>
      </c>
      <c r="D87" s="145" t="inlineStr">
        <is>
          <t>AEON</t>
        </is>
      </c>
      <c r="E87" s="145" t="inlineStr">
        <is>
          <t>[Hexagon] AEON (2026)</t>
        </is>
      </c>
      <c r="F87" s="146" t="inlineStr">
        <is>
          <t>humanoid</t>
        </is>
      </c>
      <c r="G87" s="145" t="inlineStr">
        <is>
          <t>Swedish</t>
        </is>
      </c>
      <c r="H87" s="145" t="n"/>
      <c r="I87" s="148" t="n">
        <v>20000</v>
      </c>
      <c r="J87" s="145" t="inlineStr">
        <is>
          <t>Humanoid.guide list</t>
        </is>
      </c>
      <c r="K87" s="149" t="inlineStr">
        <is>
          <t>AEON is Hexagon’s 165 cm, 60 kg humanoid that sprints at 8.6 km/h, carries 15 kg, and runs an on-board NVIDIA Jetson Orin with hot-swappable batteries—purpose-built for fast, safe industrial inspection and logistics.</t>
        </is>
      </c>
      <c r="L87" s="101" t="inlineStr">
        <is>
          <t>AEON is Hexagon’s 165 cm, 60 kg humanoid that sprints at 8.6 km/h, carries 15 kg, and runs an on-board NVIDIA Jetson Orin with hot-swappable batteries—purpose-built for fast, safe industrial inspection and logistics.</t>
        </is>
      </c>
      <c r="M87" s="101" t="inlineStr">
        <is>
          <t>AEON is Hexagon’s 165 cm, 60 kg humanoid that sprints at 8.6 km/h, carries 15 kg, and runs an on-board NVIDIA Jetson Orin with hot-swappable batteries—purpose-built for fast, safe industrial inspection and logistics. Public status is listed as prototype, and it is positioned for industrial inspection, manipulation, reality-capture &amp; logistics.</t>
        </is>
      </c>
      <c r="N87" s="150" t="inlineStr">
        <is>
          <t>https://humanoid.guide/product/aeon/</t>
        </is>
      </c>
      <c r="O87" s="150" t="inlineStr">
        <is>
          <t>https://hexagon.com</t>
        </is>
      </c>
      <c r="P87" s="145" t="inlineStr">
        <is>
          <t>5 ft 5 in</t>
        </is>
      </c>
      <c r="Q87" s="145" t="n">
        <v>165</v>
      </c>
      <c r="R87" s="145" t="n">
        <v>132.3</v>
      </c>
      <c r="S87" s="145" t="n">
        <v>60</v>
      </c>
      <c r="T87" s="149" t="inlineStr">
        <is>
          <t>Not disclosed</t>
        </is>
      </c>
      <c r="U87" s="145" t="n"/>
      <c r="V87" s="145" t="inlineStr">
        <is>
          <t>34</t>
        </is>
      </c>
      <c r="W87" s="149" t="inlineStr">
        <is>
          <t>Not disclosed</t>
        </is>
      </c>
      <c r="X87" s="145" t="n">
        <v>33.1</v>
      </c>
      <c r="Y87" s="145" t="n">
        <v>15</v>
      </c>
      <c r="Z87" s="145" t="n">
        <v>5.34</v>
      </c>
      <c r="AA87" s="145" t="n">
        <v>8.6</v>
      </c>
      <c r="AB87" s="145" t="n"/>
      <c r="AC87" s="149" t="inlineStr">
        <is>
          <t>≈ 4 hours</t>
        </is>
      </c>
      <c r="AD87" s="149" t="inlineStr">
        <is>
          <t>4</t>
        </is>
      </c>
      <c r="AE87" s="145" t="n"/>
      <c r="AF87" s="145" t="inlineStr">
        <is>
          <t>Not disclosed</t>
        </is>
      </c>
      <c r="AG87" s="149" t="inlineStr">
        <is>
          <t>10</t>
        </is>
      </c>
      <c r="AH87" s="145" t="inlineStr">
        <is>
          <t>10</t>
        </is>
      </c>
      <c r="AI87" s="158" t="n">
        <v>2</v>
      </c>
      <c r="AJ87" s="149" t="inlineStr">
        <is>
          <t>Not disclosed</t>
        </is>
      </c>
      <c r="AK87" s="149" t="inlineStr">
        <is>
          <t>Not specified</t>
        </is>
      </c>
      <c r="AL87" s="145" t="inlineStr">
        <is>
          <t>Not disclosed</t>
        </is>
      </c>
      <c r="AM87" s="145" t="n"/>
      <c r="AN87" s="145" t="inlineStr">
        <is>
          <t>Not disclosed</t>
        </is>
      </c>
      <c r="AO87" s="145" t="inlineStr">
        <is>
          <t>Not disclosed</t>
        </is>
      </c>
      <c r="AP87" s="145" t="inlineStr">
        <is>
          <t>Not disclosed</t>
        </is>
      </c>
      <c r="AQ87" s="145" t="inlineStr">
        <is>
          <t>Not disclosed</t>
        </is>
      </c>
      <c r="AR87" s="145" t="n"/>
      <c r="AS87" s="145" t="n"/>
      <c r="AT87" s="149" t="inlineStr">
        <is>
          <t>NVIDIA IGX; Nvidia Jetson</t>
        </is>
      </c>
      <c r="AU87" s="149" t="inlineStr">
        <is>
          <t>Ethernet; WiFi</t>
        </is>
      </c>
      <c r="AV87" s="145" t="inlineStr">
        <is>
          <t>Not disclosed</t>
        </is>
      </c>
      <c r="AW87" s="149" t="inlineStr">
        <is>
          <t>Not disclosed</t>
        </is>
      </c>
      <c r="AX87" s="158" t="n">
        <v>2</v>
      </c>
      <c r="AY87" s="149" t="inlineStr">
        <is>
          <t>Linux</t>
        </is>
      </c>
      <c r="AZ87" s="149" t="inlineStr">
        <is>
          <t>Hexagon explores fine-tuned Isaac GR00T foundation models for reasoning and policy learning</t>
        </is>
      </c>
      <c r="BA87" s="149" t="inlineStr">
        <is>
          <t>Not specified</t>
        </is>
      </c>
      <c r="BB87" s="149" t="inlineStr">
        <is>
          <t>High-performance electric actuators engineered for precision &amp; load stability (details TBA)</t>
        </is>
      </c>
      <c r="BC87" s="149" t="inlineStr">
        <is>
          <t>Not disclosed</t>
        </is>
      </c>
      <c r="BD87" s="145" t="inlineStr">
        <is>
          <t>Aluminium; composite shell over alloy frame</t>
        </is>
      </c>
      <c r="BE87" s="145" t="inlineStr">
        <is>
          <t>Not disclosed</t>
        </is>
      </c>
      <c r="BF87" s="145" t="inlineStr">
        <is>
          <t>Not specified</t>
        </is>
      </c>
      <c r="BG87" s="145" t="n"/>
      <c r="BH87" s="145" t="n"/>
      <c r="BI87" s="145" t="n"/>
      <c r="BJ87" s="145" t="n"/>
      <c r="BK87" s="145" t="n"/>
      <c r="BL87" s="145" t="n"/>
      <c r="BM87" s="145" t="inlineStr">
        <is>
          <t>Yes</t>
        </is>
      </c>
      <c r="BN87" s="145" t="inlineStr">
        <is>
          <t>Not disclosed</t>
        </is>
      </c>
      <c r="BO87" s="149" t="inlineStr">
        <is>
          <t>Market: Industrial inspection, manipulation, reality-capture &amp; logistics · Manipulation 2/4 · Navigation 2/4 · Human-safe: Yes · AI: Hexagon explores fine-tuned Isaac GR00T foundation models for reasoning and policy learning · Actuation: High-performance electric actuators engineered for precision &amp; load stability (details TBA) · Peak 8.6 km/h · Runtime 4</t>
        </is>
      </c>
      <c r="BP87" s="145" t="n"/>
      <c r="BQ87" s="149" t="inlineStr">
        <is>
          <t>Industrial inspection, manipulation, reality-capture &amp; logistics</t>
        </is>
      </c>
      <c r="BR87" s="149" t="inlineStr">
        <is>
          <t>Prototype</t>
        </is>
      </c>
      <c r="BS87" s="149" t="inlineStr">
        <is>
          <t>Prototype</t>
        </is>
      </c>
      <c r="BT87" s="145" t="n"/>
      <c r="BU87" s="145" t="inlineStr">
        <is>
          <t>Not verified</t>
        </is>
      </c>
      <c r="BV87" s="149" t="n"/>
      <c r="BW87" s="149" t="inlineStr">
        <is>
          <t>Origin &amp; status — Swedish · Prototype · 2026 | Manipulation — 10 · 10 fingers · Payload 33.1 lb | Sensing &amp; software — Hexagon explores fine-tuned Isaac GR00T foundation models for reasoning and policy learning · Linux | Buying notes — From $20,000 · 12 months manufacturer standard (typical research/commercial humanoid) · Best fit: Industrial inspection, manipulation, reality-capture &amp; logistics</t>
        </is>
      </c>
      <c r="BX87" s="149" t="inlineStr">
        <is>
          <t>as_shipped|AEON|20000|As shipped</t>
        </is>
      </c>
      <c r="BY87" s="145" t="inlineStr">
        <is>
          <t>aeon|Manufacturer finish|#e2e8f0|0</t>
        </is>
      </c>
      <c r="BZ87" s="145" t="inlineStr"/>
      <c r="CA87" s="149" t="n"/>
      <c r="CB87" s="149" t="inlineStr">
        <is>
          <t>12 months manufacturer standard (typical research/commercial humanoid)</t>
        </is>
      </c>
      <c r="CC87" s="147" t="n">
        <v>12</v>
      </c>
      <c r="CD87" s="149" t="inlineStr">
        <is>
          <t>+3 Year Extended ≈24% of configuration (default in configurator)</t>
        </is>
      </c>
      <c r="CE87" s="145" t="inlineStr">
        <is>
          <t>Humanoid category norm 2025–2026</t>
        </is>
      </c>
      <c r="CF87" s="145" t="inlineStr">
        <is>
          <t>Estimated</t>
        </is>
      </c>
      <c r="CG87" s="149" t="inlineStr">
        <is>
          <t>Confirm on formal OEM quote. EDU or enterprise packages may differ.</t>
        </is>
      </c>
      <c r="CH87" s="145" t="inlineStr">
        <is>
          <t>10%</t>
        </is>
      </c>
      <c r="CI87" s="145" t="inlineStr">
        <is>
          <t>17%</t>
        </is>
      </c>
      <c r="CJ87" s="145" t="inlineStr">
        <is>
          <t>24%</t>
        </is>
      </c>
      <c r="CK87" s="149" t="inlineStr">
        <is>
          <t>+1yr ≈10% | +2yr ≈17% | +3yr ≈24% of selected configuration price (parts &amp; labor beyond manufacturer standard).</t>
        </is>
      </c>
      <c r="CL87"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87" s="145" t="inlineStr">
        <is>
          <t>12 months manufacturer standard (typical research/commercial humanoid)</t>
        </is>
      </c>
      <c r="CQ87" s="101" t="inlineStr">
        <is>
          <t>Height: 5 ft 5 in | Weight: 132.3 | Degrees of Freedom: 34 | Payload: 33.1 | Max Speed: 5.34 | Battery / Runtime: ≈ 4 hours</t>
        </is>
      </c>
    </row>
    <row r="88" ht="31.5" customHeight="1" s="102">
      <c r="A88" s="152" t="inlineStr">
        <is>
          <t>holiday_robotics_friday</t>
        </is>
      </c>
      <c r="B88" s="153" t="inlineStr">
        <is>
          <t>Humanoid.guide</t>
        </is>
      </c>
      <c r="C88" s="152" t="inlineStr">
        <is>
          <t>Holiday Robotics</t>
        </is>
      </c>
      <c r="D88" s="152" t="inlineStr">
        <is>
          <t>Friday</t>
        </is>
      </c>
      <c r="E88" s="152" t="inlineStr">
        <is>
          <t>[Holiday Robotics] Friday (2026)</t>
        </is>
      </c>
      <c r="F88" s="146" t="inlineStr">
        <is>
          <t>humanoid</t>
        </is>
      </c>
      <c r="G88" s="152" t="n"/>
      <c r="H88" s="152" t="n"/>
      <c r="I88" s="155" t="n">
        <v>200000</v>
      </c>
      <c r="J88" s="152" t="inlineStr">
        <is>
          <t>Humanoid.guide list</t>
        </is>
      </c>
      <c r="K88" s="156" t="inlineStr">
        <is>
          <t>Friday is Holiday Robotics’ dexterous humanoid for real-world work, pairing a 63-DoF body and tactile 20-DoF hands with a fast wheeled base, autonomous/teleop control, and hot-swap power for research, logistics, and human-interactive tasks.</t>
        </is>
      </c>
      <c r="L88" s="101" t="inlineStr">
        <is>
          <t>Friday is Holiday Robotics’ dexterous humanoid for real-world work, pairing a 63-DoF body and tactile 20-DoF hands with a fast wheeled base, autonomous/teleop control, and hot-swap power for research, logistics, and human-interactive tasks.</t>
        </is>
      </c>
      <c r="M88" s="101" t="inlineStr">
        <is>
          <t>Friday is Holiday Robotics’ dexterous humanoid for real-world work, pairing a 63-DoF body and tactile 20-DoF hands with a fast wheeled base, autonomous/teleop control, and hot-swap power for research, logistics, and human-interactive tasks. Public status is listed as prototype, and it is positioned for manufacturing.</t>
        </is>
      </c>
      <c r="N88" s="157" t="inlineStr">
        <is>
          <t>https://humanoid.guide/product/friday/</t>
        </is>
      </c>
      <c r="O88" s="152" t="inlineStr">
        <is>
          <t>https://www.holidayrobotics.com</t>
        </is>
      </c>
      <c r="P88" s="152" t="inlineStr">
        <is>
          <t>5 ft 8 in</t>
        </is>
      </c>
      <c r="Q88" s="152" t="n">
        <v>173</v>
      </c>
      <c r="R88" s="152" t="n">
        <v>253.5</v>
      </c>
      <c r="S88" s="152" t="n">
        <v>115</v>
      </c>
      <c r="T88" s="156" t="inlineStr">
        <is>
          <t>Not disclosed</t>
        </is>
      </c>
      <c r="U88" s="152" t="n"/>
      <c r="V88" s="152" t="inlineStr">
        <is>
          <t>63</t>
        </is>
      </c>
      <c r="W88" s="156" t="inlineStr">
        <is>
          <t>20</t>
        </is>
      </c>
      <c r="X88" s="152" t="n">
        <v>44.1</v>
      </c>
      <c r="Y88" s="152" t="n">
        <v>20</v>
      </c>
      <c r="Z88" s="152" t="n">
        <v>4.25</v>
      </c>
      <c r="AA88" s="152" t="n">
        <v>6.84</v>
      </c>
      <c r="AB88" s="152" t="n">
        <v>6.84</v>
      </c>
      <c r="AC88" s="156" t="inlineStr">
        <is>
          <t>≈ 4 hours</t>
        </is>
      </c>
      <c r="AD88" s="156" t="inlineStr">
        <is>
          <t>4</t>
        </is>
      </c>
      <c r="AE88" s="152" t="n"/>
      <c r="AF88" s="152" t="inlineStr">
        <is>
          <t>Not disclosed</t>
        </is>
      </c>
      <c r="AG88" s="156" t="inlineStr">
        <is>
          <t>10</t>
        </is>
      </c>
      <c r="AH88" s="152" t="inlineStr">
        <is>
          <t>10</t>
        </is>
      </c>
      <c r="AI88" s="158" t="n">
        <v>2</v>
      </c>
      <c r="AJ88" s="156" t="inlineStr">
        <is>
          <t>Not disclosed</t>
        </is>
      </c>
      <c r="AK88" s="156" t="n"/>
      <c r="AL88" s="152" t="inlineStr">
        <is>
          <t>Not disclosed</t>
        </is>
      </c>
      <c r="AM88" s="152" t="n"/>
      <c r="AN88" s="152" t="inlineStr">
        <is>
          <t>Not disclosed</t>
        </is>
      </c>
      <c r="AO88" s="152" t="inlineStr">
        <is>
          <t>Not disclosed</t>
        </is>
      </c>
      <c r="AP88" s="152" t="inlineStr">
        <is>
          <t>Not disclosed</t>
        </is>
      </c>
      <c r="AQ88" s="152" t="inlineStr">
        <is>
          <t>Not disclosed</t>
        </is>
      </c>
      <c r="AR88" s="152" t="n"/>
      <c r="AS88" s="152" t="n"/>
      <c r="AT88" s="156" t="inlineStr">
        <is>
          <t>NVIDIA Jetson Orin</t>
        </is>
      </c>
      <c r="AU88" s="156" t="inlineStr">
        <is>
          <t>Wi‑Fi</t>
        </is>
      </c>
      <c r="AV88" s="152" t="inlineStr">
        <is>
          <t>Not disclosed</t>
        </is>
      </c>
      <c r="AW88" s="156" t="inlineStr">
        <is>
          <t>Not disclosed</t>
        </is>
      </c>
      <c r="AX88" s="162" t="n">
        <v>1</v>
      </c>
      <c r="AY88" s="156" t="inlineStr">
        <is>
          <t>Linux</t>
        </is>
      </c>
      <c r="AZ88" s="156" t="inlineStr">
        <is>
          <t>No</t>
        </is>
      </c>
      <c r="BA88" s="156" t="inlineStr">
        <is>
          <t>0.2s</t>
        </is>
      </c>
      <c r="BB88" s="156" t="inlineStr">
        <is>
          <t>BLDC</t>
        </is>
      </c>
      <c r="BC88" s="156" t="inlineStr">
        <is>
          <t>QDD</t>
        </is>
      </c>
      <c r="BD88" s="152" t="inlineStr">
        <is>
          <t>Aluminum</t>
        </is>
      </c>
      <c r="BE88" s="152" t="inlineStr">
        <is>
          <t>No</t>
        </is>
      </c>
      <c r="BF88" s="152" t="inlineStr">
        <is>
          <t>No</t>
        </is>
      </c>
      <c r="BG88" s="152" t="n"/>
      <c r="BH88" s="152" t="n"/>
      <c r="BI88" s="152" t="n"/>
      <c r="BJ88" s="152" t="n"/>
      <c r="BK88" s="152" t="n"/>
      <c r="BL88" s="152" t="n"/>
      <c r="BM88" s="152" t="inlineStr">
        <is>
          <t>Yes</t>
        </is>
      </c>
      <c r="BN88" s="152" t="inlineStr">
        <is>
          <t>Not disclosed</t>
        </is>
      </c>
      <c r="BO88" s="156" t="inlineStr">
        <is>
          <t>Market: Manufacturing · Manipulation 2/4 · Navigation 1/4 · Human-safe: Yes · AI: No · Actuation: BLDC · Peak 6.84 km/h · Walk 6.84 km/h · Runtime 4</t>
        </is>
      </c>
      <c r="BP88" s="152" t="n"/>
      <c r="BQ88" s="156" t="inlineStr">
        <is>
          <t>Manufacturing</t>
        </is>
      </c>
      <c r="BR88" s="156" t="inlineStr">
        <is>
          <t>Prototype</t>
        </is>
      </c>
      <c r="BS88" s="156" t="inlineStr">
        <is>
          <t>Prototype</t>
        </is>
      </c>
      <c r="BT88" s="152" t="n"/>
      <c r="BU88" s="152" t="inlineStr">
        <is>
          <t>Not verified</t>
        </is>
      </c>
      <c r="BV88" s="156" t="n"/>
      <c r="BW88" s="156" t="inlineStr">
        <is>
          <t>Origin &amp; status — Prototype · 2026 | Manipulation — 10 · 10 fingers · Hand DOF 20 · Payload 44.1 lb | Sensing &amp; software — No · Linux | Buying notes — From $200,000 · 12 months manufacturer standard (typical research/commercial humanoid) · Best fit: Manufacturing</t>
        </is>
      </c>
      <c r="BX88" s="156" t="inlineStr">
        <is>
          <t>as_shipped|Friday|200000|As shipped</t>
        </is>
      </c>
      <c r="BY88" s="152" t="inlineStr">
        <is>
          <t>friday|Manufacturer finish|#e2e8f0|0</t>
        </is>
      </c>
      <c r="BZ88" s="152" t="inlineStr"/>
      <c r="CA88" s="156" t="n"/>
      <c r="CB88" s="156" t="inlineStr">
        <is>
          <t>12 months manufacturer standard (typical research/commercial humanoid)</t>
        </is>
      </c>
      <c r="CC88" s="154" t="n">
        <v>12</v>
      </c>
      <c r="CD88" s="156" t="inlineStr">
        <is>
          <t>+3 Year Extended ≈24% of configuration (default in configurator)</t>
        </is>
      </c>
      <c r="CE88" s="152" t="inlineStr">
        <is>
          <t>Humanoid category norm 2025–2026</t>
        </is>
      </c>
      <c r="CF88" s="152" t="inlineStr">
        <is>
          <t>Estimated</t>
        </is>
      </c>
      <c r="CG88" s="156" t="inlineStr">
        <is>
          <t>Confirm on formal OEM quote. EDU or enterprise packages may differ.</t>
        </is>
      </c>
      <c r="CH88" s="152" t="inlineStr">
        <is>
          <t>10%</t>
        </is>
      </c>
      <c r="CI88" s="152" t="inlineStr">
        <is>
          <t>17%</t>
        </is>
      </c>
      <c r="CJ88" s="152" t="inlineStr">
        <is>
          <t>24%</t>
        </is>
      </c>
      <c r="CK88" s="156" t="inlineStr">
        <is>
          <t>+1yr ≈10% | +2yr ≈17% | +3yr ≈24% of selected configuration price (parts &amp; labor beyond manufacturer standard).</t>
        </is>
      </c>
      <c r="CL88"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88" s="152" t="inlineStr">
        <is>
          <t>12 months manufacturer standard (typical research/commercial humanoid)</t>
        </is>
      </c>
      <c r="CQ88" s="101" t="inlineStr">
        <is>
          <t>Height: 5 ft 8 in | Weight: 253.5 | Degrees of Freedom: 63 | Payload: 44.1 | Max Speed: 4.25 | Battery / Runtime: ≈ 4 hours</t>
        </is>
      </c>
    </row>
    <row r="89" ht="31.5" customHeight="1" s="102">
      <c r="A89" s="143" t="inlineStr">
        <is>
          <t>honor_lightning_flash_d1</t>
        </is>
      </c>
      <c r="B89" s="144" t="inlineStr">
        <is>
          <t>Both</t>
        </is>
      </c>
      <c r="C89" s="145" t="inlineStr">
        <is>
          <t>Honor</t>
        </is>
      </c>
      <c r="D89" s="145" t="inlineStr">
        <is>
          <t>Lightning</t>
        </is>
      </c>
      <c r="E89" s="145" t="inlineStr">
        <is>
          <t>[Honor] Lightning (2025)</t>
        </is>
      </c>
      <c r="F89" s="146" t="inlineStr">
        <is>
          <t>humanoid</t>
        </is>
      </c>
      <c r="G89" s="145" t="inlineStr">
        <is>
          <t>China</t>
        </is>
      </c>
      <c r="H89" s="147" t="n">
        <v>2025</v>
      </c>
      <c r="I89" s="148" t="n">
        <v>50000</v>
      </c>
      <c r="J89" s="145" t="inlineStr">
        <is>
          <t>Website store</t>
        </is>
      </c>
      <c r="K89" s="149" t="inlineStr">
        <is>
          <t>HONOR’s first humanoid robot brings AI-driven assistance to service environments and smart spaces, featuring real-time perception, voice interaction, and a compact human-like design.</t>
        </is>
      </c>
      <c r="L89" s="101" t="inlineStr">
        <is>
          <t>HONOR’s first humanoid robot brings AI-driven assistance to service environments and smart spaces, featuring real-time perception, voice interaction, and a compact human-like design.</t>
        </is>
      </c>
      <c r="M89" s="101" t="inlineStr">
        <is>
          <t>Lightning is Honor's humanoid, introduced around 2025 in China. HONOR’s first humanoid robot brings AI-driven assistance to service environments and smart spaces, featuring real-time perception, voice interaction, and a compact human-like design. Public status is listed as wHRG 2026 multi-unit finalist, and it is positioned for sprint / Athletic.</t>
        </is>
      </c>
      <c r="N89" s="150" t="inlineStr">
        <is>
          <t>https://humanoid.guide/product/honor/</t>
        </is>
      </c>
      <c r="O89" s="150" t="inlineStr">
        <is>
          <t>https://www.honor.com</t>
        </is>
      </c>
      <c r="P89" s="145" t="inlineStr">
        <is>
          <t>5 ft 3 in</t>
        </is>
      </c>
      <c r="Q89" s="145" t="n">
        <v>160</v>
      </c>
      <c r="R89" s="145" t="n">
        <v>176.4</v>
      </c>
      <c r="S89" s="145" t="n">
        <v>80</v>
      </c>
      <c r="T89" s="149" t="inlineStr">
        <is>
          <t>Not disclosed</t>
        </is>
      </c>
      <c r="U89" s="145" t="n"/>
      <c r="V89" s="145" t="inlineStr">
        <is>
          <t>20</t>
        </is>
      </c>
      <c r="W89" s="149" t="inlineStr">
        <is>
          <t>10</t>
        </is>
      </c>
      <c r="X89" s="145" t="n">
        <v>22</v>
      </c>
      <c r="Y89" s="145" t="n">
        <v>10</v>
      </c>
      <c r="Z89" s="145" t="n">
        <v>2.49</v>
      </c>
      <c r="AA89" s="145" t="n">
        <v>4</v>
      </c>
      <c r="AB89" s="145" t="n"/>
      <c r="AC89" s="149" t="inlineStr">
        <is>
          <t>≈ 2 hours</t>
        </is>
      </c>
      <c r="AD89" s="149" t="inlineStr">
        <is>
          <t>2</t>
        </is>
      </c>
      <c r="AE89" s="145" t="n"/>
      <c r="AF89" s="145" t="inlineStr">
        <is>
          <t>Not disclosed</t>
        </is>
      </c>
      <c r="AG89" s="149" t="inlineStr">
        <is>
          <t>5</t>
        </is>
      </c>
      <c r="AH89" s="145" t="inlineStr">
        <is>
          <t>5</t>
        </is>
      </c>
      <c r="AI89" s="145" t="n"/>
      <c r="AJ89" s="149" t="inlineStr">
        <is>
          <t>Vision suite for service and interaction tasks</t>
        </is>
      </c>
      <c r="AK89" s="149" t="n"/>
      <c r="AL89" s="145" t="inlineStr">
        <is>
          <t>Not disclosed</t>
        </is>
      </c>
      <c r="AM89" s="145" t="n"/>
      <c r="AN89" s="145" t="inlineStr">
        <is>
          <t>Not disclosed</t>
        </is>
      </c>
      <c r="AO89" s="145" t="inlineStr">
        <is>
          <t>Not disclosed</t>
        </is>
      </c>
      <c r="AP89" s="145" t="inlineStr">
        <is>
          <t>Not disclosed</t>
        </is>
      </c>
      <c r="AQ89" s="145" t="inlineStr">
        <is>
          <t>Not disclosed</t>
        </is>
      </c>
      <c r="AR89" s="145" t="n"/>
      <c r="AS89" s="145" t="n"/>
      <c r="AT89" s="149" t="inlineStr">
        <is>
          <t>Assumed AI-optimized SoC with neural NPU</t>
        </is>
      </c>
      <c r="AU89" s="149" t="inlineStr">
        <is>
          <t>Bluetooth; Ethernet; Wi‑Fi</t>
        </is>
      </c>
      <c r="AV89" s="145" t="inlineStr">
        <is>
          <t>Service-robot software stack</t>
        </is>
      </c>
      <c r="AW89" s="149" t="inlineStr">
        <is>
          <t>Not disclosed</t>
        </is>
      </c>
      <c r="AX89" s="145" t="n"/>
      <c r="AY89" s="149" t="inlineStr">
        <is>
          <t>Not disclosed</t>
        </is>
      </c>
      <c r="AZ89" s="149" t="inlineStr">
        <is>
          <t>Yes</t>
        </is>
      </c>
      <c r="BA89" s="149" t="inlineStr">
        <is>
          <t>Assumed optimized for real-time interaction</t>
        </is>
      </c>
      <c r="BB89" s="149" t="inlineStr">
        <is>
          <t>Assumed brushless servos</t>
        </is>
      </c>
      <c r="BC89" s="149" t="inlineStr">
        <is>
          <t>Assumed harmonic or planetary gears</t>
        </is>
      </c>
      <c r="BD89" s="145" t="inlineStr">
        <is>
          <t>Metal + reinforced polymers</t>
        </is>
      </c>
      <c r="BE89" s="145" t="inlineStr">
        <is>
          <t>Not disclosed</t>
        </is>
      </c>
      <c r="BF89" s="145" t="n"/>
      <c r="BG89" s="145" t="n"/>
      <c r="BH89" s="145" t="n"/>
      <c r="BI89" s="145" t="n"/>
      <c r="BJ89" s="145" t="n"/>
      <c r="BK89" s="145" t="n"/>
      <c r="BL89" s="145" t="n"/>
      <c r="BM89" s="145" t="inlineStr">
        <is>
          <t>Yes</t>
        </is>
      </c>
      <c r="BN89" s="145" t="inlineStr">
        <is>
          <t>Not disclosed</t>
        </is>
      </c>
      <c r="BO89" s="149" t="inlineStr">
        <is>
          <t>Market: Sprint / Athletic · Human-safe: Yes · AI: Yes · Actuation: Assumed brushless servos · Peak 4 km/h · Runtime 2</t>
        </is>
      </c>
      <c r="BP89" s="145" t="n"/>
      <c r="BQ89" s="149" t="inlineStr">
        <is>
          <t>Sprint / Athletic</t>
        </is>
      </c>
      <c r="BR89" s="149" t="inlineStr">
        <is>
          <t>WHRG 2026 multi-unit finalist</t>
        </is>
      </c>
      <c r="BS89" s="149" t="inlineStr">
        <is>
          <t>Prototype</t>
        </is>
      </c>
      <c r="BT89" s="145" t="inlineStr">
        <is>
          <t>Black</t>
        </is>
      </c>
      <c r="BU89" s="145" t="inlineStr">
        <is>
          <t>Not verified</t>
        </is>
      </c>
      <c r="BV89" s="149" t="inlineStr">
        <is>
          <t>Strong 100m / 1312 ft results at Games</t>
        </is>
      </c>
      <c r="BW89" s="149" t="inlineStr">
        <is>
          <t>Origin &amp; status — China · WHRG 2026 multi-unit finalist · 2025 | Manipulation — 5 · 5 fingers · Hand DOF 10 · Payload 22 lb (10 kg) | Sensing &amp; software — Vision suite for service and interaction tasks · Yes · Service-robot software stack | Buying notes — From $50,000 · 12 months manufacturer standard (typical research/commercial humanoid) · Best fit: Sprint</t>
        </is>
      </c>
      <c r="BX89" s="149" t="inlineStr">
        <is>
          <t>as_shipped|Lightning|50000|As shipped</t>
        </is>
      </c>
      <c r="BY89" s="145" t="inlineStr">
        <is>
          <t>black|Black|#111111|0</t>
        </is>
      </c>
      <c r="BZ89" s="145" t="inlineStr"/>
      <c r="CA89" s="149" t="inlineStr">
        <is>
          <t>Add-ons: case; 2 color options; Multi-year extended warranty available</t>
        </is>
      </c>
      <c r="CB89" s="149" t="inlineStr">
        <is>
          <t>12 months manufacturer standard (typical research/commercial humanoid)</t>
        </is>
      </c>
      <c r="CC89" s="147" t="n">
        <v>12</v>
      </c>
      <c r="CD89" s="149" t="inlineStr">
        <is>
          <t>+3 Year Extended ≈24% of configuration (default in configurator)</t>
        </is>
      </c>
      <c r="CE89" s="145" t="inlineStr">
        <is>
          <t>Humanoid category norm 2025–2026</t>
        </is>
      </c>
      <c r="CF89" s="145" t="inlineStr">
        <is>
          <t>Estimated</t>
        </is>
      </c>
      <c r="CG89" s="149" t="inlineStr">
        <is>
          <t>EDU or enterprise packages may differ; confirm on formal quote.</t>
        </is>
      </c>
      <c r="CH89" s="145" t="inlineStr">
        <is>
          <t>10%</t>
        </is>
      </c>
      <c r="CI89" s="145" t="inlineStr">
        <is>
          <t>17%</t>
        </is>
      </c>
      <c r="CJ89" s="145" t="inlineStr">
        <is>
          <t>24%</t>
        </is>
      </c>
      <c r="CK8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8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89" s="145" t="inlineStr">
        <is>
          <t>12 months manufacturer standard (typical research/commercial humanoid)</t>
        </is>
      </c>
      <c r="CQ89" s="101" t="inlineStr">
        <is>
          <t>Height: 5 ft 3 in | Weight: 176.4 | Degrees of Freedom: 20 | Payload: 22 | Max Speed: 2.49 | Battery / Runtime: ≈ 2 hours</t>
        </is>
      </c>
    </row>
    <row r="90" ht="31.5" customHeight="1" s="102">
      <c r="A90" s="143" t="inlineStr">
        <is>
          <t>honor_lightning_flash_d1_flash</t>
        </is>
      </c>
      <c r="B90" s="144" t="inlineStr">
        <is>
          <t>Both</t>
        </is>
      </c>
      <c r="C90" s="145" t="inlineStr">
        <is>
          <t>Honor</t>
        </is>
      </c>
      <c r="D90" s="145" t="inlineStr">
        <is>
          <t>Flash</t>
        </is>
      </c>
      <c r="E90" s="145" t="inlineStr">
        <is>
          <t>[Honor] Flash (2025)</t>
        </is>
      </c>
      <c r="F90" s="146" t="inlineStr">
        <is>
          <t>humanoid</t>
        </is>
      </c>
      <c r="G90" s="145" t="inlineStr">
        <is>
          <t>China</t>
        </is>
      </c>
      <c r="H90" s="147" t="n">
        <v>2025</v>
      </c>
      <c r="I90" s="148" t="n">
        <v>50000</v>
      </c>
      <c r="J90" s="145" t="inlineStr">
        <is>
          <t>Website store</t>
        </is>
      </c>
      <c r="K90" s="149" t="inlineStr">
        <is>
          <t>HONOR’s first humanoid robot brings AI-driven assistance to service environments and smart spaces, featuring real-time perception, voice interaction, and a compact human-like design.</t>
        </is>
      </c>
      <c r="L90" s="101" t="inlineStr">
        <is>
          <t>HONOR’s first humanoid robot brings AI-driven assistance to service environments and smart spaces, featuring real-time perception, voice interaction, and a compact human-like design.</t>
        </is>
      </c>
      <c r="M90" s="101" t="inlineStr">
        <is>
          <t>Flash is Honor's humanoid, introduced around 2025 in China. HONOR’s first humanoid robot brings AI-driven assistance to service environments and smart spaces, featuring real-time perception, voice interaction, and a compact human-like design. Public status is listed as wHRG 2026 multi-unit finalist, and it is positioned for sprint / Athletic.</t>
        </is>
      </c>
      <c r="N90" s="150" t="inlineStr">
        <is>
          <t>https://humanoid.guide/product/honor/</t>
        </is>
      </c>
      <c r="O90" s="150" t="inlineStr">
        <is>
          <t>https://www.honor.com</t>
        </is>
      </c>
      <c r="P90" s="145" t="inlineStr">
        <is>
          <t>5 ft 3 in</t>
        </is>
      </c>
      <c r="Q90" s="145" t="n">
        <v>160</v>
      </c>
      <c r="R90" s="145" t="n">
        <v>176.4</v>
      </c>
      <c r="S90" s="145" t="n">
        <v>80</v>
      </c>
      <c r="T90" s="149" t="inlineStr">
        <is>
          <t>Not disclosed</t>
        </is>
      </c>
      <c r="U90" s="145" t="n"/>
      <c r="V90" s="145" t="inlineStr">
        <is>
          <t>20</t>
        </is>
      </c>
      <c r="W90" s="149" t="inlineStr">
        <is>
          <t>10</t>
        </is>
      </c>
      <c r="X90" s="145" t="n">
        <v>22</v>
      </c>
      <c r="Y90" s="145" t="n">
        <v>10</v>
      </c>
      <c r="Z90" s="145" t="n">
        <v>2.49</v>
      </c>
      <c r="AA90" s="145" t="n">
        <v>4</v>
      </c>
      <c r="AB90" s="145" t="n"/>
      <c r="AC90" s="149" t="inlineStr">
        <is>
          <t>≈ 2 hours</t>
        </is>
      </c>
      <c r="AD90" s="149" t="inlineStr">
        <is>
          <t>2</t>
        </is>
      </c>
      <c r="AE90" s="145" t="n"/>
      <c r="AF90" s="145" t="inlineStr">
        <is>
          <t>Not disclosed</t>
        </is>
      </c>
      <c r="AG90" s="149" t="inlineStr">
        <is>
          <t>5</t>
        </is>
      </c>
      <c r="AH90" s="145" t="inlineStr">
        <is>
          <t>5</t>
        </is>
      </c>
      <c r="AI90" s="145" t="n"/>
      <c r="AJ90" s="149" t="inlineStr">
        <is>
          <t>Vision suite for service and interaction tasks</t>
        </is>
      </c>
      <c r="AK90" s="149" t="n"/>
      <c r="AL90" s="145" t="inlineStr">
        <is>
          <t>Not disclosed</t>
        </is>
      </c>
      <c r="AM90" s="145" t="n"/>
      <c r="AN90" s="145" t="inlineStr">
        <is>
          <t>Not disclosed</t>
        </is>
      </c>
      <c r="AO90" s="145" t="inlineStr">
        <is>
          <t>Not disclosed</t>
        </is>
      </c>
      <c r="AP90" s="145" t="inlineStr">
        <is>
          <t>Not disclosed</t>
        </is>
      </c>
      <c r="AQ90" s="145" t="inlineStr">
        <is>
          <t>Not disclosed</t>
        </is>
      </c>
      <c r="AR90" s="145" t="n"/>
      <c r="AS90" s="145" t="n"/>
      <c r="AT90" s="149" t="inlineStr">
        <is>
          <t>Assumed AI-optimized SoC with neural NPU</t>
        </is>
      </c>
      <c r="AU90" s="149" t="inlineStr">
        <is>
          <t>Bluetooth; Ethernet; Wi‑Fi</t>
        </is>
      </c>
      <c r="AV90" s="145" t="inlineStr">
        <is>
          <t>Service-robot software stack</t>
        </is>
      </c>
      <c r="AW90" s="149" t="inlineStr">
        <is>
          <t>Not disclosed</t>
        </is>
      </c>
      <c r="AX90" s="145" t="n"/>
      <c r="AY90" s="149" t="inlineStr">
        <is>
          <t>Not disclosed</t>
        </is>
      </c>
      <c r="AZ90" s="149" t="inlineStr">
        <is>
          <t>Yes</t>
        </is>
      </c>
      <c r="BA90" s="149" t="inlineStr">
        <is>
          <t>Assumed optimized for real-time interaction</t>
        </is>
      </c>
      <c r="BB90" s="149" t="inlineStr">
        <is>
          <t>Assumed brushless servos</t>
        </is>
      </c>
      <c r="BC90" s="149" t="inlineStr">
        <is>
          <t>Assumed harmonic or planetary gears</t>
        </is>
      </c>
      <c r="BD90" s="145" t="inlineStr">
        <is>
          <t>Metal + reinforced polymers</t>
        </is>
      </c>
      <c r="BE90" s="145" t="inlineStr">
        <is>
          <t>Not disclosed</t>
        </is>
      </c>
      <c r="BF90" s="145" t="n"/>
      <c r="BG90" s="145" t="n"/>
      <c r="BH90" s="145" t="n"/>
      <c r="BI90" s="145" t="n"/>
      <c r="BJ90" s="145" t="n"/>
      <c r="BK90" s="145" t="n"/>
      <c r="BL90" s="145" t="n"/>
      <c r="BM90" s="145" t="inlineStr">
        <is>
          <t>Yes</t>
        </is>
      </c>
      <c r="BN90" s="145" t="inlineStr">
        <is>
          <t>Not disclosed</t>
        </is>
      </c>
      <c r="BO90" s="149" t="inlineStr">
        <is>
          <t>Market: Sprint / Athletic · Human-safe: Yes · AI: Yes · Actuation: Assumed brushless servos · Peak 4 km/h · Runtime 2</t>
        </is>
      </c>
      <c r="BP90" s="145" t="n"/>
      <c r="BQ90" s="149" t="inlineStr">
        <is>
          <t>Sprint / Athletic</t>
        </is>
      </c>
      <c r="BR90" s="149" t="inlineStr">
        <is>
          <t>WHRG 2026 multi-unit finalist</t>
        </is>
      </c>
      <c r="BS90" s="149" t="inlineStr">
        <is>
          <t>Prototype</t>
        </is>
      </c>
      <c r="BT90" s="145" t="inlineStr">
        <is>
          <t>Black</t>
        </is>
      </c>
      <c r="BU90" s="145" t="inlineStr">
        <is>
          <t>Not verified</t>
        </is>
      </c>
      <c r="BV90" s="149" t="inlineStr">
        <is>
          <t>Strong 100m / 1312 ft results at Games</t>
        </is>
      </c>
      <c r="BW90" s="149" t="inlineStr">
        <is>
          <t>Origin &amp; status — China · WHRG 2026 multi-unit finalist · 2025 | Manipulation — 5 · 5 fingers · Hand DOF 10 · Payload 22 lb (10 kg) | Sensing &amp; software — Vision suite for service and interaction tasks · Yes · Service-robot software stack | Buying notes — From $50,000 · 12 months manufacturer standard (typical research/commercial humanoid) · Best fit: Sprint</t>
        </is>
      </c>
      <c r="BX90" s="149" t="inlineStr">
        <is>
          <t>as_shipped|Flash|50000|As shipped</t>
        </is>
      </c>
      <c r="BY90" s="145" t="inlineStr">
        <is>
          <t>black|Black|#111111|0</t>
        </is>
      </c>
      <c r="BZ90" s="145" t="inlineStr"/>
      <c r="CA90" s="149" t="inlineStr">
        <is>
          <t>Add-ons: case; 2 color options; Multi-year extended warranty available</t>
        </is>
      </c>
      <c r="CB90" s="149" t="inlineStr">
        <is>
          <t>12 months manufacturer standard (typical research/commercial humanoid)</t>
        </is>
      </c>
      <c r="CC90" s="147" t="n">
        <v>12</v>
      </c>
      <c r="CD90" s="149" t="inlineStr">
        <is>
          <t>+3 Year Extended ≈24% of configuration (default in configurator)</t>
        </is>
      </c>
      <c r="CE90" s="145" t="inlineStr">
        <is>
          <t>Humanoid category norm 2025–2026</t>
        </is>
      </c>
      <c r="CF90" s="145" t="inlineStr">
        <is>
          <t>Estimated</t>
        </is>
      </c>
      <c r="CG90" s="149" t="inlineStr">
        <is>
          <t>EDU or enterprise packages may differ; confirm on formal quote.</t>
        </is>
      </c>
      <c r="CH90" s="145" t="inlineStr">
        <is>
          <t>10%</t>
        </is>
      </c>
      <c r="CI90" s="145" t="inlineStr">
        <is>
          <t>17%</t>
        </is>
      </c>
      <c r="CJ90" s="145" t="inlineStr">
        <is>
          <t>24%</t>
        </is>
      </c>
      <c r="CK90"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90"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90" s="145" t="inlineStr">
        <is>
          <t>12 months manufacturer standard (typical research/commercial humanoid)</t>
        </is>
      </c>
      <c r="CQ90" s="101" t="inlineStr">
        <is>
          <t>Height: 5 ft 3 in | Weight: 176.4 | Degrees of Freedom: 20 | Payload: 22 | Max Speed: 2.49 | Battery / Runtime: ≈ 2 hours</t>
        </is>
      </c>
    </row>
    <row r="91" ht="31.5" customHeight="1" s="102">
      <c r="A91" s="143" t="inlineStr">
        <is>
          <t>honor_lightning_flash_d1_d1</t>
        </is>
      </c>
      <c r="B91" s="144" t="inlineStr">
        <is>
          <t>Both</t>
        </is>
      </c>
      <c r="C91" s="145" t="inlineStr">
        <is>
          <t>Honor</t>
        </is>
      </c>
      <c r="D91" s="145" t="inlineStr">
        <is>
          <t>D1</t>
        </is>
      </c>
      <c r="E91" s="145" t="inlineStr">
        <is>
          <t>[Honor] D1 (2025)</t>
        </is>
      </c>
      <c r="F91" s="146" t="inlineStr">
        <is>
          <t>humanoid</t>
        </is>
      </c>
      <c r="G91" s="145" t="inlineStr">
        <is>
          <t>China</t>
        </is>
      </c>
      <c r="H91" s="147" t="n">
        <v>2025</v>
      </c>
      <c r="I91" s="148" t="n">
        <v>50000</v>
      </c>
      <c r="J91" s="145" t="inlineStr">
        <is>
          <t>Website store</t>
        </is>
      </c>
      <c r="K91" s="149" t="inlineStr">
        <is>
          <t>HONOR’s first humanoid robot brings AI-driven assistance to service environments and smart spaces, featuring real-time perception, voice interaction, and a compact human-like design.</t>
        </is>
      </c>
      <c r="L91" s="101" t="inlineStr">
        <is>
          <t>HONOR’s first humanoid robot brings AI-driven assistance to service environments and smart spaces, featuring real-time perception, voice interaction, and a compact human-like design.</t>
        </is>
      </c>
      <c r="M91" s="101" t="inlineStr">
        <is>
          <t>D1 is Honor's humanoid, introduced around 2025 in China. HONOR’s first humanoid robot brings AI-driven assistance to service environments and smart spaces, featuring real-time perception, voice interaction, and a compact human-like design. Public status is listed as wHRG 2026 multi-unit finalist, and it is positioned for sprint / Athletic.</t>
        </is>
      </c>
      <c r="N91" s="150" t="inlineStr">
        <is>
          <t>https://humanoid.guide/product/honor/</t>
        </is>
      </c>
      <c r="O91" s="150" t="inlineStr">
        <is>
          <t>https://www.honor.com</t>
        </is>
      </c>
      <c r="P91" s="145" t="inlineStr">
        <is>
          <t>5 ft 3 in</t>
        </is>
      </c>
      <c r="Q91" s="145" t="n">
        <v>160</v>
      </c>
      <c r="R91" s="145" t="n">
        <v>176.4</v>
      </c>
      <c r="S91" s="145" t="n">
        <v>80</v>
      </c>
      <c r="T91" s="149" t="inlineStr">
        <is>
          <t>Not disclosed</t>
        </is>
      </c>
      <c r="U91" s="145" t="n"/>
      <c r="V91" s="145" t="inlineStr">
        <is>
          <t>20</t>
        </is>
      </c>
      <c r="W91" s="149" t="inlineStr">
        <is>
          <t>10</t>
        </is>
      </c>
      <c r="X91" s="145" t="n">
        <v>22</v>
      </c>
      <c r="Y91" s="145" t="n">
        <v>10</v>
      </c>
      <c r="Z91" s="145" t="n">
        <v>2.49</v>
      </c>
      <c r="AA91" s="145" t="n">
        <v>4</v>
      </c>
      <c r="AB91" s="145" t="n"/>
      <c r="AC91" s="149" t="inlineStr">
        <is>
          <t>≈ 2 hours</t>
        </is>
      </c>
      <c r="AD91" s="149" t="inlineStr">
        <is>
          <t>2</t>
        </is>
      </c>
      <c r="AE91" s="145" t="n"/>
      <c r="AF91" s="145" t="inlineStr">
        <is>
          <t>Not disclosed</t>
        </is>
      </c>
      <c r="AG91" s="149" t="inlineStr">
        <is>
          <t>5</t>
        </is>
      </c>
      <c r="AH91" s="145" t="inlineStr">
        <is>
          <t>5</t>
        </is>
      </c>
      <c r="AI91" s="145" t="n"/>
      <c r="AJ91" s="149" t="inlineStr">
        <is>
          <t>Vision suite for service and interaction tasks</t>
        </is>
      </c>
      <c r="AK91" s="149" t="n"/>
      <c r="AL91" s="145" t="inlineStr">
        <is>
          <t>Not disclosed</t>
        </is>
      </c>
      <c r="AM91" s="145" t="n"/>
      <c r="AN91" s="145" t="inlineStr">
        <is>
          <t>Not disclosed</t>
        </is>
      </c>
      <c r="AO91" s="145" t="inlineStr">
        <is>
          <t>Not disclosed</t>
        </is>
      </c>
      <c r="AP91" s="145" t="inlineStr">
        <is>
          <t>Not disclosed</t>
        </is>
      </c>
      <c r="AQ91" s="145" t="inlineStr">
        <is>
          <t>Not disclosed</t>
        </is>
      </c>
      <c r="AR91" s="145" t="n"/>
      <c r="AS91" s="145" t="n"/>
      <c r="AT91" s="149" t="inlineStr">
        <is>
          <t>Assumed AI-optimized SoC with neural NPU</t>
        </is>
      </c>
      <c r="AU91" s="149" t="inlineStr">
        <is>
          <t>Bluetooth; Ethernet; Wi‑Fi</t>
        </is>
      </c>
      <c r="AV91" s="145" t="inlineStr">
        <is>
          <t>Service-robot software stack</t>
        </is>
      </c>
      <c r="AW91" s="149" t="inlineStr">
        <is>
          <t>Not disclosed</t>
        </is>
      </c>
      <c r="AX91" s="145" t="n"/>
      <c r="AY91" s="149" t="inlineStr">
        <is>
          <t>Not disclosed</t>
        </is>
      </c>
      <c r="AZ91" s="149" t="inlineStr">
        <is>
          <t>Yes</t>
        </is>
      </c>
      <c r="BA91" s="149" t="inlineStr">
        <is>
          <t>Assumed optimized for real-time interaction</t>
        </is>
      </c>
      <c r="BB91" s="149" t="inlineStr">
        <is>
          <t>Assumed brushless servos</t>
        </is>
      </c>
      <c r="BC91" s="149" t="inlineStr">
        <is>
          <t>Assumed harmonic or planetary gears</t>
        </is>
      </c>
      <c r="BD91" s="145" t="inlineStr">
        <is>
          <t>Metal + reinforced polymers</t>
        </is>
      </c>
      <c r="BE91" s="145" t="inlineStr">
        <is>
          <t>Not disclosed</t>
        </is>
      </c>
      <c r="BF91" s="145" t="n"/>
      <c r="BG91" s="145" t="n"/>
      <c r="BH91" s="145" t="n"/>
      <c r="BI91" s="145" t="n"/>
      <c r="BJ91" s="145" t="n"/>
      <c r="BK91" s="145" t="n"/>
      <c r="BL91" s="145" t="n"/>
      <c r="BM91" s="145" t="inlineStr">
        <is>
          <t>Yes</t>
        </is>
      </c>
      <c r="BN91" s="145" t="inlineStr">
        <is>
          <t>Not disclosed</t>
        </is>
      </c>
      <c r="BO91" s="149" t="inlineStr">
        <is>
          <t>Market: Sprint / Athletic · Human-safe: Yes · AI: Yes · Actuation: Assumed brushless servos · Peak 4 km/h · Runtime 2</t>
        </is>
      </c>
      <c r="BP91" s="145" t="n"/>
      <c r="BQ91" s="149" t="inlineStr">
        <is>
          <t>Sprint / Athletic</t>
        </is>
      </c>
      <c r="BR91" s="149" t="inlineStr">
        <is>
          <t>WHRG 2026 multi-unit finalist</t>
        </is>
      </c>
      <c r="BS91" s="149" t="inlineStr">
        <is>
          <t>Prototype</t>
        </is>
      </c>
      <c r="BT91" s="145" t="inlineStr">
        <is>
          <t>Black</t>
        </is>
      </c>
      <c r="BU91" s="145" t="inlineStr">
        <is>
          <t>Not verified</t>
        </is>
      </c>
      <c r="BV91" s="149" t="inlineStr">
        <is>
          <t>Strong 100m / 1312 ft results at Games</t>
        </is>
      </c>
      <c r="BW91" s="149" t="inlineStr">
        <is>
          <t>Origin &amp; status — China · WHRG 2026 multi-unit finalist · 2025 | Manipulation — 5 · 5 fingers · Hand DOF 10 · Payload 22 lb (10 kg) | Sensing &amp; software — Vision suite for service and interaction tasks · Yes · Service-robot software stack | Buying notes — From $50,000 · 12 months manufacturer standard (typical research/commercial humanoid) · Best fit: Sprint</t>
        </is>
      </c>
      <c r="BX91" s="149" t="inlineStr">
        <is>
          <t>as_shipped|D1|50000|As shipped</t>
        </is>
      </c>
      <c r="BY91" s="145" t="inlineStr">
        <is>
          <t>black|Black|#111111|0</t>
        </is>
      </c>
      <c r="BZ91" s="145" t="inlineStr"/>
      <c r="CA91" s="149" t="inlineStr">
        <is>
          <t>Add-ons: case; 2 color options; Multi-year extended warranty available</t>
        </is>
      </c>
      <c r="CB91" s="149" t="inlineStr">
        <is>
          <t>12 months manufacturer standard (typical research/commercial humanoid)</t>
        </is>
      </c>
      <c r="CC91" s="147" t="n">
        <v>12</v>
      </c>
      <c r="CD91" s="149" t="inlineStr">
        <is>
          <t>+3 Year Extended ≈24% of configuration (default in configurator)</t>
        </is>
      </c>
      <c r="CE91" s="145" t="inlineStr">
        <is>
          <t>Humanoid category norm 2025–2026</t>
        </is>
      </c>
      <c r="CF91" s="145" t="inlineStr">
        <is>
          <t>Estimated</t>
        </is>
      </c>
      <c r="CG91" s="149" t="inlineStr">
        <is>
          <t>EDU or enterprise packages may differ; confirm on formal quote.</t>
        </is>
      </c>
      <c r="CH91" s="145" t="inlineStr">
        <is>
          <t>10%</t>
        </is>
      </c>
      <c r="CI91" s="145" t="inlineStr">
        <is>
          <t>17%</t>
        </is>
      </c>
      <c r="CJ91" s="145" t="inlineStr">
        <is>
          <t>24%</t>
        </is>
      </c>
      <c r="CK9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9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91" s="145" t="inlineStr">
        <is>
          <t>12 months manufacturer standard (typical research/commercial humanoid)</t>
        </is>
      </c>
      <c r="CQ91" s="101" t="inlineStr">
        <is>
          <t>Height: 5 ft 3 in | Weight: 176.4 | Degrees of Freedom: 20 | Payload: 22 | Max Speed: 2.49 | Battery / Runtime: ≈ 2 hours</t>
        </is>
      </c>
    </row>
    <row r="92" ht="31.5" customHeight="1" s="102">
      <c r="A92" s="152" t="inlineStr">
        <is>
          <t>ihub_robotics_tara_gen1</t>
        </is>
      </c>
      <c r="B92" s="153" t="inlineStr">
        <is>
          <t>Humanoid.guide</t>
        </is>
      </c>
      <c r="C92" s="152" t="inlineStr">
        <is>
          <t>iHub Robotics</t>
        </is>
      </c>
      <c r="D92" s="152" t="inlineStr">
        <is>
          <t>TARA GEN1</t>
        </is>
      </c>
      <c r="E92" s="152" t="inlineStr">
        <is>
          <t>[iHub Robotics] TARA GEN1 (2026)</t>
        </is>
      </c>
      <c r="F92" s="146" t="inlineStr">
        <is>
          <t>humanoid</t>
        </is>
      </c>
      <c r="G92" s="152" t="inlineStr">
        <is>
          <t>India</t>
        </is>
      </c>
      <c r="H92" s="152" t="n"/>
      <c r="I92" s="155" t="n">
        <v>13998</v>
      </c>
      <c r="J92" s="152" t="inlineStr">
        <is>
          <t>Humanoid.guide list</t>
        </is>
      </c>
      <c r="K92" s="156" t="inlineStr">
        <is>
          <t>TARA GEN1 is a semi‑humanoid robot from IHUB RESEARCH AND ROBOTICS, built for full production.</t>
        </is>
      </c>
      <c r="L92" s="101" t="inlineStr">
        <is>
          <t>TARA GEN1 is a semi‑humanoid robot from IHUB RESEARCH AND ROBOTICS, built for full production.</t>
        </is>
      </c>
      <c r="M92" s="101" t="inlineStr">
        <is>
          <t>TARA GEN1 is a semi‑humanoid robot from IHUB RESEARCH AND ROBOTICS, built for full production. Public status is listed as in production, and it is positioned for airport; banks; edutech; Industries; logistics.</t>
        </is>
      </c>
      <c r="N92" s="157" t="inlineStr">
        <is>
          <t>https://humanoid.guide/product/tara-gen1/</t>
        </is>
      </c>
      <c r="O92" s="157" t="inlineStr">
        <is>
          <t>https://www.ihubrobotics.com</t>
        </is>
      </c>
      <c r="P92" s="152" t="inlineStr">
        <is>
          <t>5 ft 4 in</t>
        </is>
      </c>
      <c r="Q92" s="152" t="n">
        <v>163</v>
      </c>
      <c r="R92" s="152" t="n">
        <v>165.3</v>
      </c>
      <c r="S92" s="152" t="n">
        <v>75</v>
      </c>
      <c r="T92" s="156" t="inlineStr">
        <is>
          <t>Not disclosed</t>
        </is>
      </c>
      <c r="U92" s="152" t="n"/>
      <c r="V92" s="152" t="inlineStr">
        <is>
          <t>3</t>
        </is>
      </c>
      <c r="W92" s="156" t="inlineStr">
        <is>
          <t>3</t>
        </is>
      </c>
      <c r="X92" s="152" t="n">
        <v>4.4</v>
      </c>
      <c r="Y92" s="152" t="n">
        <v>2</v>
      </c>
      <c r="Z92" s="152" t="n">
        <v>1.57</v>
      </c>
      <c r="AA92" s="152" t="n">
        <v>2.52</v>
      </c>
      <c r="AB92" s="152" t="n"/>
      <c r="AC92" s="156" t="inlineStr">
        <is>
          <t>≈ 8 hours</t>
        </is>
      </c>
      <c r="AD92" s="156" t="inlineStr">
        <is>
          <t>8</t>
        </is>
      </c>
      <c r="AE92" s="152" t="n"/>
      <c r="AF92" s="152" t="inlineStr">
        <is>
          <t>Not disclosed</t>
        </is>
      </c>
      <c r="AG92" s="156" t="inlineStr">
        <is>
          <t>10</t>
        </is>
      </c>
      <c r="AH92" s="152" t="inlineStr">
        <is>
          <t>10</t>
        </is>
      </c>
      <c r="AI92" s="158" t="n">
        <v>2</v>
      </c>
      <c r="AJ92" s="156" t="inlineStr">
        <is>
          <t>4K</t>
        </is>
      </c>
      <c r="AK92" s="156" t="inlineStr">
        <is>
          <t>4K</t>
        </is>
      </c>
      <c r="AL92" s="152" t="inlineStr">
        <is>
          <t>Not disclosed</t>
        </is>
      </c>
      <c r="AM92" s="152" t="n"/>
      <c r="AN92" s="152" t="inlineStr">
        <is>
          <t>Not disclosed</t>
        </is>
      </c>
      <c r="AO92" s="152" t="inlineStr">
        <is>
          <t>Not disclosed</t>
        </is>
      </c>
      <c r="AP92" s="152" t="inlineStr">
        <is>
          <t>Not disclosed</t>
        </is>
      </c>
      <c r="AQ92" s="152" t="inlineStr">
        <is>
          <t>Not disclosed</t>
        </is>
      </c>
      <c r="AR92" s="152" t="n"/>
      <c r="AS92" s="152" t="n"/>
      <c r="AT92" s="156" t="inlineStr">
        <is>
          <t>1024 core NVIDIA Ampere</t>
        </is>
      </c>
      <c r="AU92" s="156" t="inlineStr">
        <is>
          <t>WiFi</t>
        </is>
      </c>
      <c r="AV92" s="152" t="inlineStr">
        <is>
          <t>Not disclosed</t>
        </is>
      </c>
      <c r="AW92" s="156" t="inlineStr">
        <is>
          <t>Not disclosed</t>
        </is>
      </c>
      <c r="AX92" s="158" t="n">
        <v>2</v>
      </c>
      <c r="AY92" s="156" t="inlineStr">
        <is>
          <t>ubuntu 22.04</t>
        </is>
      </c>
      <c r="AZ92" s="156" t="inlineStr">
        <is>
          <t>LLama 3</t>
        </is>
      </c>
      <c r="BA92" s="156" t="inlineStr">
        <is>
          <t>1.5 sec</t>
        </is>
      </c>
      <c r="BB92" s="156" t="inlineStr">
        <is>
          <t>Closed Loop Stepper</t>
        </is>
      </c>
      <c r="BC92" s="156" t="inlineStr">
        <is>
          <t>Harmonic Drive</t>
        </is>
      </c>
      <c r="BD92" s="152" t="inlineStr">
        <is>
          <t>Mild steel</t>
        </is>
      </c>
      <c r="BE92" s="152" t="inlineStr">
        <is>
          <t>IP53</t>
        </is>
      </c>
      <c r="BF92" s="152" t="inlineStr">
        <is>
          <t>IP53</t>
        </is>
      </c>
      <c r="BG92" s="152" t="n"/>
      <c r="BH92" s="152" t="n"/>
      <c r="BI92" s="152" t="n"/>
      <c r="BJ92" s="152" t="n"/>
      <c r="BK92" s="152" t="n"/>
      <c r="BL92" s="152" t="n"/>
      <c r="BM92" s="152" t="inlineStr">
        <is>
          <t>Yes</t>
        </is>
      </c>
      <c r="BN92" s="152" t="inlineStr">
        <is>
          <t>Not disclosed</t>
        </is>
      </c>
      <c r="BO92" s="156" t="inlineStr">
        <is>
          <t>Market: Airport; banks; edutech; Industries; logistics · Manipulation 2/4 · Navigation 2/4 · Human-safe: Yes · AI: LLama 3 · Actuation: Closed Loop Stepper · Peak 2.52 km/h · Runtime 8</t>
        </is>
      </c>
      <c r="BP92" s="152" t="n"/>
      <c r="BQ92" s="156" t="inlineStr">
        <is>
          <t>Airport; banks; edutech; Industries; logistics</t>
        </is>
      </c>
      <c r="BR92" s="156" t="inlineStr">
        <is>
          <t>In production</t>
        </is>
      </c>
      <c r="BS92" s="156" t="inlineStr">
        <is>
          <t>In production</t>
        </is>
      </c>
      <c r="BT92" s="152" t="n"/>
      <c r="BU92" s="152" t="inlineStr">
        <is>
          <t>Not verified</t>
        </is>
      </c>
      <c r="BV92" s="156" t="n"/>
      <c r="BW92" s="156" t="inlineStr">
        <is>
          <t>Origin &amp; status — India · In production · 2026 | Manipulation — 10 · 10 fingers · Hand DOF 3 · Payload 4.4 lb | Sensing &amp; software — 4K · LLama 3 · ubuntu 22.04 | Buying notes — From $13,998 · 12 months manufacturer standard (typical research/commercial humanoid) · Best fit: Airport</t>
        </is>
      </c>
      <c r="BX92" s="156" t="inlineStr">
        <is>
          <t>as_shipped|TARA GEN1|13998|As shipped</t>
        </is>
      </c>
      <c r="BY92" s="152" t="inlineStr">
        <is>
          <t>tara_gen1|Manufacturer finish|#e2e8f0|0</t>
        </is>
      </c>
      <c r="BZ92" s="152" t="inlineStr"/>
      <c r="CA92" s="156" t="n"/>
      <c r="CB92" s="156" t="inlineStr">
        <is>
          <t>12 months manufacturer standard (typical research/commercial humanoid)</t>
        </is>
      </c>
      <c r="CC92" s="154" t="n">
        <v>12</v>
      </c>
      <c r="CD92" s="156" t="inlineStr">
        <is>
          <t>+3 Year Extended ≈24% of configuration (default in configurator)</t>
        </is>
      </c>
      <c r="CE92" s="152" t="inlineStr">
        <is>
          <t>Humanoid category norm 2025–2026</t>
        </is>
      </c>
      <c r="CF92" s="152" t="inlineStr">
        <is>
          <t>Estimated</t>
        </is>
      </c>
      <c r="CG92" s="156" t="inlineStr">
        <is>
          <t>Confirm on formal OEM quote. EDU or enterprise packages may differ.</t>
        </is>
      </c>
      <c r="CH92" s="152" t="inlineStr">
        <is>
          <t>10%</t>
        </is>
      </c>
      <c r="CI92" s="152" t="inlineStr">
        <is>
          <t>17%</t>
        </is>
      </c>
      <c r="CJ92" s="152" t="inlineStr">
        <is>
          <t>24%</t>
        </is>
      </c>
      <c r="CK92" s="156" t="inlineStr">
        <is>
          <t>+1yr ≈10% | +2yr ≈17% | +3yr ≈24% of selected configuration price (parts &amp; labor beyond manufacturer standard).</t>
        </is>
      </c>
      <c r="CL92"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92" s="152" t="inlineStr">
        <is>
          <t>12 months manufacturer standard (typical research/commercial humanoid)</t>
        </is>
      </c>
      <c r="CQ92" s="101" t="inlineStr">
        <is>
          <t>Height: 5 ft 4 in | Weight: 165.3 | Degrees of Freedom: 3 | Payload: 4.4 | Max Speed: 1.57 | Battery / Runtime: ≈ 8 hours</t>
        </is>
      </c>
    </row>
    <row r="93" ht="31.5" customHeight="1" s="102">
      <c r="A93" s="145" t="inlineStr">
        <is>
          <t>isento_robotics_gmbh_pib_pro</t>
        </is>
      </c>
      <c r="B93" s="153" t="inlineStr">
        <is>
          <t>Humanoid.guide</t>
        </is>
      </c>
      <c r="C93" s="145" t="inlineStr">
        <is>
          <t>isento robotics GmbH</t>
        </is>
      </c>
      <c r="D93" s="145" t="inlineStr">
        <is>
          <t>pib.Pro</t>
        </is>
      </c>
      <c r="E93" s="145" t="inlineStr">
        <is>
          <t>[isento robotics GmbH] pib.Pro (2026)</t>
        </is>
      </c>
      <c r="F93" s="146" t="inlineStr">
        <is>
          <t>humanoid</t>
        </is>
      </c>
      <c r="G93" s="145" t="inlineStr">
        <is>
          <t>Germany</t>
        </is>
      </c>
      <c r="H93" s="145" t="n"/>
      <c r="I93" s="148" t="n">
        <v>5999</v>
      </c>
      <c r="J93" s="145" t="inlineStr">
        <is>
          <t>Humanoid.guide list</t>
        </is>
      </c>
      <c r="K93" s="149" t="inlineStr">
        <is>
          <t>Pib.Pro is Europe’s first open-source, ready-to-ship humanoid robot platform designed for real-world work, learning, and care.</t>
        </is>
      </c>
      <c r="L93" s="101" t="inlineStr">
        <is>
          <t>Pib.Pro is Europe’s first open-source, ready-to-ship humanoid robot platform designed for real-world work, learning, and care.</t>
        </is>
      </c>
      <c r="M93" s="101" t="inlineStr">
        <is>
          <t>Pib.Pro is Europe’s first open-source, ready-to-ship humanoid robot platform designed for real-world work, learning, and care. Public status is listed as in production, and it is positioned for education; Research.</t>
        </is>
      </c>
      <c r="N93" s="150" t="inlineStr">
        <is>
          <t>https://humanoid.guide/product/pib-pro/</t>
        </is>
      </c>
      <c r="O93" s="150" t="inlineStr">
        <is>
          <t>https://pib.rocks</t>
        </is>
      </c>
      <c r="P93" s="145" t="inlineStr">
        <is>
          <t>2 ft 7 in</t>
        </is>
      </c>
      <c r="Q93" s="145" t="n">
        <v>80</v>
      </c>
      <c r="R93" s="145" t="n"/>
      <c r="S93" s="145" t="n"/>
      <c r="T93" s="149" t="inlineStr">
        <is>
          <t>Not disclosed</t>
        </is>
      </c>
      <c r="U93" s="145" t="n"/>
      <c r="V93" s="145" t="inlineStr">
        <is>
          <t>20</t>
        </is>
      </c>
      <c r="W93" s="149" t="inlineStr">
        <is>
          <t>Not disclosed</t>
        </is>
      </c>
      <c r="X93" s="145" t="n">
        <v>8.800000000000001</v>
      </c>
      <c r="Y93" s="145" t="n">
        <v>4</v>
      </c>
      <c r="Z93" s="145" t="n">
        <v>1.55</v>
      </c>
      <c r="AA93" s="145" t="n">
        <v>2.5</v>
      </c>
      <c r="AB93" s="145" t="n"/>
      <c r="AC93" s="149" t="inlineStr">
        <is>
          <t>≈ 2 hours</t>
        </is>
      </c>
      <c r="AD93" s="149" t="inlineStr">
        <is>
          <t>2</t>
        </is>
      </c>
      <c r="AE93" s="145" t="n"/>
      <c r="AF93" s="145" t="inlineStr">
        <is>
          <t>Not disclosed</t>
        </is>
      </c>
      <c r="AG93" s="149" t="inlineStr">
        <is>
          <t>5</t>
        </is>
      </c>
      <c r="AH93" s="145" t="inlineStr">
        <is>
          <t>5</t>
        </is>
      </c>
      <c r="AI93" s="145" t="n"/>
      <c r="AJ93" s="149" t="inlineStr">
        <is>
          <t>Standard RGB cameras ~720p+ (inferred)</t>
        </is>
      </c>
      <c r="AK93" s="149" t="inlineStr">
        <is>
          <t>Standard RGB cameras ~720p+ (inferred)</t>
        </is>
      </c>
      <c r="AL93" s="145" t="inlineStr">
        <is>
          <t>Not disclosed</t>
        </is>
      </c>
      <c r="AM93" s="145" t="n"/>
      <c r="AN93" s="145" t="inlineStr">
        <is>
          <t>Not disclosed</t>
        </is>
      </c>
      <c r="AO93" s="145" t="inlineStr">
        <is>
          <t>Not disclosed</t>
        </is>
      </c>
      <c r="AP93" s="145" t="inlineStr">
        <is>
          <t>Not disclosed</t>
        </is>
      </c>
      <c r="AQ93" s="145" t="inlineStr">
        <is>
          <t>Not disclosed</t>
        </is>
      </c>
      <c r="AR93" s="145" t="n"/>
      <c r="AS93" s="145" t="n"/>
      <c r="AT93" s="149" t="inlineStr">
        <is>
          <t>Likely Raspberry Pi or similar modular compute (inferred from base pib)</t>
        </is>
      </c>
      <c r="AU93" s="149" t="inlineStr">
        <is>
          <t>Bluetooth; Wi‑Fi</t>
        </is>
      </c>
      <c r="AV93" s="145" t="inlineStr">
        <is>
          <t>Not disclosed</t>
        </is>
      </c>
      <c r="AW93" s="149" t="inlineStr">
        <is>
          <t>Not disclosed</t>
        </is>
      </c>
      <c r="AX93" s="145" t="n"/>
      <c r="AY93" s="149" t="inlineStr">
        <is>
          <t>Linux / ROS2 (based on base pib)</t>
        </is>
      </c>
      <c r="AZ93" s="149" t="inlineStr">
        <is>
          <t>Not confirmed</t>
        </is>
      </c>
      <c r="BA93" s="149" t="n"/>
      <c r="BB93" s="149" t="inlineStr">
        <is>
          <t>Servomotors</t>
        </is>
      </c>
      <c r="BC93" s="149" t="inlineStr">
        <is>
          <t>Standard hobby servo / belt gearing</t>
        </is>
      </c>
      <c r="BD93" s="145" t="inlineStr">
        <is>
          <t>3D-printed polymers (PLA/ABS)</t>
        </is>
      </c>
      <c r="BE93" s="145" t="inlineStr">
        <is>
          <t>Not disclosed</t>
        </is>
      </c>
      <c r="BF93" s="145" t="n"/>
      <c r="BG93" s="145" t="n"/>
      <c r="BH93" s="145" t="n"/>
      <c r="BI93" s="145" t="n"/>
      <c r="BJ93" s="145" t="n"/>
      <c r="BK93" s="145" t="n"/>
      <c r="BL93" s="145" t="n"/>
      <c r="BM93" s="145" t="inlineStr">
        <is>
          <t>Yes</t>
        </is>
      </c>
      <c r="BN93" s="145" t="inlineStr">
        <is>
          <t>Not disclosed</t>
        </is>
      </c>
      <c r="BO93" s="149" t="inlineStr">
        <is>
          <t>Market: education; Research · Human-safe: Yes · AI: Not confirmed · Actuation: Servomotors · Peak 2.5 km/h · Runtime 2</t>
        </is>
      </c>
      <c r="BP93" s="145" t="n"/>
      <c r="BQ93" s="149" t="inlineStr">
        <is>
          <t>education; Research</t>
        </is>
      </c>
      <c r="BR93" s="149" t="inlineStr">
        <is>
          <t>In production</t>
        </is>
      </c>
      <c r="BS93" s="149" t="inlineStr">
        <is>
          <t>In production</t>
        </is>
      </c>
      <c r="BT93" s="145" t="inlineStr">
        <is>
          <t>White</t>
        </is>
      </c>
      <c r="BU93" s="145" t="inlineStr">
        <is>
          <t>Not verified</t>
        </is>
      </c>
      <c r="BV93" s="149" t="n"/>
      <c r="BW93" s="149" t="inlineStr">
        <is>
          <t>Origin &amp; status — Germany · In production · 2026 | Manipulation — 5 · 5 fingers · Payload 8.8 lb | Sensing &amp; software — Standard RGB cameras ~720p+ (inferred) · Linux / ROS2 (based on base pib) | Buying notes — From $5,999 · 12 months manufacturer standard (typical research/commercial humanoid) · Best fit: education</t>
        </is>
      </c>
      <c r="BX93" s="149" t="inlineStr">
        <is>
          <t>as_shipped|pib.Pro|5999|As shipped</t>
        </is>
      </c>
      <c r="BY93" s="145" t="inlineStr">
        <is>
          <t>white|White|#e2e8f0|0</t>
        </is>
      </c>
      <c r="BZ93" s="145" t="inlineStr"/>
      <c r="CA93" s="149" t="n"/>
      <c r="CB93" s="149" t="inlineStr">
        <is>
          <t>12 months manufacturer standard (typical research/commercial humanoid)</t>
        </is>
      </c>
      <c r="CC93" s="147" t="n">
        <v>12</v>
      </c>
      <c r="CD93" s="149" t="inlineStr">
        <is>
          <t>+3 Year Extended ≈24% of configuration (default in configurator)</t>
        </is>
      </c>
      <c r="CE93" s="145" t="inlineStr">
        <is>
          <t>Humanoid category norm 2025–2026</t>
        </is>
      </c>
      <c r="CF93" s="145" t="inlineStr">
        <is>
          <t>Estimated</t>
        </is>
      </c>
      <c r="CG93" s="149" t="inlineStr">
        <is>
          <t>Confirm on formal OEM quote. EDU or enterprise packages may differ.</t>
        </is>
      </c>
      <c r="CH93" s="145" t="inlineStr">
        <is>
          <t>10%</t>
        </is>
      </c>
      <c r="CI93" s="145" t="inlineStr">
        <is>
          <t>17%</t>
        </is>
      </c>
      <c r="CJ93" s="145" t="inlineStr">
        <is>
          <t>24%</t>
        </is>
      </c>
      <c r="CK93" s="149" t="inlineStr">
        <is>
          <t>+1yr ≈10% | +2yr ≈17% | +3yr ≈24% of selected configuration price (parts &amp; labor beyond manufacturer standard).</t>
        </is>
      </c>
      <c r="CL93"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93" s="145" t="inlineStr">
        <is>
          <t>12 months manufacturer standard (typical research/commercial humanoid)</t>
        </is>
      </c>
      <c r="CQ93" s="101" t="inlineStr">
        <is>
          <t>Height: 2 ft 7 in | Weight: Not disclosed | Degrees of Freedom: 20 | Payload: 8.8 | Max Speed: 1.55 | Battery / Runtime: ≈ 2 hours</t>
        </is>
      </c>
    </row>
    <row r="94" ht="31.5" customHeight="1" s="102">
      <c r="A94" s="152" t="inlineStr">
        <is>
          <t>jaka_robotics_jaka</t>
        </is>
      </c>
      <c r="B94" s="153" t="inlineStr">
        <is>
          <t>Humanoid.guide</t>
        </is>
      </c>
      <c r="C94" s="152" t="inlineStr">
        <is>
          <t>JAKA Robotics</t>
        </is>
      </c>
      <c r="D94" s="152" t="inlineStr">
        <is>
          <t>JAKA π</t>
        </is>
      </c>
      <c r="E94" s="152" t="inlineStr">
        <is>
          <t>[JAKA Robotics] JAKA π (2026)</t>
        </is>
      </c>
      <c r="F94" s="146" t="inlineStr">
        <is>
          <t>humanoid</t>
        </is>
      </c>
      <c r="G94" s="152" t="inlineStr">
        <is>
          <t>China</t>
        </is>
      </c>
      <c r="H94" s="152" t="n"/>
      <c r="I94" s="155" t="n">
        <v>25000</v>
      </c>
      <c r="J94" s="152" t="inlineStr">
        <is>
          <t>Humanoid.guide list</t>
        </is>
      </c>
      <c r="K94" s="156" t="inlineStr">
        <is>
          <t>JAKA π is a 1.22-meter, 42-kilogram humanoid robot from Chinese cobot pioneer JAKA Robotics.</t>
        </is>
      </c>
      <c r="L94" s="101" t="inlineStr">
        <is>
          <t>JAKA π is a 1.22-meter, 42-kilogram humanoid robot from Chinese cobot pioneer JAKA Robotics.</t>
        </is>
      </c>
      <c r="M94" s="101" t="inlineStr">
        <is>
          <t>JAKA π is a 1.22-meter, 42-kilogram humanoid robot from Chinese cobot pioneer JAKA Robotics. Public status is listed as in production, and it is positioned for higher education, new retail / new business, entertainment, and companion / elderly care.</t>
        </is>
      </c>
      <c r="N94" s="157" t="inlineStr">
        <is>
          <t>https://humanoid.guide/product/jaka-%cf%80/</t>
        </is>
      </c>
      <c r="O94" s="157" t="inlineStr">
        <is>
          <t>https://www.jaka.com</t>
        </is>
      </c>
      <c r="P94" s="152" t="inlineStr">
        <is>
          <t>4 ft 0 in</t>
        </is>
      </c>
      <c r="Q94" s="152" t="n">
        <v>122</v>
      </c>
      <c r="R94" s="152" t="n">
        <v>92.59999999999999</v>
      </c>
      <c r="S94" s="152" t="n">
        <v>42</v>
      </c>
      <c r="T94" s="156" t="inlineStr">
        <is>
          <t>Not disclosed</t>
        </is>
      </c>
      <c r="U94" s="152" t="n"/>
      <c r="V94" s="152" t="inlineStr">
        <is>
          <t>27</t>
        </is>
      </c>
      <c r="W94" s="156" t="inlineStr">
        <is>
          <t>Not disclosed</t>
        </is>
      </c>
      <c r="X94" s="152" t="n">
        <v>6.6</v>
      </c>
      <c r="Y94" s="152" t="n">
        <v>3</v>
      </c>
      <c r="Z94" s="152" t="n">
        <v>4.03</v>
      </c>
      <c r="AA94" s="152" t="n">
        <v>6.48</v>
      </c>
      <c r="AB94" s="152" t="n">
        <v>4</v>
      </c>
      <c r="AC94" s="156" t="inlineStr">
        <is>
          <t>≈ 2 hours</t>
        </is>
      </c>
      <c r="AD94" s="156" t="inlineStr">
        <is>
          <t>2</t>
        </is>
      </c>
      <c r="AE94" s="152" t="n"/>
      <c r="AF94" s="152" t="inlineStr">
        <is>
          <t>Not disclosed</t>
        </is>
      </c>
      <c r="AG94" s="156" t="inlineStr">
        <is>
          <t>0</t>
        </is>
      </c>
      <c r="AH94" s="152" t="inlineStr">
        <is>
          <t>0</t>
        </is>
      </c>
      <c r="AI94" s="152" t="n"/>
      <c r="AJ94" s="156" t="inlineStr">
        <is>
          <t>Not disclosed</t>
        </is>
      </c>
      <c r="AK94" s="156" t="n"/>
      <c r="AL94" s="152" t="inlineStr">
        <is>
          <t>Not disclosed</t>
        </is>
      </c>
      <c r="AM94" s="152" t="n"/>
      <c r="AN94" s="152" t="inlineStr">
        <is>
          <t>Not disclosed</t>
        </is>
      </c>
      <c r="AO94" s="152" t="inlineStr">
        <is>
          <t>Not disclosed</t>
        </is>
      </c>
      <c r="AP94" s="152" t="inlineStr">
        <is>
          <t>Not disclosed</t>
        </is>
      </c>
      <c r="AQ94" s="152" t="inlineStr">
        <is>
          <t>Not disclosed</t>
        </is>
      </c>
      <c r="AR94" s="152" t="n"/>
      <c r="AS94" s="152" t="n"/>
      <c r="AT94" s="156" t="inlineStr">
        <is>
          <t>integrated Intel Arc graphics rather than a discrete NVIDIA Jetson. JAKA calls this the "Fusion Brain" (a single chip handling both real-time motion control and AI inference); Intel Core Ultra 7 255H processor with 64 GB memory</t>
        </is>
      </c>
      <c r="AU94" s="156" t="inlineStr">
        <is>
          <t>External: Wi-Fi · Internal: EtherCAT · Voice module, mobile app, and handheld remote controller all included</t>
        </is>
      </c>
      <c r="AV94" s="152" t="inlineStr">
        <is>
          <t>Not disclosed</t>
        </is>
      </c>
      <c r="AW94" s="156" t="inlineStr">
        <is>
          <t>Not disclosed</t>
        </is>
      </c>
      <c r="AX94" s="152" t="n"/>
      <c r="AY94" s="156" t="inlineStr">
        <is>
          <t>Not disclosed</t>
        </is>
      </c>
      <c r="AZ94" s="156" t="inlineStr">
        <is>
          <t>Voice module included</t>
        </is>
      </c>
      <c r="BA94" s="156" t="n"/>
      <c r="BB94" s="156" t="inlineStr">
        <is>
          <t>Brushless DC servo motors with permanent magnets</t>
        </is>
      </c>
      <c r="BC94" s="156" t="inlineStr">
        <is>
          <t>Planetary reducers per joint, producing up to 120 N·m peak torque per joint</t>
        </is>
      </c>
      <c r="BD94" s="152" t="inlineStr">
        <is>
          <t>Aluminum frame with soft-touch polymer covers</t>
        </is>
      </c>
      <c r="BE94" s="152" t="inlineStr">
        <is>
          <t>Not disclosed</t>
        </is>
      </c>
      <c r="BF94" s="152" t="n"/>
      <c r="BG94" s="152" t="n"/>
      <c r="BH94" s="152" t="n"/>
      <c r="BI94" s="152" t="n"/>
      <c r="BJ94" s="152" t="n"/>
      <c r="BK94" s="152" t="n"/>
      <c r="BL94" s="152" t="n"/>
      <c r="BM94" s="152" t="inlineStr">
        <is>
          <t>Yes</t>
        </is>
      </c>
      <c r="BN94" s="152" t="inlineStr">
        <is>
          <t>Not disclosed</t>
        </is>
      </c>
      <c r="BO94" s="156" t="inlineStr">
        <is>
          <t>Market: Higher education, new retail / new business, entertainment, and companion / elderly care · Human-safe: Yes · AI: Voice module included · Actuation: Brushless DC servo motors with permanent magnets · Peak 6.48 km/h · Walk 4 km/h · Runtime 2</t>
        </is>
      </c>
      <c r="BP94" s="152" t="n"/>
      <c r="BQ94" s="156" t="inlineStr">
        <is>
          <t>Higher education, new retail / new business, entertainment, and companion / elderly care</t>
        </is>
      </c>
      <c r="BR94" s="156" t="inlineStr">
        <is>
          <t>In production</t>
        </is>
      </c>
      <c r="BS94" s="156" t="inlineStr">
        <is>
          <t>In production</t>
        </is>
      </c>
      <c r="BT94" s="152" t="n"/>
      <c r="BU94" s="152" t="n"/>
      <c r="BV94" s="156" t="n"/>
      <c r="BW94" s="156" t="inlineStr">
        <is>
          <t>Origin &amp; status — China · In production · 2026 | Manipulation — 0 · 0 fingers · Payload 6.6 lb | Sensing &amp; software — Voice module included | Buying notes — From $25,000 · 12 months manufacturer standard (typical research/commercial humanoid) · Best fit: Higher education, new retail</t>
        </is>
      </c>
      <c r="BX94" s="156" t="inlineStr">
        <is>
          <t>as_shipped|JAKA π|25000|As shipped</t>
        </is>
      </c>
      <c r="BY94" s="152" t="inlineStr">
        <is>
          <t>jaka|Manufacturer finish|#e2e8f0|0</t>
        </is>
      </c>
      <c r="BZ94" s="152" t="inlineStr"/>
      <c r="CA94" s="156" t="n"/>
      <c r="CB94" s="156" t="inlineStr">
        <is>
          <t>12 months manufacturer standard (typical research/commercial humanoid)</t>
        </is>
      </c>
      <c r="CC94" s="154" t="n">
        <v>12</v>
      </c>
      <c r="CD94" s="156" t="inlineStr">
        <is>
          <t>+3 Year Extended ≈24% of configuration (default in configurator)</t>
        </is>
      </c>
      <c r="CE94" s="152" t="inlineStr">
        <is>
          <t>Humanoid category norm 2025–2026</t>
        </is>
      </c>
      <c r="CF94" s="152" t="inlineStr">
        <is>
          <t>Estimated</t>
        </is>
      </c>
      <c r="CG94" s="156" t="inlineStr">
        <is>
          <t>Confirm on formal OEM quote. EDU or enterprise packages may differ.</t>
        </is>
      </c>
      <c r="CH94" s="152" t="inlineStr">
        <is>
          <t>10%</t>
        </is>
      </c>
      <c r="CI94" s="152" t="inlineStr">
        <is>
          <t>17%</t>
        </is>
      </c>
      <c r="CJ94" s="152" t="inlineStr">
        <is>
          <t>24%</t>
        </is>
      </c>
      <c r="CK94" s="156" t="inlineStr">
        <is>
          <t>+1yr ≈10% | +2yr ≈17% | +3yr ≈24% of selected configuration price (parts &amp; labor beyond manufacturer standard).</t>
        </is>
      </c>
      <c r="CL94"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94" s="152" t="inlineStr">
        <is>
          <t>12 months manufacturer standard (typical research/commercial humanoid)</t>
        </is>
      </c>
      <c r="CQ94" s="101" t="inlineStr">
        <is>
          <t>Height: 4 ft 0 in | Weight: 92.6 | Degrees of Freedom: 27 | Payload: 6.6 | Max Speed: 4.03 | Battery / Runtime: ≈ 2 hours</t>
        </is>
      </c>
    </row>
    <row r="95" ht="31.5" customHeight="1" s="102">
      <c r="A95" s="145" t="inlineStr">
        <is>
          <t>jaka_robotics_jaka_k1</t>
        </is>
      </c>
      <c r="B95" s="153" t="inlineStr">
        <is>
          <t>Humanoid.guide</t>
        </is>
      </c>
      <c r="C95" s="145" t="inlineStr">
        <is>
          <t>JAKA Robotics</t>
        </is>
      </c>
      <c r="D95" s="145" t="inlineStr">
        <is>
          <t>Jaka K1</t>
        </is>
      </c>
      <c r="E95" s="145" t="inlineStr">
        <is>
          <t>[JAKA Robotics] Jaka K1 (2026)</t>
        </is>
      </c>
      <c r="F95" s="146" t="inlineStr">
        <is>
          <t>humanoid</t>
        </is>
      </c>
      <c r="G95" s="145" t="inlineStr">
        <is>
          <t>China</t>
        </is>
      </c>
      <c r="H95" s="145" t="n"/>
      <c r="I95" s="148" t="n">
        <v>100000</v>
      </c>
      <c r="J95" s="145" t="inlineStr">
        <is>
          <t>Humanoid.guide list</t>
        </is>
      </c>
      <c r="K95" s="149" t="inlineStr">
        <is>
          <t>The JAKA K1 is a flexible humanoid robot from JAKA Robotics, designed for automation in industries like manufacturing, logistics, and customer service.</t>
        </is>
      </c>
      <c r="L95" s="101" t="inlineStr">
        <is>
          <t>The JAKA K1 is a flexible humanoid robot from JAKA Robotics, designed for automation in industries like manufacturing, logistics, and customer service.</t>
        </is>
      </c>
      <c r="M95" s="101" t="inlineStr">
        <is>
          <t>The JAKA K1 is a flexible humanoid robot from JAKA Robotics, designed for automation in industries like manufacturing, logistics, and customer service. Public status is listed as prototype.</t>
        </is>
      </c>
      <c r="N95" s="150" t="inlineStr">
        <is>
          <t>https://humanoid.guide/product/jaka-k1/</t>
        </is>
      </c>
      <c r="O95" s="150" t="inlineStr">
        <is>
          <t>https://www.jaka.com</t>
        </is>
      </c>
      <c r="P95" s="145" t="inlineStr">
        <is>
          <t>5 ft 5 in</t>
        </is>
      </c>
      <c r="Q95" s="145" t="n">
        <v>165</v>
      </c>
      <c r="R95" s="145" t="n">
        <v>88.2</v>
      </c>
      <c r="S95" s="145" t="n">
        <v>40</v>
      </c>
      <c r="T95" s="149" t="inlineStr">
        <is>
          <t>Not disclosed</t>
        </is>
      </c>
      <c r="U95" s="145" t="n"/>
      <c r="V95" s="145" t="inlineStr">
        <is>
          <t>18</t>
        </is>
      </c>
      <c r="W95" s="149" t="inlineStr">
        <is>
          <t>Not disclosed</t>
        </is>
      </c>
      <c r="X95" s="145" t="n">
        <v>17.6</v>
      </c>
      <c r="Y95" s="145" t="n">
        <v>8</v>
      </c>
      <c r="Z95" s="145" t="n">
        <v>2.49</v>
      </c>
      <c r="AA95" s="145" t="n">
        <v>4</v>
      </c>
      <c r="AB95" s="145" t="n">
        <v>3.5</v>
      </c>
      <c r="AC95" s="149" t="inlineStr">
        <is>
          <t>≈ 3 hours</t>
        </is>
      </c>
      <c r="AD95" s="149" t="inlineStr">
        <is>
          <t>3</t>
        </is>
      </c>
      <c r="AE95" s="145" t="n"/>
      <c r="AF95" s="145" t="inlineStr">
        <is>
          <t>Not disclosed</t>
        </is>
      </c>
      <c r="AG95" s="149" t="inlineStr">
        <is>
          <t>Not disclosed</t>
        </is>
      </c>
      <c r="AH95" s="145" t="inlineStr">
        <is>
          <t>Not disclosed</t>
        </is>
      </c>
      <c r="AI95" s="158" t="n">
        <v>2</v>
      </c>
      <c r="AJ95" s="149" t="inlineStr">
        <is>
          <t>Not disclosed</t>
        </is>
      </c>
      <c r="AK95" s="149" t="n"/>
      <c r="AL95" s="145" t="inlineStr">
        <is>
          <t>Not disclosed</t>
        </is>
      </c>
      <c r="AM95" s="145" t="n"/>
      <c r="AN95" s="145" t="inlineStr">
        <is>
          <t>Not disclosed</t>
        </is>
      </c>
      <c r="AO95" s="145" t="inlineStr">
        <is>
          <t>Not disclosed</t>
        </is>
      </c>
      <c r="AP95" s="145" t="inlineStr">
        <is>
          <t>Not disclosed</t>
        </is>
      </c>
      <c r="AQ95" s="145" t="inlineStr">
        <is>
          <t>Not disclosed</t>
        </is>
      </c>
      <c r="AR95" s="145" t="n"/>
      <c r="AS95" s="145" t="n"/>
      <c r="AT95" s="149" t="inlineStr">
        <is>
          <t>Not disclosed</t>
        </is>
      </c>
      <c r="AU95" s="149" t="inlineStr">
        <is>
          <t>Not disclosed</t>
        </is>
      </c>
      <c r="AV95" s="145" t="inlineStr">
        <is>
          <t>Not disclosed</t>
        </is>
      </c>
      <c r="AW95" s="149" t="inlineStr">
        <is>
          <t>Not disclosed</t>
        </is>
      </c>
      <c r="AX95" s="158" t="n">
        <v>2</v>
      </c>
      <c r="AY95" s="149" t="inlineStr">
        <is>
          <t>Not disclosed</t>
        </is>
      </c>
      <c r="AZ95" s="149" t="inlineStr">
        <is>
          <t>Not disclosed</t>
        </is>
      </c>
      <c r="BA95" s="149" t="n"/>
      <c r="BB95" s="149" t="inlineStr">
        <is>
          <t>Not disclosed</t>
        </is>
      </c>
      <c r="BC95" s="149" t="inlineStr">
        <is>
          <t>Not disclosed</t>
        </is>
      </c>
      <c r="BD95" s="145" t="inlineStr">
        <is>
          <t>Not disclosed</t>
        </is>
      </c>
      <c r="BE95" s="145" t="inlineStr">
        <is>
          <t>Not disclosed</t>
        </is>
      </c>
      <c r="BF95" s="145" t="n"/>
      <c r="BG95" s="145" t="n"/>
      <c r="BH95" s="145" t="n"/>
      <c r="BI95" s="145" t="n"/>
      <c r="BJ95" s="145" t="n"/>
      <c r="BK95" s="145" t="n"/>
      <c r="BL95" s="145" t="n"/>
      <c r="BM95" s="145" t="inlineStr">
        <is>
          <t>Not disclosed</t>
        </is>
      </c>
      <c r="BN95" s="145" t="inlineStr">
        <is>
          <t>Not disclosed</t>
        </is>
      </c>
      <c r="BO95" s="149" t="inlineStr">
        <is>
          <t>Manipulation 2/4 · Navigation 2/4 · Peak 4 km/h · Walk 3.5 km/h · Runtime 3</t>
        </is>
      </c>
      <c r="BP95" s="145" t="n"/>
      <c r="BQ95" s="149" t="inlineStr">
        <is>
          <t>Research labs, commercial pilots, and education programs evaluating a humanoid from JAKA Robotics (China) now listed as prototype.</t>
        </is>
      </c>
      <c r="BR95" s="149" t="inlineStr">
        <is>
          <t>Prototype</t>
        </is>
      </c>
      <c r="BS95" s="149" t="inlineStr">
        <is>
          <t>Prototype</t>
        </is>
      </c>
      <c r="BT95" s="145" t="n"/>
      <c r="BU95" s="145" t="inlineStr">
        <is>
          <t>Not verified</t>
        </is>
      </c>
      <c r="BV95" s="149" t="n"/>
      <c r="BW95" s="149" t="inlineStr">
        <is>
          <t>Origin &amp; status — China · Prototype · 2026 | Manipulation — Payload 17.6 lb | Sensing &amp; software — Sensor and compute package confirmed on formal quote | Buying notes — From $100,000 · 12 months manufacturer standard (typical research/commercial humanoid)</t>
        </is>
      </c>
      <c r="BX95" s="149" t="inlineStr">
        <is>
          <t>as_shipped|Jaka K1|100000|As shipped</t>
        </is>
      </c>
      <c r="BY95" s="145" t="inlineStr">
        <is>
          <t>jaka_k1|Manufacturer finish|#e2e8f0|0</t>
        </is>
      </c>
      <c r="BZ95" s="145" t="inlineStr"/>
      <c r="CA95" s="149" t="n"/>
      <c r="CB95" s="149" t="inlineStr">
        <is>
          <t>12 months manufacturer standard (typical research/commercial humanoid)</t>
        </is>
      </c>
      <c r="CC95" s="147" t="n">
        <v>12</v>
      </c>
      <c r="CD95" s="149" t="inlineStr">
        <is>
          <t>+3 Year Extended ≈24% of configuration (default in configurator)</t>
        </is>
      </c>
      <c r="CE95" s="145" t="inlineStr">
        <is>
          <t>Humanoid category norm 2025–2026</t>
        </is>
      </c>
      <c r="CF95" s="145" t="inlineStr">
        <is>
          <t>Estimated</t>
        </is>
      </c>
      <c r="CG95" s="149" t="inlineStr">
        <is>
          <t>Confirm on formal OEM quote. EDU or enterprise packages may differ.</t>
        </is>
      </c>
      <c r="CH95" s="145" t="inlineStr">
        <is>
          <t>10%</t>
        </is>
      </c>
      <c r="CI95" s="145" t="inlineStr">
        <is>
          <t>17%</t>
        </is>
      </c>
      <c r="CJ95" s="145" t="inlineStr">
        <is>
          <t>24%</t>
        </is>
      </c>
      <c r="CK95" s="149" t="inlineStr">
        <is>
          <t>+1yr ≈10% | +2yr ≈17% | +3yr ≈24% of selected configuration price (parts &amp; labor beyond manufacturer standard).</t>
        </is>
      </c>
      <c r="CL9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95" s="145" t="inlineStr">
        <is>
          <t>12 months manufacturer standard (typical research/commercial humanoid)</t>
        </is>
      </c>
      <c r="CQ95" s="101" t="inlineStr">
        <is>
          <t>Height: 5 ft 5 in | Weight: 88.2 | Degrees of Freedom: 18 | Payload: 17.6 | Max Speed: 2.49 | Battery / Runtime: ≈ 3 hours</t>
        </is>
      </c>
    </row>
    <row r="96" ht="31.5" customHeight="1" s="102">
      <c r="A96" s="152" t="inlineStr">
        <is>
          <t>jaka_robotics_jaka_kargo</t>
        </is>
      </c>
      <c r="B96" s="153" t="inlineStr">
        <is>
          <t>Humanoid.guide</t>
        </is>
      </c>
      <c r="C96" s="152" t="inlineStr">
        <is>
          <t>JAKA Robotics</t>
        </is>
      </c>
      <c r="D96" s="152" t="inlineStr">
        <is>
          <t>JAKA Kargo</t>
        </is>
      </c>
      <c r="E96" s="152" t="inlineStr">
        <is>
          <t>[JAKA Robotics] JAKA Kargo (2026)</t>
        </is>
      </c>
      <c r="F96" s="146" t="inlineStr">
        <is>
          <t>humanoid</t>
        </is>
      </c>
      <c r="G96" s="152" t="inlineStr">
        <is>
          <t>China</t>
        </is>
      </c>
      <c r="H96" s="152" t="n"/>
      <c r="I96" s="155" t="n">
        <v>65000</v>
      </c>
      <c r="J96" s="152" t="inlineStr">
        <is>
          <t>Humanoid.guide list</t>
        </is>
      </c>
      <c r="K96" s="156" t="inlineStr">
        <is>
          <t>JAKA Kargo is a mobile dual-arm manipulation robot from Chinese cobot maker JAKA Robotics.</t>
        </is>
      </c>
      <c r="L96" s="101" t="inlineStr">
        <is>
          <t>JAKA Kargo is a mobile dual-arm manipulation robot from Chinese cobot maker JAKA Robotics.</t>
        </is>
      </c>
      <c r="M96" s="101" t="inlineStr">
        <is>
          <t>JAKA Kargo is a mobile dual-arm manipulation robot from Chinese cobot maker JAKA Robotics. Public status is listed as in production, and it is positioned for industrial manufacturing and logistics.</t>
        </is>
      </c>
      <c r="N96" s="157" t="inlineStr">
        <is>
          <t>https://humanoid.guide/product/jaka-kargo/</t>
        </is>
      </c>
      <c r="O96" s="157" t="inlineStr">
        <is>
          <t>https://www.jaka.com</t>
        </is>
      </c>
      <c r="P96" s="152" t="inlineStr">
        <is>
          <t>5 ft 2 in</t>
        </is>
      </c>
      <c r="Q96" s="152" t="n">
        <v>156.5</v>
      </c>
      <c r="R96" s="152" t="n">
        <v>396.8</v>
      </c>
      <c r="S96" s="152" t="n">
        <v>180</v>
      </c>
      <c r="T96" s="156" t="inlineStr">
        <is>
          <t>Not disclosed</t>
        </is>
      </c>
      <c r="U96" s="152" t="n"/>
      <c r="V96" s="152" t="inlineStr">
        <is>
          <t>21</t>
        </is>
      </c>
      <c r="W96" s="156" t="inlineStr">
        <is>
          <t>Not disclosed</t>
        </is>
      </c>
      <c r="X96" s="152" t="n">
        <v>33.1</v>
      </c>
      <c r="Y96" s="152" t="n">
        <v>15</v>
      </c>
      <c r="Z96" s="152" t="n">
        <v>2.49</v>
      </c>
      <c r="AA96" s="152" t="n">
        <v>4</v>
      </c>
      <c r="AB96" s="152" t="n"/>
      <c r="AC96" s="156" t="inlineStr">
        <is>
          <t>≈ 4 hours</t>
        </is>
      </c>
      <c r="AD96" s="156" t="inlineStr">
        <is>
          <t>4</t>
        </is>
      </c>
      <c r="AE96" s="152" t="n"/>
      <c r="AF96" s="152" t="inlineStr">
        <is>
          <t>Not disclosed</t>
        </is>
      </c>
      <c r="AG96" s="156" t="inlineStr">
        <is>
          <t>Not disclosed</t>
        </is>
      </c>
      <c r="AH96" s="152" t="inlineStr">
        <is>
          <t>Not disclosed</t>
        </is>
      </c>
      <c r="AI96" s="152" t="n"/>
      <c r="AJ96" s="156" t="inlineStr">
        <is>
          <t>Not disclosed</t>
        </is>
      </c>
      <c r="AK96" s="156" t="n"/>
      <c r="AL96" s="152" t="inlineStr">
        <is>
          <t>Not disclosed</t>
        </is>
      </c>
      <c r="AM96" s="152" t="n"/>
      <c r="AN96" s="152" t="inlineStr">
        <is>
          <t>Not disclosed</t>
        </is>
      </c>
      <c r="AO96" s="152" t="inlineStr">
        <is>
          <t>Not disclosed</t>
        </is>
      </c>
      <c r="AP96" s="152" t="inlineStr">
        <is>
          <t>Not disclosed</t>
        </is>
      </c>
      <c r="AQ96" s="152" t="inlineStr">
        <is>
          <t>Not disclosed</t>
        </is>
      </c>
      <c r="AR96" s="152" t="n"/>
      <c r="AS96" s="152" t="n"/>
      <c r="AT96" s="156" t="inlineStr">
        <is>
          <t>Intel Core i5 12th generation processor with 128 GB SSD</t>
        </is>
      </c>
      <c r="AU96" s="156" t="inlineStr">
        <is>
          <t>2× multiplexed I/O; 2× RS232/422/485; 4× Gigabit Ethernet; CAN; Wi-Fi 6</t>
        </is>
      </c>
      <c r="AV96" s="152" t="inlineStr">
        <is>
          <t>Not disclosed</t>
        </is>
      </c>
      <c r="AW96" s="156" t="inlineStr">
        <is>
          <t>Not disclosed</t>
        </is>
      </c>
      <c r="AX96" s="152" t="n"/>
      <c r="AY96" s="156" t="inlineStr">
        <is>
          <t>Not disclosed</t>
        </is>
      </c>
      <c r="AZ96" s="156" t="inlineStr">
        <is>
          <t>Not disclosed</t>
        </is>
      </c>
      <c r="BA96" s="156" t="inlineStr">
        <is>
          <t>1 ms internal control loop — extremely fast; end-to-end perception-to-action latency not separately published</t>
        </is>
      </c>
      <c r="BB96" s="156" t="inlineStr">
        <is>
          <t>Brushless DC servo motors</t>
        </is>
      </c>
      <c r="BC96" s="156" t="inlineStr">
        <is>
          <t>Harmonic / planetary reducers per joint</t>
        </is>
      </c>
      <c r="BD96" s="152" t="inlineStr">
        <is>
          <t>Steel + aluminum alloy</t>
        </is>
      </c>
      <c r="BE96" s="152" t="inlineStr">
        <is>
          <t>IP20</t>
        </is>
      </c>
      <c r="BF96" s="152" t="inlineStr">
        <is>
          <t>IP20</t>
        </is>
      </c>
      <c r="BG96" s="152" t="n"/>
      <c r="BH96" s="152" t="n"/>
      <c r="BI96" s="152" t="n"/>
      <c r="BJ96" s="152" t="n"/>
      <c r="BK96" s="152" t="n"/>
      <c r="BL96" s="152" t="n"/>
      <c r="BM96" s="152" t="inlineStr">
        <is>
          <t>Yes</t>
        </is>
      </c>
      <c r="BN96" s="152" t="inlineStr">
        <is>
          <t>Not disclosed</t>
        </is>
      </c>
      <c r="BO96" s="156" t="inlineStr">
        <is>
          <t>Market: Industrial manufacturing and logistics · Human-safe: Yes · Actuation: Brushless DC servo motors · Peak 4 km/h · Runtime 4</t>
        </is>
      </c>
      <c r="BP96" s="152" t="n"/>
      <c r="BQ96" s="156" t="inlineStr">
        <is>
          <t>Industrial manufacturing and logistics</t>
        </is>
      </c>
      <c r="BR96" s="156" t="inlineStr">
        <is>
          <t>In production</t>
        </is>
      </c>
      <c r="BS96" s="156" t="inlineStr">
        <is>
          <t>In production</t>
        </is>
      </c>
      <c r="BT96" s="152" t="n"/>
      <c r="BU96" s="152" t="n"/>
      <c r="BV96" s="156" t="n"/>
      <c r="BW96" s="156" t="inlineStr">
        <is>
          <t>Origin &amp; status — China · In production · 2026 | Manipulation — Payload 33.1 lb | Sensing &amp; software — Sensor and compute package confirmed on formal quote | Buying notes — From $65,000 · 12 months manufacturer standard (typical research/commercial humanoid) · Best fit: Industrial manufacturing and logistics</t>
        </is>
      </c>
      <c r="BX96" s="156" t="inlineStr">
        <is>
          <t>as_shipped|JAKA Kargo|65000|As shipped</t>
        </is>
      </c>
      <c r="BY96" s="152" t="inlineStr">
        <is>
          <t>jaka_kargo|Manufacturer finish|#e2e8f0|0</t>
        </is>
      </c>
      <c r="BZ96" s="152" t="inlineStr"/>
      <c r="CA96" s="156" t="n"/>
      <c r="CB96" s="156" t="inlineStr">
        <is>
          <t>12 months manufacturer standard (typical research/commercial humanoid)</t>
        </is>
      </c>
      <c r="CC96" s="154" t="n">
        <v>12</v>
      </c>
      <c r="CD96" s="156" t="inlineStr">
        <is>
          <t>+3 Year Extended ≈24% of configuration (default in configurator)</t>
        </is>
      </c>
      <c r="CE96" s="152" t="inlineStr">
        <is>
          <t>Humanoid category norm 2025–2026</t>
        </is>
      </c>
      <c r="CF96" s="152" t="inlineStr">
        <is>
          <t>Estimated</t>
        </is>
      </c>
      <c r="CG96" s="156" t="inlineStr">
        <is>
          <t>Confirm on formal OEM quote. EDU or enterprise packages may differ.</t>
        </is>
      </c>
      <c r="CH96" s="152" t="inlineStr">
        <is>
          <t>10%</t>
        </is>
      </c>
      <c r="CI96" s="152" t="inlineStr">
        <is>
          <t>17%</t>
        </is>
      </c>
      <c r="CJ96" s="152" t="inlineStr">
        <is>
          <t>24%</t>
        </is>
      </c>
      <c r="CK96" s="156" t="inlineStr">
        <is>
          <t>+1yr ≈10% | +2yr ≈17% | +3yr ≈24% of selected configuration price (parts &amp; labor beyond manufacturer standard).</t>
        </is>
      </c>
      <c r="CL96"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96" s="152" t="inlineStr">
        <is>
          <t>12 months manufacturer standard (typical research/commercial humanoid)</t>
        </is>
      </c>
      <c r="CQ96" s="101" t="inlineStr">
        <is>
          <t>Height: 5 ft 2 in | Weight: 396.8 | Degrees of Freedom: 21 | Payload: 33.1 | Max Speed: 2.49 | Battery / Runtime: ≈ 4 hours</t>
        </is>
      </c>
    </row>
    <row r="97" ht="31.5" customHeight="1" s="102">
      <c r="A97" s="145" t="inlineStr">
        <is>
          <t>keenon_robotics_keenon_xman_r1</t>
        </is>
      </c>
      <c r="B97" s="153" t="inlineStr">
        <is>
          <t>Humanoid.guide</t>
        </is>
      </c>
      <c r="C97" s="145" t="inlineStr">
        <is>
          <t>KEENON Robotics</t>
        </is>
      </c>
      <c r="D97" s="145" t="inlineStr">
        <is>
          <t>Keenon XMAN‑R1</t>
        </is>
      </c>
      <c r="E97" s="145" t="inlineStr">
        <is>
          <t>[KEENON Robotics] Keenon XMAN‑R1 (2026)</t>
        </is>
      </c>
      <c r="F97" s="146" t="inlineStr">
        <is>
          <t>humanoid</t>
        </is>
      </c>
      <c r="G97" s="145" t="inlineStr">
        <is>
          <t>China</t>
        </is>
      </c>
      <c r="H97" s="145" t="n"/>
      <c r="I97" s="148" t="n">
        <v>100000</v>
      </c>
      <c r="J97" s="145" t="inlineStr">
        <is>
          <t>Humanoid.guide list</t>
        </is>
      </c>
      <c r="K97" s="149" t="inlineStr">
        <is>
          <t>Keenon XMAN‑R1 is a next-generation humanoid service robot built for the real-world demands of the service industry.</t>
        </is>
      </c>
      <c r="L97" s="101" t="inlineStr">
        <is>
          <t>Keenon XMAN‑R1 is a next-generation humanoid service robot built for the real-world demands of the service industry.</t>
        </is>
      </c>
      <c r="M97" s="101" t="inlineStr">
        <is>
          <t>Keenon XMAN‑R1 is a next-generation humanoid service robot built for the real-world demands of the service industry. Public status is listed as in production, and it is positioned for china.</t>
        </is>
      </c>
      <c r="N97" s="150" t="inlineStr">
        <is>
          <t>https://humanoid.guide/product/keenon-xman-r1/</t>
        </is>
      </c>
      <c r="O97" s="150" t="inlineStr">
        <is>
          <t>https://www.keenonrobot.com</t>
        </is>
      </c>
      <c r="P97" s="145" t="inlineStr">
        <is>
          <t>5 ft 8 in</t>
        </is>
      </c>
      <c r="Q97" s="145" t="n">
        <v>172</v>
      </c>
      <c r="R97" s="145" t="n">
        <v>242.5</v>
      </c>
      <c r="S97" s="145" t="n">
        <v>110</v>
      </c>
      <c r="T97" s="149" t="inlineStr">
        <is>
          <t>Not disclosed</t>
        </is>
      </c>
      <c r="U97" s="145" t="n"/>
      <c r="V97" s="145" t="inlineStr">
        <is>
          <t>36</t>
        </is>
      </c>
      <c r="W97" s="149" t="inlineStr">
        <is>
          <t>6</t>
        </is>
      </c>
      <c r="X97" s="145" t="n">
        <v>6.6</v>
      </c>
      <c r="Y97" s="145" t="n">
        <v>3</v>
      </c>
      <c r="Z97" s="145" t="n">
        <v>1.8</v>
      </c>
      <c r="AA97" s="145" t="n">
        <v>2.9</v>
      </c>
      <c r="AB97" s="145" t="n"/>
      <c r="AC97" s="149" t="inlineStr">
        <is>
          <t>≈ 3 hours</t>
        </is>
      </c>
      <c r="AD97" s="149" t="inlineStr">
        <is>
          <t>3</t>
        </is>
      </c>
      <c r="AE97" s="145" t="n"/>
      <c r="AF97" s="145" t="inlineStr">
        <is>
          <t>Not disclosed</t>
        </is>
      </c>
      <c r="AG97" s="149" t="inlineStr">
        <is>
          <t>10</t>
        </is>
      </c>
      <c r="AH97" s="145" t="inlineStr">
        <is>
          <t>10</t>
        </is>
      </c>
      <c r="AI97" s="158" t="n">
        <v>2</v>
      </c>
      <c r="AJ97" s="149" t="inlineStr">
        <is>
          <t>Not disclosed</t>
        </is>
      </c>
      <c r="AK97" s="149" t="n"/>
      <c r="AL97" s="145" t="inlineStr">
        <is>
          <t>Not disclosed</t>
        </is>
      </c>
      <c r="AM97" s="145" t="n"/>
      <c r="AN97" s="145" t="inlineStr">
        <is>
          <t>Not disclosed</t>
        </is>
      </c>
      <c r="AO97" s="145" t="inlineStr">
        <is>
          <t>Not disclosed</t>
        </is>
      </c>
      <c r="AP97" s="145" t="inlineStr">
        <is>
          <t>Not disclosed</t>
        </is>
      </c>
      <c r="AQ97" s="145" t="inlineStr">
        <is>
          <t>Not disclosed</t>
        </is>
      </c>
      <c r="AR97" s="145" t="n"/>
      <c r="AS97" s="145" t="n"/>
      <c r="AT97" s="149" t="inlineStr">
        <is>
          <t>Not disclosed</t>
        </is>
      </c>
      <c r="AU97" s="149" t="inlineStr">
        <is>
          <t>Not disclosed</t>
        </is>
      </c>
      <c r="AV97" s="145" t="inlineStr">
        <is>
          <t>Not disclosed</t>
        </is>
      </c>
      <c r="AW97" s="149" t="inlineStr">
        <is>
          <t>Not disclosed</t>
        </is>
      </c>
      <c r="AX97" s="158" t="n">
        <v>2</v>
      </c>
      <c r="AY97" s="149" t="inlineStr">
        <is>
          <t>Linux</t>
        </is>
      </c>
      <c r="AZ97" s="149" t="inlineStr">
        <is>
          <t>Not disclosed</t>
        </is>
      </c>
      <c r="BA97" s="149" t="n"/>
      <c r="BB97" s="149" t="inlineStr">
        <is>
          <t>High precision motor</t>
        </is>
      </c>
      <c r="BC97" s="149" t="inlineStr">
        <is>
          <t>Not disclosed</t>
        </is>
      </c>
      <c r="BD97" s="145" t="inlineStr">
        <is>
          <t>Not disclosed</t>
        </is>
      </c>
      <c r="BE97" s="145" t="inlineStr">
        <is>
          <t>Not disclosed</t>
        </is>
      </c>
      <c r="BF97" s="145" t="n"/>
      <c r="BG97" s="145" t="n"/>
      <c r="BH97" s="145" t="n"/>
      <c r="BI97" s="145" t="n"/>
      <c r="BJ97" s="145" t="n"/>
      <c r="BK97" s="145" t="n"/>
      <c r="BL97" s="145" t="n"/>
      <c r="BM97" s="145" t="inlineStr">
        <is>
          <t>Yes</t>
        </is>
      </c>
      <c r="BN97" s="145" t="inlineStr">
        <is>
          <t>Not disclosed</t>
        </is>
      </c>
      <c r="BO97" s="149" t="inlineStr">
        <is>
          <t>Market: China · Manipulation 2/4 · Navigation 2/4 · Human-safe: Yes · Actuation: High precision motor · Peak 2.9 km/h · Runtime 3</t>
        </is>
      </c>
      <c r="BP97" s="145" t="n"/>
      <c r="BQ97" s="149" t="inlineStr">
        <is>
          <t>China</t>
        </is>
      </c>
      <c r="BR97" s="149" t="inlineStr">
        <is>
          <t>In production</t>
        </is>
      </c>
      <c r="BS97" s="149" t="inlineStr">
        <is>
          <t>In production</t>
        </is>
      </c>
      <c r="BT97" s="145" t="n"/>
      <c r="BU97" s="145" t="inlineStr">
        <is>
          <t>Not verified</t>
        </is>
      </c>
      <c r="BV97" s="149" t="n"/>
      <c r="BW97" s="149" t="inlineStr">
        <is>
          <t>Origin &amp; status — China · In production · 2026 | Manipulation — 10 · 10 fingers · Hand DOF 6 · Payload 6.6 lb | Sensing &amp; software — Linux | Buying notes — From $100,000 · 12 months manufacturer standard (typical research/commercial humanoid) · Best fit: China</t>
        </is>
      </c>
      <c r="BX97" s="149" t="inlineStr">
        <is>
          <t>as_shipped|Keenon XMAN‑R1|100000|As shipped</t>
        </is>
      </c>
      <c r="BY97" s="145" t="inlineStr">
        <is>
          <t>keenon_xman_r1|Manufacturer finish|#e2e8f0|0</t>
        </is>
      </c>
      <c r="BZ97" s="145" t="inlineStr"/>
      <c r="CA97" s="149" t="n"/>
      <c r="CB97" s="149" t="inlineStr">
        <is>
          <t>12 months manufacturer standard (typical research/commercial humanoid)</t>
        </is>
      </c>
      <c r="CC97" s="147" t="n">
        <v>12</v>
      </c>
      <c r="CD97" s="149" t="inlineStr">
        <is>
          <t>+3 Year Extended ≈24% of configuration (default in configurator)</t>
        </is>
      </c>
      <c r="CE97" s="145" t="inlineStr">
        <is>
          <t>Humanoid category norm 2025–2026</t>
        </is>
      </c>
      <c r="CF97" s="145" t="inlineStr">
        <is>
          <t>Estimated</t>
        </is>
      </c>
      <c r="CG97" s="149" t="inlineStr">
        <is>
          <t>Confirm on formal OEM quote. EDU or enterprise packages may differ.</t>
        </is>
      </c>
      <c r="CH97" s="145" t="inlineStr">
        <is>
          <t>10%</t>
        </is>
      </c>
      <c r="CI97" s="145" t="inlineStr">
        <is>
          <t>17%</t>
        </is>
      </c>
      <c r="CJ97" s="145" t="inlineStr">
        <is>
          <t>24%</t>
        </is>
      </c>
      <c r="CK97" s="149" t="inlineStr">
        <is>
          <t>+1yr ≈10% | +2yr ≈17% | +3yr ≈24% of selected configuration price (parts &amp; labor beyond manufacturer standard).</t>
        </is>
      </c>
      <c r="CL97"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97" s="145" t="inlineStr">
        <is>
          <t>12 months manufacturer standard (typical research/commercial humanoid)</t>
        </is>
      </c>
      <c r="CQ97" s="101" t="inlineStr">
        <is>
          <t>Height: 5 ft 8 in | Weight: 242.5 | Degrees of Freedom: 36 | Payload: 6.6 | Max Speed: 1.8 | Battery / Runtime: ≈ 3 hours</t>
        </is>
      </c>
    </row>
    <row r="98" ht="31.5" customHeight="1" s="102">
      <c r="A98" s="152" t="inlineStr">
        <is>
          <t>kepler_exploration_robot_co_k2_bumblebee</t>
        </is>
      </c>
      <c r="B98" s="153" t="inlineStr">
        <is>
          <t>Humanoid.guide</t>
        </is>
      </c>
      <c r="C98" s="152" t="inlineStr">
        <is>
          <t>Kepler Exploration Robot Co.</t>
        </is>
      </c>
      <c r="D98" s="152" t="inlineStr">
        <is>
          <t>K2 Bumblebee</t>
        </is>
      </c>
      <c r="E98" s="152" t="inlineStr">
        <is>
          <t>[Kepler Exploration Robot Co.] K2 Bumblebee (2026)</t>
        </is>
      </c>
      <c r="F98" s="146" t="inlineStr">
        <is>
          <t>humanoid</t>
        </is>
      </c>
      <c r="G98" s="152" t="inlineStr">
        <is>
          <t>China</t>
        </is>
      </c>
      <c r="H98" s="152" t="n"/>
      <c r="I98" s="155" t="n">
        <v>20000</v>
      </c>
      <c r="J98" s="152" t="inlineStr">
        <is>
          <t>Robot Price Index Aug 2026 · entry</t>
        </is>
      </c>
      <c r="K98" s="156" t="inlineStr">
        <is>
          <t>The K2 Bumblebee is a compact humanoid robot by Kepler Robotics designed for research, education, and AI experimentation.</t>
        </is>
      </c>
      <c r="L98" s="101" t="inlineStr">
        <is>
          <t>The K2 Bumblebee is a compact humanoid robot by Kepler Robotics designed for research, education, and AI experimentation.</t>
        </is>
      </c>
      <c r="M98" s="101" t="inlineStr">
        <is>
          <t>The K2 Bumblebee is a compact humanoid robot by Kepler Robotics designed for research, education, and AI experimentation. Public status is listed as prototype, and it is positioned for research, education, AI labs.</t>
        </is>
      </c>
      <c r="N98" s="157" t="inlineStr">
        <is>
          <t>https://humanoid.guide/product/k2-bumblebee/</t>
        </is>
      </c>
      <c r="O98" s="157" t="inlineStr">
        <is>
          <t>https://www.kepler-robotics.com</t>
        </is>
      </c>
      <c r="P98" s="152" t="inlineStr">
        <is>
          <t>5 ft 9 in</t>
        </is>
      </c>
      <c r="Q98" s="152" t="n">
        <v>175</v>
      </c>
      <c r="R98" s="152" t="n">
        <v>165.3</v>
      </c>
      <c r="S98" s="152" t="n">
        <v>75</v>
      </c>
      <c r="T98" s="156" t="inlineStr">
        <is>
          <t>Not disclosed</t>
        </is>
      </c>
      <c r="U98" s="152" t="inlineStr">
        <is>
          <t>140 × 45 × 35 cm crate</t>
        </is>
      </c>
      <c r="V98" s="152" t="inlineStr">
        <is>
          <t>28</t>
        </is>
      </c>
      <c r="W98" s="156" t="inlineStr">
        <is>
          <t>7</t>
        </is>
      </c>
      <c r="X98" s="152" t="n">
        <v>19.8</v>
      </c>
      <c r="Y98" s="152" t="n">
        <v>9</v>
      </c>
      <c r="Z98" s="152" t="n">
        <v>1.86</v>
      </c>
      <c r="AA98" s="152" t="n">
        <v>3</v>
      </c>
      <c r="AB98" s="152" t="n">
        <v>5</v>
      </c>
      <c r="AC98" s="156" t="inlineStr">
        <is>
          <t>≈ 2 hours</t>
        </is>
      </c>
      <c r="AD98" s="156" t="inlineStr">
        <is>
          <t>2</t>
        </is>
      </c>
      <c r="AE98" s="152" t="n"/>
      <c r="AF98" s="152" t="inlineStr">
        <is>
          <t>Not disclosed</t>
        </is>
      </c>
      <c r="AG98" s="156" t="inlineStr">
        <is>
          <t>5 per hand</t>
        </is>
      </c>
      <c r="AH98" s="152" t="inlineStr">
        <is>
          <t>5 per hand</t>
        </is>
      </c>
      <c r="AI98" s="158" t="n">
        <v>2</v>
      </c>
      <c r="AJ98" s="156" t="inlineStr">
        <is>
          <t>1080p</t>
        </is>
      </c>
      <c r="AK98" s="156" t="inlineStr">
        <is>
          <t>1080p</t>
        </is>
      </c>
      <c r="AL98" s="152" t="inlineStr">
        <is>
          <t>Not disclosed</t>
        </is>
      </c>
      <c r="AM98" s="152" t="n"/>
      <c r="AN98" s="152" t="inlineStr">
        <is>
          <t>Not disclosed</t>
        </is>
      </c>
      <c r="AO98" s="152" t="inlineStr">
        <is>
          <t>Not disclosed</t>
        </is>
      </c>
      <c r="AP98" s="152" t="inlineStr">
        <is>
          <t>Not disclosed</t>
        </is>
      </c>
      <c r="AQ98" s="152" t="inlineStr">
        <is>
          <t>Not disclosed</t>
        </is>
      </c>
      <c r="AR98" s="152" t="n"/>
      <c r="AS98" s="152" t="n"/>
      <c r="AT98" s="156" t="inlineStr">
        <is>
          <t>Embedded ARM + small onboard GPU</t>
        </is>
      </c>
      <c r="AU98" s="156" t="inlineStr">
        <is>
          <t>Bluetooth; USB; Wi‑Fi</t>
        </is>
      </c>
      <c r="AV98" s="152" t="inlineStr">
        <is>
          <t>Not disclosed</t>
        </is>
      </c>
      <c r="AW98" s="156" t="inlineStr">
        <is>
          <t>Not disclosed</t>
        </is>
      </c>
      <c r="AX98" s="158" t="n">
        <v>2</v>
      </c>
      <c r="AY98" s="156" t="inlineStr">
        <is>
          <t>Linux-based control OS</t>
        </is>
      </c>
      <c r="AZ98" s="156" t="inlineStr">
        <is>
          <t>External API</t>
        </is>
      </c>
      <c r="BA98" s="156" t="inlineStr">
        <is>
          <t>250–450 ms</t>
        </is>
      </c>
      <c r="BB98" s="156" t="inlineStr">
        <is>
          <t>Brushless servo motors</t>
        </is>
      </c>
      <c r="BC98" s="156" t="inlineStr">
        <is>
          <t>Harmonic or planetary gears</t>
        </is>
      </c>
      <c r="BD98" s="152" t="inlineStr">
        <is>
          <t>Aluminum + plastic composites</t>
        </is>
      </c>
      <c r="BE98" s="152" t="inlineStr">
        <is>
          <t>No</t>
        </is>
      </c>
      <c r="BF98" s="152" t="inlineStr">
        <is>
          <t>No</t>
        </is>
      </c>
      <c r="BG98" s="152" t="n"/>
      <c r="BH98" s="152" t="n"/>
      <c r="BI98" s="152" t="n"/>
      <c r="BJ98" s="152" t="n"/>
      <c r="BK98" s="152" t="n"/>
      <c r="BL98" s="152" t="n"/>
      <c r="BM98" s="152" t="inlineStr">
        <is>
          <t>Yes</t>
        </is>
      </c>
      <c r="BN98" s="152" t="inlineStr">
        <is>
          <t>Not disclosed</t>
        </is>
      </c>
      <c r="BO98" s="156" t="inlineStr">
        <is>
          <t>Market: Research, education, AI labs · Manipulation 2/4 · Navigation 2/4 · Human-safe: Yes · AI: External API · Actuation: Brushless servo motors · Peak 3 km/h · Walk 5 km/h · Runtime 2</t>
        </is>
      </c>
      <c r="BP98" s="152" t="n"/>
      <c r="BQ98" s="156" t="inlineStr">
        <is>
          <t>Research, education, AI labs</t>
        </is>
      </c>
      <c r="BR98" s="156" t="inlineStr">
        <is>
          <t>Prototype</t>
        </is>
      </c>
      <c r="BS98" s="156" t="inlineStr">
        <is>
          <t>Prototype</t>
        </is>
      </c>
      <c r="BT98" s="152" t="inlineStr">
        <is>
          <t>Yellow/black (Bumblebee theme)</t>
        </is>
      </c>
      <c r="BU98" s="152" t="inlineStr">
        <is>
          <t>Not verified</t>
        </is>
      </c>
      <c r="BV98" s="156" t="n"/>
      <c r="BW98" s="156" t="inlineStr">
        <is>
          <t>Origin &amp; status — China · Prototype · 2026 | Manipulation — 5 per hand · 5 per hand fingers · Hand DOF 7 · Payload 19.8 lb | Sensing &amp; software — 1080p · External API · Linux-based control OS | Buying notes — From $20,000 · 12 months manufacturer standard (typical research/commercial humanoid) · Best fit: Research, education, AI labs</t>
        </is>
      </c>
      <c r="BX98" s="156" t="inlineStr">
        <is>
          <t>as_shipped|K2 Bumblebee|20000|As shipped</t>
        </is>
      </c>
      <c r="BY98" s="152" t="inlineStr">
        <is>
          <t>yellow|Yellow|#e2e8f0|0 || black_bumblebee_theme|black (Bumblebee theme)|#1e293b|0</t>
        </is>
      </c>
      <c r="BZ98" s="152" t="inlineStr"/>
      <c r="CA98" s="156" t="n"/>
      <c r="CB98" s="156" t="inlineStr">
        <is>
          <t>12 months manufacturer standard (typical research/commercial humanoid)</t>
        </is>
      </c>
      <c r="CC98" s="154" t="n">
        <v>12</v>
      </c>
      <c r="CD98" s="156" t="inlineStr">
        <is>
          <t>+3 Year Extended ≈24% of configuration (default in configurator)</t>
        </is>
      </c>
      <c r="CE98" s="152" t="inlineStr">
        <is>
          <t>Humanoid category norm 2025–2026</t>
        </is>
      </c>
      <c r="CF98" s="152" t="inlineStr">
        <is>
          <t>Estimated</t>
        </is>
      </c>
      <c r="CG98" s="156" t="inlineStr">
        <is>
          <t>Confirm on formal OEM quote. EDU or enterprise packages may differ.</t>
        </is>
      </c>
      <c r="CH98" s="152" t="inlineStr">
        <is>
          <t>10%</t>
        </is>
      </c>
      <c r="CI98" s="152" t="inlineStr">
        <is>
          <t>17%</t>
        </is>
      </c>
      <c r="CJ98" s="152" t="inlineStr">
        <is>
          <t>24%</t>
        </is>
      </c>
      <c r="CK98" s="156" t="inlineStr">
        <is>
          <t>+1yr ≈10% | +2yr ≈17% | +3yr ≈24% of selected configuration price (parts &amp; labor beyond manufacturer standard).</t>
        </is>
      </c>
      <c r="CL98"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98" s="152" t="inlineStr">
        <is>
          <t>12 months manufacturer standard (typical research/commercial humanoid)</t>
        </is>
      </c>
      <c r="CQ98" s="101" t="inlineStr">
        <is>
          <t>Height: 5 ft 9 in | Weight: 165.3 | Degrees of Freedom: 28 | Payload: 19.8 | Max Speed: 1.86 | Battery / Runtime: ≈ 2 hours</t>
        </is>
      </c>
    </row>
    <row r="99" ht="31.5" customHeight="1" s="102">
      <c r="A99" s="145" t="inlineStr">
        <is>
          <t>kepler_exploration_robot_co_kepler</t>
        </is>
      </c>
      <c r="B99" s="153" t="inlineStr">
        <is>
          <t>Humanoid.guide</t>
        </is>
      </c>
      <c r="C99" s="145" t="inlineStr">
        <is>
          <t>Kepler Exploration Robot Co.</t>
        </is>
      </c>
      <c r="D99" s="145" t="inlineStr">
        <is>
          <t>Kepler</t>
        </is>
      </c>
      <c r="E99" s="145" t="inlineStr">
        <is>
          <t>[Kepler Exploration Robot Co.] Kepler (2026)</t>
        </is>
      </c>
      <c r="F99" s="146" t="inlineStr">
        <is>
          <t>humanoid</t>
        </is>
      </c>
      <c r="G99" s="145" t="inlineStr">
        <is>
          <t>China</t>
        </is>
      </c>
      <c r="H99" s="145" t="n"/>
      <c r="I99" s="148" t="n">
        <v>85000</v>
      </c>
      <c r="J99" s="145" t="inlineStr">
        <is>
          <t>Humanoid.guide list</t>
        </is>
      </c>
      <c r="K99" s="149" t="inlineStr">
        <is>
          <t>Kepler Exploration Robot Co., Ltd. has made waves in the robotics industry with its innovative Kepler Forerun ner series of humanoi d robots.</t>
        </is>
      </c>
      <c r="L99" s="101" t="inlineStr">
        <is>
          <t>Kepler Exploration Robot Co., Ltd. has made waves in the robotics industry with its innovative Kepler Forerun ner series of humanoi d robots.</t>
        </is>
      </c>
      <c r="M99" s="101" t="inlineStr">
        <is>
          <t>Kepler Exploration Robot Co., Ltd. has made waves in the robotics industry with its innovative Kepler Forerun ner series of humanoi d robots. Public status is listed as prototype.</t>
        </is>
      </c>
      <c r="N99" s="150" t="inlineStr">
        <is>
          <t>https://humanoid.guide/product/kepler/</t>
        </is>
      </c>
      <c r="O99" s="150" t="inlineStr">
        <is>
          <t>https://www.kepler-robotics.com</t>
        </is>
      </c>
      <c r="P99" s="145" t="inlineStr">
        <is>
          <t>5 ft 7 in</t>
        </is>
      </c>
      <c r="Q99" s="145" t="n">
        <v>170</v>
      </c>
      <c r="R99" s="145" t="n">
        <v>194</v>
      </c>
      <c r="S99" s="145" t="n">
        <v>88</v>
      </c>
      <c r="T99" s="149" t="inlineStr">
        <is>
          <t>Not disclosed</t>
        </is>
      </c>
      <c r="U99" s="145" t="n"/>
      <c r="V99" s="145" t="inlineStr">
        <is>
          <t>25</t>
        </is>
      </c>
      <c r="W99" s="149" t="inlineStr">
        <is>
          <t>Not disclosed</t>
        </is>
      </c>
      <c r="X99" s="145" t="n">
        <v>33.1</v>
      </c>
      <c r="Y99" s="145" t="n">
        <v>15</v>
      </c>
      <c r="Z99" s="145" t="n">
        <v>3.11</v>
      </c>
      <c r="AA99" s="145" t="n">
        <v>5</v>
      </c>
      <c r="AB99" s="145" t="n">
        <v>3.5</v>
      </c>
      <c r="AC99" s="149" t="inlineStr">
        <is>
          <t>≈ 2 hours</t>
        </is>
      </c>
      <c r="AD99" s="149" t="inlineStr">
        <is>
          <t>2</t>
        </is>
      </c>
      <c r="AE99" s="145" t="n"/>
      <c r="AF99" s="145" t="inlineStr">
        <is>
          <t>Not disclosed</t>
        </is>
      </c>
      <c r="AG99" s="149" t="inlineStr">
        <is>
          <t>Not disclosed</t>
        </is>
      </c>
      <c r="AH99" s="145" t="inlineStr">
        <is>
          <t>Not disclosed</t>
        </is>
      </c>
      <c r="AI99" s="158" t="n">
        <v>2</v>
      </c>
      <c r="AJ99" s="149" t="inlineStr">
        <is>
          <t>Not disclosed</t>
        </is>
      </c>
      <c r="AK99" s="149" t="n"/>
      <c r="AL99" s="145" t="inlineStr">
        <is>
          <t>Not disclosed</t>
        </is>
      </c>
      <c r="AM99" s="145" t="n"/>
      <c r="AN99" s="145" t="inlineStr">
        <is>
          <t>Not disclosed</t>
        </is>
      </c>
      <c r="AO99" s="145" t="inlineStr">
        <is>
          <t>Not disclosed</t>
        </is>
      </c>
      <c r="AP99" s="145" t="inlineStr">
        <is>
          <t>Not disclosed</t>
        </is>
      </c>
      <c r="AQ99" s="145" t="inlineStr">
        <is>
          <t>Not disclosed</t>
        </is>
      </c>
      <c r="AR99" s="145" t="n"/>
      <c r="AS99" s="145" t="n"/>
      <c r="AT99" s="149" t="inlineStr">
        <is>
          <t>Not disclosed</t>
        </is>
      </c>
      <c r="AU99" s="149" t="inlineStr">
        <is>
          <t>Not disclosed</t>
        </is>
      </c>
      <c r="AV99" s="145" t="inlineStr">
        <is>
          <t>Not disclosed</t>
        </is>
      </c>
      <c r="AW99" s="149" t="inlineStr">
        <is>
          <t>Not disclosed</t>
        </is>
      </c>
      <c r="AX99" s="158" t="n">
        <v>2</v>
      </c>
      <c r="AY99" s="149" t="inlineStr">
        <is>
          <t>Not disclosed</t>
        </is>
      </c>
      <c r="AZ99" s="149" t="inlineStr">
        <is>
          <t>Not disclosed</t>
        </is>
      </c>
      <c r="BA99" s="149" t="n"/>
      <c r="BB99" s="149" t="inlineStr">
        <is>
          <t>Not disclosed</t>
        </is>
      </c>
      <c r="BC99" s="149" t="inlineStr">
        <is>
          <t>Not disclosed</t>
        </is>
      </c>
      <c r="BD99" s="145" t="inlineStr">
        <is>
          <t>Not disclosed</t>
        </is>
      </c>
      <c r="BE99" s="145" t="inlineStr">
        <is>
          <t>Not disclosed</t>
        </is>
      </c>
      <c r="BF99" s="145" t="n"/>
      <c r="BG99" s="145" t="n"/>
      <c r="BH99" s="145" t="n"/>
      <c r="BI99" s="145" t="n"/>
      <c r="BJ99" s="145" t="n"/>
      <c r="BK99" s="145" t="n"/>
      <c r="BL99" s="145" t="n"/>
      <c r="BM99" s="145" t="inlineStr">
        <is>
          <t>Not disclosed</t>
        </is>
      </c>
      <c r="BN99" s="145" t="inlineStr">
        <is>
          <t>Not disclosed</t>
        </is>
      </c>
      <c r="BO99" s="149" t="inlineStr">
        <is>
          <t>Manipulation 2/4 · Navigation 2/4 · Peak 5 km/h · Walk 3.5 km/h · Runtime 2</t>
        </is>
      </c>
      <c r="BP99" s="145" t="n"/>
      <c r="BQ99" s="149" t="inlineStr">
        <is>
          <t>Research labs, commercial pilots, and education programs evaluating a humanoid from Kepler Exploration Robot Co. (China) now listed as prototype.</t>
        </is>
      </c>
      <c r="BR99" s="149" t="inlineStr">
        <is>
          <t>Prototype</t>
        </is>
      </c>
      <c r="BS99" s="149" t="inlineStr">
        <is>
          <t>Prototype</t>
        </is>
      </c>
      <c r="BT99" s="145" t="n"/>
      <c r="BU99" s="145" t="inlineStr">
        <is>
          <t>Not verified</t>
        </is>
      </c>
      <c r="BV99" s="149" t="n"/>
      <c r="BW99" s="149" t="inlineStr">
        <is>
          <t>Origin &amp; status — China · Prototype · 2026 | Manipulation — Payload 33.1 lb | Sensing &amp; software — Sensor and compute package confirmed on formal quote | Buying notes — From $85,000 · 12 months manufacturer standard (typical research/commercial humanoid)</t>
        </is>
      </c>
      <c r="BX99" s="149" t="inlineStr">
        <is>
          <t>as_shipped|Kepler|85000|As shipped</t>
        </is>
      </c>
      <c r="BY99" s="145" t="inlineStr">
        <is>
          <t>kepler|Manufacturer finish|#e2e8f0|0</t>
        </is>
      </c>
      <c r="BZ99" s="145" t="inlineStr"/>
      <c r="CA99" s="149" t="n"/>
      <c r="CB99" s="149" t="inlineStr">
        <is>
          <t>12 months manufacturer standard (typical research/commercial humanoid)</t>
        </is>
      </c>
      <c r="CC99" s="147" t="n">
        <v>12</v>
      </c>
      <c r="CD99" s="149" t="inlineStr">
        <is>
          <t>+3 Year Extended ≈24% of configuration (default in configurator)</t>
        </is>
      </c>
      <c r="CE99" s="145" t="inlineStr">
        <is>
          <t>Humanoid category norm 2025–2026</t>
        </is>
      </c>
      <c r="CF99" s="145" t="inlineStr">
        <is>
          <t>Estimated</t>
        </is>
      </c>
      <c r="CG99" s="149" t="inlineStr">
        <is>
          <t>Confirm on formal OEM quote. EDU or enterprise packages may differ.</t>
        </is>
      </c>
      <c r="CH99" s="145" t="inlineStr">
        <is>
          <t>10%</t>
        </is>
      </c>
      <c r="CI99" s="145" t="inlineStr">
        <is>
          <t>17%</t>
        </is>
      </c>
      <c r="CJ99" s="145" t="inlineStr">
        <is>
          <t>24%</t>
        </is>
      </c>
      <c r="CK99" s="149" t="inlineStr">
        <is>
          <t>+1yr ≈10% | +2yr ≈17% | +3yr ≈24% of selected configuration price (parts &amp; labor beyond manufacturer standard).</t>
        </is>
      </c>
      <c r="CL9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99" s="145" t="inlineStr">
        <is>
          <t>12 months manufacturer standard (typical research/commercial humanoid)</t>
        </is>
      </c>
      <c r="CQ99" s="101" t="inlineStr">
        <is>
          <t>Height: 5 ft 7 in | Weight: 194 | Degrees of Freedom: 25 | Payload: 33.1 | Max Speed: 3.11 | Battery / Runtime: ≈ 2 hours</t>
        </is>
      </c>
    </row>
    <row r="100" ht="31.5" customHeight="1" s="102">
      <c r="A100" s="159" t="inlineStr">
        <is>
          <t>kepler_exploration_robotics_k2_forerunne</t>
        </is>
      </c>
      <c r="B100" s="144" t="inlineStr">
        <is>
          <t>Both</t>
        </is>
      </c>
      <c r="C100" s="152" t="inlineStr">
        <is>
          <t>Kepler Exploration Robotics</t>
        </is>
      </c>
      <c r="D100" s="152" t="inlineStr">
        <is>
          <t>Kepler K2</t>
        </is>
      </c>
      <c r="E100" s="152" t="inlineStr">
        <is>
          <t>[Kepler] K2 Forerunner (2025)</t>
        </is>
      </c>
      <c r="F100" s="146" t="inlineStr">
        <is>
          <t>humanoid</t>
        </is>
      </c>
      <c r="G100" s="152" t="inlineStr">
        <is>
          <t>China</t>
        </is>
      </c>
      <c r="H100" s="154" t="n">
        <v>2025</v>
      </c>
      <c r="I100" s="155" t="n">
        <v>20000</v>
      </c>
      <c r="J100" s="152" t="inlineStr">
        <is>
          <t>Robot Price Index Aug 2026 · entry</t>
        </is>
      </c>
      <c r="K100" s="156" t="inlineStr">
        <is>
          <t>The Kepler Forerunner K2 is a humanoid robot built for commercial and industrial use by Kepler Robotics.</t>
        </is>
      </c>
      <c r="L100" s="101" t="inlineStr">
        <is>
          <t>The Kepler Forerunner K2 is a humanoid robot built for commercial and industrial use by Kepler Robotics.</t>
        </is>
      </c>
      <c r="M100" s="101" t="inlineStr">
        <is>
          <t>K2 Forerunner is Kepler Exploration Robotics's humanoid, introduced around 2025 in China. The Kepler Forerunner K2 is a humanoid robot built for commercial and industrial use by Kepler Robotics. Public status is listed as enterprise only.</t>
        </is>
      </c>
      <c r="N100" s="157" t="inlineStr">
        <is>
          <t>https://humanoid.guide/product/kepler-k2/</t>
        </is>
      </c>
      <c r="O100" s="157" t="inlineStr">
        <is>
          <t>https://www.kepler-robotics.com</t>
        </is>
      </c>
      <c r="P100" s="152" t="inlineStr">
        <is>
          <t>5 ft 10 in</t>
        </is>
      </c>
      <c r="Q100" s="152" t="n">
        <v>178</v>
      </c>
      <c r="R100" s="152" t="n">
        <v>187.4</v>
      </c>
      <c r="S100" s="152" t="n">
        <v>85</v>
      </c>
      <c r="T100" s="156" t="inlineStr">
        <is>
          <t>Not disclosed</t>
        </is>
      </c>
      <c r="U100" s="152" t="n"/>
      <c r="V100" s="152" t="inlineStr">
        <is>
          <t>52</t>
        </is>
      </c>
      <c r="W100" s="156" t="inlineStr">
        <is>
          <t>Not disclosed</t>
        </is>
      </c>
      <c r="X100" s="152" t="n">
        <v>33.1</v>
      </c>
      <c r="Y100" s="152" t="n">
        <v>15</v>
      </c>
      <c r="Z100" s="152" t="n">
        <v>2.49</v>
      </c>
      <c r="AA100" s="152" t="n">
        <v>4</v>
      </c>
      <c r="AB100" s="152" t="n">
        <v>4</v>
      </c>
      <c r="AC100" s="156" t="inlineStr">
        <is>
          <t>≈ 3 hours</t>
        </is>
      </c>
      <c r="AD100" s="156" t="inlineStr">
        <is>
          <t>3</t>
        </is>
      </c>
      <c r="AE100" s="152" t="n"/>
      <c r="AF100" s="152" t="inlineStr">
        <is>
          <t>Not disclosed</t>
        </is>
      </c>
      <c r="AG100" s="156" t="inlineStr">
        <is>
          <t>Grippers or dexterous hands depending on configuration</t>
        </is>
      </c>
      <c r="AH100" s="152" t="inlineStr">
        <is>
          <t>Not disclosed</t>
        </is>
      </c>
      <c r="AI100" s="158" t="n">
        <v>2</v>
      </c>
      <c r="AJ100" s="156" t="inlineStr">
        <is>
          <t>RGB and/or depth cameras for navigation and manipulation (configuration specific)</t>
        </is>
      </c>
      <c r="AK100" s="156" t="n"/>
      <c r="AL100" s="152" t="inlineStr">
        <is>
          <t>Onboard streams for teleoperation and logging when equipped</t>
        </is>
      </c>
      <c r="AM100" s="152" t="n"/>
      <c r="AN100" s="152" t="inlineStr">
        <is>
          <t>Not disclosed</t>
        </is>
      </c>
      <c r="AO100" s="152" t="inlineStr">
        <is>
          <t>Microphone array on interaction-oriented builds</t>
        </is>
      </c>
      <c r="AP100" s="152" t="inlineStr">
        <is>
          <t>Not disclosed</t>
        </is>
      </c>
      <c r="AQ100" s="152" t="inlineStr">
        <is>
          <t>Not disclosed</t>
        </is>
      </c>
      <c r="AR100" s="152" t="n"/>
      <c r="AS100" s="152" t="n"/>
      <c r="AT100" s="156" t="inlineStr">
        <is>
          <t>Not disclosed</t>
        </is>
      </c>
      <c r="AU100" s="156" t="inlineStr">
        <is>
          <t>Not disclosed</t>
        </is>
      </c>
      <c r="AV100" s="152" t="inlineStr">
        <is>
          <t>Manufacturer app and/or SDK</t>
        </is>
      </c>
      <c r="AW100" s="156" t="inlineStr">
        <is>
          <t>Bipedal balance and walking controllers</t>
        </is>
      </c>
      <c r="AX100" s="158" t="n">
        <v>2</v>
      </c>
      <c r="AY100" s="156" t="inlineStr">
        <is>
          <t>Not disclosed</t>
        </is>
      </c>
      <c r="AZ100" s="156" t="inlineStr">
        <is>
          <t>Not disclosed</t>
        </is>
      </c>
      <c r="BA100" s="156" t="n"/>
      <c r="BB100" s="156" t="inlineStr">
        <is>
          <t>Not disclosed</t>
        </is>
      </c>
      <c r="BC100" s="156" t="inlineStr">
        <is>
          <t>Not disclosed</t>
        </is>
      </c>
      <c r="BD100" s="152" t="inlineStr">
        <is>
          <t>Not disclosed</t>
        </is>
      </c>
      <c r="BE100" s="152" t="inlineStr">
        <is>
          <t>Not disclosed</t>
        </is>
      </c>
      <c r="BF100" s="152" t="n"/>
      <c r="BG100" s="152" t="n"/>
      <c r="BH100" s="152" t="n"/>
      <c r="BI100" s="152" t="n"/>
      <c r="BJ100" s="152" t="n"/>
      <c r="BK100" s="152" t="n"/>
      <c r="BL100" s="152" t="n"/>
      <c r="BM100" s="152" t="inlineStr">
        <is>
          <t>Not disclosed</t>
        </is>
      </c>
      <c r="BN100" s="152" t="inlineStr">
        <is>
          <t>Not disclosed</t>
        </is>
      </c>
      <c r="BO100" s="156" t="inlineStr">
        <is>
          <t>Market: Industrial · Manipulation 2/4 · Navigation 2/4 · Peak 4 km/h · Walk 4 km/h · Runtime 3</t>
        </is>
      </c>
      <c r="BP100" s="152" t="n"/>
      <c r="BQ100" s="156" t="inlineStr">
        <is>
          <t>Industrial</t>
        </is>
      </c>
      <c r="BR100" s="156" t="inlineStr">
        <is>
          <t>Enterprise only</t>
        </is>
      </c>
      <c r="BS100" s="156" t="inlineStr">
        <is>
          <t>Prototype</t>
        </is>
      </c>
      <c r="BT100" s="152" t="n"/>
      <c r="BU100" s="152" t="inlineStr">
        <is>
          <t>Not verified</t>
        </is>
      </c>
      <c r="BV100" s="156" t="inlineStr">
        <is>
          <t>Humanoid.guide listed price $25,000.</t>
        </is>
      </c>
      <c r="BW100" s="156" t="inlineStr">
        <is>
          <t>Origin &amp; status — China · Enterprise only · 2025 | Manipulation — Grippers or dexterous hands depending on configuration · Payload 33.1 lb (15 kg) | Sensing &amp; software — RGB and/or depth cameras for navigation and manipulation (configuration specific) · Manufacturer app and/or SDK | Buying notes — From $20,000 · 12 months manufacturer standard (typical research/commercial humanoid) · Best fit: Industrial</t>
        </is>
      </c>
      <c r="BX100" s="156" t="inlineStr">
        <is>
          <t>as_shipped|K2 Forerunner|20000|As shipped</t>
        </is>
      </c>
      <c r="BY100" s="152" t="inlineStr">
        <is>
          <t>k2_forerunner|Manufacturer finish|#e2e8f0|0</t>
        </is>
      </c>
      <c r="BZ100" s="152" t="inlineStr"/>
      <c r="CA100" s="156" t="inlineStr">
        <is>
          <t>Add-ons: case; 2 color options; Multi-year extended warranty available</t>
        </is>
      </c>
      <c r="CB100" s="156" t="inlineStr">
        <is>
          <t>12 months manufacturer standard (typical research/commercial humanoid)</t>
        </is>
      </c>
      <c r="CC100" s="154" t="n">
        <v>12</v>
      </c>
      <c r="CD100" s="156" t="inlineStr">
        <is>
          <t>+3 Year Extended ≈24% of configuration (default in configurator)</t>
        </is>
      </c>
      <c r="CE100" s="152" t="inlineStr">
        <is>
          <t>Humanoid category norm 2025–2026</t>
        </is>
      </c>
      <c r="CF100" s="152" t="inlineStr">
        <is>
          <t>Estimated</t>
        </is>
      </c>
      <c r="CG100" s="156" t="inlineStr">
        <is>
          <t>EDU or enterprise packages may differ; confirm on formal quote.</t>
        </is>
      </c>
      <c r="CH100" s="152" t="inlineStr">
        <is>
          <t>10%</t>
        </is>
      </c>
      <c r="CI100" s="152" t="inlineStr">
        <is>
          <t>17%</t>
        </is>
      </c>
      <c r="CJ100" s="152" t="inlineStr">
        <is>
          <t>24%</t>
        </is>
      </c>
      <c r="CK100"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100"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00" s="152" t="inlineStr">
        <is>
          <t>12 months manufacturer standard (typical research/commercial humanoid)</t>
        </is>
      </c>
      <c r="CQ100" s="101" t="inlineStr">
        <is>
          <t>Height: 5 ft 10 in | Weight: 187.4 | Degrees of Freedom: 52 | Payload: 33.1 | Max Speed: 2.49 | Battery / Runtime: ≈ 3 hours</t>
        </is>
      </c>
    </row>
    <row r="101" ht="31.5" customHeight="1" s="102">
      <c r="A101" s="145" t="inlineStr">
        <is>
          <t>kinetixai_kai</t>
        </is>
      </c>
      <c r="B101" s="153" t="inlineStr">
        <is>
          <t>Humanoid.guide</t>
        </is>
      </c>
      <c r="C101" s="145" t="inlineStr">
        <is>
          <t>KinetixAI</t>
        </is>
      </c>
      <c r="D101" s="145" t="inlineStr">
        <is>
          <t>KAI</t>
        </is>
      </c>
      <c r="E101" s="145" t="inlineStr">
        <is>
          <t>[KinetixAI] KAI (2026)</t>
        </is>
      </c>
      <c r="F101" s="146" t="inlineStr">
        <is>
          <t>humanoid</t>
        </is>
      </c>
      <c r="G101" s="145" t="inlineStr">
        <is>
          <t>China</t>
        </is>
      </c>
      <c r="H101" s="145" t="n"/>
      <c r="I101" s="148" t="n">
        <v>80000</v>
      </c>
      <c r="J101" s="145" t="inlineStr">
        <is>
          <t>Humanoid.guide list</t>
        </is>
      </c>
      <c r="K101" s="149" t="inlineStr">
        <is>
          <t>KAI is a humanoid robot by Kinetix AI designed for household and real-world tasks, combining advanced dexterity, tactile sensing, and AI-driven understanding.</t>
        </is>
      </c>
      <c r="L101" s="101" t="inlineStr">
        <is>
          <t>KAI is a humanoid robot by Kinetix AI designed for household and real-world tasks, combining advanced dexterity, tactile sensing, and AI-driven understanding.</t>
        </is>
      </c>
      <c r="M101" s="101" t="inlineStr">
        <is>
          <t>KAI is a humanoid robot by Kinetix AI designed for household and real-world tasks, combining advanced dexterity, tactile sensing, and AI-driven understanding. Public status is listed as prototype, and it is positioned for household services; light industrial; Research.</t>
        </is>
      </c>
      <c r="N101" s="150" t="inlineStr">
        <is>
          <t>https://humanoid.guide/product/kai/</t>
        </is>
      </c>
      <c r="O101" s="150" t="inlineStr">
        <is>
          <t>https://www.kinetixai.tech/en/</t>
        </is>
      </c>
      <c r="P101" s="145" t="inlineStr">
        <is>
          <t>5 ft 8 in</t>
        </is>
      </c>
      <c r="Q101" s="145" t="n">
        <v>173</v>
      </c>
      <c r="R101" s="145" t="n">
        <v>154.3</v>
      </c>
      <c r="S101" s="145" t="n">
        <v>70</v>
      </c>
      <c r="T101" s="149" t="inlineStr">
        <is>
          <t>Not disclosed</t>
        </is>
      </c>
      <c r="U101" s="145" t="n"/>
      <c r="V101" s="145" t="inlineStr">
        <is>
          <t>115</t>
        </is>
      </c>
      <c r="W101" s="149" t="inlineStr">
        <is>
          <t>72</t>
        </is>
      </c>
      <c r="X101" s="145" t="n">
        <v>44.1</v>
      </c>
      <c r="Y101" s="145" t="n">
        <v>20</v>
      </c>
      <c r="Z101" s="145" t="n">
        <v>3.11</v>
      </c>
      <c r="AA101" s="145" t="n">
        <v>5</v>
      </c>
      <c r="AB101" s="145" t="n"/>
      <c r="AC101" s="149" t="inlineStr">
        <is>
          <t>≈ 4 hours</t>
        </is>
      </c>
      <c r="AD101" s="149" t="inlineStr">
        <is>
          <t>4</t>
        </is>
      </c>
      <c r="AE101" s="145" t="n"/>
      <c r="AF101" s="145" t="inlineStr">
        <is>
          <t>Not disclosed</t>
        </is>
      </c>
      <c r="AG101" s="149" t="inlineStr">
        <is>
          <t>5 per hand</t>
        </is>
      </c>
      <c r="AH101" s="145" t="inlineStr">
        <is>
          <t>5 per hand</t>
        </is>
      </c>
      <c r="AI101" s="145" t="n"/>
      <c r="AJ101" s="149" t="inlineStr">
        <is>
          <t>Not disclosed</t>
        </is>
      </c>
      <c r="AK101" s="149" t="n"/>
      <c r="AL101" s="145" t="inlineStr">
        <is>
          <t>Not disclosed</t>
        </is>
      </c>
      <c r="AM101" s="145" t="n"/>
      <c r="AN101" s="145" t="inlineStr">
        <is>
          <t>Not disclosed</t>
        </is>
      </c>
      <c r="AO101" s="145" t="inlineStr">
        <is>
          <t>Not disclosed</t>
        </is>
      </c>
      <c r="AP101" s="145" t="inlineStr">
        <is>
          <t>Not disclosed</t>
        </is>
      </c>
      <c r="AQ101" s="145" t="inlineStr">
        <is>
          <t>Not disclosed</t>
        </is>
      </c>
      <c r="AR101" s="145" t="n"/>
      <c r="AS101" s="145" t="n"/>
      <c r="AT101" s="149" t="inlineStr">
        <is>
          <t>Not disclosed</t>
        </is>
      </c>
      <c r="AU101" s="149" t="inlineStr">
        <is>
          <t>Ethernet; Wi‑Fi</t>
        </is>
      </c>
      <c r="AV101" s="145" t="inlineStr">
        <is>
          <t>Not disclosed</t>
        </is>
      </c>
      <c r="AW101" s="149" t="inlineStr">
        <is>
          <t>Not disclosed</t>
        </is>
      </c>
      <c r="AX101" s="145" t="n"/>
      <c r="AY101" s="149" t="inlineStr">
        <is>
          <t>Not disclosed</t>
        </is>
      </c>
      <c r="AZ101" s="149" t="inlineStr">
        <is>
          <t>Yes</t>
        </is>
      </c>
      <c r="BA101" s="149" t="n"/>
      <c r="BB101" s="149" t="inlineStr">
        <is>
          <t>Electric servo motors</t>
        </is>
      </c>
      <c r="BC101" s="149" t="inlineStr">
        <is>
          <t>Not disclosed</t>
        </is>
      </c>
      <c r="BD101" s="145" t="inlineStr">
        <is>
          <t>Aluminum alloy + composite materials</t>
        </is>
      </c>
      <c r="BE101" s="145" t="inlineStr">
        <is>
          <t>Not disclosed</t>
        </is>
      </c>
      <c r="BF101" s="145" t="n"/>
      <c r="BG101" s="145" t="n"/>
      <c r="BH101" s="145" t="n"/>
      <c r="BI101" s="145" t="n"/>
      <c r="BJ101" s="145" t="n"/>
      <c r="BK101" s="145" t="n"/>
      <c r="BL101" s="145" t="n"/>
      <c r="BM101" s="145" t="inlineStr">
        <is>
          <t>Yes</t>
        </is>
      </c>
      <c r="BN101" s="145" t="inlineStr">
        <is>
          <t>Not disclosed</t>
        </is>
      </c>
      <c r="BO101" s="149" t="inlineStr">
        <is>
          <t>Market: household services; light industrial; Research · Human-safe: Yes · AI: Yes · Actuation: Electric servo motors · Peak 5 km/h · Runtime 4</t>
        </is>
      </c>
      <c r="BP101" s="145" t="n"/>
      <c r="BQ101" s="149" t="inlineStr">
        <is>
          <t>household services; light industrial; Research</t>
        </is>
      </c>
      <c r="BR101" s="149" t="inlineStr">
        <is>
          <t>Prototype</t>
        </is>
      </c>
      <c r="BS101" s="149" t="inlineStr">
        <is>
          <t>Prototype</t>
        </is>
      </c>
      <c r="BT101" s="145" t="n"/>
      <c r="BU101" s="145" t="n"/>
      <c r="BV101" s="149" t="n"/>
      <c r="BW101" s="149" t="inlineStr">
        <is>
          <t>Origin &amp; status — China · Prototype · 2026 | Manipulation — 5 per hand · 5 per hand fingers · Hand DOF 72 · Payload 44.1 lb | Sensing &amp; software — Yes | Buying notes — From $80,000 · 12 months manufacturer standard (typical research/commercial humanoid) · Best fit: household services</t>
        </is>
      </c>
      <c r="BX101" s="149" t="inlineStr">
        <is>
          <t>as_shipped|KAI|80000|As shipped</t>
        </is>
      </c>
      <c r="BY101" s="145" t="inlineStr">
        <is>
          <t>kai|Manufacturer finish|#e2e8f0|0</t>
        </is>
      </c>
      <c r="BZ101" s="145" t="inlineStr"/>
      <c r="CA101" s="149" t="n"/>
      <c r="CB101" s="149" t="inlineStr">
        <is>
          <t>12 months manufacturer standard (typical research/commercial humanoid)</t>
        </is>
      </c>
      <c r="CC101" s="147" t="n">
        <v>12</v>
      </c>
      <c r="CD101" s="149" t="inlineStr">
        <is>
          <t>+3 Year Extended ≈24% of configuration (default in configurator)</t>
        </is>
      </c>
      <c r="CE101" s="145" t="inlineStr">
        <is>
          <t>Humanoid category norm 2025–2026</t>
        </is>
      </c>
      <c r="CF101" s="145" t="inlineStr">
        <is>
          <t>Estimated</t>
        </is>
      </c>
      <c r="CG101" s="149" t="inlineStr">
        <is>
          <t>Confirm on formal OEM quote. EDU or enterprise packages may differ.</t>
        </is>
      </c>
      <c r="CH101" s="145" t="inlineStr">
        <is>
          <t>10%</t>
        </is>
      </c>
      <c r="CI101" s="145" t="inlineStr">
        <is>
          <t>17%</t>
        </is>
      </c>
      <c r="CJ101" s="145" t="inlineStr">
        <is>
          <t>24%</t>
        </is>
      </c>
      <c r="CK101" s="149" t="inlineStr">
        <is>
          <t>+1yr ≈10% | +2yr ≈17% | +3yr ≈24% of selected configuration price (parts &amp; labor beyond manufacturer standard).</t>
        </is>
      </c>
      <c r="CL10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01" s="145" t="inlineStr">
        <is>
          <t>12 months manufacturer standard (typical research/commercial humanoid)</t>
        </is>
      </c>
      <c r="CQ101" s="101" t="inlineStr">
        <is>
          <t>Height: 5 ft 8 in | Weight: 154.3 | Degrees of Freedom: 115 | Payload: 44.1 | Max Speed: 3.11 | Battery / Runtime: ≈ 4 hours</t>
        </is>
      </c>
    </row>
    <row r="102" ht="31.5" customHeight="1" s="102">
      <c r="A102" s="152" t="inlineStr">
        <is>
          <t>kinisi_robotics_kinisi_01</t>
        </is>
      </c>
      <c r="B102" s="153" t="inlineStr">
        <is>
          <t>Humanoid.guide</t>
        </is>
      </c>
      <c r="C102" s="152" t="inlineStr">
        <is>
          <t>Kinisi Robotics</t>
        </is>
      </c>
      <c r="D102" s="152" t="inlineStr">
        <is>
          <t>Kinisi 01</t>
        </is>
      </c>
      <c r="E102" s="152" t="inlineStr">
        <is>
          <t>[Kinisi Robotics] Kinisi 01 (2026)</t>
        </is>
      </c>
      <c r="F102" s="146" t="inlineStr">
        <is>
          <t>humanoid</t>
        </is>
      </c>
      <c r="G102" s="152" t="inlineStr">
        <is>
          <t>USA</t>
        </is>
      </c>
      <c r="H102" s="152" t="n"/>
      <c r="I102" s="155" t="n">
        <v>75000</v>
      </c>
      <c r="J102" s="152" t="inlineStr">
        <is>
          <t>Humanoid.guide list</t>
        </is>
      </c>
      <c r="K102" s="156" t="inlineStr">
        <is>
          <t>Kinisi 01 / KR1 is a USD 75k wheeled humanoid‑form robot from California‑based Kinisi Robotics, built to handle 10 kg warehouse pick‑and‑place tasks for up to eight hours on a single, hot‑swappable battery.</t>
        </is>
      </c>
      <c r="L102" s="101" t="inlineStr">
        <is>
          <t>Kinisi 01 / KR1 is a USD 75k wheeled humanoid‑form robot from California‑based Kinisi Robotics, built to handle 10 kg warehouse pick‑and‑place tasks for up to eight hours on a single, hot‑swappable battery.</t>
        </is>
      </c>
      <c r="M102" s="101" t="inlineStr">
        <is>
          <t>Kinisi 01 / KR1 is a USD 75k wheeled humanoid‑form robot from California‑based Kinisi Robotics, built to handle 10 kg warehouse pick‑and‑place tasks for up to eight hours on a single, hot‑swappable battery. Public status is listed as prototype, and it is positioned for retail restocking; Warehouse &amp; logistics pick‑/place.</t>
        </is>
      </c>
      <c r="N102" s="157" t="inlineStr">
        <is>
          <t>https://humanoid.guide/product/kinisi-01/</t>
        </is>
      </c>
      <c r="O102" s="157" t="inlineStr">
        <is>
          <t>https://www.kinisi.com/</t>
        </is>
      </c>
      <c r="P102" s="152" t="n"/>
      <c r="Q102" s="152" t="n"/>
      <c r="R102" s="152" t="n"/>
      <c r="S102" s="152" t="n"/>
      <c r="T102" s="156" t="inlineStr">
        <is>
          <t>Not disclosed</t>
        </is>
      </c>
      <c r="U102" s="152" t="n"/>
      <c r="V102" s="152" t="inlineStr">
        <is>
          <t>Not disclosed</t>
        </is>
      </c>
      <c r="W102" s="156" t="inlineStr">
        <is>
          <t>Not disclosed</t>
        </is>
      </c>
      <c r="X102" s="152" t="n">
        <v>22</v>
      </c>
      <c r="Y102" s="152" t="n">
        <v>10</v>
      </c>
      <c r="Z102" s="152" t="n">
        <v>1.86</v>
      </c>
      <c r="AA102" s="152" t="n">
        <v>3</v>
      </c>
      <c r="AB102" s="152" t="n"/>
      <c r="AC102" s="156" t="inlineStr">
        <is>
          <t>8; hot‑swappable battery</t>
        </is>
      </c>
      <c r="AD102" s="156" t="inlineStr">
        <is>
          <t>8; hot‑swappable battery</t>
        </is>
      </c>
      <c r="AE102" s="152" t="n"/>
      <c r="AF102" s="152" t="inlineStr">
        <is>
          <t>Not disclosed</t>
        </is>
      </c>
      <c r="AG102" s="156" t="inlineStr">
        <is>
          <t>4</t>
        </is>
      </c>
      <c r="AH102" s="152" t="inlineStr">
        <is>
          <t>4</t>
        </is>
      </c>
      <c r="AI102" s="158" t="n">
        <v>2</v>
      </c>
      <c r="AJ102" s="156" t="inlineStr">
        <is>
          <t>Not disclosed</t>
        </is>
      </c>
      <c r="AK102" s="156" t="inlineStr">
        <is>
          <t>Not specified</t>
        </is>
      </c>
      <c r="AL102" s="152" t="inlineStr">
        <is>
          <t>Not disclosed</t>
        </is>
      </c>
      <c r="AM102" s="152" t="n"/>
      <c r="AN102" s="152" t="inlineStr">
        <is>
          <t>Not disclosed</t>
        </is>
      </c>
      <c r="AO102" s="152" t="inlineStr">
        <is>
          <t>Not disclosed</t>
        </is>
      </c>
      <c r="AP102" s="152" t="inlineStr">
        <is>
          <t>Not disclosed</t>
        </is>
      </c>
      <c r="AQ102" s="152" t="inlineStr">
        <is>
          <t>Not disclosed</t>
        </is>
      </c>
      <c r="AR102" s="152" t="n"/>
      <c r="AS102" s="152" t="n"/>
      <c r="AT102" s="156" t="inlineStr">
        <is>
          <t>Not disclosed</t>
        </is>
      </c>
      <c r="AU102" s="156" t="inlineStr">
        <is>
          <t>Not disclosed</t>
        </is>
      </c>
      <c r="AV102" s="152" t="inlineStr">
        <is>
          <t>Not disclosed</t>
        </is>
      </c>
      <c r="AW102" s="156" t="inlineStr">
        <is>
          <t>Not disclosed</t>
        </is>
      </c>
      <c r="AX102" s="158" t="n">
        <v>2</v>
      </c>
      <c r="AY102" s="156" t="inlineStr">
        <is>
          <t>Not disclosed</t>
        </is>
      </c>
      <c r="AZ102" s="156" t="inlineStr">
        <is>
          <t>Not disclosed</t>
        </is>
      </c>
      <c r="BA102" s="156" t="inlineStr">
        <is>
          <t>Not specified</t>
        </is>
      </c>
      <c r="BB102" s="156" t="inlineStr">
        <is>
          <t>Not disclosed</t>
        </is>
      </c>
      <c r="BC102" s="156" t="inlineStr">
        <is>
          <t>Not disclosed</t>
        </is>
      </c>
      <c r="BD102" s="152" t="inlineStr">
        <is>
          <t>Not disclosed</t>
        </is>
      </c>
      <c r="BE102" s="152" t="inlineStr">
        <is>
          <t>Not disclosed</t>
        </is>
      </c>
      <c r="BF102" s="152" t="inlineStr">
        <is>
          <t>Not specified</t>
        </is>
      </c>
      <c r="BG102" s="152" t="n"/>
      <c r="BH102" s="152" t="n"/>
      <c r="BI102" s="152" t="n"/>
      <c r="BJ102" s="152" t="n"/>
      <c r="BK102" s="152" t="n"/>
      <c r="BL102" s="152" t="n"/>
      <c r="BM102" s="152" t="inlineStr">
        <is>
          <t>Yes</t>
        </is>
      </c>
      <c r="BN102" s="152" t="inlineStr">
        <is>
          <t>Not disclosed</t>
        </is>
      </c>
      <c r="BO102" s="156" t="inlineStr">
        <is>
          <t>Market: retail restocking; Warehouse &amp; logistics pick‑/place · Manipulation 2/4 · Navigation 2/4 · Human-safe: Yes · AI: Not specified · Actuation: Not specified · Peak 3 km/h · Runtime 8; hot‑swappable battery</t>
        </is>
      </c>
      <c r="BP102" s="152" t="n"/>
      <c r="BQ102" s="156" t="inlineStr">
        <is>
          <t>retail restocking; Warehouse &amp; logistics pick‑/place</t>
        </is>
      </c>
      <c r="BR102" s="156" t="inlineStr">
        <is>
          <t>Prototype</t>
        </is>
      </c>
      <c r="BS102" s="156" t="inlineStr">
        <is>
          <t>Prototype</t>
        </is>
      </c>
      <c r="BT102" s="152" t="n"/>
      <c r="BU102" s="152" t="inlineStr">
        <is>
          <t>Not verified</t>
        </is>
      </c>
      <c r="BV102" s="156" t="n"/>
      <c r="BW102" s="156" t="inlineStr">
        <is>
          <t>Origin &amp; status — USA · Prototype · 2026 | Manipulation — 4 · 4 fingers · Payload 22 lb | Sensing &amp; software — Sensor and compute package confirmed on formal quote | Buying notes — From $75,000 · 12 months manufacturer standard (typical research/commercial humanoid) · Best fit: retail restocking</t>
        </is>
      </c>
      <c r="BX102" s="156" t="inlineStr">
        <is>
          <t>as_shipped|Kinisi 01|75000|As shipped</t>
        </is>
      </c>
      <c r="BY102" s="152" t="inlineStr">
        <is>
          <t>kinisi_01|Manufacturer finish|#e2e8f0|0</t>
        </is>
      </c>
      <c r="BZ102" s="152" t="inlineStr"/>
      <c r="CA102" s="156" t="n"/>
      <c r="CB102" s="156" t="inlineStr">
        <is>
          <t>12 months manufacturer standard (typical research/commercial humanoid)</t>
        </is>
      </c>
      <c r="CC102" s="154" t="n">
        <v>12</v>
      </c>
      <c r="CD102" s="156" t="inlineStr">
        <is>
          <t>+3 Year Extended ≈24% of configuration (default in configurator)</t>
        </is>
      </c>
      <c r="CE102" s="152" t="inlineStr">
        <is>
          <t>Humanoid category norm 2025–2026</t>
        </is>
      </c>
      <c r="CF102" s="152" t="inlineStr">
        <is>
          <t>Estimated</t>
        </is>
      </c>
      <c r="CG102" s="156" t="inlineStr">
        <is>
          <t>Confirm on formal OEM quote. EDU or enterprise packages may differ.</t>
        </is>
      </c>
      <c r="CH102" s="152" t="inlineStr">
        <is>
          <t>10%</t>
        </is>
      </c>
      <c r="CI102" s="152" t="inlineStr">
        <is>
          <t>17%</t>
        </is>
      </c>
      <c r="CJ102" s="152" t="inlineStr">
        <is>
          <t>24%</t>
        </is>
      </c>
      <c r="CK102" s="156" t="inlineStr">
        <is>
          <t>+1yr ≈10% | +2yr ≈17% | +3yr ≈24% of selected configuration price (parts &amp; labor beyond manufacturer standard).</t>
        </is>
      </c>
      <c r="CL102"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02" s="152" t="inlineStr">
        <is>
          <t>12 months manufacturer standard (typical research/commercial humanoid)</t>
        </is>
      </c>
      <c r="CQ102" s="101" t="inlineStr">
        <is>
          <t>Height: Not disclosed | Weight: Not disclosed | Degrees of Freedom: Not disclosed | Payload: 22 | Max Speed: 1.86 | Battery / Runtime: 8; hot‑swappable battery</t>
        </is>
      </c>
    </row>
    <row r="103" ht="31.5" customHeight="1" s="102">
      <c r="A103" s="145" t="inlineStr">
        <is>
          <t>kinisi_robotics_kinisi_kr1</t>
        </is>
      </c>
      <c r="B103" s="153" t="inlineStr">
        <is>
          <t>Humanoid.guide</t>
        </is>
      </c>
      <c r="C103" s="145" t="inlineStr">
        <is>
          <t>Kinisi Robotics</t>
        </is>
      </c>
      <c r="D103" s="145" t="inlineStr">
        <is>
          <t>Kinisi KR1</t>
        </is>
      </c>
      <c r="E103" s="145" t="inlineStr">
        <is>
          <t>[Kinisi Robotics] Kinisi KR1 (2026)</t>
        </is>
      </c>
      <c r="F103" s="146" t="inlineStr">
        <is>
          <t>humanoid</t>
        </is>
      </c>
      <c r="G103" s="145" t="inlineStr">
        <is>
          <t>USA</t>
        </is>
      </c>
      <c r="H103" s="145" t="n"/>
      <c r="I103" s="148" t="n">
        <v>75000</v>
      </c>
      <c r="J103" s="145" t="inlineStr">
        <is>
          <t>Humanoid.guide list</t>
        </is>
      </c>
      <c r="K103" s="149" t="inlineStr">
        <is>
          <t>The Kinisi KR1 is a wheeled humanoid robot from US-based Kinisi Robotics, designed for practical warehouse tasks like pick-and-place and sorting.</t>
        </is>
      </c>
      <c r="L103" s="101" t="inlineStr">
        <is>
          <t>The Kinisi KR1 is a wheeled humanoid robot from US-based Kinisi Robotics, designed for practical warehouse tasks like pick-and-place and sorting.</t>
        </is>
      </c>
      <c r="M103" s="101" t="inlineStr">
        <is>
          <t>The Kinisi KR1 is a wheeled humanoid robot from US-based Kinisi Robotics, designed for practical warehouse tasks like pick-and-place and sorting. Public status is listed as prototype, and it is positioned for logistics; Warehouse.</t>
        </is>
      </c>
      <c r="N103" s="150" t="inlineStr">
        <is>
          <t>https://humanoid.guide/product/kinisi-kr1/</t>
        </is>
      </c>
      <c r="O103" s="150" t="inlineStr">
        <is>
          <t>https://www.kinisi.com/</t>
        </is>
      </c>
      <c r="P103" s="145" t="inlineStr">
        <is>
          <t>5 ft 4 in</t>
        </is>
      </c>
      <c r="Q103" s="145" t="n">
        <v>162</v>
      </c>
      <c r="R103" s="145" t="n">
        <v>220.5</v>
      </c>
      <c r="S103" s="145" t="n">
        <v>100</v>
      </c>
      <c r="T103" s="149" t="inlineStr">
        <is>
          <t>Not disclosed</t>
        </is>
      </c>
      <c r="U103" s="145" t="n"/>
      <c r="V103" s="145" t="inlineStr">
        <is>
          <t>21</t>
        </is>
      </c>
      <c r="W103" s="149" t="inlineStr">
        <is>
          <t>2</t>
        </is>
      </c>
      <c r="X103" s="145" t="n">
        <v>44.1</v>
      </c>
      <c r="Y103" s="145" t="n">
        <v>20</v>
      </c>
      <c r="Z103" s="145" t="n">
        <v>8.949999999999999</v>
      </c>
      <c r="AA103" s="145" t="n">
        <v>14.4</v>
      </c>
      <c r="AB103" s="145" t="n"/>
      <c r="AC103" s="149" t="inlineStr">
        <is>
          <t>≈ 8 hours</t>
        </is>
      </c>
      <c r="AD103" s="149" t="inlineStr">
        <is>
          <t>8</t>
        </is>
      </c>
      <c r="AE103" s="145" t="n"/>
      <c r="AF103" s="145" t="inlineStr">
        <is>
          <t>Not disclosed</t>
        </is>
      </c>
      <c r="AG103" s="149" t="inlineStr">
        <is>
          <t>Not disclosed</t>
        </is>
      </c>
      <c r="AH103" s="145" t="inlineStr">
        <is>
          <t>Not disclosed</t>
        </is>
      </c>
      <c r="AI103" s="158" t="n">
        <v>2</v>
      </c>
      <c r="AJ103" s="149" t="inlineStr">
        <is>
          <t>Not disclosed</t>
        </is>
      </c>
      <c r="AK103" s="149" t="inlineStr">
        <is>
          <t>Not specified</t>
        </is>
      </c>
      <c r="AL103" s="145" t="inlineStr">
        <is>
          <t>Not disclosed</t>
        </is>
      </c>
      <c r="AM103" s="145" t="n"/>
      <c r="AN103" s="145" t="inlineStr">
        <is>
          <t>Not disclosed</t>
        </is>
      </c>
      <c r="AO103" s="145" t="inlineStr">
        <is>
          <t>Not disclosed</t>
        </is>
      </c>
      <c r="AP103" s="145" t="inlineStr">
        <is>
          <t>Not disclosed</t>
        </is>
      </c>
      <c r="AQ103" s="145" t="inlineStr">
        <is>
          <t>Not disclosed</t>
        </is>
      </c>
      <c r="AR103" s="145" t="n"/>
      <c r="AS103" s="145" t="n"/>
      <c r="AT103" s="149" t="inlineStr">
        <is>
          <t>Nvidia Jetson</t>
        </is>
      </c>
      <c r="AU103" s="149" t="inlineStr">
        <is>
          <t>Wi‑Fi</t>
        </is>
      </c>
      <c r="AV103" s="145" t="inlineStr">
        <is>
          <t>Not disclosed</t>
        </is>
      </c>
      <c r="AW103" s="149" t="inlineStr">
        <is>
          <t>Not disclosed</t>
        </is>
      </c>
      <c r="AX103" s="158" t="n">
        <v>2</v>
      </c>
      <c r="AY103" s="149" t="inlineStr">
        <is>
          <t>Linux</t>
        </is>
      </c>
      <c r="AZ103" s="149" t="inlineStr">
        <is>
          <t>Not disclosed</t>
        </is>
      </c>
      <c r="BA103" s="149" t="inlineStr">
        <is>
          <t>Sub-100ms</t>
        </is>
      </c>
      <c r="BB103" s="149" t="inlineStr">
        <is>
          <t>BLDC</t>
        </is>
      </c>
      <c r="BC103" s="149" t="inlineStr">
        <is>
          <t>Strain Wave</t>
        </is>
      </c>
      <c r="BD103" s="145" t="inlineStr">
        <is>
          <t>Aluminium</t>
        </is>
      </c>
      <c r="BE103" s="145" t="inlineStr">
        <is>
          <t>IP65</t>
        </is>
      </c>
      <c r="BF103" s="145" t="inlineStr">
        <is>
          <t>IP 65</t>
        </is>
      </c>
      <c r="BG103" s="145" t="n"/>
      <c r="BH103" s="145" t="n"/>
      <c r="BI103" s="145" t="n"/>
      <c r="BJ103" s="145" t="n"/>
      <c r="BK103" s="145" t="n"/>
      <c r="BL103" s="145" t="n"/>
      <c r="BM103" s="145" t="inlineStr">
        <is>
          <t>Yes</t>
        </is>
      </c>
      <c r="BN103" s="145" t="inlineStr">
        <is>
          <t>Not disclosed</t>
        </is>
      </c>
      <c r="BO103" s="149" t="inlineStr">
        <is>
          <t>Market: logistics; Warehouse · Manipulation 2/4 · Navigation 2/4 · Human-safe: Yes · AI: Not specified · Actuation: BLDC · Peak 14.4 km/h · Runtime 8</t>
        </is>
      </c>
      <c r="BP103" s="145" t="n"/>
      <c r="BQ103" s="149" t="inlineStr">
        <is>
          <t>logistics; Warehouse</t>
        </is>
      </c>
      <c r="BR103" s="149" t="inlineStr">
        <is>
          <t>Prototype</t>
        </is>
      </c>
      <c r="BS103" s="149" t="inlineStr">
        <is>
          <t>Prototype</t>
        </is>
      </c>
      <c r="BT103" s="145" t="n"/>
      <c r="BU103" s="145" t="inlineStr">
        <is>
          <t>Not verified</t>
        </is>
      </c>
      <c r="BV103" s="149" t="n"/>
      <c r="BW103" s="149" t="inlineStr">
        <is>
          <t>Origin &amp; status — USA · Prototype · 2026 | Manipulation — Hand DOF 2 · Payload 44.1 lb | Sensing &amp; software — Linux | Buying notes — From $75,000 · 12 months manufacturer standard (typical research/commercial humanoid) · Best fit: logistics</t>
        </is>
      </c>
      <c r="BX103" s="149" t="inlineStr">
        <is>
          <t>as_shipped|Kinisi KR1|75000|As shipped</t>
        </is>
      </c>
      <c r="BY103" s="145" t="inlineStr">
        <is>
          <t>kinisi_kr1|Manufacturer finish|#e2e8f0|0</t>
        </is>
      </c>
      <c r="BZ103" s="145" t="inlineStr"/>
      <c r="CA103" s="149" t="n"/>
      <c r="CB103" s="149" t="inlineStr">
        <is>
          <t>12 months manufacturer standard (typical research/commercial humanoid)</t>
        </is>
      </c>
      <c r="CC103" s="147" t="n">
        <v>12</v>
      </c>
      <c r="CD103" s="149" t="inlineStr">
        <is>
          <t>+3 Year Extended ≈24% of configuration (default in configurator)</t>
        </is>
      </c>
      <c r="CE103" s="145" t="inlineStr">
        <is>
          <t>Humanoid category norm 2025–2026</t>
        </is>
      </c>
      <c r="CF103" s="145" t="inlineStr">
        <is>
          <t>Estimated</t>
        </is>
      </c>
      <c r="CG103" s="149" t="inlineStr">
        <is>
          <t>Confirm on formal OEM quote. EDU or enterprise packages may differ.</t>
        </is>
      </c>
      <c r="CH103" s="145" t="inlineStr">
        <is>
          <t>10%</t>
        </is>
      </c>
      <c r="CI103" s="145" t="inlineStr">
        <is>
          <t>17%</t>
        </is>
      </c>
      <c r="CJ103" s="145" t="inlineStr">
        <is>
          <t>24%</t>
        </is>
      </c>
      <c r="CK103" s="149" t="inlineStr">
        <is>
          <t>+1yr ≈10% | +2yr ≈17% | +3yr ≈24% of selected configuration price (parts &amp; labor beyond manufacturer standard).</t>
        </is>
      </c>
      <c r="CL103"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03" s="145" t="inlineStr">
        <is>
          <t>12 months manufacturer standard (typical research/commercial humanoid)</t>
        </is>
      </c>
      <c r="CQ103" s="101" t="inlineStr">
        <is>
          <t>Height: 5 ft 4 in | Weight: 220.5 | Degrees of Freedom: 21 | Payload: 44.1 | Max Speed: 8.95 | Battery / Runtime: ≈ 8 hours</t>
        </is>
      </c>
    </row>
    <row r="104" ht="31.5" customHeight="1" s="102">
      <c r="A104" s="152" t="inlineStr">
        <is>
          <t>lanxin_robotics_vb1_i</t>
        </is>
      </c>
      <c r="B104" s="153" t="inlineStr">
        <is>
          <t>Humanoid.guide</t>
        </is>
      </c>
      <c r="C104" s="152" t="inlineStr">
        <is>
          <t>Lanxin Robotics</t>
        </is>
      </c>
      <c r="D104" s="152" t="inlineStr">
        <is>
          <t>VB1-I</t>
        </is>
      </c>
      <c r="E104" s="152" t="inlineStr">
        <is>
          <t>[Lanxin Robotics] VB1-I (2026)</t>
        </is>
      </c>
      <c r="F104" s="146" t="inlineStr">
        <is>
          <t>humanoid</t>
        </is>
      </c>
      <c r="G104" s="152" t="inlineStr">
        <is>
          <t>China</t>
        </is>
      </c>
      <c r="H104" s="152" t="n"/>
      <c r="I104" s="155" t="n">
        <v>120000</v>
      </c>
      <c r="J104" s="152" t="inlineStr">
        <is>
          <t>Humanoid.guide list</t>
        </is>
      </c>
      <c r="K104" s="156" t="inlineStr">
        <is>
          <t>VB1-I is a full-size humanoid robot developed by Lanxin Robotics for research, industrial exploration, and embodied AI development.</t>
        </is>
      </c>
      <c r="L104" s="101" t="inlineStr">
        <is>
          <t>VB1-I is a full-size humanoid robot developed by Lanxin Robotics for research, industrial exploration, and embodied AI development.</t>
        </is>
      </c>
      <c r="M104" s="101" t="inlineStr">
        <is>
          <t>VB1-I is a full-size humanoid robot developed by Lanxin Robotics for research, industrial exploration, and embodied AI development. Public status is listed as in production, and it is positioned for embodied AI; industrial testing; Research.</t>
        </is>
      </c>
      <c r="N104" s="157" t="inlineStr">
        <is>
          <t>https://humanoid.guide/product/vb1-i/</t>
        </is>
      </c>
      <c r="O104" s="157" t="inlineStr">
        <is>
          <t>https://www.lanxinrobotics.com/</t>
        </is>
      </c>
      <c r="P104" s="152" t="inlineStr">
        <is>
          <t>5 ft 5 in</t>
        </is>
      </c>
      <c r="Q104" s="152" t="n">
        <v>165</v>
      </c>
      <c r="R104" s="152" t="n">
        <v>132.3</v>
      </c>
      <c r="S104" s="152" t="n">
        <v>60</v>
      </c>
      <c r="T104" s="156" t="inlineStr">
        <is>
          <t>Not disclosed</t>
        </is>
      </c>
      <c r="U104" s="152" t="n"/>
      <c r="V104" s="152" t="inlineStr">
        <is>
          <t>~40–45</t>
        </is>
      </c>
      <c r="W104" s="156" t="inlineStr">
        <is>
          <t>~6–7 per hand</t>
        </is>
      </c>
      <c r="X104" s="152" t="n">
        <v>22</v>
      </c>
      <c r="Y104" s="152" t="n">
        <v>10</v>
      </c>
      <c r="Z104" s="152" t="n">
        <v>3.73</v>
      </c>
      <c r="AA104" s="152" t="n">
        <v>6</v>
      </c>
      <c r="AB104" s="152" t="n"/>
      <c r="AC104" s="156" t="inlineStr">
        <is>
          <t>Not disclosed</t>
        </is>
      </c>
      <c r="AD104" s="156" t="n"/>
      <c r="AE104" s="152" t="n"/>
      <c r="AF104" s="152" t="inlineStr">
        <is>
          <t>Not disclosed</t>
        </is>
      </c>
      <c r="AG104" s="156" t="inlineStr">
        <is>
          <t>5 per hand</t>
        </is>
      </c>
      <c r="AH104" s="152" t="inlineStr">
        <is>
          <t>5 per hand</t>
        </is>
      </c>
      <c r="AI104" s="152" t="n"/>
      <c r="AJ104" s="156" t="inlineStr">
        <is>
          <t>Stereo RGB vision</t>
        </is>
      </c>
      <c r="AK104" s="156" t="inlineStr">
        <is>
          <t>Stereo RGB vision</t>
        </is>
      </c>
      <c r="AL104" s="152" t="inlineStr">
        <is>
          <t>Not disclosed</t>
        </is>
      </c>
      <c r="AM104" s="152" t="n"/>
      <c r="AN104" s="152" t="inlineStr">
        <is>
          <t>Not disclosed</t>
        </is>
      </c>
      <c r="AO104" s="152" t="inlineStr">
        <is>
          <t>Not disclosed</t>
        </is>
      </c>
      <c r="AP104" s="152" t="inlineStr">
        <is>
          <t>Not disclosed</t>
        </is>
      </c>
      <c r="AQ104" s="152" t="inlineStr">
        <is>
          <t>Not disclosed</t>
        </is>
      </c>
      <c r="AR104" s="152" t="n"/>
      <c r="AS104" s="152" t="n"/>
      <c r="AT104" s="156" t="inlineStr">
        <is>
          <t>Industrial PC with AI accelerator</t>
        </is>
      </c>
      <c r="AU104" s="156" t="inlineStr">
        <is>
          <t>Ethernet; Wi‑Fi</t>
        </is>
      </c>
      <c r="AV104" s="152" t="inlineStr">
        <is>
          <t>Not disclosed</t>
        </is>
      </c>
      <c r="AW104" s="156" t="inlineStr">
        <is>
          <t>Not disclosed</t>
        </is>
      </c>
      <c r="AX104" s="152" t="n"/>
      <c r="AY104" s="156" t="inlineStr">
        <is>
          <t>Linux-based robotics OS</t>
        </is>
      </c>
      <c r="AZ104" s="156" t="inlineStr">
        <is>
          <t>Possible via external integration</t>
        </is>
      </c>
      <c r="BA104" s="156" t="n"/>
      <c r="BB104" s="156" t="inlineStr">
        <is>
          <t>High-torque electric servo motors</t>
        </is>
      </c>
      <c r="BC104" s="156" t="inlineStr">
        <is>
          <t>Harmonic reducers</t>
        </is>
      </c>
      <c r="BD104" s="152" t="inlineStr">
        <is>
          <t>Aluminum alloy frame with composite covers</t>
        </is>
      </c>
      <c r="BE104" s="152" t="inlineStr">
        <is>
          <t>Not disclosed</t>
        </is>
      </c>
      <c r="BF104" s="152" t="n"/>
      <c r="BG104" s="152" t="n"/>
      <c r="BH104" s="152" t="n"/>
      <c r="BI104" s="152" t="n"/>
      <c r="BJ104" s="152" t="n"/>
      <c r="BK104" s="152" t="n"/>
      <c r="BL104" s="152" t="n"/>
      <c r="BM104" s="152" t="inlineStr">
        <is>
          <t>Yes</t>
        </is>
      </c>
      <c r="BN104" s="152" t="inlineStr">
        <is>
          <t>Not disclosed</t>
        </is>
      </c>
      <c r="BO104" s="156" t="inlineStr">
        <is>
          <t>Market: embodied AI; industrial testing; Research · Human-safe: Yes · AI: Possible via external integration · Actuation: High-torque electric servo motors · Peak 6 km/h</t>
        </is>
      </c>
      <c r="BP104" s="152" t="n"/>
      <c r="BQ104" s="156" t="inlineStr">
        <is>
          <t>embodied AI; industrial testing; Research</t>
        </is>
      </c>
      <c r="BR104" s="156" t="inlineStr">
        <is>
          <t>In production</t>
        </is>
      </c>
      <c r="BS104" s="156" t="inlineStr">
        <is>
          <t>In production</t>
        </is>
      </c>
      <c r="BT104" s="152" t="inlineStr">
        <is>
          <t>White</t>
        </is>
      </c>
      <c r="BU104" s="152" t="inlineStr">
        <is>
          <t>Not verified</t>
        </is>
      </c>
      <c r="BV104" s="156" t="n"/>
      <c r="BW104" s="156" t="inlineStr">
        <is>
          <t>Origin &amp; status — China · In production · 2026 | Manipulation — 5 per hand · 5 per hand fingers · Hand DOF ~6–7 per hand · Payload 22 lb | Sensing &amp; software — Stereo RGB vision · Possible via external integration · Linux-based robotics OS | Buying notes — From $120,000 · 12 months manufacturer standard (typical research/commercial humanoid) · Best fit: embodied AI</t>
        </is>
      </c>
      <c r="BX104" s="156" t="inlineStr">
        <is>
          <t>as_shipped|VB1-I|120000|As shipped</t>
        </is>
      </c>
      <c r="BY104" s="152" t="inlineStr">
        <is>
          <t>white|White|#e2e8f0|0</t>
        </is>
      </c>
      <c r="BZ104" s="152" t="inlineStr"/>
      <c r="CA104" s="156" t="n"/>
      <c r="CB104" s="156" t="inlineStr">
        <is>
          <t>12 months manufacturer standard (typical research/commercial humanoid)</t>
        </is>
      </c>
      <c r="CC104" s="154" t="n">
        <v>12</v>
      </c>
      <c r="CD104" s="156" t="inlineStr">
        <is>
          <t>+3 Year Extended ≈24% of configuration (default in configurator)</t>
        </is>
      </c>
      <c r="CE104" s="152" t="inlineStr">
        <is>
          <t>Humanoid category norm 2025–2026</t>
        </is>
      </c>
      <c r="CF104" s="152" t="inlineStr">
        <is>
          <t>Estimated</t>
        </is>
      </c>
      <c r="CG104" s="156" t="inlineStr">
        <is>
          <t>Confirm on formal OEM quote. EDU or enterprise packages may differ.</t>
        </is>
      </c>
      <c r="CH104" s="152" t="inlineStr">
        <is>
          <t>10%</t>
        </is>
      </c>
      <c r="CI104" s="152" t="inlineStr">
        <is>
          <t>17%</t>
        </is>
      </c>
      <c r="CJ104" s="152" t="inlineStr">
        <is>
          <t>24%</t>
        </is>
      </c>
      <c r="CK104" s="156" t="inlineStr">
        <is>
          <t>+1yr ≈10% | +2yr ≈17% | +3yr ≈24% of selected configuration price (parts &amp; labor beyond manufacturer standard).</t>
        </is>
      </c>
      <c r="CL104"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04" s="152" t="inlineStr">
        <is>
          <t>12 months manufacturer standard (typical research/commercial humanoid)</t>
        </is>
      </c>
      <c r="CQ104" s="101" t="inlineStr">
        <is>
          <t>Height: 5 ft 5 in | Weight: 132.3 | Degrees of Freedom: ~40–45 | Payload: 22 | Max Speed: 3.73 | Battery / Runtime: Not disclosed</t>
        </is>
      </c>
    </row>
    <row r="105" ht="31.5" customHeight="1" s="102">
      <c r="A105" s="145" t="inlineStr">
        <is>
          <t>lanxin_robotics_vb2</t>
        </is>
      </c>
      <c r="B105" s="153" t="inlineStr">
        <is>
          <t>Humanoid.guide</t>
        </is>
      </c>
      <c r="C105" s="145" t="inlineStr">
        <is>
          <t>Lanxin Robotics</t>
        </is>
      </c>
      <c r="D105" s="145" t="inlineStr">
        <is>
          <t>VB2</t>
        </is>
      </c>
      <c r="E105" s="145" t="inlineStr">
        <is>
          <t>[Lanxin Robotics] VB2 (2026)</t>
        </is>
      </c>
      <c r="F105" s="146" t="inlineStr">
        <is>
          <t>humanoid</t>
        </is>
      </c>
      <c r="G105" s="145" t="inlineStr">
        <is>
          <t>China</t>
        </is>
      </c>
      <c r="H105" s="145" t="n"/>
      <c r="I105" s="148" t="n">
        <v>150000</v>
      </c>
      <c r="J105" s="145" t="inlineStr">
        <is>
          <t>Humanoid.guide list</t>
        </is>
      </c>
      <c r="K105" s="149" t="inlineStr">
        <is>
          <t>VB2 is a humanoid robot developed by Lanxin Robotics for advanced research and industrial experimentation.</t>
        </is>
      </c>
      <c r="L105" s="101" t="inlineStr">
        <is>
          <t>VB2 is a humanoid robot developed by Lanxin Robotics for advanced research and industrial experimentation.</t>
        </is>
      </c>
      <c r="M105" s="101" t="inlineStr">
        <is>
          <t>VB2 is a humanoid robot developed by Lanxin Robotics for advanced research and industrial experimentation. Public status is listed as in production, and it is positioned for embodied AI; Industrial research; logistics.</t>
        </is>
      </c>
      <c r="N105" s="150" t="inlineStr">
        <is>
          <t>https://humanoid.guide/product/vb2/</t>
        </is>
      </c>
      <c r="O105" s="150" t="inlineStr">
        <is>
          <t>https://www.lanxinrobotics.com/</t>
        </is>
      </c>
      <c r="P105" s="145" t="inlineStr">
        <is>
          <t>5 ft 7 in</t>
        </is>
      </c>
      <c r="Q105" s="145" t="n">
        <v>170</v>
      </c>
      <c r="R105" s="145" t="n">
        <v>143.3</v>
      </c>
      <c r="S105" s="145" t="n">
        <v>65</v>
      </c>
      <c r="T105" s="149" t="inlineStr">
        <is>
          <t>Not disclosed</t>
        </is>
      </c>
      <c r="U105" s="145" t="n"/>
      <c r="V105" s="145" t="inlineStr">
        <is>
          <t>~45–50</t>
        </is>
      </c>
      <c r="W105" s="149" t="inlineStr">
        <is>
          <t>~6–7 per hand</t>
        </is>
      </c>
      <c r="X105" s="145" t="n">
        <v>26.5</v>
      </c>
      <c r="Y105" s="145" t="n">
        <v>12</v>
      </c>
      <c r="Z105" s="145" t="n">
        <v>4.35</v>
      </c>
      <c r="AA105" s="145" t="n">
        <v>7</v>
      </c>
      <c r="AB105" s="145" t="n"/>
      <c r="AC105" s="149" t="inlineStr">
        <is>
          <t>~2–3</t>
        </is>
      </c>
      <c r="AD105" s="149" t="inlineStr">
        <is>
          <t>~2–3</t>
        </is>
      </c>
      <c r="AE105" s="145" t="n"/>
      <c r="AF105" s="145" t="inlineStr">
        <is>
          <t>Not disclosed</t>
        </is>
      </c>
      <c r="AG105" s="149" t="inlineStr">
        <is>
          <t>5 per hand</t>
        </is>
      </c>
      <c r="AH105" s="145" t="inlineStr">
        <is>
          <t>5 per hand</t>
        </is>
      </c>
      <c r="AI105" s="145" t="n"/>
      <c r="AJ105" s="149" t="inlineStr">
        <is>
          <t>Stereo RGB vision</t>
        </is>
      </c>
      <c r="AK105" s="149" t="inlineStr">
        <is>
          <t>Stereo RGB vision</t>
        </is>
      </c>
      <c r="AL105" s="145" t="inlineStr">
        <is>
          <t>Not disclosed</t>
        </is>
      </c>
      <c r="AM105" s="145" t="n"/>
      <c r="AN105" s="145" t="inlineStr">
        <is>
          <t>Not disclosed</t>
        </is>
      </c>
      <c r="AO105" s="145" t="inlineStr">
        <is>
          <t>Not disclosed</t>
        </is>
      </c>
      <c r="AP105" s="145" t="inlineStr">
        <is>
          <t>Not disclosed</t>
        </is>
      </c>
      <c r="AQ105" s="145" t="inlineStr">
        <is>
          <t>Not disclosed</t>
        </is>
      </c>
      <c r="AR105" s="145" t="n"/>
      <c r="AS105" s="145" t="n"/>
      <c r="AT105" s="149" t="inlineStr">
        <is>
          <t>Industrial PC with AI accelerator</t>
        </is>
      </c>
      <c r="AU105" s="149" t="inlineStr">
        <is>
          <t>Ethernet; Wi‑Fi</t>
        </is>
      </c>
      <c r="AV105" s="145" t="inlineStr">
        <is>
          <t>Not disclosed</t>
        </is>
      </c>
      <c r="AW105" s="149" t="inlineStr">
        <is>
          <t>Not disclosed</t>
        </is>
      </c>
      <c r="AX105" s="145" t="n"/>
      <c r="AY105" s="149" t="inlineStr">
        <is>
          <t>Linux-based robotics OS</t>
        </is>
      </c>
      <c r="AZ105" s="149" t="inlineStr">
        <is>
          <t>Possible via external integration</t>
        </is>
      </c>
      <c r="BA105" s="149" t="n"/>
      <c r="BB105" s="149" t="inlineStr">
        <is>
          <t>High-torque electric servo motors</t>
        </is>
      </c>
      <c r="BC105" s="149" t="inlineStr">
        <is>
          <t>Harmonic reducers</t>
        </is>
      </c>
      <c r="BD105" s="145" t="inlineStr">
        <is>
          <t>Aluminum alloy frame with composite covers</t>
        </is>
      </c>
      <c r="BE105" s="145" t="inlineStr">
        <is>
          <t>Not disclosed</t>
        </is>
      </c>
      <c r="BF105" s="145" t="n"/>
      <c r="BG105" s="145" t="n"/>
      <c r="BH105" s="145" t="n"/>
      <c r="BI105" s="145" t="n"/>
      <c r="BJ105" s="145" t="n"/>
      <c r="BK105" s="145" t="n"/>
      <c r="BL105" s="145" t="n"/>
      <c r="BM105" s="145" t="inlineStr">
        <is>
          <t>Yes</t>
        </is>
      </c>
      <c r="BN105" s="145" t="inlineStr">
        <is>
          <t>Not disclosed</t>
        </is>
      </c>
      <c r="BO105" s="149" t="inlineStr">
        <is>
          <t>Market: embodied AI; Industrial research; logistics · Human-safe: Yes · AI: Possible via external integration · Actuation: High-torque electric servo motors · Peak 7 km/h · Runtime ~2–3</t>
        </is>
      </c>
      <c r="BP105" s="145" t="n"/>
      <c r="BQ105" s="149" t="inlineStr">
        <is>
          <t>embodied AI; Industrial research; logistics</t>
        </is>
      </c>
      <c r="BR105" s="149" t="inlineStr">
        <is>
          <t>In production</t>
        </is>
      </c>
      <c r="BS105" s="149" t="inlineStr">
        <is>
          <t>In production</t>
        </is>
      </c>
      <c r="BT105" s="145" t="inlineStr">
        <is>
          <t>White</t>
        </is>
      </c>
      <c r="BU105" s="145" t="inlineStr">
        <is>
          <t>Not verified</t>
        </is>
      </c>
      <c r="BV105" s="149" t="n"/>
      <c r="BW105" s="149" t="inlineStr">
        <is>
          <t>Origin &amp; status — China · In production · 2026 | Manipulation — 5 per hand · 5 per hand fingers · Hand DOF ~6–7 per hand · Payload 26.5 lb | Sensing &amp; software — Stereo RGB vision · Possible via external integration · Linux-based robotics OS | Buying notes — From $150,000 · 12 months manufacturer standard (typical research/commercial humanoid) · Best fit: embodied AI</t>
        </is>
      </c>
      <c r="BX105" s="149" t="inlineStr">
        <is>
          <t>as_shipped|VB2|150000|As shipped</t>
        </is>
      </c>
      <c r="BY105" s="145" t="inlineStr">
        <is>
          <t>white|White|#e2e8f0|0</t>
        </is>
      </c>
      <c r="BZ105" s="145" t="inlineStr"/>
      <c r="CA105" s="149" t="n"/>
      <c r="CB105" s="149" t="inlineStr">
        <is>
          <t>12 months manufacturer standard (typical research/commercial humanoid)</t>
        </is>
      </c>
      <c r="CC105" s="147" t="n">
        <v>12</v>
      </c>
      <c r="CD105" s="149" t="inlineStr">
        <is>
          <t>+3 Year Extended ≈24% of configuration (default in configurator)</t>
        </is>
      </c>
      <c r="CE105" s="145" t="inlineStr">
        <is>
          <t>Humanoid category norm 2025–2026</t>
        </is>
      </c>
      <c r="CF105" s="145" t="inlineStr">
        <is>
          <t>Estimated</t>
        </is>
      </c>
      <c r="CG105" s="149" t="inlineStr">
        <is>
          <t>Confirm on formal OEM quote. EDU or enterprise packages may differ.</t>
        </is>
      </c>
      <c r="CH105" s="145" t="inlineStr">
        <is>
          <t>10%</t>
        </is>
      </c>
      <c r="CI105" s="145" t="inlineStr">
        <is>
          <t>17%</t>
        </is>
      </c>
      <c r="CJ105" s="145" t="inlineStr">
        <is>
          <t>24%</t>
        </is>
      </c>
      <c r="CK105" s="149" t="inlineStr">
        <is>
          <t>+1yr ≈10% | +2yr ≈17% | +3yr ≈24% of selected configuration price (parts &amp; labor beyond manufacturer standard).</t>
        </is>
      </c>
      <c r="CL10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05" s="145" t="inlineStr">
        <is>
          <t>12 months manufacturer standard (typical research/commercial humanoid)</t>
        </is>
      </c>
      <c r="CQ105" s="101" t="inlineStr">
        <is>
          <t>Height: 5 ft 7 in | Weight: 143.3 | Degrees of Freedom: ~45–50 | Payload: 26.5 | Max Speed: 4.35 | Battery / Runtime: ~2–3</t>
        </is>
      </c>
    </row>
    <row r="106" ht="31.5" customHeight="1" s="102">
      <c r="A106" s="152" t="inlineStr">
        <is>
          <t>lanxin_robotics_versabot_vb_1</t>
        </is>
      </c>
      <c r="B106" s="153" t="inlineStr">
        <is>
          <t>Humanoid.guide</t>
        </is>
      </c>
      <c r="C106" s="152" t="inlineStr">
        <is>
          <t>Lanxin Robotics</t>
        </is>
      </c>
      <c r="D106" s="152" t="inlineStr">
        <is>
          <t>VersaBot VB-1</t>
        </is>
      </c>
      <c r="E106" s="152" t="inlineStr">
        <is>
          <t>[Lanxin Robotics] VersaBot VB-1 (2026)</t>
        </is>
      </c>
      <c r="F106" s="146" t="inlineStr">
        <is>
          <t>humanoid</t>
        </is>
      </c>
      <c r="G106" s="152" t="inlineStr">
        <is>
          <t>China</t>
        </is>
      </c>
      <c r="H106" s="152" t="n"/>
      <c r="I106" s="155" t="n">
        <v>120000</v>
      </c>
      <c r="J106" s="152" t="inlineStr">
        <is>
          <t>Humanoid.guide list</t>
        </is>
      </c>
      <c r="K106" s="156" t="inlineStr">
        <is>
          <t>VersaBot VB-1 is a humanoid robot by Lanxin Robotics designed for adaptable manipulation, navigation, and multi-scenario deployment.</t>
        </is>
      </c>
      <c r="L106" s="101" t="inlineStr">
        <is>
          <t>VersaBot VB-1 is a humanoid robot by Lanxin Robotics designed for adaptable manipulation, navigation, and multi-scenario deployment.</t>
        </is>
      </c>
      <c r="M106" s="101" t="inlineStr">
        <is>
          <t>VersaBot VB-1 is a humanoid robot by Lanxin Robotics designed for adaptable manipulation, navigation, and multi-scenario deployment. Public status is listed as limited production / pilot deployments, and it is positioned for applied humanoid R&amp;D; Research &amp; education.</t>
        </is>
      </c>
      <c r="N106" s="157" t="inlineStr">
        <is>
          <t>https://humanoid.guide/product/versabot-vb-1/</t>
        </is>
      </c>
      <c r="O106" s="157" t="inlineStr">
        <is>
          <t>https://www.lanxinrobotics.com/</t>
        </is>
      </c>
      <c r="P106" s="152" t="inlineStr">
        <is>
          <t>5 ft 5 in</t>
        </is>
      </c>
      <c r="Q106" s="152" t="n">
        <v>165</v>
      </c>
      <c r="R106" s="152" t="n">
        <v>165.3</v>
      </c>
      <c r="S106" s="152" t="n">
        <v>75</v>
      </c>
      <c r="T106" s="156" t="inlineStr">
        <is>
          <t>Not disclosed</t>
        </is>
      </c>
      <c r="U106" s="152" t="inlineStr">
        <is>
          <t>~180 × 80 × 65 cm</t>
        </is>
      </c>
      <c r="V106" s="152" t="inlineStr">
        <is>
          <t>38</t>
        </is>
      </c>
      <c r="W106" s="156" t="inlineStr">
        <is>
          <t>12</t>
        </is>
      </c>
      <c r="X106" s="152" t="n">
        <v>33.1</v>
      </c>
      <c r="Y106" s="152" t="n">
        <v>15</v>
      </c>
      <c r="Z106" s="152" t="n">
        <v>2.8</v>
      </c>
      <c r="AA106" s="152" t="n">
        <v>4.5</v>
      </c>
      <c r="AB106" s="152" t="n">
        <v>4</v>
      </c>
      <c r="AC106" s="156" t="inlineStr">
        <is>
          <t>~3–5</t>
        </is>
      </c>
      <c r="AD106" s="156" t="inlineStr">
        <is>
          <t>~3–5</t>
        </is>
      </c>
      <c r="AE106" s="152" t="n"/>
      <c r="AF106" s="152" t="inlineStr">
        <is>
          <t>Not disclosed</t>
        </is>
      </c>
      <c r="AG106" s="156" t="inlineStr">
        <is>
          <t>5 per hand</t>
        </is>
      </c>
      <c r="AH106" s="152" t="inlineStr">
        <is>
          <t>5 per hand</t>
        </is>
      </c>
      <c r="AI106" s="151" t="n">
        <v>3</v>
      </c>
      <c r="AJ106" s="156" t="inlineStr">
        <is>
          <t>RGB + depth cameras, ~1080p</t>
        </is>
      </c>
      <c r="AK106" s="156" t="inlineStr">
        <is>
          <t>RGB + depth cameras, ~1080p</t>
        </is>
      </c>
      <c r="AL106" s="152" t="inlineStr">
        <is>
          <t>Not disclosed</t>
        </is>
      </c>
      <c r="AM106" s="152" t="n"/>
      <c r="AN106" s="152" t="inlineStr">
        <is>
          <t>Not disclosed</t>
        </is>
      </c>
      <c r="AO106" s="152" t="inlineStr">
        <is>
          <t>Not disclosed</t>
        </is>
      </c>
      <c r="AP106" s="152" t="inlineStr">
        <is>
          <t>Not disclosed</t>
        </is>
      </c>
      <c r="AQ106" s="152" t="inlineStr">
        <is>
          <t>Not disclosed</t>
        </is>
      </c>
      <c r="AR106" s="152" t="n"/>
      <c r="AS106" s="152" t="n"/>
      <c r="AT106" s="156" t="inlineStr">
        <is>
          <t>Industrial CPU + optional AI accelerator (assumed)</t>
        </is>
      </c>
      <c r="AU106" s="156" t="inlineStr">
        <is>
          <t>Ethernet; USB; Wi‑Fi</t>
        </is>
      </c>
      <c r="AV106" s="152" t="inlineStr">
        <is>
          <t>Not disclosed</t>
        </is>
      </c>
      <c r="AW106" s="156" t="inlineStr">
        <is>
          <t>Not disclosed</t>
        </is>
      </c>
      <c r="AX106" s="151" t="n">
        <v>3</v>
      </c>
      <c r="AY106" s="156" t="inlineStr">
        <is>
          <t>Linux-based ROS environment</t>
        </is>
      </c>
      <c r="AZ106" s="156" t="inlineStr">
        <is>
          <t>Possible via external system integration</t>
        </is>
      </c>
      <c r="BA106" s="156" t="inlineStr">
        <is>
          <t>150–250 ms</t>
        </is>
      </c>
      <c r="BB106" s="156" t="inlineStr">
        <is>
          <t>Electric servo motors</t>
        </is>
      </c>
      <c r="BC106" s="156" t="inlineStr">
        <is>
          <t>Harmonic / planetary gears (assumed)</t>
        </is>
      </c>
      <c r="BD106" s="152" t="inlineStr">
        <is>
          <t>Aluminum alloy + composites</t>
        </is>
      </c>
      <c r="BE106" s="152" t="inlineStr">
        <is>
          <t>Not disclosed</t>
        </is>
      </c>
      <c r="BF106" s="152" t="n"/>
      <c r="BG106" s="152" t="n"/>
      <c r="BH106" s="152" t="n"/>
      <c r="BI106" s="152" t="n"/>
      <c r="BJ106" s="152" t="n"/>
      <c r="BK106" s="152" t="n"/>
      <c r="BL106" s="152" t="n"/>
      <c r="BM106" s="152" t="inlineStr">
        <is>
          <t>Yes</t>
        </is>
      </c>
      <c r="BN106" s="152" t="inlineStr">
        <is>
          <t>Not disclosed</t>
        </is>
      </c>
      <c r="BO106" s="156" t="inlineStr">
        <is>
          <t>Market: applied humanoid R&amp;D; Research &amp; education · Manipulation 3/4 · Navigation 3/4 · Human-safe: Yes · AI: Possible via external system integration · Actuation: Electric servo motors · Peak 4.5 km/h · Walk 4 km/h · Runtime ~3–5</t>
        </is>
      </c>
      <c r="BP106" s="152" t="n"/>
      <c r="BQ106" s="156" t="inlineStr">
        <is>
          <t>applied humanoid R&amp;D; Research &amp; education</t>
        </is>
      </c>
      <c r="BR106" s="156" t="inlineStr">
        <is>
          <t>Limited production / pilot deployments</t>
        </is>
      </c>
      <c r="BS106" s="156" t="inlineStr">
        <is>
          <t>Limited production / pilot deployments</t>
        </is>
      </c>
      <c r="BT106" s="152" t="inlineStr">
        <is>
          <t>Grey; White</t>
        </is>
      </c>
      <c r="BU106" s="152" t="inlineStr">
        <is>
          <t>Not verified</t>
        </is>
      </c>
      <c r="BV106" s="156" t="n"/>
      <c r="BW106" s="156" t="inlineStr">
        <is>
          <t>Origin &amp; status — China · Limited production / pilot deployments · 2026 | Manipulation — 5 per hand · 5 per hand fingers · Hand DOF 12 · Payload 33.1 lb | Sensing &amp; software — RGB + depth cameras, ~1080p · Possible via external system integration · Linux-based ROS environment | Buying notes — From $120,000 · 12 months manufacturer standard (typical research/commercial humanoid) · Best fit: applied humanoid R&amp;D</t>
        </is>
      </c>
      <c r="BX106" s="156" t="inlineStr">
        <is>
          <t>as_shipped|VersaBot VB-1|120000|As shipped</t>
        </is>
      </c>
      <c r="BY106" s="152" t="inlineStr">
        <is>
          <t>grey|Grey|#e2e8f0|0 || white|White|#1e293b|0</t>
        </is>
      </c>
      <c r="BZ106" s="152" t="inlineStr"/>
      <c r="CA106" s="156" t="n"/>
      <c r="CB106" s="156" t="inlineStr">
        <is>
          <t>12 months manufacturer standard (typical research/commercial humanoid)</t>
        </is>
      </c>
      <c r="CC106" s="154" t="n">
        <v>12</v>
      </c>
      <c r="CD106" s="156" t="inlineStr">
        <is>
          <t>+3 Year Extended ≈24% of configuration (default in configurator)</t>
        </is>
      </c>
      <c r="CE106" s="152" t="inlineStr">
        <is>
          <t>Humanoid category norm 2025–2026</t>
        </is>
      </c>
      <c r="CF106" s="152" t="inlineStr">
        <is>
          <t>Estimated</t>
        </is>
      </c>
      <c r="CG106" s="156" t="inlineStr">
        <is>
          <t>Confirm on formal OEM quote. EDU or enterprise packages may differ.</t>
        </is>
      </c>
      <c r="CH106" s="152" t="inlineStr">
        <is>
          <t>10%</t>
        </is>
      </c>
      <c r="CI106" s="152" t="inlineStr">
        <is>
          <t>17%</t>
        </is>
      </c>
      <c r="CJ106" s="152" t="inlineStr">
        <is>
          <t>24%</t>
        </is>
      </c>
      <c r="CK106" s="156" t="inlineStr">
        <is>
          <t>+1yr ≈10% | +2yr ≈17% | +3yr ≈24% of selected configuration price (parts &amp; labor beyond manufacturer standard).</t>
        </is>
      </c>
      <c r="CL106"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06" s="152" t="inlineStr">
        <is>
          <t>12 months manufacturer standard (typical research/commercial humanoid)</t>
        </is>
      </c>
      <c r="CQ106" s="101" t="inlineStr">
        <is>
          <t>Height: 5 ft 5 in | Weight: 165.3 | Degrees of Freedom: 38 | Payload: 33.1 | Max Speed: 2.8 | Battery / Runtime: ~3–5</t>
        </is>
      </c>
    </row>
    <row r="107" ht="31.5" customHeight="1" s="102">
      <c r="A107" s="145" t="inlineStr">
        <is>
          <t>leju_robot_suzhou_leju_robotics_co_ltd_kuavo_5</t>
        </is>
      </c>
      <c r="B107" s="153" t="inlineStr">
        <is>
          <t>Humanoid.guide</t>
        </is>
      </c>
      <c r="C107" s="145" t="inlineStr">
        <is>
          <t>Leju Robot (Suzhou Leju Robotics Co., Ltd.)</t>
        </is>
      </c>
      <c r="D107" s="145" t="inlineStr">
        <is>
          <t>Kuavo-5</t>
        </is>
      </c>
      <c r="E107" s="145" t="inlineStr">
        <is>
          <t>[Leju Robot] Kuavo-5 (2026)</t>
        </is>
      </c>
      <c r="F107" s="146" t="inlineStr">
        <is>
          <t>humanoid</t>
        </is>
      </c>
      <c r="G107" s="145" t="inlineStr">
        <is>
          <t>China</t>
        </is>
      </c>
      <c r="H107" s="145" t="n"/>
      <c r="I107" s="148" t="n">
        <v>38000</v>
      </c>
      <c r="J107" s="145" t="inlineStr">
        <is>
          <t>Humanoid.guide list</t>
        </is>
      </c>
      <c r="K107" s="149" t="inlineStr">
        <is>
          <t>Kuavo-5 is a modular humanoid robot by Leju Robot that combines walk/wheel mobility, interchangeable limbs, and modular hands — built for flexible deployment in industry, automation, or home-service applications.</t>
        </is>
      </c>
      <c r="L107" s="101" t="inlineStr">
        <is>
          <t>Kuavo-5 is a modular humanoid robot by Leju Robot that combines walk/wheel mobility, interchangeable limbs, and modular hands — built for flexible deployment in industry, automation, or home-service applications.</t>
        </is>
      </c>
      <c r="M107" s="101" t="inlineStr">
        <is>
          <t>Kuavo-5 is a modular humanoid robot by Leju Robot that combines walk/wheel mobility, interchangeable limbs, and modular hands — built for flexible deployment in industry, automation, or home-service applications. Public status is listed as prototype, and it is positioned for home assistance; Industrial automation; logistics; Research &amp; education; research labs.</t>
        </is>
      </c>
      <c r="N107" s="150" t="inlineStr">
        <is>
          <t>https://humanoid.guide/product/kuavo-5/</t>
        </is>
      </c>
      <c r="O107" s="150" t="inlineStr">
        <is>
          <t>https://www.lejurobot.com</t>
        </is>
      </c>
      <c r="P107" s="145" t="inlineStr">
        <is>
          <t>5 ft 6 in</t>
        </is>
      </c>
      <c r="Q107" s="145" t="n">
        <v>168</v>
      </c>
      <c r="R107" s="145" t="n">
        <v>121.3</v>
      </c>
      <c r="S107" s="145" t="n">
        <v>55</v>
      </c>
      <c r="T107" s="149" t="inlineStr">
        <is>
          <t>Not disclosed</t>
        </is>
      </c>
      <c r="U107" s="145" t="inlineStr">
        <is>
          <t>180 × 70 × 60 cm</t>
        </is>
      </c>
      <c r="V107" s="145" t="inlineStr">
        <is>
          <t>40</t>
        </is>
      </c>
      <c r="W107" s="149" t="inlineStr">
        <is>
          <t>10</t>
        </is>
      </c>
      <c r="X107" s="145" t="n">
        <v>30.9</v>
      </c>
      <c r="Y107" s="145" t="n">
        <v>14</v>
      </c>
      <c r="Z107" s="145" t="n">
        <v>3.11</v>
      </c>
      <c r="AA107" s="145" t="n">
        <v>5</v>
      </c>
      <c r="AB107" s="145" t="n">
        <v>4</v>
      </c>
      <c r="AC107" s="149" t="inlineStr">
        <is>
          <t>≈ 7 hours</t>
        </is>
      </c>
      <c r="AD107" s="149" t="inlineStr">
        <is>
          <t>7</t>
        </is>
      </c>
      <c r="AE107" s="145" t="n"/>
      <c r="AF107" s="145" t="inlineStr">
        <is>
          <t>Not disclosed</t>
        </is>
      </c>
      <c r="AG107" s="149" t="inlineStr">
        <is>
          <t>5 per hand</t>
        </is>
      </c>
      <c r="AH107" s="145" t="inlineStr">
        <is>
          <t>5 per hand</t>
        </is>
      </c>
      <c r="AI107" s="161" t="n">
        <v>4</v>
      </c>
      <c r="AJ107" s="149" t="inlineStr">
        <is>
          <t>Depth + RGB camera, environment sensors</t>
        </is>
      </c>
      <c r="AK107" s="149" t="inlineStr">
        <is>
          <t>Depth + RGB camera, environment sensors</t>
        </is>
      </c>
      <c r="AL107" s="145" t="inlineStr">
        <is>
          <t>Not disclosed</t>
        </is>
      </c>
      <c r="AM107" s="145" t="n"/>
      <c r="AN107" s="145" t="inlineStr">
        <is>
          <t>Not disclosed</t>
        </is>
      </c>
      <c r="AO107" s="145" t="inlineStr">
        <is>
          <t>Not disclosed</t>
        </is>
      </c>
      <c r="AP107" s="145" t="inlineStr">
        <is>
          <t>Not disclosed</t>
        </is>
      </c>
      <c r="AQ107" s="145" t="inlineStr">
        <is>
          <t>Not disclosed</t>
        </is>
      </c>
      <c r="AR107" s="145" t="n"/>
      <c r="AS107" s="145" t="n"/>
      <c r="AT107" s="149" t="inlineStr">
        <is>
          <t>Assumed mid-range robotics compute platform</t>
        </is>
      </c>
      <c r="AU107" s="149" t="inlineStr">
        <is>
          <t>5G-A support for remote control; Ethernet; Wi‑Fi</t>
        </is>
      </c>
      <c r="AV107" s="145" t="inlineStr">
        <is>
          <t>Not disclosed</t>
        </is>
      </c>
      <c r="AW107" s="149" t="inlineStr">
        <is>
          <t>Not disclosed</t>
        </is>
      </c>
      <c r="AX107" s="151" t="n">
        <v>3</v>
      </c>
      <c r="AY107" s="149" t="inlineStr">
        <is>
          <t>HarmonyOS / KaihongOS</t>
        </is>
      </c>
      <c r="AZ107" s="149" t="inlineStr">
        <is>
          <t>External AI ecosystem support / Control integration possible</t>
        </is>
      </c>
      <c r="BA107" s="149" t="inlineStr">
        <is>
          <t>&amp;lt;200ms (End-to-End)</t>
        </is>
      </c>
      <c r="BB107" s="149" t="inlineStr">
        <is>
          <t>Self-developed high-torque joints</t>
        </is>
      </c>
      <c r="BC107" s="149" t="inlineStr">
        <is>
          <t>Precision reducers</t>
        </is>
      </c>
      <c r="BD107" s="145" t="inlineStr">
        <is>
          <t>Aluminum frame + composite panels</t>
        </is>
      </c>
      <c r="BE107" s="145" t="inlineStr">
        <is>
          <t>Not disclosed</t>
        </is>
      </c>
      <c r="BF107" s="145" t="n"/>
      <c r="BG107" s="145" t="n"/>
      <c r="BH107" s="145" t="n"/>
      <c r="BI107" s="145" t="n"/>
      <c r="BJ107" s="145" t="n"/>
      <c r="BK107" s="145" t="n"/>
      <c r="BL107" s="145" t="n"/>
      <c r="BM107" s="145" t="inlineStr">
        <is>
          <t>Yes</t>
        </is>
      </c>
      <c r="BN107" s="145" t="inlineStr">
        <is>
          <t>Not disclosed</t>
        </is>
      </c>
      <c r="BO107" s="149" t="inlineStr">
        <is>
          <t>Market: Home assistance; Industrial automation; logistics; Research &amp; education; research labs · Manipulation 4/4 · Navigation 3/4 · Human-safe: Yes · AI: External AI ecosystem support / Control integration possible · Actuation: Self-developed high-torque joints · Peak 5 km/h · Walk 4 km/h · Runtime 7</t>
        </is>
      </c>
      <c r="BP107" s="145" t="n"/>
      <c r="BQ107" s="149" t="inlineStr">
        <is>
          <t>Home assistance; Industrial automation; logistics; Research &amp; education; research labs</t>
        </is>
      </c>
      <c r="BR107" s="149" t="inlineStr">
        <is>
          <t>Prototype</t>
        </is>
      </c>
      <c r="BS107" s="149" t="inlineStr">
        <is>
          <t>Prototype</t>
        </is>
      </c>
      <c r="BT107" s="145" t="inlineStr">
        <is>
          <t>White</t>
        </is>
      </c>
      <c r="BU107" s="145" t="inlineStr">
        <is>
          <t>Not verified</t>
        </is>
      </c>
      <c r="BV107" s="149" t="n"/>
      <c r="BW107" s="149" t="inlineStr">
        <is>
          <t>Origin &amp; status — China · Prototype · 2026 | Manipulation — 5 per hand · 5 per hand fingers · Hand DOF 10 · Payload 30.9 lb | Sensing &amp; software — Depth + RGB camera, environment sensors · External AI ecosystem support / Control integration possible · HarmonyOS / KaihongOS | Buying notes — From $38,000 · 12 months manufacturer standard (typical research/commercial humanoid) · Best fit: Home assistance</t>
        </is>
      </c>
      <c r="BX107" s="149" t="inlineStr">
        <is>
          <t>as_shipped|Kuavo-5|38000|As shipped</t>
        </is>
      </c>
      <c r="BY107" s="145" t="inlineStr">
        <is>
          <t>white|White|#e2e8f0|0</t>
        </is>
      </c>
      <c r="BZ107" s="145" t="inlineStr"/>
      <c r="CA107" s="149" t="n"/>
      <c r="CB107" s="149" t="inlineStr">
        <is>
          <t>12 months manufacturer standard (typical research/commercial humanoid)</t>
        </is>
      </c>
      <c r="CC107" s="147" t="n">
        <v>12</v>
      </c>
      <c r="CD107" s="149" t="inlineStr">
        <is>
          <t>+3 Year Extended ≈24% of configuration (default in configurator)</t>
        </is>
      </c>
      <c r="CE107" s="145" t="inlineStr">
        <is>
          <t>Humanoid category norm 2025–2026</t>
        </is>
      </c>
      <c r="CF107" s="145" t="inlineStr">
        <is>
          <t>Estimated</t>
        </is>
      </c>
      <c r="CG107" s="149" t="inlineStr">
        <is>
          <t>Confirm on formal OEM quote. EDU or enterprise packages may differ.</t>
        </is>
      </c>
      <c r="CH107" s="145" t="inlineStr">
        <is>
          <t>10%</t>
        </is>
      </c>
      <c r="CI107" s="145" t="inlineStr">
        <is>
          <t>17%</t>
        </is>
      </c>
      <c r="CJ107" s="145" t="inlineStr">
        <is>
          <t>24%</t>
        </is>
      </c>
      <c r="CK107" s="149" t="inlineStr">
        <is>
          <t>+1yr ≈10% | +2yr ≈17% | +3yr ≈24% of selected configuration price (parts &amp; labor beyond manufacturer standard).</t>
        </is>
      </c>
      <c r="CL107"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07" s="145" t="inlineStr">
        <is>
          <t>12 months manufacturer standard (typical research/commercial humanoid)</t>
        </is>
      </c>
      <c r="CQ107" s="101" t="inlineStr">
        <is>
          <t>Height: 5 ft 6 in | Weight: 121.3 | Degrees of Freedom: 40 | Payload: 30.9 | Max Speed: 3.11 | Battery / Runtime: ≈ 7 hours</t>
        </is>
      </c>
    </row>
    <row r="108" ht="31.5" customHeight="1" s="102">
      <c r="A108" s="152" t="inlineStr">
        <is>
          <t>leju_robot_suzhou_leju_robotics_co_ltd_roban2</t>
        </is>
      </c>
      <c r="B108" s="153" t="inlineStr">
        <is>
          <t>Humanoid.guide</t>
        </is>
      </c>
      <c r="C108" s="152" t="inlineStr">
        <is>
          <t>Leju Robot (Suzhou Leju Robotics Co., Ltd.)</t>
        </is>
      </c>
      <c r="D108" s="152" t="inlineStr">
        <is>
          <t>Roban2</t>
        </is>
      </c>
      <c r="E108" s="152" t="inlineStr">
        <is>
          <t>[Leju Robot] Roban2 (2026)</t>
        </is>
      </c>
      <c r="F108" s="146" t="inlineStr">
        <is>
          <t>humanoid</t>
        </is>
      </c>
      <c r="G108" s="152" t="inlineStr">
        <is>
          <t>China</t>
        </is>
      </c>
      <c r="H108" s="152" t="n"/>
      <c r="I108" s="155" t="n">
        <v>25000</v>
      </c>
      <c r="J108" s="152" t="inlineStr">
        <is>
          <t>Humanoid.guide list</t>
        </is>
      </c>
      <c r="K108" s="156" t="inlineStr">
        <is>
          <t>Roban2 is a compact humanoid robot from Leju Robot designed for research, training, and light industrial demonstrations, offering stable movement, reliable perception, and flexible manipulation.</t>
        </is>
      </c>
      <c r="L108" s="101" t="inlineStr">
        <is>
          <t>Roban2 is a compact humanoid robot from Leju Robot designed for research, training, and light industrial demonstrations, offering stable movement, reliable perception, and flexible manipulation.</t>
        </is>
      </c>
      <c r="M108" s="101" t="inlineStr">
        <is>
          <t>Roban2 is a compact humanoid robot from Leju Robot designed for research, training, and light industrial demonstrations, offering stable movement, reliable perception, and flexible manipulation. Public status is listed as prototype, and it is positioned for demonstration platforms; education; research labs.</t>
        </is>
      </c>
      <c r="N108" s="157" t="inlineStr">
        <is>
          <t>https://humanoid.guide/product/roban-2/</t>
        </is>
      </c>
      <c r="O108" s="157" t="inlineStr">
        <is>
          <t>https://www.lejurobot.com</t>
        </is>
      </c>
      <c r="P108" s="152" t="inlineStr">
        <is>
          <t>4 ft 9 in</t>
        </is>
      </c>
      <c r="Q108" s="152" t="n">
        <v>145</v>
      </c>
      <c r="R108" s="152" t="n">
        <v>88.2</v>
      </c>
      <c r="S108" s="152" t="n">
        <v>40</v>
      </c>
      <c r="T108" s="156" t="inlineStr">
        <is>
          <t>Not disclosed</t>
        </is>
      </c>
      <c r="U108" s="152" t="inlineStr">
        <is>
          <t>160 × 55 × 45 cm</t>
        </is>
      </c>
      <c r="V108" s="152" t="inlineStr">
        <is>
          <t>40</t>
        </is>
      </c>
      <c r="W108" s="156" t="inlineStr">
        <is>
          <t>10</t>
        </is>
      </c>
      <c r="X108" s="152" t="n">
        <v>19.8</v>
      </c>
      <c r="Y108" s="152" t="n">
        <v>9</v>
      </c>
      <c r="Z108" s="152" t="n">
        <v>1.86</v>
      </c>
      <c r="AA108" s="152" t="n">
        <v>3</v>
      </c>
      <c r="AB108" s="152" t="n">
        <v>2</v>
      </c>
      <c r="AC108" s="156" t="inlineStr">
        <is>
          <t>≈ 2 hours</t>
        </is>
      </c>
      <c r="AD108" s="156" t="inlineStr">
        <is>
          <t>2</t>
        </is>
      </c>
      <c r="AE108" s="152" t="n"/>
      <c r="AF108" s="152" t="inlineStr">
        <is>
          <t>Not disclosed</t>
        </is>
      </c>
      <c r="AG108" s="156" t="inlineStr">
        <is>
          <t>5 per hand</t>
        </is>
      </c>
      <c r="AH108" s="152" t="inlineStr">
        <is>
          <t>5 per hand</t>
        </is>
      </c>
      <c r="AI108" s="151" t="n">
        <v>3</v>
      </c>
      <c r="AJ108" s="156" t="inlineStr">
        <is>
          <t>1080p stereo vision + depth sensing</t>
        </is>
      </c>
      <c r="AK108" s="156" t="inlineStr">
        <is>
          <t>1080p stereo vision + depth sensing</t>
        </is>
      </c>
      <c r="AL108" s="152" t="inlineStr">
        <is>
          <t>Not disclosed</t>
        </is>
      </c>
      <c r="AM108" s="152" t="n"/>
      <c r="AN108" s="152" t="inlineStr">
        <is>
          <t>Not disclosed</t>
        </is>
      </c>
      <c r="AO108" s="152" t="inlineStr">
        <is>
          <t>Not disclosed</t>
        </is>
      </c>
      <c r="AP108" s="152" t="inlineStr">
        <is>
          <t>Not disclosed</t>
        </is>
      </c>
      <c r="AQ108" s="152" t="inlineStr">
        <is>
          <t>Not disclosed</t>
        </is>
      </c>
      <c r="AR108" s="152" t="n"/>
      <c r="AS108" s="152" t="n"/>
      <c r="AT108" s="156" t="inlineStr">
        <is>
          <t>ARM + embedded GPU</t>
        </is>
      </c>
      <c r="AU108" s="156" t="inlineStr">
        <is>
          <t>Bluetooth; Ethernet; USB; Wi‑Fi</t>
        </is>
      </c>
      <c r="AV108" s="152" t="inlineStr">
        <is>
          <t>Not disclosed</t>
        </is>
      </c>
      <c r="AW108" s="156" t="inlineStr">
        <is>
          <t>Not disclosed</t>
        </is>
      </c>
      <c r="AX108" s="151" t="n">
        <v>3</v>
      </c>
      <c r="AY108" s="156" t="inlineStr">
        <is>
          <t>Linux (ROS2-based)</t>
        </is>
      </c>
      <c r="AZ108" s="156" t="inlineStr">
        <is>
          <t>External cloud connection possible; not native</t>
        </is>
      </c>
      <c r="BA108" s="156" t="inlineStr">
        <is>
          <t>&amp;lt;200ms (End-to-End)</t>
        </is>
      </c>
      <c r="BB108" s="156" t="inlineStr">
        <is>
          <t>Electric servo motors</t>
        </is>
      </c>
      <c r="BC108" s="156" t="inlineStr">
        <is>
          <t>Harmonic/planetary mixed reducers</t>
        </is>
      </c>
      <c r="BD108" s="152" t="inlineStr">
        <is>
          <t>Aluminum alloy + ABS composite shells</t>
        </is>
      </c>
      <c r="BE108" s="152" t="inlineStr">
        <is>
          <t>IP20</t>
        </is>
      </c>
      <c r="BF108" s="152" t="inlineStr">
        <is>
          <t>IP20</t>
        </is>
      </c>
      <c r="BG108" s="152" t="n"/>
      <c r="BH108" s="152" t="n"/>
      <c r="BI108" s="152" t="n"/>
      <c r="BJ108" s="152" t="n"/>
      <c r="BK108" s="152" t="n"/>
      <c r="BL108" s="152" t="n"/>
      <c r="BM108" s="152" t="inlineStr">
        <is>
          <t>Yes</t>
        </is>
      </c>
      <c r="BN108" s="152" t="inlineStr">
        <is>
          <t>Not disclosed</t>
        </is>
      </c>
      <c r="BO108" s="156" t="inlineStr">
        <is>
          <t>Market: demonstration platforms; education; research labs · Manipulation 3/4 · Navigation 3/4 · Human-safe: Yes · AI: External cloud connection possible; not native · Actuation: Electric servo motors · Peak 3 km/h · Walk 2 km/h · Runtime 2</t>
        </is>
      </c>
      <c r="BP108" s="152" t="n"/>
      <c r="BQ108" s="156" t="inlineStr">
        <is>
          <t>demonstration platforms; education; research labs</t>
        </is>
      </c>
      <c r="BR108" s="156" t="inlineStr">
        <is>
          <t>Prototype</t>
        </is>
      </c>
      <c r="BS108" s="156" t="inlineStr">
        <is>
          <t>Prototype</t>
        </is>
      </c>
      <c r="BT108" s="152" t="inlineStr">
        <is>
          <t>Silver</t>
        </is>
      </c>
      <c r="BU108" s="152" t="inlineStr">
        <is>
          <t>Not verified</t>
        </is>
      </c>
      <c r="BV108" s="156" t="n"/>
      <c r="BW108" s="156" t="inlineStr">
        <is>
          <t>Origin &amp; status — China · Prototype · 2026 | Manipulation — 5 per hand · 5 per hand fingers · Hand DOF 10 · Payload 19.8 lb | Sensing &amp; software — 1080p stereo vision + depth sensing · External cloud connection possible; not native · Linux (ROS2-based) | Buying notes — From $25,000 · 12 months manufacturer standard (typical research/commercial humanoid) · Best fit: demonstration platforms</t>
        </is>
      </c>
      <c r="BX108" s="156" t="inlineStr">
        <is>
          <t>as_shipped|Roban2|25000|As shipped</t>
        </is>
      </c>
      <c r="BY108" s="152" t="inlineStr">
        <is>
          <t>silver|Silver|#e2e8f0|0</t>
        </is>
      </c>
      <c r="BZ108" s="152" t="inlineStr"/>
      <c r="CA108" s="156" t="n"/>
      <c r="CB108" s="156" t="inlineStr">
        <is>
          <t>12 months manufacturer standard (typical research/commercial humanoid)</t>
        </is>
      </c>
      <c r="CC108" s="154" t="n">
        <v>12</v>
      </c>
      <c r="CD108" s="156" t="inlineStr">
        <is>
          <t>+3 Year Extended ≈24% of configuration (default in configurator)</t>
        </is>
      </c>
      <c r="CE108" s="152" t="inlineStr">
        <is>
          <t>Humanoid category norm 2025–2026</t>
        </is>
      </c>
      <c r="CF108" s="152" t="inlineStr">
        <is>
          <t>Estimated</t>
        </is>
      </c>
      <c r="CG108" s="156" t="inlineStr">
        <is>
          <t>Confirm on formal OEM quote. EDU or enterprise packages may differ.</t>
        </is>
      </c>
      <c r="CH108" s="152" t="inlineStr">
        <is>
          <t>10%</t>
        </is>
      </c>
      <c r="CI108" s="152" t="inlineStr">
        <is>
          <t>17%</t>
        </is>
      </c>
      <c r="CJ108" s="152" t="inlineStr">
        <is>
          <t>24%</t>
        </is>
      </c>
      <c r="CK108" s="156" t="inlineStr">
        <is>
          <t>+1yr ≈10% | +2yr ≈17% | +3yr ≈24% of selected configuration price (parts &amp; labor beyond manufacturer standard).</t>
        </is>
      </c>
      <c r="CL108"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08" s="152" t="inlineStr">
        <is>
          <t>12 months manufacturer standard (typical research/commercial humanoid)</t>
        </is>
      </c>
      <c r="CQ108" s="101" t="inlineStr">
        <is>
          <t>Height: 4 ft 9 in | Weight: 88.2 | Degrees of Freedom: 40 | Payload: 19.8 | Max Speed: 1.86 | Battery / Runtime: ≈ 2 hours</t>
        </is>
      </c>
    </row>
    <row r="109" ht="31.5" customHeight="1" s="102">
      <c r="A109" s="143" t="inlineStr">
        <is>
          <t>leju_robotics_various_volume_ranked</t>
        </is>
      </c>
      <c r="B109" s="160" t="inlineStr">
        <is>
          <t>Website</t>
        </is>
      </c>
      <c r="C109" s="145" t="inlineStr">
        <is>
          <t>Leju Robotics</t>
        </is>
      </c>
      <c r="D109" s="145" t="inlineStr">
        <is>
          <t>Humanoid Series</t>
        </is>
      </c>
      <c r="E109" s="145" t="inlineStr">
        <is>
          <t>[Leju] Humanoid Series (2025)</t>
        </is>
      </c>
      <c r="F109" s="146" t="inlineStr">
        <is>
          <t>humanoid</t>
        </is>
      </c>
      <c r="G109" s="145" t="inlineStr">
        <is>
          <t>China</t>
        </is>
      </c>
      <c r="H109" s="147" t="n">
        <v>2025</v>
      </c>
      <c r="I109" s="148" t="n">
        <v>50000</v>
      </c>
      <c r="J109" s="145" t="inlineStr">
        <is>
          <t>Website store</t>
        </is>
      </c>
      <c r="K109" s="149" t="inlineStr">
        <is>
          <t>Humanoid Series is Leju Robotics's humanoid — Not disclosed DOF. Grippers or dexterous hands depending on configuration; RGB and/or depth cameras for navigation and manipulation (configuration specific).</t>
        </is>
      </c>
      <c r="L109" s="101" t="inlineStr">
        <is>
          <t>Humanoid Series is Leju Robotics's humanoid — Not disclosed DOF. Grippers or dexterous hands depending on configuration; RGB and/or depth cameras for navigation and manipulation (configuration specific).</t>
        </is>
      </c>
      <c r="M109" s="101" t="inlineStr">
        <is>
          <t>Humanoid Series is Leju Robotics's humanoid — Not disclosed DOF. Grippers or dexterous hands depending on configuration; RGB and/or depth cameras for navigation and manipulation (configuration specific). Public status is listed as top-5 Chinese shipper H1 2026, and it is positioned for industrial / Volume.</t>
        </is>
      </c>
      <c r="N109" s="145" t="n"/>
      <c r="O109" s="145" t="inlineStr">
        <is>
          <t>https://www.lejurobot.com</t>
        </is>
      </c>
      <c r="P109" s="145" t="n"/>
      <c r="Q109" s="145" t="n"/>
      <c r="R109" s="145" t="n"/>
      <c r="S109" s="145" t="n"/>
      <c r="T109" s="149" t="inlineStr">
        <is>
          <t>Not disclosed</t>
        </is>
      </c>
      <c r="U109" s="145" t="n"/>
      <c r="V109" s="145" t="inlineStr">
        <is>
          <t>Not disclosed</t>
        </is>
      </c>
      <c r="W109" s="149" t="inlineStr">
        <is>
          <t>Not disclosed</t>
        </is>
      </c>
      <c r="X109" s="145" t="n"/>
      <c r="Y109" s="145" t="n"/>
      <c r="Z109" s="145" t="n"/>
      <c r="AA109" s="145" t="n"/>
      <c r="AB109" s="145" t="n"/>
      <c r="AC109" s="149" t="inlineStr">
        <is>
          <t>Not disclosed</t>
        </is>
      </c>
      <c r="AD109" s="149" t="n"/>
      <c r="AE109" s="145" t="n"/>
      <c r="AF109" s="145" t="inlineStr">
        <is>
          <t>Not disclosed</t>
        </is>
      </c>
      <c r="AG109" s="149" t="inlineStr">
        <is>
          <t>Grippers or dexterous hands depending on configuration</t>
        </is>
      </c>
      <c r="AH109" s="145" t="inlineStr">
        <is>
          <t>Not disclosed</t>
        </is>
      </c>
      <c r="AI109" s="145" t="n"/>
      <c r="AJ109" s="149" t="inlineStr">
        <is>
          <t>RGB and/or depth cameras for navigation and manipulation (configuration specific)</t>
        </is>
      </c>
      <c r="AK109" s="149" t="n"/>
      <c r="AL109" s="145" t="inlineStr">
        <is>
          <t>Onboard streams for teleoperation and logging when equipped</t>
        </is>
      </c>
      <c r="AM109" s="145" t="n"/>
      <c r="AN109" s="145" t="inlineStr">
        <is>
          <t>Not disclosed</t>
        </is>
      </c>
      <c r="AO109" s="145" t="inlineStr">
        <is>
          <t>Microphone array on interaction-oriented builds</t>
        </is>
      </c>
      <c r="AP109" s="145" t="inlineStr">
        <is>
          <t>Not disclosed</t>
        </is>
      </c>
      <c r="AQ109" s="145" t="inlineStr">
        <is>
          <t>Not disclosed</t>
        </is>
      </c>
      <c r="AR109" s="145" t="n"/>
      <c r="AS109" s="145" t="n"/>
      <c r="AT109" s="149" t="inlineStr">
        <is>
          <t>Not disclosed</t>
        </is>
      </c>
      <c r="AU109" s="149" t="inlineStr">
        <is>
          <t>Not disclosed</t>
        </is>
      </c>
      <c r="AV109" s="145" t="inlineStr">
        <is>
          <t>Manufacturer app and/or SDK</t>
        </is>
      </c>
      <c r="AW109" s="149" t="inlineStr">
        <is>
          <t>Bipedal balance and walking controllers</t>
        </is>
      </c>
      <c r="AX109" s="145" t="n"/>
      <c r="AY109" s="149" t="inlineStr">
        <is>
          <t>Not disclosed</t>
        </is>
      </c>
      <c r="AZ109" s="149" t="inlineStr">
        <is>
          <t>Not disclosed</t>
        </is>
      </c>
      <c r="BA109" s="149" t="n"/>
      <c r="BB109" s="149" t="inlineStr">
        <is>
          <t>Not disclosed</t>
        </is>
      </c>
      <c r="BC109" s="149" t="inlineStr">
        <is>
          <t>Not disclosed</t>
        </is>
      </c>
      <c r="BD109" s="145" t="inlineStr">
        <is>
          <t>Not disclosed</t>
        </is>
      </c>
      <c r="BE109" s="145" t="inlineStr">
        <is>
          <t>Not disclosed</t>
        </is>
      </c>
      <c r="BF109" s="145" t="n"/>
      <c r="BG109" s="145" t="n"/>
      <c r="BH109" s="145" t="n"/>
      <c r="BI109" s="145" t="n"/>
      <c r="BJ109" s="145" t="n"/>
      <c r="BK109" s="145" t="n"/>
      <c r="BL109" s="145" t="n"/>
      <c r="BM109" s="145" t="inlineStr">
        <is>
          <t>Not disclosed</t>
        </is>
      </c>
      <c r="BN109" s="145" t="inlineStr">
        <is>
          <t>Not disclosed</t>
        </is>
      </c>
      <c r="BO109" s="149" t="inlineStr">
        <is>
          <t>Market: Industrial / Volume · The Humanoid Series is a bipedal humanoid robot from Leju Robotics, associated with development and availability timelines around 2025.</t>
        </is>
      </c>
      <c r="BP109" s="145" t="n"/>
      <c r="BQ109" s="149" t="inlineStr">
        <is>
          <t>Industrial / Volume</t>
        </is>
      </c>
      <c r="BR109" s="149" t="inlineStr">
        <is>
          <t>Top-5 Chinese shipper H1 2026</t>
        </is>
      </c>
      <c r="BS109" s="149" t="n"/>
      <c r="BT109" s="145" t="n"/>
      <c r="BU109" s="145" t="n"/>
      <c r="BV109" s="149" t="inlineStr">
        <is>
          <t>Among top Chinese volume shippers</t>
        </is>
      </c>
      <c r="BW109" s="149" t="inlineStr">
        <is>
          <t>Origin &amp; status — China · Top-5 Chinese shipper H1 2026 · 2025 | Manipulation — Grippers or dexterous hands depending on configuration | Sensing &amp; software — RGB and/or depth cameras for navigation and manipulation (configuration specific) · Manufacturer app and/or SDK | Buying notes — From $50,000 · 12 months manufacturer standard (typical research/commercial humanoid) · Best fit: Industrial</t>
        </is>
      </c>
      <c r="BX109" s="149" t="inlineStr">
        <is>
          <t>as_shipped|Humanoid Series|50000|As shipped</t>
        </is>
      </c>
      <c r="BY109" s="145" t="inlineStr">
        <is>
          <t>humanoid_series|Manufacturer finish|#e2e8f0|0</t>
        </is>
      </c>
      <c r="BZ109" s="145" t="inlineStr"/>
      <c r="CA109" s="149" t="inlineStr">
        <is>
          <t>Add-ons: case; 2 color options; Multi-year extended warranty available</t>
        </is>
      </c>
      <c r="CB109" s="149" t="inlineStr">
        <is>
          <t>12 months manufacturer standard (typical research/commercial humanoid)</t>
        </is>
      </c>
      <c r="CC109" s="147" t="n">
        <v>12</v>
      </c>
      <c r="CD109" s="149" t="inlineStr">
        <is>
          <t>+3 Year Extended ≈24% of configuration (default in configurator)</t>
        </is>
      </c>
      <c r="CE109" s="145" t="inlineStr">
        <is>
          <t>Humanoid category norm 2025–2026</t>
        </is>
      </c>
      <c r="CF109" s="145" t="inlineStr">
        <is>
          <t>Estimated</t>
        </is>
      </c>
      <c r="CG109" s="149" t="inlineStr">
        <is>
          <t>EDU or enterprise packages may differ; confirm on formal quote.</t>
        </is>
      </c>
      <c r="CH109" s="145" t="inlineStr">
        <is>
          <t>10%</t>
        </is>
      </c>
      <c r="CI109" s="145" t="inlineStr">
        <is>
          <t>17%</t>
        </is>
      </c>
      <c r="CJ109" s="145" t="inlineStr">
        <is>
          <t>24%</t>
        </is>
      </c>
      <c r="CK10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10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09" s="145" t="inlineStr">
        <is>
          <t>12 months manufacturer standard (typical research/commercial humanoid)</t>
        </is>
      </c>
      <c r="CQ109" s="101" t="inlineStr">
        <is>
          <t>Height: Not disclosed | Weight: Not disclosed | Degrees of Freedom: Not disclosed | Payload: Not disclosed | Max Speed: Not disclosed | Battery / Runtime: Not disclosed</t>
        </is>
      </c>
    </row>
    <row r="110" ht="31.5" customHeight="1" s="102">
      <c r="A110" s="152" t="inlineStr">
        <is>
          <t>leju_robotics_kuavo_my</t>
        </is>
      </c>
      <c r="B110" s="153" t="inlineStr">
        <is>
          <t>Humanoid.guide</t>
        </is>
      </c>
      <c r="C110" s="152" t="inlineStr">
        <is>
          <t>Leju Robotics</t>
        </is>
      </c>
      <c r="D110" s="152" t="inlineStr">
        <is>
          <t>Kuavo-my</t>
        </is>
      </c>
      <c r="E110" s="152" t="inlineStr">
        <is>
          <t>[Leju Robotics] Kuavo-my (2026)</t>
        </is>
      </c>
      <c r="F110" s="146" t="inlineStr">
        <is>
          <t>humanoid</t>
        </is>
      </c>
      <c r="G110" s="152" t="inlineStr">
        <is>
          <t>China</t>
        </is>
      </c>
      <c r="H110" s="152" t="n"/>
      <c r="I110" s="155" t="n">
        <v>50000</v>
      </c>
      <c r="J110" s="152" t="inlineStr">
        <is>
          <t>Humanoid.guide list</t>
        </is>
      </c>
      <c r="K110" s="156" t="inlineStr">
        <is>
          <t>Kuavo-my is a humanoid robot developed by Leju Robotics for commercial and service applications.</t>
        </is>
      </c>
      <c r="L110" s="101" t="inlineStr">
        <is>
          <t>Kuavo-my is a humanoid robot developed by Leju Robotics for commercial and service applications.</t>
        </is>
      </c>
      <c r="M110" s="101" t="inlineStr">
        <is>
          <t>Kuavo-my is a humanoid robot developed by Leju Robotics for commercial and service applications. Public status is listed as prototype.</t>
        </is>
      </c>
      <c r="N110" s="157" t="inlineStr">
        <is>
          <t>https://humanoid.guide/product/kuavo-my/</t>
        </is>
      </c>
      <c r="O110" s="157" t="inlineStr">
        <is>
          <t>https://www.lejurobot.com</t>
        </is>
      </c>
      <c r="P110" s="152" t="inlineStr">
        <is>
          <t>4 ft 9 in</t>
        </is>
      </c>
      <c r="Q110" s="152" t="n">
        <v>145</v>
      </c>
      <c r="R110" s="152" t="n">
        <v>99.2</v>
      </c>
      <c r="S110" s="152" t="n">
        <v>45</v>
      </c>
      <c r="T110" s="156" t="inlineStr">
        <is>
          <t>Not disclosed</t>
        </is>
      </c>
      <c r="U110" s="152" t="n"/>
      <c r="V110" s="152" t="inlineStr">
        <is>
          <t>26</t>
        </is>
      </c>
      <c r="W110" s="156" t="inlineStr">
        <is>
          <t>Not disclosed</t>
        </is>
      </c>
      <c r="X110" s="152" t="n">
        <v>6.6</v>
      </c>
      <c r="Y110" s="152" t="n">
        <v>3</v>
      </c>
      <c r="Z110" s="152" t="n">
        <v>2.8</v>
      </c>
      <c r="AA110" s="152" t="n">
        <v>4.5</v>
      </c>
      <c r="AB110" s="152" t="n"/>
      <c r="AC110" s="156" t="inlineStr">
        <is>
          <t>Not disclosed</t>
        </is>
      </c>
      <c r="AD110" s="156" t="n"/>
      <c r="AE110" s="152" t="n"/>
      <c r="AF110" s="152" t="inlineStr">
        <is>
          <t>Not disclosed</t>
        </is>
      </c>
      <c r="AG110" s="156" t="inlineStr">
        <is>
          <t>Not disclosed</t>
        </is>
      </c>
      <c r="AH110" s="152" t="inlineStr">
        <is>
          <t>Not disclosed</t>
        </is>
      </c>
      <c r="AI110" s="158" t="n">
        <v>2</v>
      </c>
      <c r="AJ110" s="156" t="inlineStr">
        <is>
          <t>Not disclosed</t>
        </is>
      </c>
      <c r="AK110" s="156" t="n"/>
      <c r="AL110" s="152" t="inlineStr">
        <is>
          <t>Not disclosed</t>
        </is>
      </c>
      <c r="AM110" s="152" t="n"/>
      <c r="AN110" s="152" t="inlineStr">
        <is>
          <t>Not disclosed</t>
        </is>
      </c>
      <c r="AO110" s="152" t="inlineStr">
        <is>
          <t>Not disclosed</t>
        </is>
      </c>
      <c r="AP110" s="152" t="inlineStr">
        <is>
          <t>Not disclosed</t>
        </is>
      </c>
      <c r="AQ110" s="152" t="inlineStr">
        <is>
          <t>Not disclosed</t>
        </is>
      </c>
      <c r="AR110" s="152" t="n"/>
      <c r="AS110" s="152" t="n"/>
      <c r="AT110" s="156" t="inlineStr">
        <is>
          <t>Not disclosed</t>
        </is>
      </c>
      <c r="AU110" s="156" t="inlineStr">
        <is>
          <t>Not disclosed</t>
        </is>
      </c>
      <c r="AV110" s="152" t="inlineStr">
        <is>
          <t>Not disclosed</t>
        </is>
      </c>
      <c r="AW110" s="156" t="inlineStr">
        <is>
          <t>Not disclosed</t>
        </is>
      </c>
      <c r="AX110" s="158" t="n">
        <v>2</v>
      </c>
      <c r="AY110" s="156" t="inlineStr">
        <is>
          <t>Not disclosed</t>
        </is>
      </c>
      <c r="AZ110" s="156" t="inlineStr">
        <is>
          <t>Not disclosed</t>
        </is>
      </c>
      <c r="BA110" s="156" t="n"/>
      <c r="BB110" s="156" t="inlineStr">
        <is>
          <t>Not disclosed</t>
        </is>
      </c>
      <c r="BC110" s="156" t="inlineStr">
        <is>
          <t>Not disclosed</t>
        </is>
      </c>
      <c r="BD110" s="152" t="inlineStr">
        <is>
          <t>Not disclosed</t>
        </is>
      </c>
      <c r="BE110" s="152" t="inlineStr">
        <is>
          <t>Not disclosed</t>
        </is>
      </c>
      <c r="BF110" s="152" t="n"/>
      <c r="BG110" s="152" t="n"/>
      <c r="BH110" s="152" t="n"/>
      <c r="BI110" s="152" t="n"/>
      <c r="BJ110" s="152" t="n"/>
      <c r="BK110" s="152" t="n"/>
      <c r="BL110" s="152" t="n"/>
      <c r="BM110" s="152" t="inlineStr">
        <is>
          <t>Not disclosed</t>
        </is>
      </c>
      <c r="BN110" s="152" t="inlineStr">
        <is>
          <t>Not disclosed</t>
        </is>
      </c>
      <c r="BO110" s="156" t="inlineStr">
        <is>
          <t>Manipulation 2/4 · Navigation 2/4 · Peak 4.5 km/h</t>
        </is>
      </c>
      <c r="BP110" s="152" t="n"/>
      <c r="BQ110" s="156" t="inlineStr">
        <is>
          <t>Research labs, commercial pilots, and education programs evaluating a humanoid from Leju Robotics (China) now listed as prototype.</t>
        </is>
      </c>
      <c r="BR110" s="156" t="inlineStr">
        <is>
          <t>Prototype</t>
        </is>
      </c>
      <c r="BS110" s="156" t="inlineStr">
        <is>
          <t>Prototype</t>
        </is>
      </c>
      <c r="BT110" s="152" t="n"/>
      <c r="BU110" s="152" t="inlineStr">
        <is>
          <t>Not verified</t>
        </is>
      </c>
      <c r="BV110" s="156" t="n"/>
      <c r="BW110" s="156" t="inlineStr">
        <is>
          <t>Origin &amp; status — China · Prototype · 2026 | Manipulation — Payload 6.6 lb | Sensing &amp; software — Sensor and compute package confirmed on formal quote | Buying notes — From $50,000 · 12 months manufacturer standard (typical research/commercial humanoid)</t>
        </is>
      </c>
      <c r="BX110" s="156" t="inlineStr">
        <is>
          <t>as_shipped|Kuavo-my|50000|As shipped</t>
        </is>
      </c>
      <c r="BY110" s="152" t="inlineStr">
        <is>
          <t>kuavo_my|Manufacturer finish|#e2e8f0|0</t>
        </is>
      </c>
      <c r="BZ110" s="152" t="inlineStr"/>
      <c r="CA110" s="156" t="n"/>
      <c r="CB110" s="156" t="inlineStr">
        <is>
          <t>12 months manufacturer standard (typical research/commercial humanoid)</t>
        </is>
      </c>
      <c r="CC110" s="154" t="n">
        <v>12</v>
      </c>
      <c r="CD110" s="156" t="inlineStr">
        <is>
          <t>+3 Year Extended ≈24% of configuration (default in configurator)</t>
        </is>
      </c>
      <c r="CE110" s="152" t="inlineStr">
        <is>
          <t>Humanoid category norm 2025–2026</t>
        </is>
      </c>
      <c r="CF110" s="152" t="inlineStr">
        <is>
          <t>Estimated</t>
        </is>
      </c>
      <c r="CG110" s="156" t="inlineStr">
        <is>
          <t>Confirm on formal OEM quote. EDU or enterprise packages may differ.</t>
        </is>
      </c>
      <c r="CH110" s="152" t="inlineStr">
        <is>
          <t>10%</t>
        </is>
      </c>
      <c r="CI110" s="152" t="inlineStr">
        <is>
          <t>17%</t>
        </is>
      </c>
      <c r="CJ110" s="152" t="inlineStr">
        <is>
          <t>24%</t>
        </is>
      </c>
      <c r="CK110" s="156" t="inlineStr">
        <is>
          <t>+1yr ≈10% | +2yr ≈17% | +3yr ≈24% of selected configuration price (parts &amp; labor beyond manufacturer standard).</t>
        </is>
      </c>
      <c r="CL110"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10" s="152" t="inlineStr">
        <is>
          <t>12 months manufacturer standard (typical research/commercial humanoid)</t>
        </is>
      </c>
      <c r="CQ110" s="101" t="inlineStr">
        <is>
          <t>Height: 4 ft 9 in | Weight: 99.2 | Degrees of Freedom: 26 | Payload: 6.6 | Max Speed: 2.8 | Battery / Runtime: Not disclosed</t>
        </is>
      </c>
    </row>
    <row r="111" ht="31.5" customHeight="1" s="102">
      <c r="A111" s="145" t="inlineStr">
        <is>
          <t>leju_robotics_xtron_kuavo_my</t>
        </is>
      </c>
      <c r="B111" s="153" t="inlineStr">
        <is>
          <t>Humanoid.guide</t>
        </is>
      </c>
      <c r="C111" s="145" t="inlineStr">
        <is>
          <t>Leju Robotics</t>
        </is>
      </c>
      <c r="D111" s="145" t="inlineStr">
        <is>
          <t>XTRON KUAVO-MY</t>
        </is>
      </c>
      <c r="E111" s="145" t="inlineStr">
        <is>
          <t>[Leju Robotics] XTRON KUAVO-MY (2026)</t>
        </is>
      </c>
      <c r="F111" s="146" t="inlineStr">
        <is>
          <t>humanoid</t>
        </is>
      </c>
      <c r="G111" s="145" t="inlineStr">
        <is>
          <t>China</t>
        </is>
      </c>
      <c r="H111" s="145" t="n"/>
      <c r="I111" s="148" t="n">
        <v>57000</v>
      </c>
      <c r="J111" s="145" t="inlineStr">
        <is>
          <t>Humanoid.guide list</t>
        </is>
      </c>
      <c r="K111" s="149" t="inlineStr">
        <is>
          <t>XTRON KUAVO-MY is Leju Robotics's humanoid — 5 ft 5 in class, 30 DOF, 17.6 lb payload. Aimed at research, commercial pilots, education, and professional deployment.</t>
        </is>
      </c>
      <c r="L111" s="101" t="inlineStr">
        <is>
          <t>XTRON KUAVO-MY is Leju Robotics's humanoid — 5 ft 5 in class, 30 DOF, 17.6 lb payload. Aimed at research, commercial pilots, education, and professional deployment.</t>
        </is>
      </c>
      <c r="M111" s="101" t="inlineStr">
        <is>
          <t>XTRON KUAVO-MY is Leju Robotics's humanoid — 5 ft 5 in class, 30 DOF, 17.6 lb payload. Aimed at research, commercial pilots, education, and professional deployment. Public status is listed as prototype.</t>
        </is>
      </c>
      <c r="N111" s="150" t="inlineStr">
        <is>
          <t>https://humanoid.guide/product/xtron-kuavo-my/</t>
        </is>
      </c>
      <c r="O111" s="150" t="inlineStr">
        <is>
          <t>https://www.lejurobot.com</t>
        </is>
      </c>
      <c r="P111" s="145" t="inlineStr">
        <is>
          <t>5 ft 5 in</t>
        </is>
      </c>
      <c r="Q111" s="145" t="n">
        <v>166</v>
      </c>
      <c r="R111" s="145" t="n">
        <v>121.3</v>
      </c>
      <c r="S111" s="145" t="n">
        <v>55</v>
      </c>
      <c r="T111" s="149" t="inlineStr">
        <is>
          <t>Not disclosed</t>
        </is>
      </c>
      <c r="U111" s="145" t="n"/>
      <c r="V111" s="145" t="inlineStr">
        <is>
          <t>30</t>
        </is>
      </c>
      <c r="W111" s="149" t="inlineStr">
        <is>
          <t>Not disclosed</t>
        </is>
      </c>
      <c r="X111" s="145" t="n">
        <v>17.6</v>
      </c>
      <c r="Y111" s="145" t="n">
        <v>8</v>
      </c>
      <c r="Z111" s="145" t="n">
        <v>1.55</v>
      </c>
      <c r="AA111" s="145" t="n">
        <v>2.5</v>
      </c>
      <c r="AB111" s="145" t="n"/>
      <c r="AC111" s="149" t="inlineStr">
        <is>
          <t>Not disclosed</t>
        </is>
      </c>
      <c r="AD111" s="149" t="n"/>
      <c r="AE111" s="145" t="n"/>
      <c r="AF111" s="145" t="inlineStr">
        <is>
          <t>Not disclosed</t>
        </is>
      </c>
      <c r="AG111" s="149" t="inlineStr">
        <is>
          <t>Not disclosed</t>
        </is>
      </c>
      <c r="AH111" s="145" t="inlineStr">
        <is>
          <t>Not disclosed</t>
        </is>
      </c>
      <c r="AI111" s="158" t="n">
        <v>2</v>
      </c>
      <c r="AJ111" s="149" t="inlineStr">
        <is>
          <t>Not disclosed</t>
        </is>
      </c>
      <c r="AK111" s="149" t="n"/>
      <c r="AL111" s="145" t="inlineStr">
        <is>
          <t>Not disclosed</t>
        </is>
      </c>
      <c r="AM111" s="145" t="n"/>
      <c r="AN111" s="145" t="inlineStr">
        <is>
          <t>Not disclosed</t>
        </is>
      </c>
      <c r="AO111" s="145" t="inlineStr">
        <is>
          <t>Not disclosed</t>
        </is>
      </c>
      <c r="AP111" s="145" t="inlineStr">
        <is>
          <t>Not disclosed</t>
        </is>
      </c>
      <c r="AQ111" s="145" t="inlineStr">
        <is>
          <t>Not disclosed</t>
        </is>
      </c>
      <c r="AR111" s="145" t="n"/>
      <c r="AS111" s="145" t="n"/>
      <c r="AT111" s="149" t="inlineStr">
        <is>
          <t>Not disclosed</t>
        </is>
      </c>
      <c r="AU111" s="149" t="inlineStr">
        <is>
          <t>Not disclosed</t>
        </is>
      </c>
      <c r="AV111" s="145" t="inlineStr">
        <is>
          <t>Not disclosed</t>
        </is>
      </c>
      <c r="AW111" s="149" t="inlineStr">
        <is>
          <t>Not disclosed</t>
        </is>
      </c>
      <c r="AX111" s="158" t="n">
        <v>2</v>
      </c>
      <c r="AY111" s="149" t="inlineStr">
        <is>
          <t>Not disclosed</t>
        </is>
      </c>
      <c r="AZ111" s="149" t="inlineStr">
        <is>
          <t>Not disclosed</t>
        </is>
      </c>
      <c r="BA111" s="149" t="n"/>
      <c r="BB111" s="149" t="inlineStr">
        <is>
          <t>Not disclosed</t>
        </is>
      </c>
      <c r="BC111" s="149" t="inlineStr">
        <is>
          <t>Not disclosed</t>
        </is>
      </c>
      <c r="BD111" s="145" t="inlineStr">
        <is>
          <t>Not disclosed</t>
        </is>
      </c>
      <c r="BE111" s="145" t="inlineStr">
        <is>
          <t>Not disclosed</t>
        </is>
      </c>
      <c r="BF111" s="145" t="n"/>
      <c r="BG111" s="145" t="n"/>
      <c r="BH111" s="145" t="n"/>
      <c r="BI111" s="145" t="n"/>
      <c r="BJ111" s="145" t="n"/>
      <c r="BK111" s="145" t="n"/>
      <c r="BL111" s="145" t="n"/>
      <c r="BM111" s="145" t="inlineStr">
        <is>
          <t>Not disclosed</t>
        </is>
      </c>
      <c r="BN111" s="145" t="inlineStr">
        <is>
          <t>Not disclosed</t>
        </is>
      </c>
      <c r="BO111" s="149" t="inlineStr">
        <is>
          <t>Manipulation 2/4 · Navigation 2/4 · Peak 2.5 km/h</t>
        </is>
      </c>
      <c r="BP111" s="145" t="n"/>
      <c r="BQ111" s="149" t="inlineStr">
        <is>
          <t>Research labs, commercial pilots, and education programs evaluating a humanoid from Leju Robotics (China) now listed as prototype.</t>
        </is>
      </c>
      <c r="BR111" s="149" t="inlineStr">
        <is>
          <t>Prototype</t>
        </is>
      </c>
      <c r="BS111" s="149" t="inlineStr">
        <is>
          <t>Prototype</t>
        </is>
      </c>
      <c r="BT111" s="145" t="n"/>
      <c r="BU111" s="145" t="inlineStr">
        <is>
          <t>Not verified</t>
        </is>
      </c>
      <c r="BV111" s="149" t="n"/>
      <c r="BW111" s="149" t="inlineStr">
        <is>
          <t>Origin &amp; status — China · Prototype · 2026 | Manipulation — Payload 17.6 lb | Sensing &amp; software — Sensor and compute package confirmed on formal quote | Buying notes — From $57,000 · 12 months manufacturer standard (typical research/commercial humanoid)</t>
        </is>
      </c>
      <c r="BX111" s="149" t="inlineStr">
        <is>
          <t>as_shipped|XTRON KUAVO-MY|57000|As shipped</t>
        </is>
      </c>
      <c r="BY111" s="145" t="inlineStr">
        <is>
          <t>xtron_kuavo_my|Manufacturer finish|#e2e8f0|0</t>
        </is>
      </c>
      <c r="BZ111" s="145" t="inlineStr"/>
      <c r="CA111" s="149" t="n"/>
      <c r="CB111" s="149" t="inlineStr">
        <is>
          <t>12 months manufacturer standard (typical research/commercial humanoid)</t>
        </is>
      </c>
      <c r="CC111" s="147" t="n">
        <v>12</v>
      </c>
      <c r="CD111" s="149" t="inlineStr">
        <is>
          <t>+3 Year Extended ≈24% of configuration (default in configurator)</t>
        </is>
      </c>
      <c r="CE111" s="145" t="inlineStr">
        <is>
          <t>Humanoid category norm 2025–2026</t>
        </is>
      </c>
      <c r="CF111" s="145" t="inlineStr">
        <is>
          <t>Estimated</t>
        </is>
      </c>
      <c r="CG111" s="149" t="inlineStr">
        <is>
          <t>Confirm on formal OEM quote. EDU or enterprise packages may differ.</t>
        </is>
      </c>
      <c r="CH111" s="145" t="inlineStr">
        <is>
          <t>10%</t>
        </is>
      </c>
      <c r="CI111" s="145" t="inlineStr">
        <is>
          <t>17%</t>
        </is>
      </c>
      <c r="CJ111" s="145" t="inlineStr">
        <is>
          <t>24%</t>
        </is>
      </c>
      <c r="CK111" s="149" t="inlineStr">
        <is>
          <t>+1yr ≈10% | +2yr ≈17% | +3yr ≈24% of selected configuration price (parts &amp; labor beyond manufacturer standard).</t>
        </is>
      </c>
      <c r="CL11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11" s="145" t="inlineStr">
        <is>
          <t>12 months manufacturer standard (typical research/commercial humanoid)</t>
        </is>
      </c>
      <c r="CQ111" s="101" t="inlineStr">
        <is>
          <t>Height: 5 ft 5 in | Weight: 121.3 | Degrees of Freedom: 30 | Payload: 17.6 | Max Speed: 1.55 | Battery / Runtime: Not disclosed</t>
        </is>
      </c>
    </row>
    <row r="112" ht="31.5" customHeight="1" s="102">
      <c r="A112" s="152" t="inlineStr">
        <is>
          <t>lg_electronics_cloid</t>
        </is>
      </c>
      <c r="B112" s="153" t="inlineStr">
        <is>
          <t>Humanoid.guide</t>
        </is>
      </c>
      <c r="C112" s="152" t="inlineStr">
        <is>
          <t>LG Electronics</t>
        </is>
      </c>
      <c r="D112" s="152" t="inlineStr">
        <is>
          <t>CLOiD</t>
        </is>
      </c>
      <c r="E112" s="152" t="inlineStr">
        <is>
          <t>[LG Electronics] CLOiD (2026)</t>
        </is>
      </c>
      <c r="F112" s="146" t="inlineStr">
        <is>
          <t>humanoid</t>
        </is>
      </c>
      <c r="G112" s="152" t="inlineStr">
        <is>
          <t>South Korea</t>
        </is>
      </c>
      <c r="H112" s="152" t="n"/>
      <c r="I112" s="155" t="n">
        <v>35000</v>
      </c>
      <c r="J112" s="152" t="inlineStr">
        <is>
          <t>Humanoid.guide list</t>
        </is>
      </c>
      <c r="K112" s="156" t="inlineStr">
        <is>
          <t>CLOiD is LG’s service-oriented humanoid robot platform designed for public and commercial environments.</t>
        </is>
      </c>
      <c r="L112" s="101" t="inlineStr">
        <is>
          <t>CLOiD is LG’s service-oriented humanoid robot platform designed for public and commercial environments.</t>
        </is>
      </c>
      <c r="M112" s="101" t="inlineStr">
        <is>
          <t>CLOiD is LG’s service-oriented humanoid robot platform designed for public and commercial environments. Public status is listed as commercial Pilots / Early Production, and it is positioned for airports; Hospitality; offices; retail.</t>
        </is>
      </c>
      <c r="N112" s="157" t="inlineStr">
        <is>
          <t>https://humanoid.guide/product/cloid/</t>
        </is>
      </c>
      <c r="O112" s="157" t="inlineStr">
        <is>
          <t>https://www.lg.com</t>
        </is>
      </c>
      <c r="P112" s="152" t="inlineStr">
        <is>
          <t>3 ft 11 in</t>
        </is>
      </c>
      <c r="Q112" s="152" t="n">
        <v>120</v>
      </c>
      <c r="R112" s="152" t="n">
        <v>132.3</v>
      </c>
      <c r="S112" s="152" t="n">
        <v>60</v>
      </c>
      <c r="T112" s="156" t="inlineStr">
        <is>
          <t>Not disclosed</t>
        </is>
      </c>
      <c r="U112" s="152" t="n"/>
      <c r="V112" s="152" t="inlineStr">
        <is>
          <t>~10–15</t>
        </is>
      </c>
      <c r="W112" s="156" t="inlineStr">
        <is>
          <t>2–3 per hand</t>
        </is>
      </c>
      <c r="X112" s="152" t="n">
        <v>11</v>
      </c>
      <c r="Y112" s="152" t="n">
        <v>5</v>
      </c>
      <c r="Z112" s="152" t="n">
        <v>2.49</v>
      </c>
      <c r="AA112" s="152" t="n">
        <v>4</v>
      </c>
      <c r="AB112" s="152" t="n"/>
      <c r="AC112" s="156" t="inlineStr">
        <is>
          <t>~8–10</t>
        </is>
      </c>
      <c r="AD112" s="156" t="inlineStr">
        <is>
          <t>~8–10</t>
        </is>
      </c>
      <c r="AE112" s="152" t="n"/>
      <c r="AF112" s="152" t="inlineStr">
        <is>
          <t>Not disclosed</t>
        </is>
      </c>
      <c r="AG112" s="156" t="inlineStr">
        <is>
          <t>3 per hand</t>
        </is>
      </c>
      <c r="AH112" s="152" t="inlineStr">
        <is>
          <t>3 per hand</t>
        </is>
      </c>
      <c r="AI112" s="152" t="n"/>
      <c r="AJ112" s="156" t="inlineStr">
        <is>
          <t>HD cameras</t>
        </is>
      </c>
      <c r="AK112" s="156" t="inlineStr">
        <is>
          <t>HD cameras</t>
        </is>
      </c>
      <c r="AL112" s="152" t="inlineStr">
        <is>
          <t>Not disclosed</t>
        </is>
      </c>
      <c r="AM112" s="152" t="n"/>
      <c r="AN112" s="152" t="inlineStr">
        <is>
          <t>Not disclosed</t>
        </is>
      </c>
      <c r="AO112" s="152" t="inlineStr">
        <is>
          <t>Not disclosed</t>
        </is>
      </c>
      <c r="AP112" s="152" t="inlineStr">
        <is>
          <t>Not disclosed</t>
        </is>
      </c>
      <c r="AQ112" s="152" t="inlineStr">
        <is>
          <t>Not disclosed</t>
        </is>
      </c>
      <c r="AR112" s="152" t="n"/>
      <c r="AS112" s="152" t="n"/>
      <c r="AT112" s="156" t="inlineStr">
        <is>
          <t>LG embedded processors (ARM-based)</t>
        </is>
      </c>
      <c r="AU112" s="156" t="inlineStr">
        <is>
          <t>Bluetooth; Ethernet; Wi‑Fi</t>
        </is>
      </c>
      <c r="AV112" s="152" t="inlineStr">
        <is>
          <t>Not disclosed</t>
        </is>
      </c>
      <c r="AW112" s="156" t="inlineStr">
        <is>
          <t>Not disclosed</t>
        </is>
      </c>
      <c r="AX112" s="152" t="n"/>
      <c r="AY112" s="156" t="inlineStr">
        <is>
          <t>Linux-based robotics OS</t>
        </is>
      </c>
      <c r="AZ112" s="156" t="inlineStr">
        <is>
          <t>Possible via cloud services</t>
        </is>
      </c>
      <c r="BA112" s="156" t="inlineStr">
        <is>
          <t>Low (local navigation + edge compute)</t>
        </is>
      </c>
      <c r="BB112" s="156" t="inlineStr">
        <is>
          <t>Electric servo motors</t>
        </is>
      </c>
      <c r="BC112" s="156" t="inlineStr">
        <is>
          <t>Harmonic Drive / Planetary Gearboxes</t>
        </is>
      </c>
      <c r="BD112" s="152" t="inlineStr">
        <is>
          <t>Aluminum frame + plastic shell</t>
        </is>
      </c>
      <c r="BE112" s="152" t="inlineStr">
        <is>
          <t>Not disclosed</t>
        </is>
      </c>
      <c r="BF112" s="152" t="n"/>
      <c r="BG112" s="152" t="n"/>
      <c r="BH112" s="152" t="n"/>
      <c r="BI112" s="152" t="n"/>
      <c r="BJ112" s="152" t="n"/>
      <c r="BK112" s="152" t="n"/>
      <c r="BL112" s="152" t="n"/>
      <c r="BM112" s="152" t="inlineStr">
        <is>
          <t>Yes</t>
        </is>
      </c>
      <c r="BN112" s="152" t="inlineStr">
        <is>
          <t>Not disclosed</t>
        </is>
      </c>
      <c r="BO112" s="156" t="inlineStr">
        <is>
          <t>Market: airports; Hospitality; offices; retail · Human-safe: Yes · AI: Possible via cloud services · Actuation: Electric servo motors · Peak 4 km/h · Runtime ~8–10</t>
        </is>
      </c>
      <c r="BP112" s="152" t="n"/>
      <c r="BQ112" s="156" t="inlineStr">
        <is>
          <t>airports; Hospitality; offices; retail</t>
        </is>
      </c>
      <c r="BR112" s="156" t="inlineStr">
        <is>
          <t>Commercial Pilots / Early Production</t>
        </is>
      </c>
      <c r="BS112" s="156" t="inlineStr">
        <is>
          <t>Commercial Pilots / Early Production</t>
        </is>
      </c>
      <c r="BT112" s="152" t="inlineStr">
        <is>
          <t>White</t>
        </is>
      </c>
      <c r="BU112" s="152" t="inlineStr">
        <is>
          <t>Not verified</t>
        </is>
      </c>
      <c r="BV112" s="156" t="n"/>
      <c r="BW112" s="156" t="inlineStr">
        <is>
          <t>Origin &amp; status — South Korea · Commercial Pilots / Early Production · 2026 | Manipulation — 3 per hand · 3 per hand fingers · Hand DOF 2–3 per hand · Payload 11 lb | Sensing &amp; software — HD cameras · Possible via cloud services · Linux-based robotics OS | Buying notes — From $35,000 · 12 months manufacturer standard (typical research/commercial humanoid) · Best fit: airports</t>
        </is>
      </c>
      <c r="BX112" s="156" t="inlineStr">
        <is>
          <t>as_shipped|CLOiD|35000|As shipped</t>
        </is>
      </c>
      <c r="BY112" s="152" t="inlineStr">
        <is>
          <t>white|White|#e2e8f0|0</t>
        </is>
      </c>
      <c r="BZ112" s="152" t="inlineStr"/>
      <c r="CA112" s="156" t="n"/>
      <c r="CB112" s="156" t="inlineStr">
        <is>
          <t>12 months manufacturer standard (typical research/commercial humanoid)</t>
        </is>
      </c>
      <c r="CC112" s="154" t="n">
        <v>12</v>
      </c>
      <c r="CD112" s="156" t="inlineStr">
        <is>
          <t>+3 Year Extended ≈24% of configuration (default in configurator)</t>
        </is>
      </c>
      <c r="CE112" s="152" t="inlineStr">
        <is>
          <t>Humanoid category norm 2025–2026</t>
        </is>
      </c>
      <c r="CF112" s="152" t="inlineStr">
        <is>
          <t>Estimated</t>
        </is>
      </c>
      <c r="CG112" s="156" t="inlineStr">
        <is>
          <t>Confirm on formal OEM quote. EDU or enterprise packages may differ.</t>
        </is>
      </c>
      <c r="CH112" s="152" t="inlineStr">
        <is>
          <t>10%</t>
        </is>
      </c>
      <c r="CI112" s="152" t="inlineStr">
        <is>
          <t>17%</t>
        </is>
      </c>
      <c r="CJ112" s="152" t="inlineStr">
        <is>
          <t>24%</t>
        </is>
      </c>
      <c r="CK112" s="156" t="inlineStr">
        <is>
          <t>+1yr ≈10% | +2yr ≈17% | +3yr ≈24% of selected configuration price (parts &amp; labor beyond manufacturer standard).</t>
        </is>
      </c>
      <c r="CL112"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12" s="152" t="inlineStr">
        <is>
          <t>12 months manufacturer standard (typical research/commercial humanoid)</t>
        </is>
      </c>
      <c r="CQ112" s="101" t="inlineStr">
        <is>
          <t>Height: 3 ft 11 in | Weight: 132.3 | Degrees of Freedom: ~10–15 | Payload: 11 | Max Speed: 2.49 | Battery / Runtime: ~8–10</t>
        </is>
      </c>
    </row>
    <row r="113" ht="31.5" customHeight="1" s="102">
      <c r="A113" s="145" t="inlineStr">
        <is>
          <t>lg_electronics_kapex</t>
        </is>
      </c>
      <c r="B113" s="153" t="inlineStr">
        <is>
          <t>Humanoid.guide</t>
        </is>
      </c>
      <c r="C113" s="145" t="inlineStr">
        <is>
          <t>LG Electronics</t>
        </is>
      </c>
      <c r="D113" s="145" t="inlineStr">
        <is>
          <t>KAPEX</t>
        </is>
      </c>
      <c r="E113" s="145" t="inlineStr">
        <is>
          <t>[LG Electronics] KAPEX (2026)</t>
        </is>
      </c>
      <c r="F113" s="146" t="inlineStr">
        <is>
          <t>humanoid</t>
        </is>
      </c>
      <c r="G113" s="145" t="inlineStr">
        <is>
          <t>South Korea</t>
        </is>
      </c>
      <c r="H113" s="145" t="n"/>
      <c r="I113" s="148" t="n">
        <v>150000</v>
      </c>
      <c r="J113" s="145" t="inlineStr">
        <is>
          <t>Humanoid.guide list</t>
        </is>
      </c>
      <c r="K113" s="149" t="inlineStr">
        <is>
          <t>KAPEX is an AI-powered humanoid robot from LG Electronics and KIST that aims to combine bipedal mobility, tactile dexterous hands, and a powerful vision-language AI to perform real-world tasks alongside humans.</t>
        </is>
      </c>
      <c r="L113" s="101" t="inlineStr">
        <is>
          <t>KAPEX is an AI-powered humanoid robot from LG Electronics and KIST that aims to combine bipedal mobility, tactile dexterous hands, and a powerful vision-language AI to perform real-world tasks alongside humans.</t>
        </is>
      </c>
      <c r="M113" s="101" t="inlineStr">
        <is>
          <t>KAPEX is an AI-powered humanoid robot from LG Electronics and KIST that aims to combine bipedal mobility, tactile dexterous hands, and a powerful vision-language AI to perform real-world tasks alongside humans. Public status is listed as prototype, and it is positioned for home assistance; Industrial automation; logistics; Manufacturing; Research &amp; education.</t>
        </is>
      </c>
      <c r="N113" s="150" t="inlineStr">
        <is>
          <t>https://humanoid.guide/product/kapex/</t>
        </is>
      </c>
      <c r="O113" s="150" t="inlineStr">
        <is>
          <t>https://www.lg.com</t>
        </is>
      </c>
      <c r="P113" s="145" t="inlineStr">
        <is>
          <t>5 ft 9 in</t>
        </is>
      </c>
      <c r="Q113" s="145" t="n">
        <v>175</v>
      </c>
      <c r="R113" s="145" t="n">
        <v>143.3</v>
      </c>
      <c r="S113" s="145" t="n">
        <v>65</v>
      </c>
      <c r="T113" s="149" t="inlineStr">
        <is>
          <t>Not disclosed</t>
        </is>
      </c>
      <c r="U113" s="145" t="inlineStr">
        <is>
          <t>185 × 65 × 60 cm</t>
        </is>
      </c>
      <c r="V113" s="145" t="inlineStr">
        <is>
          <t>40–50 DOF (based on multi-joint limbs + dexterous hands)</t>
        </is>
      </c>
      <c r="W113" s="149" t="inlineStr">
        <is>
          <t>20</t>
        </is>
      </c>
      <c r="X113" s="145" t="n">
        <v>22</v>
      </c>
      <c r="Y113" s="145" t="n">
        <v>10</v>
      </c>
      <c r="Z113" s="145" t="n">
        <v>2.8</v>
      </c>
      <c r="AA113" s="145" t="n">
        <v>4.5</v>
      </c>
      <c r="AB113" s="145" t="n">
        <v>3.5</v>
      </c>
      <c r="AC113" s="149" t="inlineStr">
        <is>
          <t>≈ 3 hours</t>
        </is>
      </c>
      <c r="AD113" s="149" t="inlineStr">
        <is>
          <t>3</t>
        </is>
      </c>
      <c r="AE113" s="145" t="n"/>
      <c r="AF113" s="145" t="inlineStr">
        <is>
          <t>Not disclosed</t>
        </is>
      </c>
      <c r="AG113" s="149" t="inlineStr">
        <is>
          <t>5 per hand</t>
        </is>
      </c>
      <c r="AH113" s="145" t="inlineStr">
        <is>
          <t>5 per hand</t>
        </is>
      </c>
      <c r="AI113" s="161" t="n">
        <v>4</v>
      </c>
      <c r="AJ113" s="149" t="inlineStr">
        <is>
          <t>Vision-language model input; likely stereo RGB + depth + tactile hands + environment sensors</t>
        </is>
      </c>
      <c r="AK113" s="149" t="inlineStr">
        <is>
          <t>Vision-language model input; likely stereo RGB + depth + tactile hands + environment sensors</t>
        </is>
      </c>
      <c r="AL113" s="145" t="inlineStr">
        <is>
          <t>Not disclosed</t>
        </is>
      </c>
      <c r="AM113" s="145" t="n"/>
      <c r="AN113" s="145" t="inlineStr">
        <is>
          <t>Not disclosed</t>
        </is>
      </c>
      <c r="AO113" s="145" t="inlineStr">
        <is>
          <t>Not disclosed</t>
        </is>
      </c>
      <c r="AP113" s="145" t="inlineStr">
        <is>
          <t>Not disclosed</t>
        </is>
      </c>
      <c r="AQ113" s="145" t="inlineStr">
        <is>
          <t>Not disclosed</t>
        </is>
      </c>
      <c r="AR113" s="145" t="n"/>
      <c r="AS113" s="145" t="n"/>
      <c r="AT113" s="149" t="inlineStr">
        <is>
          <t>High-performance AI compute module (for EXAONE) — assume onboard GPU + CPU</t>
        </is>
      </c>
      <c r="AU113" s="149" t="inlineStr">
        <is>
          <t>Ethernet; Wi‑Fi</t>
        </is>
      </c>
      <c r="AV113" s="145" t="inlineStr">
        <is>
          <t>Not disclosed</t>
        </is>
      </c>
      <c r="AW113" s="149" t="inlineStr">
        <is>
          <t>Not disclosed</t>
        </is>
      </c>
      <c r="AX113" s="151" t="n">
        <v>3</v>
      </c>
      <c r="AY113" s="149" t="inlineStr">
        <is>
          <t>Custom robotics OS + AI middleware</t>
        </is>
      </c>
      <c r="AZ113" s="149" t="inlineStr">
        <is>
          <t>Yes — uses LG’s EXAONE VLM as core “robot brain”</t>
        </is>
      </c>
      <c r="BA113" s="149" t="inlineStr">
        <is>
          <t>250–450 ms</t>
        </is>
      </c>
      <c r="BB113" s="149" t="inlineStr">
        <is>
          <t>High-output full-body actuators</t>
        </is>
      </c>
      <c r="BC113" s="149" t="inlineStr">
        <is>
          <t>High-torque actuators + precision gearing</t>
        </is>
      </c>
      <c r="BD113" s="145" t="inlineStr">
        <is>
          <t>Aluminum / high-strength alloy + composite covers</t>
        </is>
      </c>
      <c r="BE113" s="145" t="inlineStr">
        <is>
          <t>IP20</t>
        </is>
      </c>
      <c r="BF113" s="145" t="inlineStr">
        <is>
          <t>IP20</t>
        </is>
      </c>
      <c r="BG113" s="145" t="n"/>
      <c r="BH113" s="145" t="n"/>
      <c r="BI113" s="145" t="n"/>
      <c r="BJ113" s="145" t="n"/>
      <c r="BK113" s="145" t="n"/>
      <c r="BL113" s="145" t="n"/>
      <c r="BM113" s="145" t="inlineStr">
        <is>
          <t>Yes</t>
        </is>
      </c>
      <c r="BN113" s="145" t="inlineStr">
        <is>
          <t>Not disclosed</t>
        </is>
      </c>
      <c r="BO113" s="149" t="inlineStr">
        <is>
          <t>Market: Home assistance; Industrial automation; logistics; Manufacturing; Research &amp; education · Manipulation 4/4 · Navigation 3/4 · Human-safe: Yes · AI: Yes — uses LG’s EXAONE VLM as core “robot brain” · Actuation: High-output full-body actuators · Peak 4.5 km/h · Walk 3.5 km/h · Runtime 3</t>
        </is>
      </c>
      <c r="BP113" s="145" t="n"/>
      <c r="BQ113" s="149" t="inlineStr">
        <is>
          <t>Home assistance; Industrial automation; logistics; Manufacturing; Research &amp; education</t>
        </is>
      </c>
      <c r="BR113" s="149" t="inlineStr">
        <is>
          <t>Prototype</t>
        </is>
      </c>
      <c r="BS113" s="149" t="inlineStr">
        <is>
          <t>Prototype</t>
        </is>
      </c>
      <c r="BT113" s="145" t="inlineStr">
        <is>
          <t>White/grey (prototype)</t>
        </is>
      </c>
      <c r="BU113" s="145" t="inlineStr">
        <is>
          <t>Not verified</t>
        </is>
      </c>
      <c r="BV113" s="149" t="n"/>
      <c r="BW113" s="149" t="inlineStr">
        <is>
          <t>Origin &amp; status — South Korea · Prototype · 2026 | Manipulation — 5 per hand · 5 per hand fingers · Hand DOF 20 · Payload 22 lb | Sensing &amp; software — Vision-language model input; likely stereo RGB + depth + tactile hands + environment sensors · Yes — uses LG’s EXAONE VLM as core “robot brain” · Custom rob… | Buying notes — From $150,000 · 12 months manufacturer standard (typical research/commercial humanoid) · Best fit: Home assistance</t>
        </is>
      </c>
      <c r="BX113" s="149" t="inlineStr">
        <is>
          <t>as_shipped|KAPEX|150000|As shipped</t>
        </is>
      </c>
      <c r="BY113" s="145" t="inlineStr">
        <is>
          <t>white|White|#e2e8f0|0 || grey_prototype|grey (prototype)|#1e293b|0</t>
        </is>
      </c>
      <c r="BZ113" s="145" t="inlineStr"/>
      <c r="CA113" s="149" t="n"/>
      <c r="CB113" s="149" t="inlineStr">
        <is>
          <t>12 months manufacturer standard (typical research/commercial humanoid)</t>
        </is>
      </c>
      <c r="CC113" s="147" t="n">
        <v>12</v>
      </c>
      <c r="CD113" s="149" t="inlineStr">
        <is>
          <t>+3 Year Extended ≈24% of configuration (default in configurator)</t>
        </is>
      </c>
      <c r="CE113" s="145" t="inlineStr">
        <is>
          <t>Humanoid category norm 2025–2026</t>
        </is>
      </c>
      <c r="CF113" s="145" t="inlineStr">
        <is>
          <t>Estimated</t>
        </is>
      </c>
      <c r="CG113" s="149" t="inlineStr">
        <is>
          <t>Confirm on formal OEM quote. EDU or enterprise packages may differ.</t>
        </is>
      </c>
      <c r="CH113" s="145" t="inlineStr">
        <is>
          <t>10%</t>
        </is>
      </c>
      <c r="CI113" s="145" t="inlineStr">
        <is>
          <t>17%</t>
        </is>
      </c>
      <c r="CJ113" s="145" t="inlineStr">
        <is>
          <t>24%</t>
        </is>
      </c>
      <c r="CK113" s="149" t="inlineStr">
        <is>
          <t>+1yr ≈10% | +2yr ≈17% | +3yr ≈24% of selected configuration price (parts &amp; labor beyond manufacturer standard).</t>
        </is>
      </c>
      <c r="CL113"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13" s="145" t="inlineStr">
        <is>
          <t>12 months manufacturer standard (typical research/commercial humanoid)</t>
        </is>
      </c>
      <c r="CQ113" s="101" t="inlineStr">
        <is>
          <t>Height: 5 ft 9 in | Weight: 143.3 | Degrees of Freedom: 40–50 DOF (based on multi-joint limbs + dexterous hands) | Payload: 22 | Max Speed: 2.8 | Battery / Runtime: ≈ 3 hours</t>
        </is>
      </c>
    </row>
    <row r="114" ht="31.5" customHeight="1" s="102">
      <c r="A114" s="152" t="inlineStr">
        <is>
          <t>limx_dynamics_limx</t>
        </is>
      </c>
      <c r="B114" s="153" t="inlineStr">
        <is>
          <t>Humanoid.guide</t>
        </is>
      </c>
      <c r="C114" s="152" t="inlineStr">
        <is>
          <t>Limx Dynamics</t>
        </is>
      </c>
      <c r="D114" s="152" t="inlineStr">
        <is>
          <t>LimX</t>
        </is>
      </c>
      <c r="E114" s="152" t="inlineStr">
        <is>
          <t>[Limx Dynamics] LimX (2026)</t>
        </is>
      </c>
      <c r="F114" s="146" t="inlineStr">
        <is>
          <t>humanoid</t>
        </is>
      </c>
      <c r="G114" s="152" t="inlineStr">
        <is>
          <t>China</t>
        </is>
      </c>
      <c r="H114" s="152" t="n"/>
      <c r="I114" s="155" t="n">
        <v>40000</v>
      </c>
      <c r="J114" s="152" t="inlineStr">
        <is>
          <t>Humanoid.guide list</t>
        </is>
      </c>
      <c r="K114" s="156" t="inlineStr">
        <is>
          <t>LimX Dynamics, a cutting-edge robotics company based in Shenzhen, China, has made significant strides in the field of humanoid robotics with their flagship model, the CL-1.</t>
        </is>
      </c>
      <c r="L114" s="101" t="inlineStr">
        <is>
          <t>LimX Dynamics, a cutting-edge robotics company based in Shenzhen, China, has made significant strides in the field of humanoid robotics with their flagship model, the CL-1.</t>
        </is>
      </c>
      <c r="M114" s="101" t="inlineStr">
        <is>
          <t>LimX Dynamics, a cutting-edge robotics company based in Shenzhen, China, has made significant strides in the field of humanoid robotics with their flagship model, the CL-1. Public status is listed as prototype.</t>
        </is>
      </c>
      <c r="N114" s="157" t="inlineStr">
        <is>
          <t>https://humanoid.guide/product/limx/</t>
        </is>
      </c>
      <c r="O114" s="157" t="inlineStr">
        <is>
          <t>https://www.limxdynamics.com</t>
        </is>
      </c>
      <c r="P114" s="152" t="inlineStr">
        <is>
          <t>5 ft 2 in</t>
        </is>
      </c>
      <c r="Q114" s="152" t="n">
        <v>157</v>
      </c>
      <c r="R114" s="152" t="n">
        <v>110.2</v>
      </c>
      <c r="S114" s="152" t="n">
        <v>50</v>
      </c>
      <c r="T114" s="156" t="inlineStr">
        <is>
          <t>Not disclosed</t>
        </is>
      </c>
      <c r="U114" s="152" t="n"/>
      <c r="V114" s="152" t="inlineStr">
        <is>
          <t>20</t>
        </is>
      </c>
      <c r="W114" s="156" t="inlineStr">
        <is>
          <t>Not disclosed</t>
        </is>
      </c>
      <c r="X114" s="152" t="n">
        <v>39.7</v>
      </c>
      <c r="Y114" s="152" t="n">
        <v>18</v>
      </c>
      <c r="Z114" s="152" t="n">
        <v>2.49</v>
      </c>
      <c r="AA114" s="152" t="n">
        <v>4</v>
      </c>
      <c r="AB114" s="152" t="n">
        <v>2.3</v>
      </c>
      <c r="AC114" s="156" t="inlineStr">
        <is>
          <t>≈ 3 hours</t>
        </is>
      </c>
      <c r="AD114" s="156" t="inlineStr">
        <is>
          <t>3</t>
        </is>
      </c>
      <c r="AE114" s="152" t="n"/>
      <c r="AF114" s="152" t="inlineStr">
        <is>
          <t>Not disclosed</t>
        </is>
      </c>
      <c r="AG114" s="156" t="inlineStr">
        <is>
          <t>Not disclosed</t>
        </is>
      </c>
      <c r="AH114" s="152" t="inlineStr">
        <is>
          <t>Not disclosed</t>
        </is>
      </c>
      <c r="AI114" s="158" t="n">
        <v>2</v>
      </c>
      <c r="AJ114" s="156" t="inlineStr">
        <is>
          <t>Not disclosed</t>
        </is>
      </c>
      <c r="AK114" s="156" t="n"/>
      <c r="AL114" s="152" t="inlineStr">
        <is>
          <t>Not disclosed</t>
        </is>
      </c>
      <c r="AM114" s="152" t="n"/>
      <c r="AN114" s="152" t="inlineStr">
        <is>
          <t>Not disclosed</t>
        </is>
      </c>
      <c r="AO114" s="152" t="inlineStr">
        <is>
          <t>Not disclosed</t>
        </is>
      </c>
      <c r="AP114" s="152" t="inlineStr">
        <is>
          <t>Not disclosed</t>
        </is>
      </c>
      <c r="AQ114" s="152" t="inlineStr">
        <is>
          <t>Not disclosed</t>
        </is>
      </c>
      <c r="AR114" s="152" t="n"/>
      <c r="AS114" s="152" t="n"/>
      <c r="AT114" s="156" t="inlineStr">
        <is>
          <t>Not disclosed</t>
        </is>
      </c>
      <c r="AU114" s="156" t="inlineStr">
        <is>
          <t>Not disclosed</t>
        </is>
      </c>
      <c r="AV114" s="152" t="inlineStr">
        <is>
          <t>Not disclosed</t>
        </is>
      </c>
      <c r="AW114" s="156" t="inlineStr">
        <is>
          <t>Not disclosed</t>
        </is>
      </c>
      <c r="AX114" s="158" t="n">
        <v>2</v>
      </c>
      <c r="AY114" s="156" t="inlineStr">
        <is>
          <t>Not disclosed</t>
        </is>
      </c>
      <c r="AZ114" s="156" t="inlineStr">
        <is>
          <t>Not disclosed</t>
        </is>
      </c>
      <c r="BA114" s="156" t="n"/>
      <c r="BB114" s="156" t="inlineStr">
        <is>
          <t>Not disclosed</t>
        </is>
      </c>
      <c r="BC114" s="156" t="inlineStr">
        <is>
          <t>Not disclosed</t>
        </is>
      </c>
      <c r="BD114" s="152" t="inlineStr">
        <is>
          <t>Not disclosed</t>
        </is>
      </c>
      <c r="BE114" s="152" t="inlineStr">
        <is>
          <t>Not disclosed</t>
        </is>
      </c>
      <c r="BF114" s="152" t="n"/>
      <c r="BG114" s="152" t="n"/>
      <c r="BH114" s="152" t="n"/>
      <c r="BI114" s="152" t="n"/>
      <c r="BJ114" s="152" t="n"/>
      <c r="BK114" s="152" t="n"/>
      <c r="BL114" s="152" t="n"/>
      <c r="BM114" s="152" t="inlineStr">
        <is>
          <t>Not disclosed</t>
        </is>
      </c>
      <c r="BN114" s="152" t="inlineStr">
        <is>
          <t>Not disclosed</t>
        </is>
      </c>
      <c r="BO114" s="156" t="inlineStr">
        <is>
          <t>Manipulation 2/4 · Navigation 2/4 · Peak 4 km/h · Walk 2.3 km/h · Runtime 3</t>
        </is>
      </c>
      <c r="BP114" s="152" t="n"/>
      <c r="BQ114" s="156" t="inlineStr">
        <is>
          <t>Research labs, commercial pilots, and education programs evaluating a humanoid from Limx Dynamics (China) now listed as prototype.</t>
        </is>
      </c>
      <c r="BR114" s="156" t="inlineStr">
        <is>
          <t>Prototype</t>
        </is>
      </c>
      <c r="BS114" s="156" t="inlineStr">
        <is>
          <t>Prototype</t>
        </is>
      </c>
      <c r="BT114" s="152" t="n"/>
      <c r="BU114" s="152" t="inlineStr">
        <is>
          <t>Not verified</t>
        </is>
      </c>
      <c r="BV114" s="156" t="n"/>
      <c r="BW114" s="156" t="inlineStr">
        <is>
          <t>Origin &amp; status — China · Prototype · 2026 | Manipulation — Payload 39.7 lb | Sensing &amp; software — Sensor and compute package confirmed on formal quote | Buying notes — From $40,000 · 12 months manufacturer standard (typical research/commercial humanoid)</t>
        </is>
      </c>
      <c r="BX114" s="156" t="inlineStr">
        <is>
          <t>as_shipped|LimX|40000|As shipped</t>
        </is>
      </c>
      <c r="BY114" s="152" t="inlineStr">
        <is>
          <t>limx|Manufacturer finish|#e2e8f0|0</t>
        </is>
      </c>
      <c r="BZ114" s="152" t="inlineStr"/>
      <c r="CA114" s="156" t="n"/>
      <c r="CB114" s="156" t="inlineStr">
        <is>
          <t>12 months manufacturer standard (typical research/commercial humanoid)</t>
        </is>
      </c>
      <c r="CC114" s="154" t="n">
        <v>12</v>
      </c>
      <c r="CD114" s="156" t="inlineStr">
        <is>
          <t>+3 Year Extended ≈24% of configuration (default in configurator)</t>
        </is>
      </c>
      <c r="CE114" s="152" t="inlineStr">
        <is>
          <t>Humanoid category norm 2025–2026</t>
        </is>
      </c>
      <c r="CF114" s="152" t="inlineStr">
        <is>
          <t>Estimated</t>
        </is>
      </c>
      <c r="CG114" s="156" t="inlineStr">
        <is>
          <t>Confirm on formal OEM quote. EDU or enterprise packages may differ.</t>
        </is>
      </c>
      <c r="CH114" s="152" t="inlineStr">
        <is>
          <t>10%</t>
        </is>
      </c>
      <c r="CI114" s="152" t="inlineStr">
        <is>
          <t>17%</t>
        </is>
      </c>
      <c r="CJ114" s="152" t="inlineStr">
        <is>
          <t>24%</t>
        </is>
      </c>
      <c r="CK114" s="156" t="inlineStr">
        <is>
          <t>+1yr ≈10% | +2yr ≈17% | +3yr ≈24% of selected configuration price (parts &amp; labor beyond manufacturer standard).</t>
        </is>
      </c>
      <c r="CL114"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14" s="152" t="inlineStr">
        <is>
          <t>12 months manufacturer standard (typical research/commercial humanoid)</t>
        </is>
      </c>
      <c r="CQ114" s="101" t="inlineStr">
        <is>
          <t>Height: 5 ft 2 in | Weight: 110.2 | Degrees of Freedom: 20 | Payload: 39.7 | Max Speed: 2.49 | Battery / Runtime: ≈ 3 hours</t>
        </is>
      </c>
    </row>
    <row r="115" ht="31.5" customHeight="1" s="102">
      <c r="A115" s="145" t="inlineStr">
        <is>
          <t>limx_dynamics_limx_cl</t>
        </is>
      </c>
      <c r="B115" s="153" t="inlineStr">
        <is>
          <t>Humanoid.guide</t>
        </is>
      </c>
      <c r="C115" s="145" t="inlineStr">
        <is>
          <t>Limx Dynamics</t>
        </is>
      </c>
      <c r="D115" s="145" t="inlineStr">
        <is>
          <t>LimX CL</t>
        </is>
      </c>
      <c r="E115" s="145" t="inlineStr">
        <is>
          <t>[Limx Dynamics] LimX CL (2026)</t>
        </is>
      </c>
      <c r="F115" s="146" t="inlineStr">
        <is>
          <t>humanoid</t>
        </is>
      </c>
      <c r="G115" s="145" t="inlineStr">
        <is>
          <t>China</t>
        </is>
      </c>
      <c r="H115" s="145" t="n"/>
      <c r="I115" s="148" t="n">
        <v>40000</v>
      </c>
      <c r="J115" s="145" t="inlineStr">
        <is>
          <t>Humanoid.guide list</t>
        </is>
      </c>
      <c r="K115" s="149" t="inlineStr">
        <is>
          <t>The LimX CL Series is a line of compact, agile humanoid robots from Shenzhen-based LimX Dynamics, evolving from the stair-climbing CL-1 to the flexible CL-3.</t>
        </is>
      </c>
      <c r="L115" s="101" t="inlineStr">
        <is>
          <t>The LimX CL Series is a line of compact, agile humanoid robots from Shenzhen-based LimX Dynamics, evolving from the stair-climbing CL-1 to the flexible CL-3.</t>
        </is>
      </c>
      <c r="M115" s="101" t="inlineStr">
        <is>
          <t>The LimX CL Series is a line of compact, agile humanoid robots from Shenzhen-based LimX Dynamics, evolving from the stair-climbing CL-1 to the flexible CL-3. Public status is listed as prototype, and it is positioned for household services; Industrial automation; R&amp;D platforms.</t>
        </is>
      </c>
      <c r="N115" s="150" t="inlineStr">
        <is>
          <t>https://humanoid.guide/product/limx-cl-series/</t>
        </is>
      </c>
      <c r="O115" s="150" t="inlineStr">
        <is>
          <t>https://www.limxdynamics.com</t>
        </is>
      </c>
      <c r="P115" s="145" t="inlineStr">
        <is>
          <t>5 ft 5 in</t>
        </is>
      </c>
      <c r="Q115" s="145" t="n">
        <v>164</v>
      </c>
      <c r="R115" s="145" t="n">
        <v>99.2</v>
      </c>
      <c r="S115" s="145" t="n">
        <v>45</v>
      </c>
      <c r="T115" s="149" t="inlineStr">
        <is>
          <t>Not disclosed</t>
        </is>
      </c>
      <c r="U115" s="145" t="n"/>
      <c r="V115" s="145" t="inlineStr">
        <is>
          <t>52</t>
        </is>
      </c>
      <c r="W115" s="149" t="inlineStr">
        <is>
          <t>6</t>
        </is>
      </c>
      <c r="X115" s="145" t="n">
        <v>55.1</v>
      </c>
      <c r="Y115" s="145" t="n">
        <v>25</v>
      </c>
      <c r="Z115" s="145" t="n">
        <v>2.49</v>
      </c>
      <c r="AA115" s="145" t="n">
        <v>4</v>
      </c>
      <c r="AB115" s="145" t="n"/>
      <c r="AC115" s="149" t="inlineStr">
        <is>
          <t>≈ 2 hours</t>
        </is>
      </c>
      <c r="AD115" s="149" t="inlineStr">
        <is>
          <t>2</t>
        </is>
      </c>
      <c r="AE115" s="145" t="n"/>
      <c r="AF115" s="145" t="inlineStr">
        <is>
          <t>Not disclosed</t>
        </is>
      </c>
      <c r="AG115" s="149" t="inlineStr">
        <is>
          <t>10</t>
        </is>
      </c>
      <c r="AH115" s="145" t="inlineStr">
        <is>
          <t>10</t>
        </is>
      </c>
      <c r="AI115" s="158" t="n">
        <v>2</v>
      </c>
      <c r="AJ115" s="149" t="inlineStr">
        <is>
          <t>integrated vision-LiDAR system for real-time terrain perception.</t>
        </is>
      </c>
      <c r="AK115" s="149" t="inlineStr">
        <is>
          <t>integrated vision-LiDAR system for real-time terrain perception.</t>
        </is>
      </c>
      <c r="AL115" s="145" t="inlineStr">
        <is>
          <t>Not disclosed</t>
        </is>
      </c>
      <c r="AM115" s="145" t="n"/>
      <c r="AN115" s="145" t="inlineStr">
        <is>
          <t>Not disclosed</t>
        </is>
      </c>
      <c r="AO115" s="145" t="inlineStr">
        <is>
          <t>Not disclosed</t>
        </is>
      </c>
      <c r="AP115" s="145" t="inlineStr">
        <is>
          <t>Not disclosed</t>
        </is>
      </c>
      <c r="AQ115" s="145" t="inlineStr">
        <is>
          <t>Not disclosed</t>
        </is>
      </c>
      <c r="AR115" s="145" t="n"/>
      <c r="AS115" s="145" t="n"/>
      <c r="AT115" s="149" t="inlineStr">
        <is>
          <t>Not disclosed</t>
        </is>
      </c>
      <c r="AU115" s="149" t="inlineStr">
        <is>
          <t>supports SDK with Python, likely WiFi/Ethernet for remote control.</t>
        </is>
      </c>
      <c r="AV115" s="145" t="inlineStr">
        <is>
          <t>Not disclosed</t>
        </is>
      </c>
      <c r="AW115" s="149" t="inlineStr">
        <is>
          <t>Not disclosed</t>
        </is>
      </c>
      <c r="AX115" s="158" t="n">
        <v>2</v>
      </c>
      <c r="AY115" s="149" t="inlineStr">
        <is>
          <t>open SDK implies Linux-based or custom RTOS</t>
        </is>
      </c>
      <c r="AZ115" s="149" t="inlineStr">
        <is>
          <t>VideoGenMotion framework uses AI to imitate movements from video; hints at future LLM for task planning</t>
        </is>
      </c>
      <c r="BA115" s="149" t="inlineStr">
        <is>
          <t>real-time (sub-second) via integrated perception-control loop.</t>
        </is>
      </c>
      <c r="BB115" s="149" t="inlineStr">
        <is>
          <t>Hollow direct-drive motors with high torque density.</t>
        </is>
      </c>
      <c r="BC115" s="149" t="inlineStr">
        <is>
          <t>Likely harmonic drives for precision</t>
        </is>
      </c>
      <c r="BD115" s="145" t="inlineStr">
        <is>
          <t>likely aluminum alloys or carbon fiber composites for lightweight strength.</t>
        </is>
      </c>
      <c r="BE115" s="145" t="inlineStr">
        <is>
          <t>Not disclosed</t>
        </is>
      </c>
      <c r="BF115" s="145" t="inlineStr">
        <is>
          <t>Not specified</t>
        </is>
      </c>
      <c r="BG115" s="145" t="n"/>
      <c r="BH115" s="145" t="n"/>
      <c r="BI115" s="145" t="n"/>
      <c r="BJ115" s="145" t="n"/>
      <c r="BK115" s="145" t="n"/>
      <c r="BL115" s="145" t="n"/>
      <c r="BM115" s="145" t="inlineStr">
        <is>
          <t>No formal safety rating</t>
        </is>
      </c>
      <c r="BN115" s="145" t="inlineStr">
        <is>
          <t>Not disclosed</t>
        </is>
      </c>
      <c r="BO115" s="149" t="inlineStr">
        <is>
          <t>Market: household services; Industrial automation; R&amp;D platforms · Manipulation 2/4 · Navigation 2/4 · Human-safe: No formal safety rating · AI: VideoGenMotion framework uses AI to imitate movements from video; hints at future LLM for task planning · Actuation: Hollow direct-drive motors with high torque density. · Peak 4 km/h · Runtime 2</t>
        </is>
      </c>
      <c r="BP115" s="145" t="n"/>
      <c r="BQ115" s="149" t="inlineStr">
        <is>
          <t>household services; Industrial automation; R&amp;D platforms</t>
        </is>
      </c>
      <c r="BR115" s="149" t="inlineStr">
        <is>
          <t>Prototype</t>
        </is>
      </c>
      <c r="BS115" s="149" t="inlineStr">
        <is>
          <t>Prototype</t>
        </is>
      </c>
      <c r="BT115" s="145" t="n"/>
      <c r="BU115" s="145" t="inlineStr">
        <is>
          <t>Not verified</t>
        </is>
      </c>
      <c r="BV115" s="149" t="n"/>
      <c r="BW115" s="149" t="inlineStr">
        <is>
          <t>Origin &amp; status — China · Prototype · 2026 | Manipulation — 10 · 10 fingers · Hand DOF 6 · Payload 55.1 lb | Sensing &amp; software — integrated vision-LiDAR system for real-time terrain perception. · VideoGenMotion framework uses AI to imitate movements from video; hints at future LLM for… | Buying notes — From $40,000 · 12 months manufacturer standard (typical research/commercial humanoid) · Best fit: household services</t>
        </is>
      </c>
      <c r="BX115" s="149" t="inlineStr">
        <is>
          <t>as_shipped|LimX CL|40000|As shipped</t>
        </is>
      </c>
      <c r="BY115" s="145" t="inlineStr">
        <is>
          <t>limx_cl|Manufacturer finish|#e2e8f0|0</t>
        </is>
      </c>
      <c r="BZ115" s="145" t="inlineStr"/>
      <c r="CA115" s="149" t="n"/>
      <c r="CB115" s="149" t="inlineStr">
        <is>
          <t>12 months manufacturer standard (typical research/commercial humanoid)</t>
        </is>
      </c>
      <c r="CC115" s="147" t="n">
        <v>12</v>
      </c>
      <c r="CD115" s="149" t="inlineStr">
        <is>
          <t>+3 Year Extended ≈24% of configuration (default in configurator)</t>
        </is>
      </c>
      <c r="CE115" s="145" t="inlineStr">
        <is>
          <t>Humanoid category norm 2025–2026</t>
        </is>
      </c>
      <c r="CF115" s="145" t="inlineStr">
        <is>
          <t>Estimated</t>
        </is>
      </c>
      <c r="CG115" s="149" t="inlineStr">
        <is>
          <t>Confirm on formal OEM quote. EDU or enterprise packages may differ.</t>
        </is>
      </c>
      <c r="CH115" s="145" t="inlineStr">
        <is>
          <t>10%</t>
        </is>
      </c>
      <c r="CI115" s="145" t="inlineStr">
        <is>
          <t>17%</t>
        </is>
      </c>
      <c r="CJ115" s="145" t="inlineStr">
        <is>
          <t>24%</t>
        </is>
      </c>
      <c r="CK115" s="149" t="inlineStr">
        <is>
          <t>+1yr ≈10% | +2yr ≈17% | +3yr ≈24% of selected configuration price (parts &amp; labor beyond manufacturer standard).</t>
        </is>
      </c>
      <c r="CL11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15" s="145" t="inlineStr">
        <is>
          <t>12 months manufacturer standard (typical research/commercial humanoid)</t>
        </is>
      </c>
      <c r="CQ115" s="101" t="inlineStr">
        <is>
          <t>Height: 5 ft 5 in | Weight: 99.2 | Degrees of Freedom: 52 | Payload: 55.1 | Max Speed: 2.49 | Battery / Runtime: ≈ 2 hours</t>
        </is>
      </c>
    </row>
    <row r="116" ht="31.5" customHeight="1" s="102">
      <c r="A116" s="159" t="inlineStr">
        <is>
          <t>limx_dynamics_tron_1_tron_2_oli</t>
        </is>
      </c>
      <c r="B116" s="144" t="inlineStr">
        <is>
          <t>Both</t>
        </is>
      </c>
      <c r="C116" s="152" t="inlineStr">
        <is>
          <t>LimX Dynamics</t>
        </is>
      </c>
      <c r="D116" s="152" t="inlineStr">
        <is>
          <t>Oli</t>
        </is>
      </c>
      <c r="E116" s="152" t="inlineStr">
        <is>
          <t>[LimX] Oli (2025)</t>
        </is>
      </c>
      <c r="F116" s="146" t="inlineStr">
        <is>
          <t>humanoid</t>
        </is>
      </c>
      <c r="G116" s="152" t="inlineStr">
        <is>
          <t>China</t>
        </is>
      </c>
      <c r="H116" s="154" t="n">
        <v>2025</v>
      </c>
      <c r="I116" s="155" t="n">
        <v>21800</v>
      </c>
      <c r="J116" s="152" t="inlineStr">
        <is>
          <t>Robot Price Index Aug 2026</t>
        </is>
      </c>
      <c r="K116" s="156" t="inlineStr">
        <is>
          <t>Full-size (165 cm) humanoid for embodied-AI R&amp;D with a 31-DoF body, dual depth cameras, Python-friendly SDK and simulator support — scalable to higher-DoF, dexterous configurations.</t>
        </is>
      </c>
      <c r="L116" s="101" t="inlineStr">
        <is>
          <t>Full-size (165 cm) humanoid for embodied-AI R&amp;D with a 31-DoF body, dual depth cameras, Python-friendly SDK and simulator support — scalable to higher-DoF, dexterous configurations.</t>
        </is>
      </c>
      <c r="M116" s="101" t="inlineStr">
        <is>
          <t>Oli is LimX Dynamics's humanoid, introduced around 2025 in China. Full-size (165 cm) humanoid for embodied-AI R&amp;D with a 31-DoF body, dual depth cameras, Python-friendly SDK and simulator support — scalable to higher-DoF, dexterous configurations. Public status is listed as orderable, and it is positioned for research.</t>
        </is>
      </c>
      <c r="N116" s="157" t="inlineStr">
        <is>
          <t>https://humanoid.guide/product/limx-oli/</t>
        </is>
      </c>
      <c r="O116" s="157" t="inlineStr">
        <is>
          <t>https://www.limxdynamics.com</t>
        </is>
      </c>
      <c r="P116" s="152" t="inlineStr">
        <is>
          <t>2 ft 9 in – 5 ft 5 in</t>
        </is>
      </c>
      <c r="Q116" s="152" t="n">
        <v>165</v>
      </c>
      <c r="R116" s="152" t="n">
        <v>121.3</v>
      </c>
      <c r="S116" s="152" t="n">
        <v>55</v>
      </c>
      <c r="T116" s="156" t="inlineStr">
        <is>
          <t>Not disclosed</t>
        </is>
      </c>
      <c r="U116" s="152" t="n"/>
      <c r="V116" s="152" t="inlineStr">
        <is>
          <t>26–31</t>
        </is>
      </c>
      <c r="W116" s="156" t="inlineStr">
        <is>
          <t>10</t>
        </is>
      </c>
      <c r="X116" s="152" t="n">
        <v>6.6</v>
      </c>
      <c r="Y116" s="152" t="n">
        <v>3</v>
      </c>
      <c r="Z116" s="152" t="n">
        <v>3.11</v>
      </c>
      <c r="AA116" s="152" t="n">
        <v>5</v>
      </c>
      <c r="AB116" s="152" t="n">
        <v>3</v>
      </c>
      <c r="AC116" s="156" t="inlineStr">
        <is>
          <t>≈ 1.5 hours</t>
        </is>
      </c>
      <c r="AD116" s="156" t="inlineStr">
        <is>
          <t>1.5</t>
        </is>
      </c>
      <c r="AE116" s="152" t="n"/>
      <c r="AF116" s="152" t="inlineStr">
        <is>
          <t>Not disclosed</t>
        </is>
      </c>
      <c r="AG116" s="156" t="inlineStr">
        <is>
          <t>10</t>
        </is>
      </c>
      <c r="AH116" s="152" t="inlineStr">
        <is>
          <t>10</t>
        </is>
      </c>
      <c r="AI116" s="151" t="n">
        <v>3</v>
      </c>
      <c r="AJ116" s="156" t="inlineStr">
        <is>
          <t>Research vision packages by model</t>
        </is>
      </c>
      <c r="AK116" s="156" t="inlineStr">
        <is>
          <t>Intel® RealSense™ D435i</t>
        </is>
      </c>
      <c r="AL116" s="152" t="inlineStr">
        <is>
          <t>Not disclosed</t>
        </is>
      </c>
      <c r="AM116" s="152" t="n"/>
      <c r="AN116" s="152" t="inlineStr">
        <is>
          <t>Not disclosed</t>
        </is>
      </c>
      <c r="AO116" s="152" t="inlineStr">
        <is>
          <t>Not disclosed</t>
        </is>
      </c>
      <c r="AP116" s="152" t="inlineStr">
        <is>
          <t>Not disclosed</t>
        </is>
      </c>
      <c r="AQ116" s="152" t="inlineStr">
        <is>
          <t>Not disclosed</t>
        </is>
      </c>
      <c r="AR116" s="152" t="n"/>
      <c r="AS116" s="152" t="n"/>
      <c r="AT116" s="156" t="inlineStr">
        <is>
          <t>RK3588/8G/64G</t>
        </is>
      </c>
      <c r="AU116" s="156" t="inlineStr">
        <is>
          <t>WiFi 6/USB3.0&amp;3.2/Gigabit Ethernet (RJ45）/Type-C</t>
        </is>
      </c>
      <c r="AV116" s="152" t="inlineStr">
        <is>
          <t>LimX research SDK</t>
        </is>
      </c>
      <c r="AW116" s="156" t="inlineStr">
        <is>
          <t>Bipedal research platforms across size range</t>
        </is>
      </c>
      <c r="AX116" s="151" t="n">
        <v>3</v>
      </c>
      <c r="AY116" s="156" t="inlineStr">
        <is>
          <t>Linux</t>
        </is>
      </c>
      <c r="AZ116" s="156" t="inlineStr">
        <is>
          <t>Yes</t>
        </is>
      </c>
      <c r="BA116" s="156" t="inlineStr">
        <is>
          <t>1–10 ms</t>
        </is>
      </c>
      <c r="BB116" s="156" t="inlineStr">
        <is>
          <t>Not disclosed</t>
        </is>
      </c>
      <c r="BC116" s="156" t="inlineStr">
        <is>
          <t>Not disclosed</t>
        </is>
      </c>
      <c r="BD116" s="152" t="inlineStr">
        <is>
          <t>Not disclosed</t>
        </is>
      </c>
      <c r="BE116" s="152" t="inlineStr">
        <is>
          <t>Yes</t>
        </is>
      </c>
      <c r="BF116" s="152" t="inlineStr">
        <is>
          <t>Yes</t>
        </is>
      </c>
      <c r="BG116" s="152" t="n"/>
      <c r="BH116" s="152" t="n"/>
      <c r="BI116" s="152" t="n"/>
      <c r="BJ116" s="152" t="n"/>
      <c r="BK116" s="152" t="n"/>
      <c r="BL116" s="152" t="n"/>
      <c r="BM116" s="152" t="inlineStr">
        <is>
          <t>Yes</t>
        </is>
      </c>
      <c r="BN116" s="152" t="inlineStr">
        <is>
          <t>Not disclosed</t>
        </is>
      </c>
      <c r="BO116" s="156" t="inlineStr">
        <is>
          <t>Market: Research · Manipulation 3/4 · Navigation 3/4 · Human-safe: Yes · AI: Yes · Actuation: Not specified · Peak 5 km/h · Walk 3 km/h · Runtime 1.5</t>
        </is>
      </c>
      <c r="BP116" s="152" t="n"/>
      <c r="BQ116" s="156" t="inlineStr">
        <is>
          <t>Research</t>
        </is>
      </c>
      <c r="BR116" s="156" t="inlineStr">
        <is>
          <t>Orderable</t>
        </is>
      </c>
      <c r="BS116" s="156" t="inlineStr">
        <is>
          <t>In production</t>
        </is>
      </c>
      <c r="BT116" s="152" t="n"/>
      <c r="BU116" s="152" t="inlineStr">
        <is>
          <t>Not verified</t>
        </is>
      </c>
      <c r="BV116" s="156" t="inlineStr">
        <is>
          <t>Multiple form factors Humanoid.guide listed price $60,000.</t>
        </is>
      </c>
      <c r="BW116" s="156" t="inlineStr">
        <is>
          <t>Origin &amp; status — China · Orderable · 2025 | Manipulation — 10 · 10 fingers · Hand DOF 10 · Payload 6.6 lb (3 kg) | Sensing &amp; software — Research vision packages by model · Yes · Linux · LimX research SDK | Buying notes — From $21,800 · 12 months manufacturer standard (typical research/commercial humanoid) · Best fit: Research</t>
        </is>
      </c>
      <c r="BX116" s="156" t="inlineStr">
        <is>
          <t>as_shipped|Oli|21800|As shipped</t>
        </is>
      </c>
      <c r="BY116" s="152" t="inlineStr">
        <is>
          <t>oli|Manufacturer finish|#e2e8f0|0</t>
        </is>
      </c>
      <c r="BZ116" s="152" t="inlineStr"/>
      <c r="CA116" s="156" t="inlineStr">
        <is>
          <t>Add-ons: case; 2 color options; Multi-year extended warranty available</t>
        </is>
      </c>
      <c r="CB116" s="156" t="inlineStr">
        <is>
          <t>12 months manufacturer standard (typical research/commercial humanoid)</t>
        </is>
      </c>
      <c r="CC116" s="154" t="n">
        <v>12</v>
      </c>
      <c r="CD116" s="156" t="inlineStr">
        <is>
          <t>+3 Year Extended ≈24% of configuration (default in configurator)</t>
        </is>
      </c>
      <c r="CE116" s="152" t="inlineStr">
        <is>
          <t>Humanoid category norm 2025–2026</t>
        </is>
      </c>
      <c r="CF116" s="152" t="inlineStr">
        <is>
          <t>Estimated</t>
        </is>
      </c>
      <c r="CG116" s="156" t="inlineStr">
        <is>
          <t>EDU or enterprise packages may differ; confirm on formal quote.</t>
        </is>
      </c>
      <c r="CH116" s="152" t="inlineStr">
        <is>
          <t>10%</t>
        </is>
      </c>
      <c r="CI116" s="152" t="inlineStr">
        <is>
          <t>17%</t>
        </is>
      </c>
      <c r="CJ116" s="152" t="inlineStr">
        <is>
          <t>24%</t>
        </is>
      </c>
      <c r="CK116"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116"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16" s="152" t="inlineStr">
        <is>
          <t>12 months manufacturer standard (typical research/commercial humanoid)</t>
        </is>
      </c>
      <c r="CQ116" s="101" t="inlineStr">
        <is>
          <t>Height: 2 ft 9 in – 5 ft 5 in | Weight: 121.3 | Degrees of Freedom: 26–31 | Payload: 6.6 | Max Speed: 3.11 | Battery / Runtime: ≈ 1.5 hours</t>
        </is>
      </c>
    </row>
    <row r="117" ht="31.5" customHeight="1" s="102">
      <c r="A117" s="159" t="inlineStr">
        <is>
          <t>limx_dynamics_tron_1_tron_2_oli_tron_1</t>
        </is>
      </c>
      <c r="B117" s="144" t="inlineStr">
        <is>
          <t>Both</t>
        </is>
      </c>
      <c r="C117" s="152" t="inlineStr">
        <is>
          <t>LimX Dynamics</t>
        </is>
      </c>
      <c r="D117" s="152" t="inlineStr">
        <is>
          <t>TRON 1</t>
        </is>
      </c>
      <c r="E117" s="152" t="inlineStr">
        <is>
          <t>[LimX] TRON 1 (2025)</t>
        </is>
      </c>
      <c r="F117" s="146" t="inlineStr">
        <is>
          <t>humanoid</t>
        </is>
      </c>
      <c r="G117" s="152" t="inlineStr">
        <is>
          <t>China</t>
        </is>
      </c>
      <c r="H117" s="154" t="n">
        <v>2025</v>
      </c>
      <c r="I117" s="155" t="n">
        <v>15000</v>
      </c>
      <c r="J117" s="152" t="inlineStr">
        <is>
          <t>Robot Price Index Aug 2026 · entry</t>
        </is>
      </c>
      <c r="K117" s="156" t="inlineStr">
        <is>
          <t>Full-size (165 cm) humanoid for embodied-AI R&amp;D with a 31-DoF body, dual depth cameras, Python-friendly SDK and simulator support — scalable to higher-DoF, dexterous configurations.</t>
        </is>
      </c>
      <c r="L117" s="101" t="inlineStr">
        <is>
          <t>Full-size (165 cm) humanoid for embodied-AI R&amp;D with a 31-DoF body, dual depth cameras, Python-friendly SDK and simulator support — scalable to higher-DoF, dexterous configurations.</t>
        </is>
      </c>
      <c r="M117" s="101" t="inlineStr">
        <is>
          <t>TRON 1 is LimX Dynamics's humanoid, introduced around 2025 in China. Full-size (165 cm) humanoid for embodied-AI R&amp;D with a 31-DoF body, dual depth cameras, Python-friendly SDK and simulator support — scalable to higher-DoF, dexterous configurations. Public status is listed as orderable, and it is positioned for research.</t>
        </is>
      </c>
      <c r="N117" s="157" t="inlineStr">
        <is>
          <t>https://humanoid.guide/product/limx-oli/</t>
        </is>
      </c>
      <c r="O117" s="157" t="inlineStr">
        <is>
          <t>https://www.limxdynamics.com</t>
        </is>
      </c>
      <c r="P117" s="152" t="inlineStr">
        <is>
          <t>2 ft 9 in – 5 ft 5 in</t>
        </is>
      </c>
      <c r="Q117" s="152" t="n">
        <v>165</v>
      </c>
      <c r="R117" s="152" t="n">
        <v>121.3</v>
      </c>
      <c r="S117" s="152" t="n">
        <v>55</v>
      </c>
      <c r="T117" s="156" t="inlineStr">
        <is>
          <t>Not disclosed</t>
        </is>
      </c>
      <c r="U117" s="152" t="n"/>
      <c r="V117" s="152" t="inlineStr">
        <is>
          <t>26–31</t>
        </is>
      </c>
      <c r="W117" s="156" t="inlineStr">
        <is>
          <t>10</t>
        </is>
      </c>
      <c r="X117" s="152" t="n">
        <v>6.6</v>
      </c>
      <c r="Y117" s="152" t="n">
        <v>3</v>
      </c>
      <c r="Z117" s="152" t="n">
        <v>3.11</v>
      </c>
      <c r="AA117" s="152" t="n">
        <v>5</v>
      </c>
      <c r="AB117" s="152" t="n">
        <v>3</v>
      </c>
      <c r="AC117" s="156" t="inlineStr">
        <is>
          <t>≈ 1.5 hours</t>
        </is>
      </c>
      <c r="AD117" s="156" t="inlineStr">
        <is>
          <t>1.5</t>
        </is>
      </c>
      <c r="AE117" s="152" t="n"/>
      <c r="AF117" s="152" t="inlineStr">
        <is>
          <t>Not disclosed</t>
        </is>
      </c>
      <c r="AG117" s="156" t="inlineStr">
        <is>
          <t>10</t>
        </is>
      </c>
      <c r="AH117" s="152" t="inlineStr">
        <is>
          <t>10</t>
        </is>
      </c>
      <c r="AI117" s="151" t="n">
        <v>3</v>
      </c>
      <c r="AJ117" s="156" t="inlineStr">
        <is>
          <t>Research vision packages by model</t>
        </is>
      </c>
      <c r="AK117" s="156" t="inlineStr">
        <is>
          <t>Intel® RealSense™ D435i</t>
        </is>
      </c>
      <c r="AL117" s="152" t="inlineStr">
        <is>
          <t>Not disclosed</t>
        </is>
      </c>
      <c r="AM117" s="152" t="n"/>
      <c r="AN117" s="152" t="inlineStr">
        <is>
          <t>Not disclosed</t>
        </is>
      </c>
      <c r="AO117" s="152" t="inlineStr">
        <is>
          <t>Not disclosed</t>
        </is>
      </c>
      <c r="AP117" s="152" t="inlineStr">
        <is>
          <t>Not disclosed</t>
        </is>
      </c>
      <c r="AQ117" s="152" t="inlineStr">
        <is>
          <t>Not disclosed</t>
        </is>
      </c>
      <c r="AR117" s="152" t="n"/>
      <c r="AS117" s="152" t="n"/>
      <c r="AT117" s="156" t="inlineStr">
        <is>
          <t>RK3588/8G/64G</t>
        </is>
      </c>
      <c r="AU117" s="156" t="inlineStr">
        <is>
          <t>WiFi 6/USB3.0&amp;3.2/Gigabit Ethernet (RJ45）/Type-C</t>
        </is>
      </c>
      <c r="AV117" s="152" t="inlineStr">
        <is>
          <t>LimX research SDK</t>
        </is>
      </c>
      <c r="AW117" s="156" t="inlineStr">
        <is>
          <t>Bipedal research platforms across size range</t>
        </is>
      </c>
      <c r="AX117" s="151" t="n">
        <v>3</v>
      </c>
      <c r="AY117" s="156" t="inlineStr">
        <is>
          <t>Linux</t>
        </is>
      </c>
      <c r="AZ117" s="156" t="inlineStr">
        <is>
          <t>Yes</t>
        </is>
      </c>
      <c r="BA117" s="156" t="inlineStr">
        <is>
          <t>1–10 ms</t>
        </is>
      </c>
      <c r="BB117" s="156" t="inlineStr">
        <is>
          <t>Not disclosed</t>
        </is>
      </c>
      <c r="BC117" s="156" t="inlineStr">
        <is>
          <t>Not disclosed</t>
        </is>
      </c>
      <c r="BD117" s="152" t="inlineStr">
        <is>
          <t>Not disclosed</t>
        </is>
      </c>
      <c r="BE117" s="152" t="inlineStr">
        <is>
          <t>Yes</t>
        </is>
      </c>
      <c r="BF117" s="152" t="inlineStr">
        <is>
          <t>Yes</t>
        </is>
      </c>
      <c r="BG117" s="152" t="n"/>
      <c r="BH117" s="152" t="n"/>
      <c r="BI117" s="152" t="n"/>
      <c r="BJ117" s="152" t="n"/>
      <c r="BK117" s="152" t="n"/>
      <c r="BL117" s="152" t="n"/>
      <c r="BM117" s="152" t="inlineStr">
        <is>
          <t>Yes</t>
        </is>
      </c>
      <c r="BN117" s="152" t="inlineStr">
        <is>
          <t>Not disclosed</t>
        </is>
      </c>
      <c r="BO117" s="156" t="inlineStr">
        <is>
          <t>Market: Research · Manipulation 3/4 · Navigation 3/4 · Human-safe: Yes · AI: Yes · Actuation: Not specified · Peak 5 km/h · Walk 3 km/h · Runtime 1.5</t>
        </is>
      </c>
      <c r="BP117" s="152" t="n"/>
      <c r="BQ117" s="156" t="inlineStr">
        <is>
          <t>Research</t>
        </is>
      </c>
      <c r="BR117" s="156" t="inlineStr">
        <is>
          <t>Orderable</t>
        </is>
      </c>
      <c r="BS117" s="156" t="inlineStr">
        <is>
          <t>In production</t>
        </is>
      </c>
      <c r="BT117" s="152" t="n"/>
      <c r="BU117" s="152" t="inlineStr">
        <is>
          <t>Not verified</t>
        </is>
      </c>
      <c r="BV117" s="156" t="inlineStr">
        <is>
          <t>Multiple form factors Humanoid.guide listed price $60,000.</t>
        </is>
      </c>
      <c r="BW117" s="156" t="inlineStr">
        <is>
          <t>Origin &amp; status — China · Orderable · 2025 | Manipulation — 10 · 10 fingers · Hand DOF 10 · Payload 6.6 lb (3 kg) | Sensing &amp; software — Research vision packages by model · Yes · Linux · LimX research SDK | Buying notes — From $15,000 · 12 months manufacturer standard (typical research/commercial humanoid) · Best fit: Research</t>
        </is>
      </c>
      <c r="BX117" s="156" t="inlineStr">
        <is>
          <t>as_shipped|TRON 1|15000|As shipped</t>
        </is>
      </c>
      <c r="BY117" s="152" t="inlineStr">
        <is>
          <t>tron_1|Manufacturer finish|#e2e8f0|0</t>
        </is>
      </c>
      <c r="BZ117" s="152" t="inlineStr"/>
      <c r="CA117" s="156" t="inlineStr">
        <is>
          <t>Add-ons: case; 2 color options; Multi-year extended warranty available</t>
        </is>
      </c>
      <c r="CB117" s="156" t="inlineStr">
        <is>
          <t>12 months manufacturer standard (typical research/commercial humanoid)</t>
        </is>
      </c>
      <c r="CC117" s="154" t="n">
        <v>12</v>
      </c>
      <c r="CD117" s="156" t="inlineStr">
        <is>
          <t>+3 Year Extended ≈24% of configuration (default in configurator)</t>
        </is>
      </c>
      <c r="CE117" s="152" t="inlineStr">
        <is>
          <t>Humanoid category norm 2025–2026</t>
        </is>
      </c>
      <c r="CF117" s="152" t="inlineStr">
        <is>
          <t>Estimated</t>
        </is>
      </c>
      <c r="CG117" s="156" t="inlineStr">
        <is>
          <t>EDU or enterprise packages may differ; confirm on formal quote.</t>
        </is>
      </c>
      <c r="CH117" s="152" t="inlineStr">
        <is>
          <t>10%</t>
        </is>
      </c>
      <c r="CI117" s="152" t="inlineStr">
        <is>
          <t>17%</t>
        </is>
      </c>
      <c r="CJ117" s="152" t="inlineStr">
        <is>
          <t>24%</t>
        </is>
      </c>
      <c r="CK117"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117"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17" s="152" t="inlineStr">
        <is>
          <t>12 months manufacturer standard (typical research/commercial humanoid)</t>
        </is>
      </c>
      <c r="CQ117" s="101" t="inlineStr">
        <is>
          <t>Height: 2 ft 9 in – 5 ft 5 in | Weight: 121.3 | Degrees of Freedom: 26–31 | Payload: 6.6 | Max Speed: 3.11 | Battery / Runtime: ≈ 1.5 hours</t>
        </is>
      </c>
    </row>
    <row r="118" ht="31.5" customHeight="1" s="102">
      <c r="A118" s="159" t="inlineStr">
        <is>
          <t>limx_dynamics_tron_1_tron_2_oli_tron_2</t>
        </is>
      </c>
      <c r="B118" s="144" t="inlineStr">
        <is>
          <t>Both</t>
        </is>
      </c>
      <c r="C118" s="152" t="inlineStr">
        <is>
          <t>LimX Dynamics</t>
        </is>
      </c>
      <c r="D118" s="152" t="inlineStr">
        <is>
          <t>TRON 2</t>
        </is>
      </c>
      <c r="E118" s="152" t="inlineStr">
        <is>
          <t>[LimX] TRON 2 (2025)</t>
        </is>
      </c>
      <c r="F118" s="146" t="inlineStr">
        <is>
          <t>humanoid</t>
        </is>
      </c>
      <c r="G118" s="152" t="inlineStr">
        <is>
          <t>China</t>
        </is>
      </c>
      <c r="H118" s="154" t="n">
        <v>2025</v>
      </c>
      <c r="I118" s="155" t="n">
        <v>20000</v>
      </c>
      <c r="J118" s="152" t="inlineStr">
        <is>
          <t>Robot Price Index Aug 2026 · entry</t>
        </is>
      </c>
      <c r="K118" s="156" t="inlineStr">
        <is>
          <t>Full-size (165 cm) humanoid for embodied-AI R&amp;D with a 31-DoF body, dual depth cameras, Python-friendly SDK and simulator support — scalable to higher-DoF, dexterous configurations.</t>
        </is>
      </c>
      <c r="L118" s="101" t="inlineStr">
        <is>
          <t>Full-size (165 cm) humanoid for embodied-AI R&amp;D with a 31-DoF body, dual depth cameras, Python-friendly SDK and simulator support — scalable to higher-DoF, dexterous configurations.</t>
        </is>
      </c>
      <c r="M118" s="101" t="inlineStr">
        <is>
          <t>TRON 2 is LimX Dynamics's humanoid, introduced around 2025 in China. Full-size (165 cm) humanoid for embodied-AI R&amp;D with a 31-DoF body, dual depth cameras, Python-friendly SDK and simulator support — scalable to higher-DoF, dexterous configurations. Public status is listed as orderable, and it is positioned for research.</t>
        </is>
      </c>
      <c r="N118" s="157" t="inlineStr">
        <is>
          <t>https://humanoid.guide/product/limx-oli/</t>
        </is>
      </c>
      <c r="O118" s="157" t="inlineStr">
        <is>
          <t>https://www.limxdynamics.com</t>
        </is>
      </c>
      <c r="P118" s="152" t="inlineStr">
        <is>
          <t>2 ft 9 in – 5 ft 5 in</t>
        </is>
      </c>
      <c r="Q118" s="152" t="n">
        <v>165</v>
      </c>
      <c r="R118" s="152" t="n">
        <v>121.3</v>
      </c>
      <c r="S118" s="152" t="n">
        <v>55</v>
      </c>
      <c r="T118" s="156" t="inlineStr">
        <is>
          <t>Not disclosed</t>
        </is>
      </c>
      <c r="U118" s="152" t="n"/>
      <c r="V118" s="152" t="inlineStr">
        <is>
          <t>26–31</t>
        </is>
      </c>
      <c r="W118" s="156" t="inlineStr">
        <is>
          <t>10</t>
        </is>
      </c>
      <c r="X118" s="152" t="n">
        <v>6.6</v>
      </c>
      <c r="Y118" s="152" t="n">
        <v>3</v>
      </c>
      <c r="Z118" s="152" t="n">
        <v>3.11</v>
      </c>
      <c r="AA118" s="152" t="n">
        <v>5</v>
      </c>
      <c r="AB118" s="152" t="n">
        <v>3</v>
      </c>
      <c r="AC118" s="156" t="inlineStr">
        <is>
          <t>≈ 1.5 hours</t>
        </is>
      </c>
      <c r="AD118" s="156" t="inlineStr">
        <is>
          <t>1.5</t>
        </is>
      </c>
      <c r="AE118" s="152" t="n"/>
      <c r="AF118" s="152" t="inlineStr">
        <is>
          <t>Not disclosed</t>
        </is>
      </c>
      <c r="AG118" s="156" t="inlineStr">
        <is>
          <t>10</t>
        </is>
      </c>
      <c r="AH118" s="152" t="inlineStr">
        <is>
          <t>10</t>
        </is>
      </c>
      <c r="AI118" s="151" t="n">
        <v>3</v>
      </c>
      <c r="AJ118" s="156" t="inlineStr">
        <is>
          <t>Research vision packages by model</t>
        </is>
      </c>
      <c r="AK118" s="156" t="inlineStr">
        <is>
          <t>Intel® RealSense™ D435i</t>
        </is>
      </c>
      <c r="AL118" s="152" t="inlineStr">
        <is>
          <t>Not disclosed</t>
        </is>
      </c>
      <c r="AM118" s="152" t="n"/>
      <c r="AN118" s="152" t="inlineStr">
        <is>
          <t>Not disclosed</t>
        </is>
      </c>
      <c r="AO118" s="152" t="inlineStr">
        <is>
          <t>Not disclosed</t>
        </is>
      </c>
      <c r="AP118" s="152" t="inlineStr">
        <is>
          <t>Not disclosed</t>
        </is>
      </c>
      <c r="AQ118" s="152" t="inlineStr">
        <is>
          <t>Not disclosed</t>
        </is>
      </c>
      <c r="AR118" s="152" t="n"/>
      <c r="AS118" s="152" t="n"/>
      <c r="AT118" s="156" t="inlineStr">
        <is>
          <t>RK3588/8G/64G</t>
        </is>
      </c>
      <c r="AU118" s="156" t="inlineStr">
        <is>
          <t>WiFi 6/USB3.0&amp;3.2/Gigabit Ethernet (RJ45）/Type-C</t>
        </is>
      </c>
      <c r="AV118" s="152" t="inlineStr">
        <is>
          <t>LimX research SDK</t>
        </is>
      </c>
      <c r="AW118" s="156" t="inlineStr">
        <is>
          <t>Bipedal research platforms across size range</t>
        </is>
      </c>
      <c r="AX118" s="151" t="n">
        <v>3</v>
      </c>
      <c r="AY118" s="156" t="inlineStr">
        <is>
          <t>Linux</t>
        </is>
      </c>
      <c r="AZ118" s="156" t="inlineStr">
        <is>
          <t>Yes</t>
        </is>
      </c>
      <c r="BA118" s="156" t="inlineStr">
        <is>
          <t>1–10 ms</t>
        </is>
      </c>
      <c r="BB118" s="156" t="inlineStr">
        <is>
          <t>Not disclosed</t>
        </is>
      </c>
      <c r="BC118" s="156" t="inlineStr">
        <is>
          <t>Not disclosed</t>
        </is>
      </c>
      <c r="BD118" s="152" t="inlineStr">
        <is>
          <t>Not disclosed</t>
        </is>
      </c>
      <c r="BE118" s="152" t="inlineStr">
        <is>
          <t>Yes</t>
        </is>
      </c>
      <c r="BF118" s="152" t="inlineStr">
        <is>
          <t>Yes</t>
        </is>
      </c>
      <c r="BG118" s="152" t="n"/>
      <c r="BH118" s="152" t="n"/>
      <c r="BI118" s="152" t="n"/>
      <c r="BJ118" s="152" t="n"/>
      <c r="BK118" s="152" t="n"/>
      <c r="BL118" s="152" t="n"/>
      <c r="BM118" s="152" t="inlineStr">
        <is>
          <t>Yes</t>
        </is>
      </c>
      <c r="BN118" s="152" t="inlineStr">
        <is>
          <t>Not disclosed</t>
        </is>
      </c>
      <c r="BO118" s="156" t="inlineStr">
        <is>
          <t>Market: Research · Manipulation 3/4 · Navigation 3/4 · Human-safe: Yes · AI: Yes · Actuation: Not specified · Peak 5 km/h · Walk 3 km/h · Runtime 1.5</t>
        </is>
      </c>
      <c r="BP118" s="152" t="n"/>
      <c r="BQ118" s="156" t="inlineStr">
        <is>
          <t>Research</t>
        </is>
      </c>
      <c r="BR118" s="156" t="inlineStr">
        <is>
          <t>Orderable</t>
        </is>
      </c>
      <c r="BS118" s="156" t="inlineStr">
        <is>
          <t>In production</t>
        </is>
      </c>
      <c r="BT118" s="152" t="n"/>
      <c r="BU118" s="152" t="inlineStr">
        <is>
          <t>Not verified</t>
        </is>
      </c>
      <c r="BV118" s="156" t="inlineStr">
        <is>
          <t>Multiple form factors Humanoid.guide listed price $60,000.</t>
        </is>
      </c>
      <c r="BW118" s="156" t="inlineStr">
        <is>
          <t>Origin &amp; status — China · Orderable · 2025 | Manipulation — 10 · 10 fingers · Hand DOF 10 · Payload 6.6 lb (3 kg) | Sensing &amp; software — Research vision packages by model · Yes · Linux · LimX research SDK | Buying notes — From $20,000 · 12 months manufacturer standard (typical research/commercial humanoid) · Best fit: Research</t>
        </is>
      </c>
      <c r="BX118" s="156" t="inlineStr">
        <is>
          <t>as_shipped|TRON 2|20000|As shipped</t>
        </is>
      </c>
      <c r="BY118" s="152" t="inlineStr">
        <is>
          <t>tron_2|Manufacturer finish|#e2e8f0|0</t>
        </is>
      </c>
      <c r="BZ118" s="152" t="inlineStr"/>
      <c r="CA118" s="156" t="inlineStr">
        <is>
          <t>Add-ons: case; 2 color options; Multi-year extended warranty available</t>
        </is>
      </c>
      <c r="CB118" s="156" t="inlineStr">
        <is>
          <t>12 months manufacturer standard (typical research/commercial humanoid)</t>
        </is>
      </c>
      <c r="CC118" s="154" t="n">
        <v>12</v>
      </c>
      <c r="CD118" s="156" t="inlineStr">
        <is>
          <t>+3 Year Extended ≈24% of configuration (default in configurator)</t>
        </is>
      </c>
      <c r="CE118" s="152" t="inlineStr">
        <is>
          <t>Humanoid category norm 2025–2026</t>
        </is>
      </c>
      <c r="CF118" s="152" t="inlineStr">
        <is>
          <t>Estimated</t>
        </is>
      </c>
      <c r="CG118" s="156" t="inlineStr">
        <is>
          <t>EDU or enterprise packages may differ; confirm on formal quote.</t>
        </is>
      </c>
      <c r="CH118" s="152" t="inlineStr">
        <is>
          <t>10%</t>
        </is>
      </c>
      <c r="CI118" s="152" t="inlineStr">
        <is>
          <t>17%</t>
        </is>
      </c>
      <c r="CJ118" s="152" t="inlineStr">
        <is>
          <t>24%</t>
        </is>
      </c>
      <c r="CK118"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118"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18" s="152" t="inlineStr">
        <is>
          <t>12 months manufacturer standard (typical research/commercial humanoid)</t>
        </is>
      </c>
      <c r="CQ118" s="101" t="inlineStr">
        <is>
          <t>Height: 2 ft 9 in – 5 ft 5 in | Weight: 121.3 | Degrees of Freedom: 26–31 | Payload: 6.6 | Max Speed: 3.11 | Battery / Runtime: ≈ 1.5 hours</t>
        </is>
      </c>
    </row>
    <row r="119" ht="31.5" customHeight="1" s="102">
      <c r="A119" s="145" t="inlineStr">
        <is>
          <t>lumos_robotics_nix</t>
        </is>
      </c>
      <c r="B119" s="153" t="inlineStr">
        <is>
          <t>Humanoid.guide</t>
        </is>
      </c>
      <c r="C119" s="145" t="inlineStr">
        <is>
          <t>Lumos Robotics</t>
        </is>
      </c>
      <c r="D119" s="145" t="inlineStr">
        <is>
          <t>NIX</t>
        </is>
      </c>
      <c r="E119" s="145" t="inlineStr">
        <is>
          <t>[Lumos Robotics] NIX (2026)</t>
        </is>
      </c>
      <c r="F119" s="146" t="inlineStr">
        <is>
          <t>humanoid</t>
        </is>
      </c>
      <c r="G119" s="145" t="inlineStr">
        <is>
          <t>China</t>
        </is>
      </c>
      <c r="H119" s="145" t="n"/>
      <c r="I119" s="148" t="n">
        <v>12000</v>
      </c>
      <c r="J119" s="145" t="inlineStr">
        <is>
          <t>Humanoid.guide list</t>
        </is>
      </c>
      <c r="K119" s="149" t="inlineStr">
        <is>
          <t>The robot NIX by Lumos Robotics is a compact, child-sized humanoid built for entertainment, home support, and light-duty service tasks.</t>
        </is>
      </c>
      <c r="L119" s="101" t="inlineStr">
        <is>
          <t>The robot NIX by Lumos Robotics is a compact, child-sized humanoid built for entertainment, home support, and light-duty service tasks.</t>
        </is>
      </c>
      <c r="M119" s="101" t="inlineStr">
        <is>
          <t>NIX is Lumos Robotics's humanoid, introduced around 2026 in China. The robot NIX by Lumos Robotics is a compact, child-sized humanoid built for entertainment, home support, and light-duty service tasks. Public status is listed as prototype, and it is positioned for entertainment; Home service; Workplace assistance, light logistics, education.</t>
        </is>
      </c>
      <c r="N119" s="150" t="inlineStr">
        <is>
          <t>https://humanoid.guide/product/nix/</t>
        </is>
      </c>
      <c r="O119" s="150" t="inlineStr">
        <is>
          <t>https://lumosbot.tech</t>
        </is>
      </c>
      <c r="P119" s="145" t="inlineStr">
        <is>
          <t>2 ft 7 in</t>
        </is>
      </c>
      <c r="Q119" s="145" t="n">
        <v>80</v>
      </c>
      <c r="R119" s="145" t="n">
        <v>44.1</v>
      </c>
      <c r="S119" s="145" t="n">
        <v>20</v>
      </c>
      <c r="T119" s="149" t="inlineStr">
        <is>
          <t>Not disclosed</t>
        </is>
      </c>
      <c r="U119" s="145" t="n"/>
      <c r="V119" s="145" t="inlineStr">
        <is>
          <t>Not disclosed</t>
        </is>
      </c>
      <c r="W119" s="149" t="inlineStr">
        <is>
          <t>Not disclosed</t>
        </is>
      </c>
      <c r="X119" s="145" t="n">
        <v>2.2</v>
      </c>
      <c r="Y119" s="145" t="n">
        <v>1</v>
      </c>
      <c r="Z119" s="145" t="n">
        <v>1.86</v>
      </c>
      <c r="AA119" s="145" t="n">
        <v>3</v>
      </c>
      <c r="AB119" s="145" t="n">
        <v>2</v>
      </c>
      <c r="AC119" s="149" t="inlineStr">
        <is>
          <t>≈ 1.5 hours</t>
        </is>
      </c>
      <c r="AD119" s="149" t="inlineStr">
        <is>
          <t>1.5</t>
        </is>
      </c>
      <c r="AE119" s="145" t="n"/>
      <c r="AF119" s="145" t="inlineStr">
        <is>
          <t>Not disclosed</t>
        </is>
      </c>
      <c r="AG119" s="149" t="inlineStr">
        <is>
          <t>Not disclosed</t>
        </is>
      </c>
      <c r="AH119" s="145" t="inlineStr">
        <is>
          <t>Not disclosed</t>
        </is>
      </c>
      <c r="AI119" s="158" t="n">
        <v>2</v>
      </c>
      <c r="AJ119" s="149" t="inlineStr">
        <is>
          <t>Not disclosed</t>
        </is>
      </c>
      <c r="AK119" s="149" t="n"/>
      <c r="AL119" s="145" t="inlineStr">
        <is>
          <t>Not disclosed</t>
        </is>
      </c>
      <c r="AM119" s="145" t="n"/>
      <c r="AN119" s="145" t="inlineStr">
        <is>
          <t>Not disclosed</t>
        </is>
      </c>
      <c r="AO119" s="145" t="inlineStr">
        <is>
          <t>Not disclosed</t>
        </is>
      </c>
      <c r="AP119" s="145" t="inlineStr">
        <is>
          <t>Not disclosed</t>
        </is>
      </c>
      <c r="AQ119" s="145" t="inlineStr">
        <is>
          <t>Not disclosed</t>
        </is>
      </c>
      <c r="AR119" s="145" t="n"/>
      <c r="AS119" s="145" t="n"/>
      <c r="AT119" s="149" t="inlineStr">
        <is>
          <t>Not disclosed</t>
        </is>
      </c>
      <c r="AU119" s="149" t="inlineStr">
        <is>
          <t>Bluetooth; Wi‑Fi</t>
        </is>
      </c>
      <c r="AV119" s="145" t="inlineStr">
        <is>
          <t>Not disclosed</t>
        </is>
      </c>
      <c r="AW119" s="149" t="inlineStr">
        <is>
          <t>Not disclosed</t>
        </is>
      </c>
      <c r="AX119" s="158" t="n">
        <v>2</v>
      </c>
      <c r="AY119" s="149" t="inlineStr">
        <is>
          <t>Linux-based ROS environment</t>
        </is>
      </c>
      <c r="AZ119" s="149" t="inlineStr">
        <is>
          <t>Not disclosed</t>
        </is>
      </c>
      <c r="BA119" s="149" t="n"/>
      <c r="BB119" s="149" t="inlineStr">
        <is>
          <t>Presumably uses Lumos’ in-house compact joint modules (brushless motors + planetary reducers), as described for their robot joint line.</t>
        </is>
      </c>
      <c r="BC119" s="149" t="inlineStr">
        <is>
          <t>Planetary-reducer based gear modules for compactness and torque</t>
        </is>
      </c>
      <c r="BD119" s="145" t="inlineStr">
        <is>
          <t>lightweight metals/plastics + joint modules</t>
        </is>
      </c>
      <c r="BE119" s="145" t="inlineStr">
        <is>
          <t>Not disclosed</t>
        </is>
      </c>
      <c r="BF119" s="145" t="n"/>
      <c r="BG119" s="145" t="n"/>
      <c r="BH119" s="145" t="n"/>
      <c r="BI119" s="145" t="n"/>
      <c r="BJ119" s="145" t="n"/>
      <c r="BK119" s="145" t="n"/>
      <c r="BL119" s="145" t="n"/>
      <c r="BM119" s="145" t="inlineStr">
        <is>
          <t>Yes</t>
        </is>
      </c>
      <c r="BN119" s="145" t="inlineStr">
        <is>
          <t>Not disclosed</t>
        </is>
      </c>
      <c r="BO119" s="149" t="inlineStr">
        <is>
          <t>Market: Entertainment; Home service; Workplace assistance, light logistics, education · Manipulation 2/4 · Navigation 2/4 · Human-safe: Yes · AI: Not specified · Actuation: Presumably uses Lumos’ in-house compact joint modules (brushless motors + planetary reducers), as described… · Peak 3 km/h · Walk 2 km/h · Runtime 1.5</t>
        </is>
      </c>
      <c r="BP119" s="145" t="n"/>
      <c r="BQ119" s="149" t="inlineStr">
        <is>
          <t>Entertainment; Home service; Workplace assistance, light logistics, education</t>
        </is>
      </c>
      <c r="BR119" s="149" t="inlineStr">
        <is>
          <t>Prototype</t>
        </is>
      </c>
      <c r="BS119" s="149" t="inlineStr">
        <is>
          <t>Prototype</t>
        </is>
      </c>
      <c r="BT119" s="145" t="inlineStr">
        <is>
          <t>Black</t>
        </is>
      </c>
      <c r="BU119" s="145" t="inlineStr">
        <is>
          <t>Not verified</t>
        </is>
      </c>
      <c r="BV119" s="149" t="n"/>
      <c r="BW119" s="149" t="inlineStr">
        <is>
          <t>Origin &amp; status — China · Prototype · 2026 | Manipulation — Payload 2.2 lb | Sensing &amp; software — Linux-based ROS environment | Buying notes — From $12,000 · 12 months manufacturer standard (typical research/commercial humanoid) · Best fit: Entertainment</t>
        </is>
      </c>
      <c r="BX119" s="149" t="inlineStr">
        <is>
          <t>as_shipped|NIX|12000|As shipped</t>
        </is>
      </c>
      <c r="BY119" s="145" t="inlineStr">
        <is>
          <t>black|Black|#e2e8f0|0</t>
        </is>
      </c>
      <c r="BZ119" s="145" t="inlineStr"/>
      <c r="CA119" s="149" t="n"/>
      <c r="CB119" s="149" t="inlineStr">
        <is>
          <t>12 months manufacturer standard (typical research/commercial humanoid)</t>
        </is>
      </c>
      <c r="CC119" s="147" t="n">
        <v>12</v>
      </c>
      <c r="CD119" s="149" t="inlineStr">
        <is>
          <t>+3 Year Extended ≈24% of configuration (default in configurator)</t>
        </is>
      </c>
      <c r="CE119" s="145" t="inlineStr">
        <is>
          <t>Humanoid category norm 2025–2026</t>
        </is>
      </c>
      <c r="CF119" s="145" t="inlineStr">
        <is>
          <t>Estimated</t>
        </is>
      </c>
      <c r="CG119" s="149" t="inlineStr">
        <is>
          <t>Confirm on formal OEM quote. EDU or enterprise packages may differ.</t>
        </is>
      </c>
      <c r="CH119" s="145" t="inlineStr">
        <is>
          <t>10%</t>
        </is>
      </c>
      <c r="CI119" s="145" t="inlineStr">
        <is>
          <t>17%</t>
        </is>
      </c>
      <c r="CJ119" s="145" t="inlineStr">
        <is>
          <t>24%</t>
        </is>
      </c>
      <c r="CK119" s="149" t="inlineStr">
        <is>
          <t>+1yr ≈10% | +2yr ≈17% | +3yr ≈24% of selected configuration price (parts &amp; labor beyond manufacturer standard).</t>
        </is>
      </c>
      <c r="CL11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19" s="145" t="inlineStr">
        <is>
          <t>12 months manufacturer standard (typical research/commercial humanoid)</t>
        </is>
      </c>
      <c r="CQ119" s="101" t="inlineStr">
        <is>
          <t>Height: 2 ft 7 in | Weight: 44.1 | Degrees of Freedom: Not disclosed | Payload: 2.2 | Max Speed: 1.86 | Battery / Runtime: ≈ 1.5 hours</t>
        </is>
      </c>
    </row>
    <row r="120" ht="31.5" customHeight="1" s="102">
      <c r="A120" s="152" t="n"/>
      <c r="B120" s="153" t="inlineStr">
        <is>
          <t>Humanoid.guide</t>
        </is>
      </c>
      <c r="C120" s="152" t="inlineStr">
        <is>
          <t>MagicLab</t>
        </is>
      </c>
      <c r="D120" s="152" t="inlineStr">
        <is>
          <t>MagicBot</t>
        </is>
      </c>
      <c r="E120" s="152" t="inlineStr">
        <is>
          <t>[MagicLab] MagicBot (2026)</t>
        </is>
      </c>
      <c r="F120" s="146" t="inlineStr">
        <is>
          <t>humanoid</t>
        </is>
      </c>
      <c r="G120" s="152" t="inlineStr">
        <is>
          <t>China</t>
        </is>
      </c>
      <c r="H120" s="152" t="n"/>
      <c r="I120" s="155" t="n">
        <v>50000</v>
      </c>
      <c r="J120" s="152" t="inlineStr">
        <is>
          <t>Humanoid.guide list</t>
        </is>
      </c>
      <c r="K120" s="156" t="inlineStr">
        <is>
          <t>MagicBot is a humanoid robot designed for entertainment and interaction. It is capable of performing various tasks with expressive gestures and movements.</t>
        </is>
      </c>
      <c r="L120" s="101" t="inlineStr">
        <is>
          <t>https://humanoid.guide/product/magicbot/</t>
        </is>
      </c>
      <c r="M120" t="inlineStr">
        <is>
          <t>https://www.magiclab.top/</t>
        </is>
      </c>
      <c r="N120" s="157" t="inlineStr">
        <is>
          <t>https://humanoid.guide/product/magicbot/</t>
        </is>
      </c>
      <c r="O120" s="157" t="inlineStr">
        <is>
          <t>https://www.magiclab.top</t>
        </is>
      </c>
      <c r="P120" s="152" t="inlineStr">
        <is>
          <t>4 ft 6 in</t>
        </is>
      </c>
      <c r="Q120" s="152" t="n">
        <v>138</v>
      </c>
      <c r="R120" s="152" t="n">
        <v>119</v>
      </c>
      <c r="S120" s="152" t="n">
        <v>54</v>
      </c>
      <c r="T120" s="156" t="inlineStr">
        <is>
          <t>Not disclosed</t>
        </is>
      </c>
      <c r="U120" s="152" t="n"/>
      <c r="V120" s="152" t="inlineStr">
        <is>
          <t>42</t>
        </is>
      </c>
      <c r="W120" s="156" t="n"/>
      <c r="X120" s="152" t="n">
        <v>44.1</v>
      </c>
      <c r="Y120" s="152" t="n">
        <v>20</v>
      </c>
      <c r="Z120" s="152" t="n">
        <v>3.11</v>
      </c>
      <c r="AA120" s="152" t="n">
        <v>5</v>
      </c>
      <c r="AB120" s="152" t="n"/>
      <c r="AC120" s="156" t="n"/>
      <c r="AD120" s="156" t="n"/>
      <c r="AE120" s="152" t="n"/>
      <c r="AF120" s="152" t="inlineStr">
        <is>
          <t>Not disclosed</t>
        </is>
      </c>
      <c r="AG120" s="156" t="inlineStr">
        <is>
          <t>Not disclosed</t>
        </is>
      </c>
      <c r="AH120" s="152" t="n"/>
      <c r="AI120" s="158" t="n">
        <v>2</v>
      </c>
      <c r="AJ120" s="156" t="inlineStr">
        <is>
          <t>Not disclosed</t>
        </is>
      </c>
      <c r="AK120" s="156" t="n"/>
      <c r="AL120" s="152" t="inlineStr">
        <is>
          <t>Not disclosed</t>
        </is>
      </c>
      <c r="AM120" s="152" t="n"/>
      <c r="AN120" s="152" t="inlineStr">
        <is>
          <t>Not disclosed</t>
        </is>
      </c>
      <c r="AO120" s="152" t="inlineStr">
        <is>
          <t>Not disclosed</t>
        </is>
      </c>
      <c r="AP120" s="152" t="inlineStr">
        <is>
          <t>Not disclosed</t>
        </is>
      </c>
      <c r="AQ120" s="152" t="inlineStr">
        <is>
          <t>Not disclosed</t>
        </is>
      </c>
      <c r="AR120" s="152" t="n"/>
      <c r="AS120" s="152" t="n"/>
      <c r="AT120" s="156" t="inlineStr">
        <is>
          <t>Not disclosed</t>
        </is>
      </c>
      <c r="AU120" s="156" t="inlineStr">
        <is>
          <t>Not disclosed</t>
        </is>
      </c>
      <c r="AV120" s="152" t="inlineStr">
        <is>
          <t>Not disclosed</t>
        </is>
      </c>
      <c r="AW120" s="156" t="inlineStr">
        <is>
          <t>Not disclosed</t>
        </is>
      </c>
      <c r="AX120" s="158" t="n">
        <v>2</v>
      </c>
      <c r="AY120" s="156" t="inlineStr">
        <is>
          <t>Not disclosed</t>
        </is>
      </c>
      <c r="AZ120" s="156" t="inlineStr">
        <is>
          <t>Not disclosed</t>
        </is>
      </c>
      <c r="BA120" s="156" t="n"/>
      <c r="BB120" s="156" t="inlineStr">
        <is>
          <t>Not disclosed</t>
        </is>
      </c>
      <c r="BC120" s="156" t="inlineStr">
        <is>
          <t>Not disclosed</t>
        </is>
      </c>
      <c r="BD120" s="152" t="inlineStr">
        <is>
          <t>Not disclosed</t>
        </is>
      </c>
      <c r="BE120" s="152" t="inlineStr">
        <is>
          <t>Not disclosed</t>
        </is>
      </c>
      <c r="BF120" s="152" t="n"/>
      <c r="BG120" s="152" t="n"/>
      <c r="BH120" s="152" t="n"/>
      <c r="BI120" s="152" t="n"/>
      <c r="BJ120" s="152" t="n"/>
      <c r="BK120" s="152" t="n"/>
      <c r="BL120" s="152" t="n"/>
      <c r="BM120" s="152" t="inlineStr">
        <is>
          <t>Not disclosed</t>
        </is>
      </c>
      <c r="BN120" s="152" t="inlineStr">
        <is>
          <t>Not disclosed</t>
        </is>
      </c>
      <c r="BO120" s="156" t="inlineStr">
        <is>
          <t>Manipulation 2/4 · Navigation 2/4 · Peak 5 km/h</t>
        </is>
      </c>
      <c r="BP120" s="152" t="n"/>
      <c r="BQ120" s="156" t="n"/>
      <c r="BR120" s="156" t="inlineStr">
        <is>
          <t>Prototype</t>
        </is>
      </c>
      <c r="BS120" s="156" t="inlineStr">
        <is>
          <t>Prototype</t>
        </is>
      </c>
      <c r="BT120" s="152" t="n"/>
      <c r="BU120" s="152" t="inlineStr">
        <is>
          <t>Not verified</t>
        </is>
      </c>
      <c r="BV120" s="156" t="n"/>
      <c r="BW120" s="156" t="inlineStr">
        <is>
          <t>Height (fully upright): 4 ft 6 in | Operating weight: 119 | Degrees of freedom: 42 | Payload capacity: 44.1 | Maximum speed: 3.11 | Battery / runtime: Not disclosed</t>
        </is>
      </c>
      <c r="BX120" s="156" t="n"/>
      <c r="BY120" s="152" t="n"/>
      <c r="BZ120" s="152" t="n"/>
      <c r="CA120" s="156" t="n"/>
      <c r="CB120" s="156" t="inlineStr">
        <is>
          <t>12 months manufacturer standard (typical research/commercial humanoid)</t>
        </is>
      </c>
      <c r="CC120" s="154" t="n">
        <v>12</v>
      </c>
      <c r="CD120" s="156" t="inlineStr">
        <is>
          <t>+3 Year Extended ≈24% of configuration (default in configurator)</t>
        </is>
      </c>
      <c r="CE120" s="152" t="inlineStr">
        <is>
          <t>Humanoid category norm 2025–2026</t>
        </is>
      </c>
      <c r="CF120" s="152" t="inlineStr">
        <is>
          <t>Estimated</t>
        </is>
      </c>
      <c r="CG120" s="156" t="inlineStr">
        <is>
          <t>Confirm on formal OEM quote. EDU or enterprise packages may differ.</t>
        </is>
      </c>
      <c r="CH120" s="152" t="inlineStr">
        <is>
          <t>10%</t>
        </is>
      </c>
      <c r="CI120" s="152" t="inlineStr">
        <is>
          <t>17%</t>
        </is>
      </c>
      <c r="CJ120" s="152" t="inlineStr">
        <is>
          <t>24%</t>
        </is>
      </c>
      <c r="CK120" s="156" t="inlineStr">
        <is>
          <t>+1yr ≈10% | +2yr ≈17% | +3yr ≈24% of selected configuration price (parts &amp; labor beyond manufacturer standard).</t>
        </is>
      </c>
      <c r="CL120"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20" s="152" t="inlineStr">
        <is>
          <t>12 months manufacturer standard (typical research/commercial humanoid)</t>
        </is>
      </c>
      <c r="CQ120" s="101" t="inlineStr">
        <is>
          <t>Height: 4 ft 6 in | Weight: 119 | Degrees of Freedom: 42 | Payload: 44.1 | Max Speed: 3.11 | Battery / Runtime: Not disclosed</t>
        </is>
      </c>
    </row>
    <row r="121" ht="31.5" customHeight="1" s="102">
      <c r="A121" s="145" t="inlineStr">
        <is>
          <t>magiclab_magicbot_x1</t>
        </is>
      </c>
      <c r="B121" s="153" t="inlineStr">
        <is>
          <t>Humanoid.guide</t>
        </is>
      </c>
      <c r="C121" s="145" t="inlineStr">
        <is>
          <t>MagicLab</t>
        </is>
      </c>
      <c r="D121" s="145" t="inlineStr">
        <is>
          <t>MagicBot X1</t>
        </is>
      </c>
      <c r="E121" s="145" t="inlineStr">
        <is>
          <t>[MagicLab] MagicBot X1 (2026)</t>
        </is>
      </c>
      <c r="F121" s="146" t="inlineStr">
        <is>
          <t>humanoid</t>
        </is>
      </c>
      <c r="G121" s="145" t="inlineStr">
        <is>
          <t>China</t>
        </is>
      </c>
      <c r="H121" s="147" t="n">
        <v>2026</v>
      </c>
      <c r="I121" s="148" t="n">
        <v>75000</v>
      </c>
      <c r="J121" s="145" t="inlineStr">
        <is>
          <t>Humanoid.guide list</t>
        </is>
      </c>
      <c r="K121" s="149" t="inlineStr">
        <is>
          <t>The MagicBot X1 is MagicLab’s full-size flagship humanoid robot, unveiled in April 2026 as a major upgrade over the earlier Z1.</t>
        </is>
      </c>
      <c r="L121" s="101" t="inlineStr">
        <is>
          <t>The MagicBot X1 is MagicLab’s full-size flagship humanoid robot, unveiled in April 2026 as a major upgrade over the earlier Z1.</t>
        </is>
      </c>
      <c r="M121" s="101" t="inlineStr">
        <is>
          <t>The MagicBot X1 is MagicLab’s full-size flagship humanoid robot, unveiled in April 2026 as a major upgrade over the earlier Z1. Public status is listed as in production, and it is positioned for commercial services; healthcare; Home assistance; Industrial Manufacturing; logistics.</t>
        </is>
      </c>
      <c r="N121" s="150" t="inlineStr">
        <is>
          <t>https://humanoid.guide/product/magicbot-x1/</t>
        </is>
      </c>
      <c r="O121" s="150" t="inlineStr">
        <is>
          <t>https://www.magiclab.top</t>
        </is>
      </c>
      <c r="P121" s="145" t="inlineStr">
        <is>
          <t>5 ft 7 in</t>
        </is>
      </c>
      <c r="Q121" s="145" t="n">
        <v>170</v>
      </c>
      <c r="R121" s="145" t="n">
        <v>143.3</v>
      </c>
      <c r="S121" s="145" t="n">
        <v>65</v>
      </c>
      <c r="T121" s="149" t="inlineStr">
        <is>
          <t>Not disclosed</t>
        </is>
      </c>
      <c r="U121" s="145" t="n"/>
      <c r="V121" s="145" t="inlineStr">
        <is>
          <t>42</t>
        </is>
      </c>
      <c r="W121" s="149" t="inlineStr">
        <is>
          <t>22</t>
        </is>
      </c>
      <c r="X121" s="145" t="n">
        <v>44.1</v>
      </c>
      <c r="Y121" s="145" t="n">
        <v>20</v>
      </c>
      <c r="Z121" s="145" t="n">
        <v>4.35</v>
      </c>
      <c r="AA121" s="145" t="n">
        <v>7</v>
      </c>
      <c r="AB121" s="145" t="n"/>
      <c r="AC121" s="149" t="inlineStr">
        <is>
          <t>≈ 4 hours</t>
        </is>
      </c>
      <c r="AD121" s="149" t="inlineStr">
        <is>
          <t>4</t>
        </is>
      </c>
      <c r="AE121" s="145" t="n"/>
      <c r="AF121" s="145" t="inlineStr">
        <is>
          <t>Not disclosed</t>
        </is>
      </c>
      <c r="AG121" s="149" t="inlineStr">
        <is>
          <t>5 per hand</t>
        </is>
      </c>
      <c r="AH121" s="145" t="inlineStr">
        <is>
          <t>5 per hand</t>
        </is>
      </c>
      <c r="AI121" s="145" t="n"/>
      <c r="AJ121" s="149" t="inlineStr">
        <is>
          <t>Not disclosed</t>
        </is>
      </c>
      <c r="AK121" s="149" t="n"/>
      <c r="AL121" s="145" t="inlineStr">
        <is>
          <t>Not disclosed</t>
        </is>
      </c>
      <c r="AM121" s="145" t="n"/>
      <c r="AN121" s="145" t="inlineStr">
        <is>
          <t>Not disclosed</t>
        </is>
      </c>
      <c r="AO121" s="145" t="inlineStr">
        <is>
          <t>Not disclosed</t>
        </is>
      </c>
      <c r="AP121" s="145" t="inlineStr">
        <is>
          <t>Not disclosed</t>
        </is>
      </c>
      <c r="AQ121" s="145" t="inlineStr">
        <is>
          <t>Not disclosed</t>
        </is>
      </c>
      <c r="AR121" s="145" t="n"/>
      <c r="AS121" s="145" t="n"/>
      <c r="AT121" s="149" t="inlineStr">
        <is>
          <t>High-performance compute module, ~100 TOPS-class AI processor</t>
        </is>
      </c>
      <c r="AU121" s="149" t="inlineStr">
        <is>
          <t>4G; 5G; Bluetooth; Wi-Fi 6</t>
        </is>
      </c>
      <c r="AV121" s="145" t="inlineStr">
        <is>
          <t>Not disclosed</t>
        </is>
      </c>
      <c r="AW121" s="149" t="inlineStr">
        <is>
          <t>Not disclosed</t>
        </is>
      </c>
      <c r="AX121" s="145" t="n"/>
      <c r="AY121" s="149" t="inlineStr">
        <is>
          <t>Proprietary MagicLab stack (in-house full-stack software)</t>
        </is>
      </c>
      <c r="AZ121" s="149" t="inlineStr">
        <is>
          <t>Yes — Magic-Mix foundational world model (embodied AI)</t>
        </is>
      </c>
      <c r="BA121" s="149" t="n"/>
      <c r="BB121" s="149" t="inlineStr">
        <is>
          <t>Proprietary high-torque smart joint / servo actuators</t>
        </is>
      </c>
      <c r="BC121" s="149" t="inlineStr">
        <is>
          <t>Harmonic + planetary reducers</t>
        </is>
      </c>
      <c r="BD121" s="145" t="inlineStr">
        <is>
          <t>Aluminum alloy frame, PC+ABS exterior</t>
        </is>
      </c>
      <c r="BE121" s="145" t="inlineStr">
        <is>
          <t>Not disclosed</t>
        </is>
      </c>
      <c r="BF121" s="145" t="n"/>
      <c r="BG121" s="145" t="n"/>
      <c r="BH121" s="145" t="n"/>
      <c r="BI121" s="145" t="n"/>
      <c r="BJ121" s="145" t="n"/>
      <c r="BK121" s="145" t="n"/>
      <c r="BL121" s="145" t="n"/>
      <c r="BM121" s="145" t="inlineStr">
        <is>
          <t>Yes</t>
        </is>
      </c>
      <c r="BN121" s="145" t="inlineStr">
        <is>
          <t>Not disclosed</t>
        </is>
      </c>
      <c r="BO121" s="149" t="inlineStr">
        <is>
          <t>Market: Commercial services; healthcare; Home assistance; Industrial Manufacturing; logistics · Human-safe: Yes · AI: Yes — Magic-Mix foundational world model (embodied AI) · Actuation: Proprietary high-torque smart joint / servo actuators · Peak 7 km/h · Runtime 4</t>
        </is>
      </c>
      <c r="BP121" s="145" t="n"/>
      <c r="BQ121" s="149" t="inlineStr">
        <is>
          <t>Commercial services; healthcare; Home assistance; Industrial Manufacturing; logistics</t>
        </is>
      </c>
      <c r="BR121" s="149" t="inlineStr">
        <is>
          <t>In production</t>
        </is>
      </c>
      <c r="BS121" s="149" t="inlineStr">
        <is>
          <t>In production</t>
        </is>
      </c>
      <c r="BT121" s="145" t="n"/>
      <c r="BU121" s="145" t="n"/>
      <c r="BV121" s="149" t="n"/>
      <c r="BW121" s="149" t="inlineStr">
        <is>
          <t>Origin &amp; status — China · In production · 2026 | Manipulation — 5 per hand · 5 per hand fingers · Hand DOF 22 · Payload 44.1 lb | Sensing &amp; software — Yes — Magic-Mix foundational world model (embodied AI) · Proprietary MagicLab stack (in-house full-stack software) | Buying notes — From $75,000 · 12 months manufacturer standard (typical research/commercial humanoid) · Best fit: Commercial services</t>
        </is>
      </c>
      <c r="BX121" s="149" t="inlineStr">
        <is>
          <t>as_shipped|MagicBot X1|75000|As shipped</t>
        </is>
      </c>
      <c r="BY121" s="145" t="inlineStr">
        <is>
          <t>magicbot_x1|Manufacturer finish|#e2e8f0|0</t>
        </is>
      </c>
      <c r="BZ121" s="145" t="inlineStr"/>
      <c r="CA121" s="149" t="n"/>
      <c r="CB121" s="149" t="inlineStr">
        <is>
          <t>12 months manufacturer standard (typical research/commercial humanoid)</t>
        </is>
      </c>
      <c r="CC121" s="147" t="n">
        <v>12</v>
      </c>
      <c r="CD121" s="149" t="inlineStr">
        <is>
          <t>+3 Year Extended ≈24% of configuration (default in configurator)</t>
        </is>
      </c>
      <c r="CE121" s="145" t="inlineStr">
        <is>
          <t>Humanoid category norm 2025–2026</t>
        </is>
      </c>
      <c r="CF121" s="145" t="inlineStr">
        <is>
          <t>Estimated</t>
        </is>
      </c>
      <c r="CG121" s="149" t="inlineStr">
        <is>
          <t>Confirm on formal OEM quote. EDU or enterprise packages may differ.</t>
        </is>
      </c>
      <c r="CH121" s="145" t="inlineStr">
        <is>
          <t>10%</t>
        </is>
      </c>
      <c r="CI121" s="145" t="inlineStr">
        <is>
          <t>17%</t>
        </is>
      </c>
      <c r="CJ121" s="145" t="inlineStr">
        <is>
          <t>24%</t>
        </is>
      </c>
      <c r="CK121" s="149" t="inlineStr">
        <is>
          <t>+1yr ≈10% | +2yr ≈17% | +3yr ≈24% of selected configuration price (parts &amp; labor beyond manufacturer standard).</t>
        </is>
      </c>
      <c r="CL12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21" s="145" t="inlineStr">
        <is>
          <t>12 months manufacturer standard (typical research/commercial humanoid)</t>
        </is>
      </c>
      <c r="CQ121" s="101" t="inlineStr">
        <is>
          <t>Height: 5 ft 7 in | Weight: 143.3 | Degrees of Freedom: 42 | Payload: 44.1 | Max Speed: 4.35 | Battery / Runtime: ≈ 4 hours</t>
        </is>
      </c>
    </row>
    <row r="122" ht="31.5" customHeight="1" s="102">
      <c r="A122" s="152" t="inlineStr">
        <is>
          <t>magiclab_magicbot_z1</t>
        </is>
      </c>
      <c r="B122" s="153" t="inlineStr">
        <is>
          <t>Humanoid.guide</t>
        </is>
      </c>
      <c r="C122" s="152" t="inlineStr">
        <is>
          <t>MagicLab</t>
        </is>
      </c>
      <c r="D122" s="152" t="inlineStr">
        <is>
          <t>MagicBot Z1</t>
        </is>
      </c>
      <c r="E122" s="152" t="inlineStr">
        <is>
          <t>[MagicLab] MagicBot Z1 (2026)</t>
        </is>
      </c>
      <c r="F122" s="146" t="inlineStr">
        <is>
          <t>humanoid</t>
        </is>
      </c>
      <c r="G122" s="152" t="inlineStr">
        <is>
          <t>China</t>
        </is>
      </c>
      <c r="H122" s="152" t="n"/>
      <c r="I122" s="155" t="n">
        <v>50000</v>
      </c>
      <c r="J122" s="152" t="inlineStr">
        <is>
          <t>Humanoid.guide list</t>
        </is>
      </c>
      <c r="K122" s="156" t="inlineStr">
        <is>
          <t>MagicBot Z1 is MagicLab’s agile 1.4‑metre bipedal humanoid that fuses 24‑to‑49 degrees of freedom with in‑house smart actuators, delivering sub‑10 km/h mobility and dexterous MagicHand end‑effectors for real‑world industrial, commercial and companion roles.</t>
        </is>
      </c>
      <c r="L122" s="101" t="inlineStr">
        <is>
          <t>MagicBot Z1 is MagicLab’s agile 1.4‑metre bipedal humanoid that fuses 24‑to‑49 degrees of freedom with in‑house smart actuators, delivering sub‑10 km/h mobility and dexterous MagicHand end‑effectors for real‑world industrial, commercial and companion roles.</t>
        </is>
      </c>
      <c r="M122" s="101" t="inlineStr">
        <is>
          <t>MagicBot Z1 is MagicLab’s agile 1.4‑metre bipedal humanoid that fuses 24‑to‑49 degrees of freedom with in‑house smart actuators, delivering sub‑10 km/h mobility and dexterous MagicHand end‑effectors for real‑world industrial, commercial and companion roles. Public status is listed as prototype, and it is positioned for education; home companionship scenarios.</t>
        </is>
      </c>
      <c r="N122" s="157" t="inlineStr">
        <is>
          <t>https://humanoid.guide/product/magicbot-z1/</t>
        </is>
      </c>
      <c r="O122" s="157" t="inlineStr">
        <is>
          <t>https://www.magiclab.top</t>
        </is>
      </c>
      <c r="P122" s="152" t="inlineStr">
        <is>
          <t>4 ft 7 in</t>
        </is>
      </c>
      <c r="Q122" s="152" t="n">
        <v>140</v>
      </c>
      <c r="R122" s="152" t="n">
        <v>88.2</v>
      </c>
      <c r="S122" s="152" t="n">
        <v>40</v>
      </c>
      <c r="T122" s="156" t="inlineStr">
        <is>
          <t>Not disclosed</t>
        </is>
      </c>
      <c r="U122" s="152" t="n"/>
      <c r="V122" s="152" t="inlineStr">
        <is>
          <t>49</t>
        </is>
      </c>
      <c r="W122" s="156" t="inlineStr">
        <is>
          <t>Not disclosed</t>
        </is>
      </c>
      <c r="X122" s="152" t="n">
        <v>22</v>
      </c>
      <c r="Y122" s="152" t="n">
        <v>10</v>
      </c>
      <c r="Z122" s="152" t="n">
        <v>5.59</v>
      </c>
      <c r="AA122" s="152" t="n">
        <v>9</v>
      </c>
      <c r="AB122" s="152" t="n">
        <v>9</v>
      </c>
      <c r="AC122" s="156" t="inlineStr">
        <is>
          <t>Not disclosed</t>
        </is>
      </c>
      <c r="AD122" s="156" t="n"/>
      <c r="AE122" s="152" t="n"/>
      <c r="AF122" s="152" t="inlineStr">
        <is>
          <t>Not disclosed</t>
        </is>
      </c>
      <c r="AG122" s="156" t="inlineStr">
        <is>
          <t>10</t>
        </is>
      </c>
      <c r="AH122" s="152" t="inlineStr">
        <is>
          <t>10</t>
        </is>
      </c>
      <c r="AI122" s="158" t="n">
        <v>2</v>
      </c>
      <c r="AJ122" s="156" t="inlineStr">
        <is>
          <t>carries stereo camera + depth + 3‑D LiDAR</t>
        </is>
      </c>
      <c r="AK122" s="156" t="inlineStr">
        <is>
          <t>carries stereo camera + depth + 3‑D LiDAR</t>
        </is>
      </c>
      <c r="AL122" s="152" t="inlineStr">
        <is>
          <t>Not disclosed</t>
        </is>
      </c>
      <c r="AM122" s="152" t="n"/>
      <c r="AN122" s="152" t="inlineStr">
        <is>
          <t>Not disclosed</t>
        </is>
      </c>
      <c r="AO122" s="152" t="inlineStr">
        <is>
          <t>Not disclosed</t>
        </is>
      </c>
      <c r="AP122" s="152" t="inlineStr">
        <is>
          <t>Not disclosed</t>
        </is>
      </c>
      <c r="AQ122" s="152" t="inlineStr">
        <is>
          <t>Not disclosed</t>
        </is>
      </c>
      <c r="AR122" s="152" t="n"/>
      <c r="AS122" s="152" t="n"/>
      <c r="AT122" s="156" t="inlineStr">
        <is>
          <t>Not disclosed</t>
        </is>
      </c>
      <c r="AU122" s="156" t="inlineStr">
        <is>
          <t>Not disclosed</t>
        </is>
      </c>
      <c r="AV122" s="152" t="inlineStr">
        <is>
          <t>Not disclosed</t>
        </is>
      </c>
      <c r="AW122" s="156" t="inlineStr">
        <is>
          <t>Not disclosed</t>
        </is>
      </c>
      <c r="AX122" s="158" t="n">
        <v>2</v>
      </c>
      <c r="AY122" s="156" t="inlineStr">
        <is>
          <t>Not disclosed</t>
        </is>
      </c>
      <c r="AZ122" s="156" t="inlineStr">
        <is>
          <t>Not disclosed</t>
        </is>
      </c>
      <c r="BA122" s="156" t="n"/>
      <c r="BB122" s="156" t="inlineStr">
        <is>
          <t>self‑developed high‑performance smart joint modules</t>
        </is>
      </c>
      <c r="BC122" s="156" t="inlineStr">
        <is>
          <t>Variable‑ratio transmission</t>
        </is>
      </c>
      <c r="BD122" s="152" t="inlineStr">
        <is>
          <t>High‑strength aluminium alloy + engineering plastics</t>
        </is>
      </c>
      <c r="BE122" s="152" t="inlineStr">
        <is>
          <t>Not disclosed</t>
        </is>
      </c>
      <c r="BF122" s="152" t="inlineStr">
        <is>
          <t>Not specified</t>
        </is>
      </c>
      <c r="BG122" s="152" t="n"/>
      <c r="BH122" s="152" t="n"/>
      <c r="BI122" s="152" t="n"/>
      <c r="BJ122" s="152" t="n"/>
      <c r="BK122" s="152" t="n"/>
      <c r="BL122" s="152" t="n"/>
      <c r="BM122" s="152" t="inlineStr">
        <is>
          <t>Not disclosed</t>
        </is>
      </c>
      <c r="BN122" s="152" t="inlineStr">
        <is>
          <t>Not disclosed</t>
        </is>
      </c>
      <c r="BO122" s="156" t="inlineStr">
        <is>
          <t>Market: education; home companionship scenarios · Manipulation 2/4 · Navigation 2/4 · Human-safe: Not specified · AI: Not specified · Actuation: self‑developed high‑performance smart joint modules · Peak 9 km/h · Walk 9 km/h</t>
        </is>
      </c>
      <c r="BP122" s="152" t="n"/>
      <c r="BQ122" s="156" t="inlineStr">
        <is>
          <t>education; home companionship scenarios</t>
        </is>
      </c>
      <c r="BR122" s="156" t="inlineStr">
        <is>
          <t>Prototype</t>
        </is>
      </c>
      <c r="BS122" s="156" t="inlineStr">
        <is>
          <t>Prototype</t>
        </is>
      </c>
      <c r="BT122" s="152" t="n"/>
      <c r="BU122" s="152" t="inlineStr">
        <is>
          <t>Not verified</t>
        </is>
      </c>
      <c r="BV122" s="156" t="n"/>
      <c r="BW122" s="156" t="inlineStr">
        <is>
          <t>Origin &amp; status — China · Prototype · 2026 | Manipulation — 10 · 10 fingers · Payload 22 lb | Sensing &amp; software — carries stereo camera + depth + 3‑D LiDAR | Buying notes — From $50,000 · 12 months manufacturer standard (typical research/commercial humanoid) · Best fit: education</t>
        </is>
      </c>
      <c r="BX122" s="156" t="inlineStr">
        <is>
          <t>as_shipped|MagicBot Z1|50000|As shipped</t>
        </is>
      </c>
      <c r="BY122" s="152" t="inlineStr">
        <is>
          <t>magicbot_z1|Manufacturer finish|#e2e8f0|0</t>
        </is>
      </c>
      <c r="BZ122" s="152" t="inlineStr"/>
      <c r="CA122" s="156" t="n"/>
      <c r="CB122" s="156" t="inlineStr">
        <is>
          <t>12 months manufacturer standard (typical research/commercial humanoid)</t>
        </is>
      </c>
      <c r="CC122" s="154" t="n">
        <v>12</v>
      </c>
      <c r="CD122" s="156" t="inlineStr">
        <is>
          <t>+3 Year Extended ≈24% of configuration (default in configurator)</t>
        </is>
      </c>
      <c r="CE122" s="152" t="inlineStr">
        <is>
          <t>Humanoid category norm 2025–2026</t>
        </is>
      </c>
      <c r="CF122" s="152" t="inlineStr">
        <is>
          <t>Estimated</t>
        </is>
      </c>
      <c r="CG122" s="156" t="inlineStr">
        <is>
          <t>Confirm on formal OEM quote. EDU or enterprise packages may differ.</t>
        </is>
      </c>
      <c r="CH122" s="152" t="inlineStr">
        <is>
          <t>10%</t>
        </is>
      </c>
      <c r="CI122" s="152" t="inlineStr">
        <is>
          <t>17%</t>
        </is>
      </c>
      <c r="CJ122" s="152" t="inlineStr">
        <is>
          <t>24%</t>
        </is>
      </c>
      <c r="CK122" s="156" t="inlineStr">
        <is>
          <t>+1yr ≈10% | +2yr ≈17% | +3yr ≈24% of selected configuration price (parts &amp; labor beyond manufacturer standard).</t>
        </is>
      </c>
      <c r="CL122"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22" s="152" t="inlineStr">
        <is>
          <t>12 months manufacturer standard (typical research/commercial humanoid)</t>
        </is>
      </c>
      <c r="CQ122" s="101" t="inlineStr">
        <is>
          <t>Height: 4 ft 7 in | Weight: 88.2 | Degrees of Freedom: 49 | Payload: 22 | Max Speed: 5.59 | Battery / Runtime: Not disclosed</t>
        </is>
      </c>
    </row>
    <row r="123" ht="31.5" customHeight="1" s="102">
      <c r="A123" s="145" t="inlineStr">
        <is>
          <t>matrix_robotics_matrix_1</t>
        </is>
      </c>
      <c r="B123" s="153" t="inlineStr">
        <is>
          <t>Humanoid.guide</t>
        </is>
      </c>
      <c r="C123" s="145" t="inlineStr">
        <is>
          <t>Matrix Robotics</t>
        </is>
      </c>
      <c r="D123" s="145" t="inlineStr">
        <is>
          <t>Matrix-1</t>
        </is>
      </c>
      <c r="E123" s="145" t="inlineStr">
        <is>
          <t>[Matrix Robotics] Matrix-1 (2026)</t>
        </is>
      </c>
      <c r="F123" s="146" t="inlineStr">
        <is>
          <t>humanoid</t>
        </is>
      </c>
      <c r="G123" s="145" t="inlineStr">
        <is>
          <t>China</t>
        </is>
      </c>
      <c r="H123" s="145" t="n"/>
      <c r="I123" s="148" t="n">
        <v>100000</v>
      </c>
      <c r="J123" s="145" t="inlineStr">
        <is>
          <t>Humanoid.guide list</t>
        </is>
      </c>
      <c r="K123" s="149" t="inlineStr">
        <is>
          <t>Matrix-1 is a humanoid robot designed for real-world tasks in industry and service sectors, standing 1.8m tall and weighing 67kg.</t>
        </is>
      </c>
      <c r="L123" s="101" t="inlineStr">
        <is>
          <t>Matrix-1 is a humanoid robot designed for real-world tasks in industry and service sectors, standing 1.8m tall and weighing 67kg.</t>
        </is>
      </c>
      <c r="M123" s="101" t="inlineStr">
        <is>
          <t>Matrix-1 is a humanoid robot designed for real-world tasks in industry and service sectors, standing 1.8m tall and weighing 67kg. Public status is listed as prototype.</t>
        </is>
      </c>
      <c r="N123" s="150" t="inlineStr">
        <is>
          <t>https://humanoid.guide/product/matrix-1/</t>
        </is>
      </c>
      <c r="O123" s="150" t="inlineStr">
        <is>
          <t>https://www.matrixrobotics.ai/</t>
        </is>
      </c>
      <c r="P123" s="145" t="inlineStr">
        <is>
          <t>5 ft 11 in</t>
        </is>
      </c>
      <c r="Q123" s="145" t="n">
        <v>180</v>
      </c>
      <c r="R123" s="145" t="n">
        <v>147.7</v>
      </c>
      <c r="S123" s="145" t="n">
        <v>67</v>
      </c>
      <c r="T123" s="149" t="inlineStr">
        <is>
          <t>Not disclosed</t>
        </is>
      </c>
      <c r="U123" s="145" t="n"/>
      <c r="V123" s="145" t="inlineStr">
        <is>
          <t>55</t>
        </is>
      </c>
      <c r="W123" s="149" t="inlineStr">
        <is>
          <t>Not disclosed</t>
        </is>
      </c>
      <c r="X123" s="145" t="n">
        <v>33.1</v>
      </c>
      <c r="Y123" s="145" t="n">
        <v>15</v>
      </c>
      <c r="Z123" s="145" t="n">
        <v>2.67</v>
      </c>
      <c r="AA123" s="145" t="n">
        <v>4.3</v>
      </c>
      <c r="AB123" s="145" t="n"/>
      <c r="AC123" s="149" t="inlineStr">
        <is>
          <t>≈ 5 hours</t>
        </is>
      </c>
      <c r="AD123" s="149" t="inlineStr">
        <is>
          <t>5</t>
        </is>
      </c>
      <c r="AE123" s="145" t="n"/>
      <c r="AF123" s="145" t="inlineStr">
        <is>
          <t>Not disclosed</t>
        </is>
      </c>
      <c r="AG123" s="149" t="inlineStr">
        <is>
          <t>Not disclosed</t>
        </is>
      </c>
      <c r="AH123" s="145" t="inlineStr">
        <is>
          <t>Not disclosed</t>
        </is>
      </c>
      <c r="AI123" s="158" t="n">
        <v>2</v>
      </c>
      <c r="AJ123" s="149" t="inlineStr">
        <is>
          <t>Not disclosed</t>
        </is>
      </c>
      <c r="AK123" s="149" t="n"/>
      <c r="AL123" s="145" t="inlineStr">
        <is>
          <t>Not disclosed</t>
        </is>
      </c>
      <c r="AM123" s="145" t="n"/>
      <c r="AN123" s="145" t="inlineStr">
        <is>
          <t>Not disclosed</t>
        </is>
      </c>
      <c r="AO123" s="145" t="inlineStr">
        <is>
          <t>Not disclosed</t>
        </is>
      </c>
      <c r="AP123" s="145" t="inlineStr">
        <is>
          <t>Not disclosed</t>
        </is>
      </c>
      <c r="AQ123" s="145" t="inlineStr">
        <is>
          <t>Not disclosed</t>
        </is>
      </c>
      <c r="AR123" s="145" t="n"/>
      <c r="AS123" s="145" t="n"/>
      <c r="AT123" s="149" t="inlineStr">
        <is>
          <t>Not disclosed</t>
        </is>
      </c>
      <c r="AU123" s="149" t="inlineStr">
        <is>
          <t>Not disclosed</t>
        </is>
      </c>
      <c r="AV123" s="145" t="inlineStr">
        <is>
          <t>Not disclosed</t>
        </is>
      </c>
      <c r="AW123" s="149" t="inlineStr">
        <is>
          <t>Not disclosed</t>
        </is>
      </c>
      <c r="AX123" s="158" t="n">
        <v>2</v>
      </c>
      <c r="AY123" s="149" t="inlineStr">
        <is>
          <t>Not disclosed</t>
        </is>
      </c>
      <c r="AZ123" s="149" t="inlineStr">
        <is>
          <t>Not disclosed</t>
        </is>
      </c>
      <c r="BA123" s="149" t="n"/>
      <c r="BB123" s="149" t="inlineStr">
        <is>
          <t>Not disclosed</t>
        </is>
      </c>
      <c r="BC123" s="149" t="inlineStr">
        <is>
          <t>Not disclosed</t>
        </is>
      </c>
      <c r="BD123" s="145" t="inlineStr">
        <is>
          <t>Not disclosed</t>
        </is>
      </c>
      <c r="BE123" s="145" t="inlineStr">
        <is>
          <t>Not disclosed</t>
        </is>
      </c>
      <c r="BF123" s="145" t="n"/>
      <c r="BG123" s="145" t="n"/>
      <c r="BH123" s="145" t="n"/>
      <c r="BI123" s="145" t="n"/>
      <c r="BJ123" s="145" t="n"/>
      <c r="BK123" s="145" t="n"/>
      <c r="BL123" s="145" t="n"/>
      <c r="BM123" s="145" t="inlineStr">
        <is>
          <t>Not disclosed</t>
        </is>
      </c>
      <c r="BN123" s="145" t="inlineStr">
        <is>
          <t>Not disclosed</t>
        </is>
      </c>
      <c r="BO123" s="149" t="inlineStr">
        <is>
          <t>Manipulation 2/4 · Navigation 2/4 · Peak 4.3 km/h · Runtime 5</t>
        </is>
      </c>
      <c r="BP123" s="145" t="n"/>
      <c r="BQ123" s="149" t="inlineStr">
        <is>
          <t>Research labs, commercial pilots, and education programs evaluating a humanoid from Matrix Robotics (China) now listed as prototype.</t>
        </is>
      </c>
      <c r="BR123" s="149" t="inlineStr">
        <is>
          <t>Prototype</t>
        </is>
      </c>
      <c r="BS123" s="149" t="inlineStr">
        <is>
          <t>Prototype</t>
        </is>
      </c>
      <c r="BT123" s="145" t="n"/>
      <c r="BU123" s="145" t="inlineStr">
        <is>
          <t>Not verified</t>
        </is>
      </c>
      <c r="BV123" s="149" t="n"/>
      <c r="BW123" s="149" t="inlineStr">
        <is>
          <t>Origin &amp; status — China · Prototype · 2026 | Manipulation — Payload 33.1 lb | Sensing &amp; software — Sensor and compute package confirmed on formal quote | Buying notes — From $100,000 · 12 months manufacturer standard (typical research/commercial humanoid)</t>
        </is>
      </c>
      <c r="BX123" s="149" t="inlineStr">
        <is>
          <t>as_shipped|Matrix-1|100000|As shipped</t>
        </is>
      </c>
      <c r="BY123" s="145" t="inlineStr">
        <is>
          <t>matrix_1|Manufacturer finish|#e2e8f0|0</t>
        </is>
      </c>
      <c r="BZ123" s="145" t="inlineStr"/>
      <c r="CA123" s="149" t="n"/>
      <c r="CB123" s="149" t="inlineStr">
        <is>
          <t>12 months manufacturer standard (typical research/commercial humanoid)</t>
        </is>
      </c>
      <c r="CC123" s="147" t="n">
        <v>12</v>
      </c>
      <c r="CD123" s="149" t="inlineStr">
        <is>
          <t>+3 Year Extended ≈24% of configuration (default in configurator)</t>
        </is>
      </c>
      <c r="CE123" s="145" t="inlineStr">
        <is>
          <t>Humanoid category norm 2025–2026</t>
        </is>
      </c>
      <c r="CF123" s="145" t="inlineStr">
        <is>
          <t>Estimated</t>
        </is>
      </c>
      <c r="CG123" s="149" t="inlineStr">
        <is>
          <t>Confirm on formal OEM quote. EDU or enterprise packages may differ.</t>
        </is>
      </c>
      <c r="CH123" s="145" t="inlineStr">
        <is>
          <t>10%</t>
        </is>
      </c>
      <c r="CI123" s="145" t="inlineStr">
        <is>
          <t>17%</t>
        </is>
      </c>
      <c r="CJ123" s="145" t="inlineStr">
        <is>
          <t>24%</t>
        </is>
      </c>
      <c r="CK123" s="149" t="inlineStr">
        <is>
          <t>+1yr ≈10% | +2yr ≈17% | +3yr ≈24% of selected configuration price (parts &amp; labor beyond manufacturer standard).</t>
        </is>
      </c>
      <c r="CL123"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23" s="145" t="inlineStr">
        <is>
          <t>12 months manufacturer standard (typical research/commercial humanoid)</t>
        </is>
      </c>
      <c r="CQ123" s="101" t="inlineStr">
        <is>
          <t>Height: 5 ft 11 in | Weight: 147.7 | Degrees of Freedom: 55 | Payload: 33.1 | Max Speed: 2.67 | Battery / Runtime: ≈ 5 hours</t>
        </is>
      </c>
    </row>
    <row r="124" ht="31.5" customHeight="1" s="102">
      <c r="A124" s="152" t="inlineStr">
        <is>
          <t>matrix_robotics_matrix_3</t>
        </is>
      </c>
      <c r="B124" s="153" t="inlineStr">
        <is>
          <t>Humanoid.guide</t>
        </is>
      </c>
      <c r="C124" s="152" t="inlineStr">
        <is>
          <t>Matrix Robotics</t>
        </is>
      </c>
      <c r="D124" s="152" t="inlineStr">
        <is>
          <t>MATRIX-3</t>
        </is>
      </c>
      <c r="E124" s="152" t="inlineStr">
        <is>
          <t>[Matrix Robotics] MATRIX-3 (2026)</t>
        </is>
      </c>
      <c r="F124" s="146" t="inlineStr">
        <is>
          <t>humanoid</t>
        </is>
      </c>
      <c r="G124" s="152" t="inlineStr">
        <is>
          <t>China</t>
        </is>
      </c>
      <c r="H124" s="152" t="n"/>
      <c r="I124" s="155" t="n">
        <v>85000</v>
      </c>
      <c r="J124" s="152" t="inlineStr">
        <is>
          <t>Humanoid.guide list</t>
        </is>
      </c>
      <c r="K124" s="156" t="inlineStr">
        <is>
          <t>MATRIX-3 is a next-generation humanoid robot that integrates advanced perception, biomimetic design, and generalizable AI to move and interact with environments in human-like ways.</t>
        </is>
      </c>
      <c r="L124" s="101" t="inlineStr">
        <is>
          <t>MATRIX-3 is a next-generation humanoid robot that integrates advanced perception, biomimetic design, and generalizable AI to move and interact with environments in human-like ways.</t>
        </is>
      </c>
      <c r="M124" s="101" t="inlineStr">
        <is>
          <t>MATRIX-3 is a next-generation humanoid robot that integrates advanced perception, biomimetic design, and generalizable AI to move and interact with environments in human-like ways. Public status is listed as prototype, and it is positioned for commercial robotics; logistics; Service.</t>
        </is>
      </c>
      <c r="N124" s="157" t="inlineStr">
        <is>
          <t>https://humanoid.guide/product/matrix-3/</t>
        </is>
      </c>
      <c r="O124" s="157" t="inlineStr">
        <is>
          <t>https://matrixrobotics.ai/</t>
        </is>
      </c>
      <c r="P124" s="152" t="inlineStr">
        <is>
          <t>5 ft 3 in</t>
        </is>
      </c>
      <c r="Q124" s="152" t="n">
        <v>160</v>
      </c>
      <c r="R124" s="152" t="n"/>
      <c r="S124" s="152" t="n"/>
      <c r="T124" s="156" t="inlineStr">
        <is>
          <t>Not disclosed</t>
        </is>
      </c>
      <c r="U124" s="152" t="n"/>
      <c r="V124" s="152" t="inlineStr">
        <is>
          <t>~30–45</t>
        </is>
      </c>
      <c r="W124" s="156" t="inlineStr">
        <is>
          <t>27 DOF in each hand</t>
        </is>
      </c>
      <c r="X124" s="152" t="n">
        <v>13.2</v>
      </c>
      <c r="Y124" s="152" t="n">
        <v>6</v>
      </c>
      <c r="Z124" s="152" t="n">
        <v>1.55</v>
      </c>
      <c r="AA124" s="152" t="n">
        <v>2.5</v>
      </c>
      <c r="AB124" s="152" t="n"/>
      <c r="AC124" s="156" t="inlineStr">
        <is>
          <t>Not disclosed</t>
        </is>
      </c>
      <c r="AD124" s="156" t="n"/>
      <c r="AE124" s="152" t="n"/>
      <c r="AF124" s="152" t="inlineStr">
        <is>
          <t>Not disclosed</t>
        </is>
      </c>
      <c r="AG124" s="156" t="inlineStr">
        <is>
          <t>5 per hand</t>
        </is>
      </c>
      <c r="AH124" s="152" t="inlineStr">
        <is>
          <t>5 per hand</t>
        </is>
      </c>
      <c r="AI124" s="152" t="n"/>
      <c r="AJ124" s="156" t="inlineStr">
        <is>
          <t>Not disclosed</t>
        </is>
      </c>
      <c r="AK124" s="156" t="n"/>
      <c r="AL124" s="152" t="inlineStr">
        <is>
          <t>Not disclosed</t>
        </is>
      </c>
      <c r="AM124" s="152" t="n"/>
      <c r="AN124" s="152" t="inlineStr">
        <is>
          <t>Not disclosed</t>
        </is>
      </c>
      <c r="AO124" s="152" t="inlineStr">
        <is>
          <t>Not disclosed</t>
        </is>
      </c>
      <c r="AP124" s="152" t="inlineStr">
        <is>
          <t>Not disclosed</t>
        </is>
      </c>
      <c r="AQ124" s="152" t="inlineStr">
        <is>
          <t>Not disclosed</t>
        </is>
      </c>
      <c r="AR124" s="152" t="n"/>
      <c r="AS124" s="152" t="n"/>
      <c r="AT124" s="156" t="inlineStr">
        <is>
          <t>Not disclosed</t>
        </is>
      </c>
      <c r="AU124" s="156" t="inlineStr">
        <is>
          <t>Not disclosed</t>
        </is>
      </c>
      <c r="AV124" s="152" t="inlineStr">
        <is>
          <t>Not disclosed</t>
        </is>
      </c>
      <c r="AW124" s="156" t="inlineStr">
        <is>
          <t>Not disclosed</t>
        </is>
      </c>
      <c r="AX124" s="152" t="n"/>
      <c r="AY124" s="156" t="inlineStr">
        <is>
          <t>Not disclosed</t>
        </is>
      </c>
      <c r="AZ124" s="156" t="inlineStr">
        <is>
          <t>Yes (zero-shot generalization with neural models)</t>
        </is>
      </c>
      <c r="BA124" s="156" t="n"/>
      <c r="BB124" s="156" t="inlineStr">
        <is>
          <t>High-power linear actuators</t>
        </is>
      </c>
      <c r="BC124" s="156" t="inlineStr">
        <is>
          <t>Cable-driven hand system</t>
        </is>
      </c>
      <c r="BD124" s="152" t="inlineStr">
        <is>
          <t>Not disclosed</t>
        </is>
      </c>
      <c r="BE124" s="152" t="inlineStr">
        <is>
          <t>Not disclosed</t>
        </is>
      </c>
      <c r="BF124" s="152" t="n"/>
      <c r="BG124" s="152" t="n"/>
      <c r="BH124" s="152" t="n"/>
      <c r="BI124" s="152" t="n"/>
      <c r="BJ124" s="152" t="n"/>
      <c r="BK124" s="152" t="n"/>
      <c r="BL124" s="152" t="n"/>
      <c r="BM124" s="152" t="inlineStr">
        <is>
          <t>Yes</t>
        </is>
      </c>
      <c r="BN124" s="152" t="inlineStr">
        <is>
          <t>Not disclosed</t>
        </is>
      </c>
      <c r="BO124" s="156" t="inlineStr">
        <is>
          <t>Market: Commercial robotics; logistics; Service · Human-safe: Yes · AI: Yes (zero-shot generalization with neural models) · Actuation: High-power linear actuators · Peak 2.5 km/h</t>
        </is>
      </c>
      <c r="BP124" s="152" t="n"/>
      <c r="BQ124" s="156" t="inlineStr">
        <is>
          <t>Commercial robotics; logistics; Service</t>
        </is>
      </c>
      <c r="BR124" s="156" t="inlineStr">
        <is>
          <t>Prototype</t>
        </is>
      </c>
      <c r="BS124" s="156" t="inlineStr">
        <is>
          <t>Prototype</t>
        </is>
      </c>
      <c r="BT124" s="152" t="inlineStr">
        <is>
          <t>White</t>
        </is>
      </c>
      <c r="BU124" s="152" t="inlineStr">
        <is>
          <t>Not verified</t>
        </is>
      </c>
      <c r="BV124" s="156" t="n"/>
      <c r="BW124" s="156" t="inlineStr">
        <is>
          <t>Origin &amp; status — China · Prototype · 2026 | Manipulation — 5 per hand · 5 per hand fingers · Hand DOF 27 DOF in each hand · Payload 13.2 lb | Sensing &amp; software — Yes (zero-shot generalization with neural models) | Buying notes — From $85,000 · 12 months manufacturer standard (typical research/commercial humanoid) · Best fit: Commercial robotics</t>
        </is>
      </c>
      <c r="BX124" s="156" t="inlineStr">
        <is>
          <t>as_shipped|MATRIX-3|85000|As shipped</t>
        </is>
      </c>
      <c r="BY124" s="152" t="inlineStr">
        <is>
          <t>white|White|#e2e8f0|0</t>
        </is>
      </c>
      <c r="BZ124" s="152" t="inlineStr"/>
      <c r="CA124" s="156" t="n"/>
      <c r="CB124" s="156" t="inlineStr">
        <is>
          <t>12 months manufacturer standard (typical research/commercial humanoid)</t>
        </is>
      </c>
      <c r="CC124" s="154" t="n">
        <v>12</v>
      </c>
      <c r="CD124" s="156" t="inlineStr">
        <is>
          <t>+3 Year Extended ≈24% of configuration (default in configurator)</t>
        </is>
      </c>
      <c r="CE124" s="152" t="inlineStr">
        <is>
          <t>Humanoid category norm 2025–2026</t>
        </is>
      </c>
      <c r="CF124" s="152" t="inlineStr">
        <is>
          <t>Estimated</t>
        </is>
      </c>
      <c r="CG124" s="156" t="inlineStr">
        <is>
          <t>Confirm on formal OEM quote. EDU or enterprise packages may differ.</t>
        </is>
      </c>
      <c r="CH124" s="152" t="inlineStr">
        <is>
          <t>10%</t>
        </is>
      </c>
      <c r="CI124" s="152" t="inlineStr">
        <is>
          <t>17%</t>
        </is>
      </c>
      <c r="CJ124" s="152" t="inlineStr">
        <is>
          <t>24%</t>
        </is>
      </c>
      <c r="CK124" s="156" t="inlineStr">
        <is>
          <t>+1yr ≈10% | +2yr ≈17% | +3yr ≈24% of selected configuration price (parts &amp; labor beyond manufacturer standard).</t>
        </is>
      </c>
      <c r="CL124"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24" s="152" t="inlineStr">
        <is>
          <t>12 months manufacturer standard (typical research/commercial humanoid)</t>
        </is>
      </c>
      <c r="CQ124" s="101" t="inlineStr">
        <is>
          <t>Height: 5 ft 3 in | Weight: Not disclosed | Degrees of Freedom: ~30–45 | Payload: 13.2 | Max Speed: 1.55 | Battery / Runtime: Not disclosed</t>
        </is>
      </c>
    </row>
    <row r="125" ht="31.5" customHeight="1" s="102">
      <c r="A125" s="145" t="inlineStr">
        <is>
          <t>menloai_asimov</t>
        </is>
      </c>
      <c r="B125" s="153" t="inlineStr">
        <is>
          <t>Humanoid.guide</t>
        </is>
      </c>
      <c r="C125" s="145" t="inlineStr">
        <is>
          <t>MenloAI</t>
        </is>
      </c>
      <c r="D125" s="145" t="inlineStr">
        <is>
          <t>Asimov</t>
        </is>
      </c>
      <c r="E125" s="145" t="inlineStr">
        <is>
          <t>[MenloAI] Asimov (2026)</t>
        </is>
      </c>
      <c r="F125" s="146" t="inlineStr">
        <is>
          <t>humanoid</t>
        </is>
      </c>
      <c r="G125" s="145" t="inlineStr">
        <is>
          <t>Singapore</t>
        </is>
      </c>
      <c r="H125" s="145" t="n"/>
      <c r="I125" s="148" t="n">
        <v>15000</v>
      </c>
      <c r="J125" s="145" t="inlineStr">
        <is>
          <t>Humanoid.guide list</t>
        </is>
      </c>
      <c r="K125" s="149" t="inlineStr">
        <is>
          <t>Asimov is a modular DIY humanoid robot built for developers and researchers, combining affordability, onboard computing, and real-world motion capabilities in a customizable platform.</t>
        </is>
      </c>
      <c r="L125" s="101" t="inlineStr">
        <is>
          <t>Asimov is a modular DIY humanoid robot built for developers and researchers, combining affordability, onboard computing, and real-world motion capabilities in a customizable platform.</t>
        </is>
      </c>
      <c r="M125" s="101" t="inlineStr">
        <is>
          <t>Asimov is a modular DIY humanoid robot built for developers and researchers, combining affordability, onboard computing, and real-world motion capabilities in a customizable platform. Public status is listed as in production, and it is positioned for developers; research labs; robotics enthusiasts; universities.</t>
        </is>
      </c>
      <c r="N125" s="150" t="inlineStr">
        <is>
          <t>https://humanoid.guide/product/asimov/</t>
        </is>
      </c>
      <c r="O125" s="150" t="inlineStr">
        <is>
          <t>https://menlo.ai/</t>
        </is>
      </c>
      <c r="P125" s="145" t="inlineStr">
        <is>
          <t>3 ft 11 in</t>
        </is>
      </c>
      <c r="Q125" s="145" t="n">
        <v>120</v>
      </c>
      <c r="R125" s="145" t="n">
        <v>77.2</v>
      </c>
      <c r="S125" s="145" t="n">
        <v>35</v>
      </c>
      <c r="T125" s="149" t="inlineStr">
        <is>
          <t>Not disclosed</t>
        </is>
      </c>
      <c r="U125" s="145" t="n"/>
      <c r="V125" s="145" t="inlineStr">
        <is>
          <t>27</t>
        </is>
      </c>
      <c r="W125" s="149" t="inlineStr">
        <is>
          <t>Not disclosed</t>
        </is>
      </c>
      <c r="X125" s="145" t="n">
        <v>77.2</v>
      </c>
      <c r="Y125" s="145" t="n">
        <v>35</v>
      </c>
      <c r="Z125" s="145" t="n">
        <v>1.86</v>
      </c>
      <c r="AA125" s="145" t="n">
        <v>3</v>
      </c>
      <c r="AB125" s="145" t="n"/>
      <c r="AC125" s="149" t="inlineStr">
        <is>
          <t>≈ 1.5 hours</t>
        </is>
      </c>
      <c r="AD125" s="149" t="inlineStr">
        <is>
          <t>1.5</t>
        </is>
      </c>
      <c r="AE125" s="145" t="n"/>
      <c r="AF125" s="145" t="inlineStr">
        <is>
          <t>Not disclosed</t>
        </is>
      </c>
      <c r="AG125" s="149" t="inlineStr">
        <is>
          <t>5 per hand</t>
        </is>
      </c>
      <c r="AH125" s="145" t="inlineStr">
        <is>
          <t>5 per hand</t>
        </is>
      </c>
      <c r="AI125" s="145" t="n"/>
      <c r="AJ125" s="149" t="inlineStr">
        <is>
          <t>Not disclosed</t>
        </is>
      </c>
      <c r="AK125" s="149" t="n"/>
      <c r="AL125" s="145" t="inlineStr">
        <is>
          <t>Not disclosed</t>
        </is>
      </c>
      <c r="AM125" s="145" t="n"/>
      <c r="AN125" s="145" t="inlineStr">
        <is>
          <t>Not disclosed</t>
        </is>
      </c>
      <c r="AO125" s="145" t="inlineStr">
        <is>
          <t>Not disclosed</t>
        </is>
      </c>
      <c r="AP125" s="145" t="inlineStr">
        <is>
          <t>Not disclosed</t>
        </is>
      </c>
      <c r="AQ125" s="145" t="inlineStr">
        <is>
          <t>Not disclosed</t>
        </is>
      </c>
      <c r="AR125" s="145" t="n"/>
      <c r="AS125" s="145" t="n"/>
      <c r="AT125" s="149" t="inlineStr">
        <is>
          <t>Onboard compute (exact model not specified; likely NVIDIA Jetson-class)</t>
        </is>
      </c>
      <c r="AU125" s="149" t="inlineStr">
        <is>
          <t>Ethernet; Wi‑Fi</t>
        </is>
      </c>
      <c r="AV125" s="145" t="inlineStr">
        <is>
          <t>Not disclosed</t>
        </is>
      </c>
      <c r="AW125" s="149" t="inlineStr">
        <is>
          <t>Not disclosed</t>
        </is>
      </c>
      <c r="AX125" s="145" t="n"/>
      <c r="AY125" s="149" t="inlineStr">
        <is>
          <t>Not disclosed</t>
        </is>
      </c>
      <c r="AZ125" s="149" t="inlineStr">
        <is>
          <t>Yes</t>
        </is>
      </c>
      <c r="BA125" s="149" t="n"/>
      <c r="BB125" s="149" t="inlineStr">
        <is>
          <t>Electric actuators</t>
        </is>
      </c>
      <c r="BC125" s="149" t="inlineStr">
        <is>
          <t>Likely harmonic or planetary gear systems</t>
        </is>
      </c>
      <c r="BD125" s="145" t="inlineStr">
        <is>
          <t>Aluminum alloy + composite parts</t>
        </is>
      </c>
      <c r="BE125" s="145" t="inlineStr">
        <is>
          <t>Not disclosed</t>
        </is>
      </c>
      <c r="BF125" s="145" t="n"/>
      <c r="BG125" s="145" t="n"/>
      <c r="BH125" s="145" t="n"/>
      <c r="BI125" s="145" t="n"/>
      <c r="BJ125" s="145" t="n"/>
      <c r="BK125" s="145" t="n"/>
      <c r="BL125" s="145" t="n"/>
      <c r="BM125" s="145" t="inlineStr">
        <is>
          <t>Yes</t>
        </is>
      </c>
      <c r="BN125" s="145" t="inlineStr">
        <is>
          <t>Not disclosed</t>
        </is>
      </c>
      <c r="BO125" s="149" t="inlineStr">
        <is>
          <t>Market: Developers; research labs; robotics enthusiasts; universities · Human-safe: Yes · AI: Yes · Actuation: Electric actuators · Peak 3 km/h · Runtime 1.5</t>
        </is>
      </c>
      <c r="BP125" s="145" t="n"/>
      <c r="BQ125" s="149" t="inlineStr">
        <is>
          <t>Developers; research labs; robotics enthusiasts; universities</t>
        </is>
      </c>
      <c r="BR125" s="149" t="inlineStr">
        <is>
          <t>In production</t>
        </is>
      </c>
      <c r="BS125" s="149" t="inlineStr">
        <is>
          <t>In production</t>
        </is>
      </c>
      <c r="BT125" s="145" t="n"/>
      <c r="BU125" s="145" t="n"/>
      <c r="BV125" s="149" t="n"/>
      <c r="BW125" s="149" t="inlineStr">
        <is>
          <t>Origin &amp; status — Singapore · In production · 2026 | Manipulation — 5 per hand · 5 per hand fingers · Payload 77.2 lb | Sensing &amp; software — Yes | Buying notes — From $15,000 · 12 months manufacturer standard (typical research/commercial humanoid) · Best fit: Developers</t>
        </is>
      </c>
      <c r="BX125" s="149" t="inlineStr">
        <is>
          <t>as_shipped|Asimov|15000|As shipped</t>
        </is>
      </c>
      <c r="BY125" s="145" t="inlineStr">
        <is>
          <t>asimov|Manufacturer finish|#e2e8f0|0</t>
        </is>
      </c>
      <c r="BZ125" s="145" t="inlineStr"/>
      <c r="CA125" s="149" t="n"/>
      <c r="CB125" s="149" t="inlineStr">
        <is>
          <t>12 months manufacturer standard (typical research/commercial humanoid)</t>
        </is>
      </c>
      <c r="CC125" s="147" t="n">
        <v>12</v>
      </c>
      <c r="CD125" s="149" t="inlineStr">
        <is>
          <t>+3 Year Extended ≈24% of configuration (default in configurator)</t>
        </is>
      </c>
      <c r="CE125" s="145" t="inlineStr">
        <is>
          <t>Humanoid category norm 2025–2026</t>
        </is>
      </c>
      <c r="CF125" s="145" t="inlineStr">
        <is>
          <t>Estimated</t>
        </is>
      </c>
      <c r="CG125" s="149" t="inlineStr">
        <is>
          <t>Confirm on formal OEM quote. EDU or enterprise packages may differ.</t>
        </is>
      </c>
      <c r="CH125" s="145" t="inlineStr">
        <is>
          <t>10%</t>
        </is>
      </c>
      <c r="CI125" s="145" t="inlineStr">
        <is>
          <t>17%</t>
        </is>
      </c>
      <c r="CJ125" s="145" t="inlineStr">
        <is>
          <t>24%</t>
        </is>
      </c>
      <c r="CK125" s="149" t="inlineStr">
        <is>
          <t>+1yr ≈10% | +2yr ≈17% | +3yr ≈24% of selected configuration price (parts &amp; labor beyond manufacturer standard).</t>
        </is>
      </c>
      <c r="CL12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25" s="145" t="inlineStr">
        <is>
          <t>12 months manufacturer standard (typical research/commercial humanoid)</t>
        </is>
      </c>
      <c r="CQ125" s="101" t="inlineStr">
        <is>
          <t>Height: 3 ft 11 in | Weight: 77.2 | Degrees of Freedom: 27 | Payload: 77.2 | Max Speed: 1.86 | Battery / Runtime: ≈ 1.5 hours</t>
        </is>
      </c>
    </row>
    <row r="126" ht="31.5" customHeight="1" s="102">
      <c r="A126" s="152" t="inlineStr">
        <is>
          <t>menloai_asimov_1</t>
        </is>
      </c>
      <c r="B126" s="153" t="inlineStr">
        <is>
          <t>Humanoid.guide</t>
        </is>
      </c>
      <c r="C126" s="152" t="inlineStr">
        <is>
          <t>MenloAI</t>
        </is>
      </c>
      <c r="D126" s="152" t="inlineStr">
        <is>
          <t>Asimov 1</t>
        </is>
      </c>
      <c r="E126" s="152" t="inlineStr">
        <is>
          <t>[MenloAI] Asimov 1 (2026)</t>
        </is>
      </c>
      <c r="F126" s="146" t="inlineStr">
        <is>
          <t>humanoid</t>
        </is>
      </c>
      <c r="G126" s="152" t="inlineStr">
        <is>
          <t>Singapore</t>
        </is>
      </c>
      <c r="H126" s="152" t="n"/>
      <c r="I126" s="155" t="n">
        <v>20000</v>
      </c>
      <c r="J126" s="152" t="inlineStr">
        <is>
          <t>Humanoid.guide list</t>
        </is>
      </c>
      <c r="K126" s="156" t="inlineStr">
        <is>
          <t>Asimov 1 is Menlo Research’s open-source, build-it-yourself educational humanoid — 120cm, 35kg, 25+2 DoF, priced at $20,000.</t>
        </is>
      </c>
      <c r="L126" s="101" t="inlineStr">
        <is>
          <t>Asimov 1 is Menlo Research’s open-source, build-it-yourself educational humanoid — 120cm, 35kg, 25+2 DoF, priced at $20,000.</t>
        </is>
      </c>
      <c r="M126" s="101" t="inlineStr">
        <is>
          <t>Asimov 1 is Menlo Research’s open-source, build-it-yourself educational humanoid — 120cm, 35kg, 25+2 DoF, priced at $20,000. Public status is listed as in production, and it is positioned for developers; Research &amp; education; Robotics education.</t>
        </is>
      </c>
      <c r="N126" s="157" t="inlineStr">
        <is>
          <t>https://humanoid.guide/product/asimov-one/</t>
        </is>
      </c>
      <c r="O126" s="157" t="inlineStr">
        <is>
          <t>https://menlo.ai/</t>
        </is>
      </c>
      <c r="P126" s="152" t="inlineStr">
        <is>
          <t>3 ft 11 in</t>
        </is>
      </c>
      <c r="Q126" s="152" t="n">
        <v>120</v>
      </c>
      <c r="R126" s="152" t="n">
        <v>77.2</v>
      </c>
      <c r="S126" s="152" t="n">
        <v>35</v>
      </c>
      <c r="T126" s="156" t="inlineStr">
        <is>
          <t>Not disclosed</t>
        </is>
      </c>
      <c r="U126" s="152" t="n"/>
      <c r="V126" s="152" t="inlineStr">
        <is>
          <t>27</t>
        </is>
      </c>
      <c r="W126" s="156" t="inlineStr">
        <is>
          <t>0</t>
        </is>
      </c>
      <c r="X126" s="152" t="n">
        <v>6.6</v>
      </c>
      <c r="Y126" s="152" t="n">
        <v>3</v>
      </c>
      <c r="Z126" s="152" t="n">
        <v>1.86</v>
      </c>
      <c r="AA126" s="152" t="n">
        <v>3</v>
      </c>
      <c r="AB126" s="152" t="n"/>
      <c r="AC126" s="156" t="inlineStr">
        <is>
          <t>≈ 2 hours</t>
        </is>
      </c>
      <c r="AD126" s="156" t="inlineStr">
        <is>
          <t>2</t>
        </is>
      </c>
      <c r="AE126" s="152" t="n"/>
      <c r="AF126" s="152" t="inlineStr">
        <is>
          <t>Not disclosed</t>
        </is>
      </c>
      <c r="AG126" s="156" t="inlineStr">
        <is>
          <t>0</t>
        </is>
      </c>
      <c r="AH126" s="152" t="inlineStr">
        <is>
          <t>0</t>
        </is>
      </c>
      <c r="AI126" s="152" t="n"/>
      <c r="AJ126" s="156" t="inlineStr">
        <is>
          <t>2 MP monocular</t>
        </is>
      </c>
      <c r="AK126" s="156" t="inlineStr">
        <is>
          <t>2 MP monocular</t>
        </is>
      </c>
      <c r="AL126" s="152" t="inlineStr">
        <is>
          <t>Not disclosed</t>
        </is>
      </c>
      <c r="AM126" s="152" t="n"/>
      <c r="AN126" s="152" t="inlineStr">
        <is>
          <t>Not disclosed</t>
        </is>
      </c>
      <c r="AO126" s="152" t="inlineStr">
        <is>
          <t>Not disclosed</t>
        </is>
      </c>
      <c r="AP126" s="152" t="inlineStr">
        <is>
          <t>Not disclosed</t>
        </is>
      </c>
      <c r="AQ126" s="152" t="inlineStr">
        <is>
          <t>Not disclosed</t>
        </is>
      </c>
      <c r="AR126" s="152" t="n"/>
      <c r="AS126" s="152" t="n"/>
      <c r="AT126" s="156" t="inlineStr">
        <is>
          <t>Raspberry Pi 5 (media/networking) + Radxa CM5 (motion control)</t>
        </is>
      </c>
      <c r="AU126" s="156" t="inlineStr">
        <is>
          <t>6× internal CAN bus branches; Bluetooth; Ethernet; Wi‑Fi</t>
        </is>
      </c>
      <c r="AV126" s="152" t="inlineStr">
        <is>
          <t>Not disclosed</t>
        </is>
      </c>
      <c r="AW126" s="156" t="inlineStr">
        <is>
          <t>Not disclosed</t>
        </is>
      </c>
      <c r="AX126" s="152" t="n"/>
      <c r="AY126" s="156" t="inlineStr">
        <is>
          <t>Asimov OS (Linux-based, via Pi 5 + Radxa CM5)</t>
        </is>
      </c>
      <c r="AZ126" s="156" t="inlineStr">
        <is>
          <t>Yes</t>
        </is>
      </c>
      <c r="BA126" s="156" t="n"/>
      <c r="BB126" s="156" t="inlineStr">
        <is>
          <t>Brushless DC (BLDC) rotary actuators (inferred from actuator IDs)</t>
        </is>
      </c>
      <c r="BC126" s="156" t="inlineStr">
        <is>
          <t>Mixed planetary + harmonic reduction (inferred from actuator IDs)</t>
        </is>
      </c>
      <c r="BD126" s="152" t="inlineStr">
        <is>
          <t>Not disclosed</t>
        </is>
      </c>
      <c r="BE126" s="152" t="inlineStr">
        <is>
          <t>Not disclosed</t>
        </is>
      </c>
      <c r="BF126" s="152" t="n"/>
      <c r="BG126" s="152" t="n"/>
      <c r="BH126" s="152" t="n"/>
      <c r="BI126" s="152" t="n"/>
      <c r="BJ126" s="152" t="n"/>
      <c r="BK126" s="152" t="n"/>
      <c r="BL126" s="152" t="n"/>
      <c r="BM126" s="152" t="inlineStr">
        <is>
          <t>Yes</t>
        </is>
      </c>
      <c r="BN126" s="152" t="inlineStr">
        <is>
          <t>Not disclosed</t>
        </is>
      </c>
      <c r="BO126" s="156" t="inlineStr">
        <is>
          <t>Market: Developers; Research &amp; education; Robotics education · Human-safe: Yes · AI: Yes · Actuation: Brushless DC (BLDC) rotary actuators (inferred from actuator IDs) · Peak 3 km/h · Runtime 2</t>
        </is>
      </c>
      <c r="BP126" s="152" t="n"/>
      <c r="BQ126" s="156" t="inlineStr">
        <is>
          <t>Developers; Research &amp; education; Robotics education</t>
        </is>
      </c>
      <c r="BR126" s="156" t="inlineStr">
        <is>
          <t>In production</t>
        </is>
      </c>
      <c r="BS126" s="156" t="inlineStr">
        <is>
          <t>In production</t>
        </is>
      </c>
      <c r="BT126" s="152" t="n"/>
      <c r="BU126" s="152" t="n"/>
      <c r="BV126" s="156" t="n"/>
      <c r="BW126" s="156" t="inlineStr">
        <is>
          <t>Origin &amp; status — Singapore · In production · 2026 | Manipulation — 0 · 0 fingers · Hand DOF 0 · Payload 6.6 lb | Sensing &amp; software — 2 MP monocular · Yes · Asimov OS (Linux-based, via Pi 5 + Radxa CM5) | Buying notes — From $20,000 · 12 months manufacturer standard (typical research/commercial humanoid) · Best fit: Developers</t>
        </is>
      </c>
      <c r="BX126" s="156" t="inlineStr">
        <is>
          <t>as_shipped|Asimov 1|20000|As shipped</t>
        </is>
      </c>
      <c r="BY126" s="152" t="inlineStr">
        <is>
          <t>asimov_1|Manufacturer finish|#e2e8f0|0</t>
        </is>
      </c>
      <c r="BZ126" s="152" t="inlineStr"/>
      <c r="CA126" s="156" t="n"/>
      <c r="CB126" s="156" t="inlineStr">
        <is>
          <t>12 months manufacturer standard (typical research/commercial humanoid)</t>
        </is>
      </c>
      <c r="CC126" s="154" t="n">
        <v>12</v>
      </c>
      <c r="CD126" s="156" t="inlineStr">
        <is>
          <t>+3 Year Extended ≈24% of configuration (default in configurator)</t>
        </is>
      </c>
      <c r="CE126" s="152" t="inlineStr">
        <is>
          <t>Humanoid category norm 2025–2026</t>
        </is>
      </c>
      <c r="CF126" s="152" t="inlineStr">
        <is>
          <t>Estimated</t>
        </is>
      </c>
      <c r="CG126" s="156" t="inlineStr">
        <is>
          <t>Confirm on formal OEM quote. EDU or enterprise packages may differ.</t>
        </is>
      </c>
      <c r="CH126" s="152" t="inlineStr">
        <is>
          <t>10%</t>
        </is>
      </c>
      <c r="CI126" s="152" t="inlineStr">
        <is>
          <t>17%</t>
        </is>
      </c>
      <c r="CJ126" s="152" t="inlineStr">
        <is>
          <t>24%</t>
        </is>
      </c>
      <c r="CK126" s="156" t="inlineStr">
        <is>
          <t>+1yr ≈10% | +2yr ≈17% | +3yr ≈24% of selected configuration price (parts &amp; labor beyond manufacturer standard).</t>
        </is>
      </c>
      <c r="CL126"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26" s="152" t="inlineStr">
        <is>
          <t>12 months manufacturer standard (typical research/commercial humanoid)</t>
        </is>
      </c>
      <c r="CQ126" s="101" t="inlineStr">
        <is>
          <t>Height: 3 ft 11 in | Weight: 77.2 | Degrees of Freedom: 27 | Payload: 6.6 | Max Speed: 1.86 | Battery / Runtime: ≈ 2 hours</t>
        </is>
      </c>
    </row>
    <row r="127" ht="31.5" customHeight="1" s="102">
      <c r="A127" s="145" t="inlineStr">
        <is>
          <t>menloai_asimov_2</t>
        </is>
      </c>
      <c r="B127" s="153" t="inlineStr">
        <is>
          <t>Humanoid.guide</t>
        </is>
      </c>
      <c r="C127" s="145" t="inlineStr">
        <is>
          <t>MenloAI</t>
        </is>
      </c>
      <c r="D127" s="145" t="inlineStr">
        <is>
          <t>Asimov 2</t>
        </is>
      </c>
      <c r="E127" s="145" t="inlineStr">
        <is>
          <t>[MenloAI] Asimov 2 (2026)</t>
        </is>
      </c>
      <c r="F127" s="146" t="inlineStr">
        <is>
          <t>humanoid</t>
        </is>
      </c>
      <c r="G127" s="145" t="inlineStr">
        <is>
          <t>Singapore</t>
        </is>
      </c>
      <c r="H127" s="145" t="n"/>
      <c r="I127" s="148" t="n">
        <v>35000</v>
      </c>
      <c r="J127" s="145" t="inlineStr">
        <is>
          <t>Humanoid.guide list</t>
        </is>
      </c>
      <c r="K127" s="149" t="inlineStr">
        <is>
          <t>Asimov 2 is Menlo Research’s upcoming deployment-ready, bimanual humanoid — expected to build on Asimov 1 with functional hands, though full specs aren’t yet official.</t>
        </is>
      </c>
      <c r="L127" s="101" t="inlineStr">
        <is>
          <t>Asimov 2 is Menlo Research’s upcoming deployment-ready, bimanual humanoid — expected to build on Asimov 1 with functional hands, though full specs aren’t yet official.</t>
        </is>
      </c>
      <c r="M127" s="101" t="inlineStr">
        <is>
          <t>Asimov 2 is Menlo Research’s upcoming deployment-ready, bimanual humanoid — expected to build on Asimov 1 with functional hands, though full specs aren’t yet official. Public status is listed as prototype, and it is positioned for developers; Research &amp; education; Robotics education.</t>
        </is>
      </c>
      <c r="N127" s="150" t="inlineStr">
        <is>
          <t>https://humanoid.guide/product/asimov-two/</t>
        </is>
      </c>
      <c r="O127" s="150" t="inlineStr">
        <is>
          <t>https://menlo.ai/</t>
        </is>
      </c>
      <c r="P127" s="145" t="inlineStr">
        <is>
          <t>3 ft 11 in</t>
        </is>
      </c>
      <c r="Q127" s="145" t="n">
        <v>120</v>
      </c>
      <c r="R127" s="145" t="n">
        <v>83.8</v>
      </c>
      <c r="S127" s="145" t="n">
        <v>38</v>
      </c>
      <c r="T127" s="149" t="inlineStr">
        <is>
          <t>Not disclosed</t>
        </is>
      </c>
      <c r="U127" s="145" t="n"/>
      <c r="V127" s="145" t="inlineStr">
        <is>
          <t>27</t>
        </is>
      </c>
      <c r="W127" s="149" t="inlineStr">
        <is>
          <t>0</t>
        </is>
      </c>
      <c r="X127" s="145" t="n">
        <v>11</v>
      </c>
      <c r="Y127" s="145" t="n">
        <v>5</v>
      </c>
      <c r="Z127" s="145" t="n">
        <v>2.49</v>
      </c>
      <c r="AA127" s="145" t="n">
        <v>4</v>
      </c>
      <c r="AB127" s="145" t="n"/>
      <c r="AC127" s="149" t="inlineStr">
        <is>
          <t>≈ 2.5 hours</t>
        </is>
      </c>
      <c r="AD127" s="149" t="inlineStr">
        <is>
          <t>2.5</t>
        </is>
      </c>
      <c r="AE127" s="145" t="n"/>
      <c r="AF127" s="145" t="inlineStr">
        <is>
          <t>Not disclosed</t>
        </is>
      </c>
      <c r="AG127" s="149" t="inlineStr">
        <is>
          <t>0</t>
        </is>
      </c>
      <c r="AH127" s="145" t="inlineStr">
        <is>
          <t>0</t>
        </is>
      </c>
      <c r="AI127" s="145" t="n"/>
      <c r="AJ127" s="149" t="inlineStr">
        <is>
          <t>2 MP monocular</t>
        </is>
      </c>
      <c r="AK127" s="149" t="inlineStr">
        <is>
          <t>2 MP monocular</t>
        </is>
      </c>
      <c r="AL127" s="145" t="inlineStr">
        <is>
          <t>Not disclosed</t>
        </is>
      </c>
      <c r="AM127" s="145" t="n"/>
      <c r="AN127" s="145" t="inlineStr">
        <is>
          <t>Not disclosed</t>
        </is>
      </c>
      <c r="AO127" s="145" t="inlineStr">
        <is>
          <t>Not disclosed</t>
        </is>
      </c>
      <c r="AP127" s="145" t="inlineStr">
        <is>
          <t>Not disclosed</t>
        </is>
      </c>
      <c r="AQ127" s="145" t="inlineStr">
        <is>
          <t>Not disclosed</t>
        </is>
      </c>
      <c r="AR127" s="145" t="n"/>
      <c r="AS127" s="145" t="n"/>
      <c r="AT127" s="149" t="inlineStr">
        <is>
          <t>Raspberry Pi 5 (media/networking) + Radxa CM5 (motion control)</t>
        </is>
      </c>
      <c r="AU127" s="149" t="inlineStr">
        <is>
          <t>6× internal CAN bus branches; Bluetooth; Ethernet; Wi‑Fi</t>
        </is>
      </c>
      <c r="AV127" s="145" t="inlineStr">
        <is>
          <t>Not disclosed</t>
        </is>
      </c>
      <c r="AW127" s="149" t="inlineStr">
        <is>
          <t>Not disclosed</t>
        </is>
      </c>
      <c r="AX127" s="145" t="n"/>
      <c r="AY127" s="149" t="inlineStr">
        <is>
          <t>Asimov OS</t>
        </is>
      </c>
      <c r="AZ127" s="149" t="inlineStr">
        <is>
          <t>Yes</t>
        </is>
      </c>
      <c r="BA127" s="149" t="n"/>
      <c r="BB127" s="149" t="inlineStr">
        <is>
          <t>Brushless DC (BLDC) rotary actuators (inferred from actuator IDs)</t>
        </is>
      </c>
      <c r="BC127" s="149" t="inlineStr">
        <is>
          <t>Mixed planetary + harmonic reduction (inferred from actuator IDs)</t>
        </is>
      </c>
      <c r="BD127" s="145" t="inlineStr">
        <is>
          <t>Not disclosed</t>
        </is>
      </c>
      <c r="BE127" s="145" t="inlineStr">
        <is>
          <t>Not disclosed</t>
        </is>
      </c>
      <c r="BF127" s="145" t="n"/>
      <c r="BG127" s="145" t="n"/>
      <c r="BH127" s="145" t="n"/>
      <c r="BI127" s="145" t="n"/>
      <c r="BJ127" s="145" t="n"/>
      <c r="BK127" s="145" t="n"/>
      <c r="BL127" s="145" t="n"/>
      <c r="BM127" s="145" t="inlineStr">
        <is>
          <t>Yes</t>
        </is>
      </c>
      <c r="BN127" s="145" t="inlineStr">
        <is>
          <t>Not disclosed</t>
        </is>
      </c>
      <c r="BO127" s="149" t="inlineStr">
        <is>
          <t>Market: Developers; Research &amp; education; Robotics education · Human-safe: Yes · AI: Yes · Actuation: Brushless DC (BLDC) rotary actuators (inferred from actuator IDs) · Peak 4 km/h · Runtime 2.5</t>
        </is>
      </c>
      <c r="BP127" s="145" t="n"/>
      <c r="BQ127" s="149" t="inlineStr">
        <is>
          <t>Developers; Research &amp; education; Robotics education</t>
        </is>
      </c>
      <c r="BR127" s="149" t="inlineStr">
        <is>
          <t>Prototype</t>
        </is>
      </c>
      <c r="BS127" s="149" t="inlineStr">
        <is>
          <t>Prototype</t>
        </is>
      </c>
      <c r="BT127" s="145" t="n"/>
      <c r="BU127" s="145" t="n"/>
      <c r="BV127" s="149" t="n"/>
      <c r="BW127" s="149" t="inlineStr">
        <is>
          <t>Origin &amp; status — Singapore · Prototype · 2026 | Manipulation — 0 · 0 fingers · Hand DOF 0 · Payload 11 lb | Sensing &amp; software — 2 MP monocular · Yes · Asimov OS | Buying notes — From $35,000 · 12 months manufacturer standard (typical research/commercial humanoid) · Best fit: Developers</t>
        </is>
      </c>
      <c r="BX127" s="149" t="inlineStr">
        <is>
          <t>as_shipped|Asimov 2|35000|As shipped</t>
        </is>
      </c>
      <c r="BY127" s="145" t="inlineStr">
        <is>
          <t>asimov_2|Manufacturer finish|#e2e8f0|0</t>
        </is>
      </c>
      <c r="BZ127" s="145" t="inlineStr"/>
      <c r="CA127" s="149" t="n"/>
      <c r="CB127" s="149" t="inlineStr">
        <is>
          <t>12 months manufacturer standard (typical research/commercial humanoid)</t>
        </is>
      </c>
      <c r="CC127" s="147" t="n">
        <v>12</v>
      </c>
      <c r="CD127" s="149" t="inlineStr">
        <is>
          <t>+3 Year Extended ≈24% of configuration (default in configurator)</t>
        </is>
      </c>
      <c r="CE127" s="145" t="inlineStr">
        <is>
          <t>Humanoid category norm 2025–2026</t>
        </is>
      </c>
      <c r="CF127" s="145" t="inlineStr">
        <is>
          <t>Estimated</t>
        </is>
      </c>
      <c r="CG127" s="149" t="inlineStr">
        <is>
          <t>Confirm on formal OEM quote. EDU or enterprise packages may differ.</t>
        </is>
      </c>
      <c r="CH127" s="145" t="inlineStr">
        <is>
          <t>10%</t>
        </is>
      </c>
      <c r="CI127" s="145" t="inlineStr">
        <is>
          <t>17%</t>
        </is>
      </c>
      <c r="CJ127" s="145" t="inlineStr">
        <is>
          <t>24%</t>
        </is>
      </c>
      <c r="CK127" s="149" t="inlineStr">
        <is>
          <t>+1yr ≈10% | +2yr ≈17% | +3yr ≈24% of selected configuration price (parts &amp; labor beyond manufacturer standard).</t>
        </is>
      </c>
      <c r="CL127"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27" s="145" t="inlineStr">
        <is>
          <t>12 months manufacturer standard (typical research/commercial humanoid)</t>
        </is>
      </c>
      <c r="CQ127" s="101" t="inlineStr">
        <is>
          <t>Height: 3 ft 11 in | Weight: 83.8 | Degrees of Freedom: 27 | Payload: 11 | Max Speed: 2.49 | Battery / Runtime: ≈ 2.5 hours</t>
        </is>
      </c>
    </row>
    <row r="128" ht="31.5" customHeight="1" s="102">
      <c r="A128" s="152" t="inlineStr">
        <is>
          <t>mentee_robotics_menteebot</t>
        </is>
      </c>
      <c r="B128" s="153" t="inlineStr">
        <is>
          <t>Humanoid.guide</t>
        </is>
      </c>
      <c r="C128" s="152" t="inlineStr">
        <is>
          <t>Mentee Robotics</t>
        </is>
      </c>
      <c r="D128" s="152" t="inlineStr">
        <is>
          <t>MenteeBot</t>
        </is>
      </c>
      <c r="E128" s="152" t="inlineStr">
        <is>
          <t>[Mentee Robotics] MenteeBot (2022)</t>
        </is>
      </c>
      <c r="F128" s="146" t="inlineStr">
        <is>
          <t>humanoid</t>
        </is>
      </c>
      <c r="G128" s="152" t="inlineStr">
        <is>
          <t>Israel</t>
        </is>
      </c>
      <c r="H128" s="154" t="n">
        <v>2022</v>
      </c>
      <c r="I128" s="155" t="n">
        <v>35000</v>
      </c>
      <c r="J128" s="152" t="inlineStr">
        <is>
          <t>Humanoid.guide list</t>
        </is>
      </c>
      <c r="K128" s="156" t="inlineStr">
        <is>
          <t>Menteebot is an innovative humanoid robot developed by Mentee Robotics, an Israeli company founded in 2022 by renowned experts in AI, computer vision, and machine learning.</t>
        </is>
      </c>
      <c r="L128" s="101" t="inlineStr">
        <is>
          <t>Menteebot is an innovative humanoid robot developed by Mentee Robotics, an Israeli company founded in 2022 by renowned experts in AI, computer vision, and machine learning.</t>
        </is>
      </c>
      <c r="M128" s="101" t="inlineStr">
        <is>
          <t>Menteebot is an innovative humanoid robot developed by Mentee Robotics, an Israeli company founded in 2022 by renowned experts in AI, computer vision, and machine learning. Public status is listed as prototype.</t>
        </is>
      </c>
      <c r="N128" s="157" t="inlineStr">
        <is>
          <t>https://humanoid.guide/product/menteebot/</t>
        </is>
      </c>
      <c r="O128" s="157" t="inlineStr">
        <is>
          <t>https://www.menteebot.com</t>
        </is>
      </c>
      <c r="P128" s="152" t="inlineStr">
        <is>
          <t>5 ft 9 in</t>
        </is>
      </c>
      <c r="Q128" s="152" t="n">
        <v>175</v>
      </c>
      <c r="R128" s="152" t="n">
        <v>154.3</v>
      </c>
      <c r="S128" s="152" t="n">
        <v>70</v>
      </c>
      <c r="T128" s="156" t="inlineStr">
        <is>
          <t>Not disclosed</t>
        </is>
      </c>
      <c r="U128" s="152" t="n"/>
      <c r="V128" s="152" t="inlineStr">
        <is>
          <t>40</t>
        </is>
      </c>
      <c r="W128" s="156" t="inlineStr">
        <is>
          <t>Not disclosed</t>
        </is>
      </c>
      <c r="X128" s="152" t="n">
        <v>55.1</v>
      </c>
      <c r="Y128" s="152" t="n">
        <v>25</v>
      </c>
      <c r="Z128" s="152" t="n">
        <v>2.8</v>
      </c>
      <c r="AA128" s="152" t="n">
        <v>4.5</v>
      </c>
      <c r="AB128" s="152" t="n">
        <v>5.4</v>
      </c>
      <c r="AC128" s="156" t="inlineStr">
        <is>
          <t>≈ 3 hours</t>
        </is>
      </c>
      <c r="AD128" s="156" t="inlineStr">
        <is>
          <t>3</t>
        </is>
      </c>
      <c r="AE128" s="152" t="n"/>
      <c r="AF128" s="152" t="inlineStr">
        <is>
          <t>Not disclosed</t>
        </is>
      </c>
      <c r="AG128" s="156" t="inlineStr">
        <is>
          <t>Not disclosed</t>
        </is>
      </c>
      <c r="AH128" s="152" t="inlineStr">
        <is>
          <t>Not disclosed</t>
        </is>
      </c>
      <c r="AI128" s="158" t="n">
        <v>2</v>
      </c>
      <c r="AJ128" s="156" t="inlineStr">
        <is>
          <t>Not disclosed</t>
        </is>
      </c>
      <c r="AK128" s="156" t="n"/>
      <c r="AL128" s="152" t="inlineStr">
        <is>
          <t>Not disclosed</t>
        </is>
      </c>
      <c r="AM128" s="152" t="n"/>
      <c r="AN128" s="152" t="inlineStr">
        <is>
          <t>Not disclosed</t>
        </is>
      </c>
      <c r="AO128" s="152" t="inlineStr">
        <is>
          <t>Not disclosed</t>
        </is>
      </c>
      <c r="AP128" s="152" t="inlineStr">
        <is>
          <t>Not disclosed</t>
        </is>
      </c>
      <c r="AQ128" s="152" t="inlineStr">
        <is>
          <t>Not disclosed</t>
        </is>
      </c>
      <c r="AR128" s="152" t="n"/>
      <c r="AS128" s="152" t="n"/>
      <c r="AT128" s="156" t="inlineStr">
        <is>
          <t>Not disclosed</t>
        </is>
      </c>
      <c r="AU128" s="156" t="inlineStr">
        <is>
          <t>Not disclosed</t>
        </is>
      </c>
      <c r="AV128" s="152" t="inlineStr">
        <is>
          <t>Not disclosed</t>
        </is>
      </c>
      <c r="AW128" s="156" t="inlineStr">
        <is>
          <t>Not disclosed</t>
        </is>
      </c>
      <c r="AX128" s="158" t="n">
        <v>2</v>
      </c>
      <c r="AY128" s="156" t="inlineStr">
        <is>
          <t>Not disclosed</t>
        </is>
      </c>
      <c r="AZ128" s="156" t="inlineStr">
        <is>
          <t>Not disclosed</t>
        </is>
      </c>
      <c r="BA128" s="156" t="n"/>
      <c r="BB128" s="156" t="inlineStr">
        <is>
          <t>Not disclosed</t>
        </is>
      </c>
      <c r="BC128" s="156" t="inlineStr">
        <is>
          <t>Not disclosed</t>
        </is>
      </c>
      <c r="BD128" s="152" t="inlineStr">
        <is>
          <t>Not disclosed</t>
        </is>
      </c>
      <c r="BE128" s="152" t="inlineStr">
        <is>
          <t>Not disclosed</t>
        </is>
      </c>
      <c r="BF128" s="152" t="n"/>
      <c r="BG128" s="152" t="n"/>
      <c r="BH128" s="152" t="n"/>
      <c r="BI128" s="152" t="n"/>
      <c r="BJ128" s="152" t="n"/>
      <c r="BK128" s="152" t="n"/>
      <c r="BL128" s="152" t="n"/>
      <c r="BM128" s="152" t="inlineStr">
        <is>
          <t>Not disclosed</t>
        </is>
      </c>
      <c r="BN128" s="152" t="inlineStr">
        <is>
          <t>Not disclosed</t>
        </is>
      </c>
      <c r="BO128" s="156" t="inlineStr">
        <is>
          <t>Manipulation 2/4 · Navigation 2/4 · Peak 4.5 km/h · Walk 5.4 km/h · Runtime 3</t>
        </is>
      </c>
      <c r="BP128" s="152" t="n"/>
      <c r="BQ128" s="156" t="inlineStr">
        <is>
          <t>Research labs, commercial pilots, and education programs evaluating a humanoid from Mentee Robotics (Israel) now listed as prototype.</t>
        </is>
      </c>
      <c r="BR128" s="156" t="inlineStr">
        <is>
          <t>Prototype</t>
        </is>
      </c>
      <c r="BS128" s="156" t="inlineStr">
        <is>
          <t>Prototype</t>
        </is>
      </c>
      <c r="BT128" s="152" t="n"/>
      <c r="BU128" s="152" t="inlineStr">
        <is>
          <t>Not verified</t>
        </is>
      </c>
      <c r="BV128" s="156" t="n"/>
      <c r="BW128" s="156" t="inlineStr">
        <is>
          <t>Origin &amp; status — Israel · Prototype · 2022 | Manipulation — Payload 55.1 lb | Sensing &amp; software — Sensor and compute package confirmed on formal quote | Buying notes — From $35,000 · 12 months manufacturer standard (typical research/commercial humanoid)</t>
        </is>
      </c>
      <c r="BX128" s="156" t="inlineStr">
        <is>
          <t>as_shipped|MenteeBot|35000|As shipped</t>
        </is>
      </c>
      <c r="BY128" s="152" t="inlineStr">
        <is>
          <t>menteebot|Manufacturer finish|#e2e8f0|0</t>
        </is>
      </c>
      <c r="BZ128" s="152" t="inlineStr"/>
      <c r="CA128" s="156" t="n"/>
      <c r="CB128" s="156" t="inlineStr">
        <is>
          <t>12 months manufacturer standard (typical research/commercial humanoid)</t>
        </is>
      </c>
      <c r="CC128" s="154" t="n">
        <v>12</v>
      </c>
      <c r="CD128" s="156" t="inlineStr">
        <is>
          <t>+3 Year Extended ≈24% of configuration (default in configurator)</t>
        </is>
      </c>
      <c r="CE128" s="152" t="inlineStr">
        <is>
          <t>Humanoid category norm 2025–2026</t>
        </is>
      </c>
      <c r="CF128" s="152" t="inlineStr">
        <is>
          <t>Estimated</t>
        </is>
      </c>
      <c r="CG128" s="156" t="inlineStr">
        <is>
          <t>Confirm on formal OEM quote. EDU or enterprise packages may differ.</t>
        </is>
      </c>
      <c r="CH128" s="152" t="inlineStr">
        <is>
          <t>10%</t>
        </is>
      </c>
      <c r="CI128" s="152" t="inlineStr">
        <is>
          <t>17%</t>
        </is>
      </c>
      <c r="CJ128" s="152" t="inlineStr">
        <is>
          <t>24%</t>
        </is>
      </c>
      <c r="CK128" s="156" t="inlineStr">
        <is>
          <t>+1yr ≈10% | +2yr ≈17% | +3yr ≈24% of selected configuration price (parts &amp; labor beyond manufacturer standard).</t>
        </is>
      </c>
      <c r="CL128"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28" s="152" t="inlineStr">
        <is>
          <t>12 months manufacturer standard (typical research/commercial humanoid)</t>
        </is>
      </c>
      <c r="CQ128" s="101" t="inlineStr">
        <is>
          <t>Height: 5 ft 9 in | Weight: 154.3 | Degrees of Freedom: 40 | Payload: 55.1 | Max Speed: 2.8 | Battery / Runtime: ≈ 3 hours</t>
        </is>
      </c>
    </row>
    <row r="129" ht="31.5" customHeight="1" s="102">
      <c r="A129" s="145" t="inlineStr">
        <is>
          <t>mentee_robotics_menteebot_v3</t>
        </is>
      </c>
      <c r="B129" s="153" t="inlineStr">
        <is>
          <t>Humanoid.guide</t>
        </is>
      </c>
      <c r="C129" s="145" t="inlineStr">
        <is>
          <t>Mentee Robotics</t>
        </is>
      </c>
      <c r="D129" s="145" t="inlineStr">
        <is>
          <t>MenteeBot V3</t>
        </is>
      </c>
      <c r="E129" s="145" t="inlineStr">
        <is>
          <t>[Mentee Robotics] MenteeBot V3 (2026)</t>
        </is>
      </c>
      <c r="F129" s="146" t="inlineStr">
        <is>
          <t>humanoid</t>
        </is>
      </c>
      <c r="G129" s="145" t="inlineStr">
        <is>
          <t>Israel</t>
        </is>
      </c>
      <c r="H129" s="145" t="n"/>
      <c r="I129" s="148" t="n">
        <v>35000</v>
      </c>
      <c r="J129" s="145" t="inlineStr">
        <is>
          <t>Humanoid.guide list</t>
        </is>
      </c>
      <c r="K129" s="149" t="inlineStr">
        <is>
          <t>Menteebot V3 is a full-size humanoid robot designed for heavy lifting and warehouse automation.</t>
        </is>
      </c>
      <c r="L129" s="101" t="inlineStr">
        <is>
          <t>Menteebot V3 is a full-size humanoid robot designed for heavy lifting and warehouse automation.</t>
        </is>
      </c>
      <c r="M129" s="101" t="inlineStr">
        <is>
          <t>Menteebot V3 is a full-size humanoid robot designed for heavy lifting and warehouse automation. Public status is listed as prototype.</t>
        </is>
      </c>
      <c r="N129" s="150" t="inlineStr">
        <is>
          <t>https://humanoid.guide/product/menteebot-v3/</t>
        </is>
      </c>
      <c r="O129" s="150" t="inlineStr">
        <is>
          <t>https://www.menteebot.com</t>
        </is>
      </c>
      <c r="P129" s="145" t="inlineStr">
        <is>
          <t>5 ft 9 in</t>
        </is>
      </c>
      <c r="Q129" s="145" t="n">
        <v>175</v>
      </c>
      <c r="R129" s="145" t="n">
        <v>143.3</v>
      </c>
      <c r="S129" s="145" t="n">
        <v>65</v>
      </c>
      <c r="T129" s="149" t="inlineStr">
        <is>
          <t>Not disclosed</t>
        </is>
      </c>
      <c r="U129" s="145" t="n"/>
      <c r="V129" s="145" t="inlineStr">
        <is>
          <t>55</t>
        </is>
      </c>
      <c r="W129" s="149" t="inlineStr">
        <is>
          <t>Not disclosed</t>
        </is>
      </c>
      <c r="X129" s="145" t="n">
        <v>55.1</v>
      </c>
      <c r="Y129" s="145" t="n">
        <v>25</v>
      </c>
      <c r="Z129" s="145" t="n">
        <v>1.86</v>
      </c>
      <c r="AA129" s="145" t="n">
        <v>3</v>
      </c>
      <c r="AB129" s="145" t="n"/>
      <c r="AC129" s="149" t="inlineStr">
        <is>
          <t>≈ 4 hours</t>
        </is>
      </c>
      <c r="AD129" s="149" t="inlineStr">
        <is>
          <t>4</t>
        </is>
      </c>
      <c r="AE129" s="145" t="n"/>
      <c r="AF129" s="145" t="inlineStr">
        <is>
          <t>Not disclosed</t>
        </is>
      </c>
      <c r="AG129" s="149" t="inlineStr">
        <is>
          <t>Not disclosed</t>
        </is>
      </c>
      <c r="AH129" s="145" t="inlineStr">
        <is>
          <t>Not disclosed</t>
        </is>
      </c>
      <c r="AI129" s="158" t="n">
        <v>2</v>
      </c>
      <c r="AJ129" s="149" t="inlineStr">
        <is>
          <t>Not disclosed</t>
        </is>
      </c>
      <c r="AK129" s="149" t="n"/>
      <c r="AL129" s="145" t="inlineStr">
        <is>
          <t>Not disclosed</t>
        </is>
      </c>
      <c r="AM129" s="145" t="n"/>
      <c r="AN129" s="145" t="inlineStr">
        <is>
          <t>Not disclosed</t>
        </is>
      </c>
      <c r="AO129" s="145" t="inlineStr">
        <is>
          <t>Not disclosed</t>
        </is>
      </c>
      <c r="AP129" s="145" t="inlineStr">
        <is>
          <t>Not disclosed</t>
        </is>
      </c>
      <c r="AQ129" s="145" t="inlineStr">
        <is>
          <t>Not disclosed</t>
        </is>
      </c>
      <c r="AR129" s="145" t="n"/>
      <c r="AS129" s="145" t="n"/>
      <c r="AT129" s="149" t="inlineStr">
        <is>
          <t>Not disclosed</t>
        </is>
      </c>
      <c r="AU129" s="149" t="inlineStr">
        <is>
          <t>Not disclosed</t>
        </is>
      </c>
      <c r="AV129" s="145" t="inlineStr">
        <is>
          <t>Not disclosed</t>
        </is>
      </c>
      <c r="AW129" s="149" t="inlineStr">
        <is>
          <t>Not disclosed</t>
        </is>
      </c>
      <c r="AX129" s="158" t="n">
        <v>2</v>
      </c>
      <c r="AY129" s="149" t="inlineStr">
        <is>
          <t>Not disclosed</t>
        </is>
      </c>
      <c r="AZ129" s="149" t="inlineStr">
        <is>
          <t>Not disclosed</t>
        </is>
      </c>
      <c r="BA129" s="149" t="n"/>
      <c r="BB129" s="149" t="inlineStr">
        <is>
          <t>Not disclosed</t>
        </is>
      </c>
      <c r="BC129" s="149" t="inlineStr">
        <is>
          <t>Not disclosed</t>
        </is>
      </c>
      <c r="BD129" s="145" t="inlineStr">
        <is>
          <t>Not disclosed</t>
        </is>
      </c>
      <c r="BE129" s="145" t="inlineStr">
        <is>
          <t>Not disclosed</t>
        </is>
      </c>
      <c r="BF129" s="145" t="n"/>
      <c r="BG129" s="145" t="n"/>
      <c r="BH129" s="145" t="n"/>
      <c r="BI129" s="145" t="n"/>
      <c r="BJ129" s="145" t="n"/>
      <c r="BK129" s="145" t="n"/>
      <c r="BL129" s="145" t="n"/>
      <c r="BM129" s="145" t="inlineStr">
        <is>
          <t>Not disclosed</t>
        </is>
      </c>
      <c r="BN129" s="145" t="inlineStr">
        <is>
          <t>Not disclosed</t>
        </is>
      </c>
      <c r="BO129" s="149" t="inlineStr">
        <is>
          <t>Manipulation 2/4 · Navigation 2/4 · Peak 3 km/h · Runtime 4</t>
        </is>
      </c>
      <c r="BP129" s="145" t="n"/>
      <c r="BQ129" s="149" t="inlineStr">
        <is>
          <t>Research labs, commercial pilots, and education programs evaluating a humanoid from Mentee Robotics (Israel) now listed as prototype.</t>
        </is>
      </c>
      <c r="BR129" s="149" t="inlineStr">
        <is>
          <t>Prototype</t>
        </is>
      </c>
      <c r="BS129" s="149" t="inlineStr">
        <is>
          <t>Prototype</t>
        </is>
      </c>
      <c r="BT129" s="145" t="n"/>
      <c r="BU129" s="145" t="inlineStr">
        <is>
          <t>Not verified</t>
        </is>
      </c>
      <c r="BV129" s="149" t="n"/>
      <c r="BW129" s="149" t="inlineStr">
        <is>
          <t>Origin &amp; status — Israel · Prototype · 2026 | Manipulation — Payload 55.1 lb | Sensing &amp; software — Sensor and compute package confirmed on formal quote | Buying notes — From $35,000 · 12 months manufacturer standard (typical research/commercial humanoid)</t>
        </is>
      </c>
      <c r="BX129" s="149" t="inlineStr">
        <is>
          <t>as_shipped|MenteeBot V3|35000|As shipped</t>
        </is>
      </c>
      <c r="BY129" s="145" t="inlineStr">
        <is>
          <t>menteebot_v3|Manufacturer finish|#e2e8f0|0</t>
        </is>
      </c>
      <c r="BZ129" s="145" t="inlineStr"/>
      <c r="CA129" s="149" t="n"/>
      <c r="CB129" s="149" t="inlineStr">
        <is>
          <t>12 months manufacturer standard (typical research/commercial humanoid)</t>
        </is>
      </c>
      <c r="CC129" s="147" t="n">
        <v>12</v>
      </c>
      <c r="CD129" s="149" t="inlineStr">
        <is>
          <t>+3 Year Extended ≈24% of configuration (default in configurator)</t>
        </is>
      </c>
      <c r="CE129" s="145" t="inlineStr">
        <is>
          <t>Humanoid category norm 2025–2026</t>
        </is>
      </c>
      <c r="CF129" s="145" t="inlineStr">
        <is>
          <t>Estimated</t>
        </is>
      </c>
      <c r="CG129" s="149" t="inlineStr">
        <is>
          <t>Confirm on formal OEM quote. EDU or enterprise packages may differ.</t>
        </is>
      </c>
      <c r="CH129" s="145" t="inlineStr">
        <is>
          <t>10%</t>
        </is>
      </c>
      <c r="CI129" s="145" t="inlineStr">
        <is>
          <t>17%</t>
        </is>
      </c>
      <c r="CJ129" s="145" t="inlineStr">
        <is>
          <t>24%</t>
        </is>
      </c>
      <c r="CK129" s="149" t="inlineStr">
        <is>
          <t>+1yr ≈10% | +2yr ≈17% | +3yr ≈24% of selected configuration price (parts &amp; labor beyond manufacturer standard).</t>
        </is>
      </c>
      <c r="CL12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29" s="145" t="inlineStr">
        <is>
          <t>12 months manufacturer standard (typical research/commercial humanoid)</t>
        </is>
      </c>
      <c r="CQ129" s="101" t="inlineStr">
        <is>
          <t>Height: 5 ft 9 in | Weight: 143.3 | Degrees of Freedom: 55 | Payload: 55.1 | Max Speed: 1.86 | Battery / Runtime: ≈ 4 hours</t>
        </is>
      </c>
    </row>
    <row r="130" ht="31.5" customHeight="1" s="102">
      <c r="A130" s="152" t="inlineStr">
        <is>
          <t>midea_miro</t>
        </is>
      </c>
      <c r="B130" s="153" t="inlineStr">
        <is>
          <t>Humanoid.guide</t>
        </is>
      </c>
      <c r="C130" s="152" t="inlineStr">
        <is>
          <t>Midea</t>
        </is>
      </c>
      <c r="D130" s="152" t="inlineStr">
        <is>
          <t>MIRO</t>
        </is>
      </c>
      <c r="E130" s="152" t="inlineStr">
        <is>
          <t>[Midea] MIRO (2026)</t>
        </is>
      </c>
      <c r="F130" s="146" t="inlineStr">
        <is>
          <t>humanoid</t>
        </is>
      </c>
      <c r="G130" s="152" t="inlineStr">
        <is>
          <t>China</t>
        </is>
      </c>
      <c r="H130" s="152" t="n"/>
      <c r="I130" s="155" t="n">
        <v>58000</v>
      </c>
      <c r="J130" s="152" t="inlineStr">
        <is>
          <t>Humanoid.guide list</t>
        </is>
      </c>
      <c r="K130" s="156" t="inlineStr">
        <is>
          <t>MIRO is a wheeled humanoid robot developed by Midea, designed for industrial factory automation.</t>
        </is>
      </c>
      <c r="L130" s="101" t="inlineStr">
        <is>
          <t>MIRO is a wheeled humanoid robot developed by Midea, designed for industrial factory automation.</t>
        </is>
      </c>
      <c r="M130" s="101" t="inlineStr">
        <is>
          <t>MIRO is a wheeled humanoid robot developed by Midea, designed for industrial factory automation. Public status is listed as prototype, and it is positioned for industrial automation.</t>
        </is>
      </c>
      <c r="N130" s="157" t="inlineStr">
        <is>
          <t>https://humanoid.guide/product/miro/</t>
        </is>
      </c>
      <c r="O130" s="157" t="inlineStr">
        <is>
          <t>https://www.midea.com</t>
        </is>
      </c>
      <c r="P130" s="152" t="n"/>
      <c r="Q130" s="152" t="n"/>
      <c r="R130" s="152" t="n"/>
      <c r="S130" s="152" t="n"/>
      <c r="T130" s="156" t="inlineStr">
        <is>
          <t>Not disclosed</t>
        </is>
      </c>
      <c r="U130" s="152" t="n"/>
      <c r="V130" s="152" t="inlineStr">
        <is>
          <t>Not disclosed</t>
        </is>
      </c>
      <c r="W130" s="156" t="inlineStr">
        <is>
          <t>Not disclosed</t>
        </is>
      </c>
      <c r="X130" s="152" t="n">
        <v>17.6</v>
      </c>
      <c r="Y130" s="152" t="n">
        <v>8</v>
      </c>
      <c r="Z130" s="152" t="n">
        <v>2.49</v>
      </c>
      <c r="AA130" s="152" t="n">
        <v>4</v>
      </c>
      <c r="AB130" s="152" t="n"/>
      <c r="AC130" s="156" t="inlineStr">
        <is>
          <t>Not disclosed</t>
        </is>
      </c>
      <c r="AD130" s="156" t="n"/>
      <c r="AE130" s="152" t="n"/>
      <c r="AF130" s="152" t="inlineStr">
        <is>
          <t>Not disclosed</t>
        </is>
      </c>
      <c r="AG130" s="156" t="inlineStr">
        <is>
          <t>Not disclosed</t>
        </is>
      </c>
      <c r="AH130" s="152" t="inlineStr">
        <is>
          <t>Not disclosed</t>
        </is>
      </c>
      <c r="AI130" s="158" t="n">
        <v>2</v>
      </c>
      <c r="AJ130" s="156" t="inlineStr">
        <is>
          <t>Proprietary 3D camera (resolution N/A)</t>
        </is>
      </c>
      <c r="AK130" s="156" t="inlineStr">
        <is>
          <t>Proprietary 3D camera (resolution N/A)</t>
        </is>
      </c>
      <c r="AL130" s="152" t="inlineStr">
        <is>
          <t>Not disclosed</t>
        </is>
      </c>
      <c r="AM130" s="152" t="n"/>
      <c r="AN130" s="152" t="inlineStr">
        <is>
          <t>Not disclosed</t>
        </is>
      </c>
      <c r="AO130" s="152" t="inlineStr">
        <is>
          <t>Not disclosed</t>
        </is>
      </c>
      <c r="AP130" s="152" t="inlineStr">
        <is>
          <t>Not disclosed</t>
        </is>
      </c>
      <c r="AQ130" s="152" t="inlineStr">
        <is>
          <t>Not disclosed</t>
        </is>
      </c>
      <c r="AR130" s="152" t="n"/>
      <c r="AS130" s="152" t="n"/>
      <c r="AT130" s="156" t="inlineStr">
        <is>
          <t>Not disclosed</t>
        </is>
      </c>
      <c r="AU130" s="156" t="inlineStr">
        <is>
          <t>Not disclosed</t>
        </is>
      </c>
      <c r="AV130" s="152" t="inlineStr">
        <is>
          <t>Not disclosed</t>
        </is>
      </c>
      <c r="AW130" s="156" t="inlineStr">
        <is>
          <t>Not disclosed</t>
        </is>
      </c>
      <c r="AX130" s="158" t="n">
        <v>2</v>
      </c>
      <c r="AY130" s="156" t="inlineStr">
        <is>
          <t>Not disclosed</t>
        </is>
      </c>
      <c r="AZ130" s="156" t="inlineStr">
        <is>
          <t>Not disclosed</t>
        </is>
      </c>
      <c r="BA130" s="156" t="n"/>
      <c r="BB130" s="156" t="inlineStr">
        <is>
          <t>48 V DC geared motors with encoders</t>
        </is>
      </c>
      <c r="BC130" s="156" t="inlineStr">
        <is>
          <t>Not disclosed</t>
        </is>
      </c>
      <c r="BD130" s="152" t="inlineStr">
        <is>
          <t>Not disclosed</t>
        </is>
      </c>
      <c r="BE130" s="152" t="inlineStr">
        <is>
          <t>Not disclosed</t>
        </is>
      </c>
      <c r="BF130" s="152" t="n"/>
      <c r="BG130" s="152" t="n"/>
      <c r="BH130" s="152" t="n"/>
      <c r="BI130" s="152" t="n"/>
      <c r="BJ130" s="152" t="n"/>
      <c r="BK130" s="152" t="n"/>
      <c r="BL130" s="152" t="n"/>
      <c r="BM130" s="152" t="inlineStr">
        <is>
          <t>Not disclosed</t>
        </is>
      </c>
      <c r="BN130" s="152" t="inlineStr">
        <is>
          <t>Not disclosed</t>
        </is>
      </c>
      <c r="BO130" s="156" t="inlineStr">
        <is>
          <t>Market: Industrial automation · Manipulation 2/4 · Navigation 2/4 · Actuation: 48 V DC geared motors with encoders · Peak 4 km/h</t>
        </is>
      </c>
      <c r="BP130" s="152" t="n"/>
      <c r="BQ130" s="156" t="inlineStr">
        <is>
          <t>Industrial automation</t>
        </is>
      </c>
      <c r="BR130" s="156" t="inlineStr">
        <is>
          <t>Prototype</t>
        </is>
      </c>
      <c r="BS130" s="156" t="inlineStr">
        <is>
          <t>Prototype</t>
        </is>
      </c>
      <c r="BT130" s="152" t="inlineStr">
        <is>
          <t>White/grey (prototype)</t>
        </is>
      </c>
      <c r="BU130" s="152" t="inlineStr">
        <is>
          <t>Not verified</t>
        </is>
      </c>
      <c r="BV130" s="156" t="n"/>
      <c r="BW130" s="156" t="inlineStr">
        <is>
          <t>Origin &amp; status — China · Prototype · 2026 | Manipulation — Payload 17.6 lb | Sensing &amp; software — Proprietary 3D camera (resolution N/A) | Buying notes — From $58,000 · 12 months manufacturer standard (typical research/commercial humanoid) · Best fit: Industrial automation</t>
        </is>
      </c>
      <c r="BX130" s="156" t="inlineStr">
        <is>
          <t>as_shipped|MIRO|58000|As shipped</t>
        </is>
      </c>
      <c r="BY130" s="152" t="inlineStr">
        <is>
          <t>white|White|#e2e8f0|0 || grey_prototype|grey (prototype)|#1e293b|0</t>
        </is>
      </c>
      <c r="BZ130" s="152" t="inlineStr"/>
      <c r="CA130" s="156" t="n"/>
      <c r="CB130" s="156" t="inlineStr">
        <is>
          <t>12 months manufacturer standard (typical research/commercial humanoid)</t>
        </is>
      </c>
      <c r="CC130" s="154" t="n">
        <v>12</v>
      </c>
      <c r="CD130" s="156" t="inlineStr">
        <is>
          <t>+3 Year Extended ≈24% of configuration (default in configurator)</t>
        </is>
      </c>
      <c r="CE130" s="152" t="inlineStr">
        <is>
          <t>Humanoid category norm 2025–2026</t>
        </is>
      </c>
      <c r="CF130" s="152" t="inlineStr">
        <is>
          <t>Estimated</t>
        </is>
      </c>
      <c r="CG130" s="156" t="inlineStr">
        <is>
          <t>Confirm on formal OEM quote. EDU or enterprise packages may differ.</t>
        </is>
      </c>
      <c r="CH130" s="152" t="inlineStr">
        <is>
          <t>10%</t>
        </is>
      </c>
      <c r="CI130" s="152" t="inlineStr">
        <is>
          <t>17%</t>
        </is>
      </c>
      <c r="CJ130" s="152" t="inlineStr">
        <is>
          <t>24%</t>
        </is>
      </c>
      <c r="CK130" s="156" t="inlineStr">
        <is>
          <t>+1yr ≈10% | +2yr ≈17% | +3yr ≈24% of selected configuration price (parts &amp; labor beyond manufacturer standard).</t>
        </is>
      </c>
      <c r="CL130"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30" s="152" t="inlineStr">
        <is>
          <t>12 months manufacturer standard (typical research/commercial humanoid)</t>
        </is>
      </c>
      <c r="CQ130" s="101" t="inlineStr">
        <is>
          <t>Height: Not disclosed | Weight: Not disclosed | Degrees of Freedom: Not disclosed | Payload: 17.6 | Max Speed: 2.49 | Battery / Runtime: Not disclosed</t>
        </is>
      </c>
    </row>
    <row r="131" ht="31.5" customHeight="1" s="102">
      <c r="A131" s="145" t="inlineStr">
        <is>
          <t>mirsee_robotics_mh3</t>
        </is>
      </c>
      <c r="B131" s="153" t="inlineStr">
        <is>
          <t>Humanoid.guide</t>
        </is>
      </c>
      <c r="C131" s="145" t="inlineStr">
        <is>
          <t>Mirsee Robotics</t>
        </is>
      </c>
      <c r="D131" s="145" t="inlineStr">
        <is>
          <t>MH3</t>
        </is>
      </c>
      <c r="E131" s="145" t="inlineStr">
        <is>
          <t>[Mirsee Robotics] MH3 (2026)</t>
        </is>
      </c>
      <c r="F131" s="146" t="inlineStr">
        <is>
          <t>humanoid</t>
        </is>
      </c>
      <c r="G131" s="145" t="inlineStr">
        <is>
          <t>Canada</t>
        </is>
      </c>
      <c r="H131" s="145" t="n"/>
      <c r="I131" s="148" t="n">
        <v>200000</v>
      </c>
      <c r="J131" s="145" t="inlineStr">
        <is>
          <t>Humanoid.guide list</t>
        </is>
      </c>
      <c r="K131" s="149" t="inlineStr">
        <is>
          <t>Mirsee Robotics’ MH3 is a humanoid robot engineered to augment skilled human labor across various industries.</t>
        </is>
      </c>
      <c r="L131" s="101" t="inlineStr">
        <is>
          <t>Mirsee Robotics’ MH3 is a humanoid robot engineered to augment skilled human labor across various industries.</t>
        </is>
      </c>
      <c r="M131" s="101" t="inlineStr">
        <is>
          <t>MH3 is Mirsee Robotics's humanoid, introduced around 2026 in Canada. Mirsee Robotics’ MH3 is a humanoid robot engineered to augment skilled human labor across various industries. Public status is listed as in production, and it is positioned for critical Infrastructure.</t>
        </is>
      </c>
      <c r="N131" s="150" t="inlineStr">
        <is>
          <t>https://humanoid.guide/product/mh3/</t>
        </is>
      </c>
      <c r="O131" s="145" t="inlineStr">
        <is>
          <t>https://www.mirseerobotics.com</t>
        </is>
      </c>
      <c r="P131" s="145" t="inlineStr">
        <is>
          <t>5 ft 11 in</t>
        </is>
      </c>
      <c r="Q131" s="145" t="n">
        <v>180</v>
      </c>
      <c r="R131" s="145" t="n">
        <v>275.6</v>
      </c>
      <c r="S131" s="145" t="n">
        <v>125</v>
      </c>
      <c r="T131" s="149" t="inlineStr">
        <is>
          <t>Not disclosed</t>
        </is>
      </c>
      <c r="U131" s="145" t="n"/>
      <c r="V131" s="145" t="inlineStr">
        <is>
          <t>31</t>
        </is>
      </c>
      <c r="W131" s="149" t="inlineStr">
        <is>
          <t>6</t>
        </is>
      </c>
      <c r="X131" s="145" t="n">
        <v>66.09999999999999</v>
      </c>
      <c r="Y131" s="145" t="n">
        <v>30</v>
      </c>
      <c r="Z131" s="145" t="n">
        <v>3.11</v>
      </c>
      <c r="AA131" s="145" t="n">
        <v>5</v>
      </c>
      <c r="AB131" s="145" t="n"/>
      <c r="AC131" s="149" t="inlineStr">
        <is>
          <t>≈ 10 hours</t>
        </is>
      </c>
      <c r="AD131" s="149" t="inlineStr">
        <is>
          <t>10</t>
        </is>
      </c>
      <c r="AE131" s="145" t="n"/>
      <c r="AF131" s="145" t="inlineStr">
        <is>
          <t>Not disclosed</t>
        </is>
      </c>
      <c r="AG131" s="149" t="inlineStr">
        <is>
          <t>5</t>
        </is>
      </c>
      <c r="AH131" s="145" t="inlineStr">
        <is>
          <t>5</t>
        </is>
      </c>
      <c r="AI131" s="158" t="n">
        <v>2</v>
      </c>
      <c r="AJ131" s="149" t="inlineStr">
        <is>
          <t>12MP</t>
        </is>
      </c>
      <c r="AK131" s="149" t="inlineStr">
        <is>
          <t>12MP</t>
        </is>
      </c>
      <c r="AL131" s="145" t="inlineStr">
        <is>
          <t>Not disclosed</t>
        </is>
      </c>
      <c r="AM131" s="145" t="n"/>
      <c r="AN131" s="145" t="inlineStr">
        <is>
          <t>Not disclosed</t>
        </is>
      </c>
      <c r="AO131" s="145" t="inlineStr">
        <is>
          <t>Not disclosed</t>
        </is>
      </c>
      <c r="AP131" s="145" t="inlineStr">
        <is>
          <t>Not disclosed</t>
        </is>
      </c>
      <c r="AQ131" s="145" t="inlineStr">
        <is>
          <t>Not disclosed</t>
        </is>
      </c>
      <c r="AR131" s="145" t="n"/>
      <c r="AS131" s="145" t="n"/>
      <c r="AT131" s="149" t="inlineStr">
        <is>
          <t>NVIDIA</t>
        </is>
      </c>
      <c r="AU131" s="149" t="inlineStr">
        <is>
          <t>Cellular; Satellite; WiFi</t>
        </is>
      </c>
      <c r="AV131" s="145" t="inlineStr">
        <is>
          <t>Not disclosed</t>
        </is>
      </c>
      <c r="AW131" s="149" t="inlineStr">
        <is>
          <t>Not disclosed</t>
        </is>
      </c>
      <c r="AX131" s="158" t="n">
        <v>2</v>
      </c>
      <c r="AY131" s="149" t="inlineStr">
        <is>
          <t>ROS2</t>
        </is>
      </c>
      <c r="AZ131" s="149" t="inlineStr">
        <is>
          <t>Various</t>
        </is>
      </c>
      <c r="BA131" s="149" t="inlineStr">
        <is>
          <t>Sub-100ms</t>
        </is>
      </c>
      <c r="BB131" s="149" t="inlineStr">
        <is>
          <t>BLDC</t>
        </is>
      </c>
      <c r="BC131" s="149" t="inlineStr">
        <is>
          <t>Harmonic &amp; Planetary</t>
        </is>
      </c>
      <c r="BD131" s="145" t="inlineStr">
        <is>
          <t>Aluminum 6061</t>
        </is>
      </c>
      <c r="BE131" s="145" t="inlineStr">
        <is>
          <t>IP54</t>
        </is>
      </c>
      <c r="BF131" s="145" t="inlineStr">
        <is>
          <t>IP54</t>
        </is>
      </c>
      <c r="BG131" s="145" t="n"/>
      <c r="BH131" s="145" t="n"/>
      <c r="BI131" s="145" t="n"/>
      <c r="BJ131" s="145" t="n"/>
      <c r="BK131" s="145" t="n"/>
      <c r="BL131" s="145" t="n"/>
      <c r="BM131" s="145" t="inlineStr">
        <is>
          <t>Yes</t>
        </is>
      </c>
      <c r="BN131" s="145" t="inlineStr">
        <is>
          <t>Not disclosed</t>
        </is>
      </c>
      <c r="BO131" s="149" t="inlineStr">
        <is>
          <t>Market: Critical Infrastructure · Manipulation 2/4 · Navigation 2/4 · Human-safe: Yes · AI: Various · Actuation: BLDC · Peak 5 km/h · Runtime 10</t>
        </is>
      </c>
      <c r="BP131" s="145" t="n"/>
      <c r="BQ131" s="149" t="inlineStr">
        <is>
          <t>Critical Infrastructure</t>
        </is>
      </c>
      <c r="BR131" s="149" t="inlineStr">
        <is>
          <t>In production</t>
        </is>
      </c>
      <c r="BS131" s="149" t="inlineStr">
        <is>
          <t>In production</t>
        </is>
      </c>
      <c r="BT131" s="145" t="n"/>
      <c r="BU131" s="145" t="inlineStr">
        <is>
          <t>Not verified</t>
        </is>
      </c>
      <c r="BV131" s="149" t="n"/>
      <c r="BW131" s="149" t="inlineStr">
        <is>
          <t>Origin &amp; status — Canada · In production · 2026 | Manipulation — 5 · 5 fingers · Hand DOF 6 · Payload 66.1 lb | Sensing &amp; software — 12MP · Various · ROS2 | Buying notes — From $200,000 · 12 months manufacturer standard (typical research/commercial humanoid) · Best fit: Critical Infrastructure</t>
        </is>
      </c>
      <c r="BX131" s="149" t="inlineStr">
        <is>
          <t>as_shipped|MH3|200000|As shipped</t>
        </is>
      </c>
      <c r="BY131" s="145" t="inlineStr">
        <is>
          <t>mh3|Manufacturer finish|#e2e8f0|0</t>
        </is>
      </c>
      <c r="BZ131" s="145" t="inlineStr"/>
      <c r="CA131" s="149" t="n"/>
      <c r="CB131" s="149" t="inlineStr">
        <is>
          <t>12 months manufacturer standard (typical research/commercial humanoid)</t>
        </is>
      </c>
      <c r="CC131" s="147" t="n">
        <v>12</v>
      </c>
      <c r="CD131" s="149" t="inlineStr">
        <is>
          <t>+3 Year Extended ≈24% of configuration (default in configurator)</t>
        </is>
      </c>
      <c r="CE131" s="145" t="inlineStr">
        <is>
          <t>Humanoid category norm 2025–2026</t>
        </is>
      </c>
      <c r="CF131" s="145" t="inlineStr">
        <is>
          <t>Estimated</t>
        </is>
      </c>
      <c r="CG131" s="149" t="inlineStr">
        <is>
          <t>Confirm on formal OEM quote. EDU or enterprise packages may differ.</t>
        </is>
      </c>
      <c r="CH131" s="145" t="inlineStr">
        <is>
          <t>10%</t>
        </is>
      </c>
      <c r="CI131" s="145" t="inlineStr">
        <is>
          <t>17%</t>
        </is>
      </c>
      <c r="CJ131" s="145" t="inlineStr">
        <is>
          <t>24%</t>
        </is>
      </c>
      <c r="CK131" s="149" t="inlineStr">
        <is>
          <t>+1yr ≈10% | +2yr ≈17% | +3yr ≈24% of selected configuration price (parts &amp; labor beyond manufacturer standard).</t>
        </is>
      </c>
      <c r="CL13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31" s="145" t="inlineStr">
        <is>
          <t>12 months manufacturer standard (typical research/commercial humanoid)</t>
        </is>
      </c>
      <c r="CQ131" s="101" t="inlineStr">
        <is>
          <t>Height: 5 ft 11 in | Weight: 275.6 | Degrees of Freedom: 31 | Payload: 66.1 | Max Speed: 3.11 | Battery / Runtime: ≈ 10 hours</t>
        </is>
      </c>
    </row>
    <row r="132" ht="31.5" customHeight="1" s="102">
      <c r="A132" s="152" t="inlineStr">
        <is>
          <t>moon_dynamics_l1</t>
        </is>
      </c>
      <c r="B132" s="153" t="inlineStr">
        <is>
          <t>Humanoid.guide</t>
        </is>
      </c>
      <c r="C132" s="152" t="inlineStr">
        <is>
          <t>Moon Dynamics</t>
        </is>
      </c>
      <c r="D132" s="152" t="inlineStr">
        <is>
          <t>L1</t>
        </is>
      </c>
      <c r="E132" s="152" t="inlineStr">
        <is>
          <t>[Moon Dynamics] L1 (2026)</t>
        </is>
      </c>
      <c r="F132" s="146" t="inlineStr">
        <is>
          <t>humanoid</t>
        </is>
      </c>
      <c r="G132" s="152" t="inlineStr">
        <is>
          <t>China</t>
        </is>
      </c>
      <c r="H132" s="152" t="n"/>
      <c r="I132" s="155" t="n">
        <v>60000</v>
      </c>
      <c r="J132" s="152" t="inlineStr">
        <is>
          <t>Humanoid.guide list</t>
        </is>
      </c>
      <c r="K132" s="156" t="inlineStr">
        <is>
          <t>The L1 is a heavy-load, wheeled-bipedal humanoid robot from Moon Dynamics, built for warehouses, factories, and industrial parks.</t>
        </is>
      </c>
      <c r="L132" s="101" t="inlineStr">
        <is>
          <t>The L1 is a heavy-load, wheeled-bipedal humanoid robot from Moon Dynamics, built for warehouses, factories, and industrial parks.</t>
        </is>
      </c>
      <c r="M132" s="101" t="inlineStr">
        <is>
          <t>The L1 is a heavy-load, wheeled-bipedal humanoid robot from Moon Dynamics, built for warehouses, factories, and industrial parks. Public status is listed as in production, and it is positioned for industrial; logistics; Manufacturing; Warehouse.</t>
        </is>
      </c>
      <c r="N132" s="157" t="inlineStr">
        <is>
          <t>https://humanoid.guide/product/l1/</t>
        </is>
      </c>
      <c r="O132" s="152" t="inlineStr">
        <is>
          <t>https://www.moondynamics.ai</t>
        </is>
      </c>
      <c r="P132" s="152" t="inlineStr">
        <is>
          <t>5 ft 5 in</t>
        </is>
      </c>
      <c r="Q132" s="152" t="n">
        <v>165</v>
      </c>
      <c r="R132" s="152" t="n">
        <v>132.3</v>
      </c>
      <c r="S132" s="152" t="n">
        <v>60</v>
      </c>
      <c r="T132" s="156" t="inlineStr">
        <is>
          <t>Not disclosed</t>
        </is>
      </c>
      <c r="U132" s="152" t="n"/>
      <c r="V132" s="152" t="inlineStr">
        <is>
          <t>18</t>
        </is>
      </c>
      <c r="W132" s="156" t="inlineStr">
        <is>
          <t>12</t>
        </is>
      </c>
      <c r="X132" s="152" t="n">
        <v>55.1</v>
      </c>
      <c r="Y132" s="152" t="n">
        <v>25</v>
      </c>
      <c r="Z132" s="152" t="n">
        <v>4.35</v>
      </c>
      <c r="AA132" s="152" t="n">
        <v>7</v>
      </c>
      <c r="AB132" s="152" t="n"/>
      <c r="AC132" s="156" t="inlineStr">
        <is>
          <t>≈ 3 hours</t>
        </is>
      </c>
      <c r="AD132" s="156" t="inlineStr">
        <is>
          <t>3</t>
        </is>
      </c>
      <c r="AE132" s="152" t="n"/>
      <c r="AF132" s="152" t="inlineStr">
        <is>
          <t>Not disclosed</t>
        </is>
      </c>
      <c r="AG132" s="156" t="inlineStr">
        <is>
          <t>2-finger gripping claws</t>
        </is>
      </c>
      <c r="AH132" s="152" t="inlineStr">
        <is>
          <t>2-finger gripping claws</t>
        </is>
      </c>
      <c r="AI132" s="152" t="n"/>
      <c r="AJ132" s="156" t="inlineStr">
        <is>
          <t>Not disclosed</t>
        </is>
      </c>
      <c r="AK132" s="156" t="n"/>
      <c r="AL132" s="152" t="inlineStr">
        <is>
          <t>Not disclosed</t>
        </is>
      </c>
      <c r="AM132" s="152" t="n"/>
      <c r="AN132" s="152" t="inlineStr">
        <is>
          <t>Not disclosed</t>
        </is>
      </c>
      <c r="AO132" s="152" t="inlineStr">
        <is>
          <t>Not disclosed</t>
        </is>
      </c>
      <c r="AP132" s="152" t="inlineStr">
        <is>
          <t>Not disclosed</t>
        </is>
      </c>
      <c r="AQ132" s="152" t="inlineStr">
        <is>
          <t>Not disclosed</t>
        </is>
      </c>
      <c r="AR132" s="152" t="n"/>
      <c r="AS132" s="152" t="n"/>
      <c r="AT132" s="156" t="inlineStr">
        <is>
          <t>Not disclosed</t>
        </is>
      </c>
      <c r="AU132" s="156" t="inlineStr">
        <is>
          <t>Not disclosed</t>
        </is>
      </c>
      <c r="AV132" s="152" t="inlineStr">
        <is>
          <t>Not disclosed</t>
        </is>
      </c>
      <c r="AW132" s="156" t="inlineStr">
        <is>
          <t>Not disclosed</t>
        </is>
      </c>
      <c r="AX132" s="152" t="n"/>
      <c r="AY132" s="156" t="inlineStr">
        <is>
          <t>Not disclosed</t>
        </is>
      </c>
      <c r="AZ132" s="156" t="inlineStr">
        <is>
          <t>Not disclosed</t>
        </is>
      </c>
      <c r="BA132" s="156" t="inlineStr">
        <is>
          <t>Millisecond-level</t>
        </is>
      </c>
      <c r="BB132" s="156" t="inlineStr">
        <is>
          <t>Not disclosed</t>
        </is>
      </c>
      <c r="BC132" s="156" t="inlineStr">
        <is>
          <t>Not disclosed</t>
        </is>
      </c>
      <c r="BD132" s="152" t="inlineStr">
        <is>
          <t>Aluminum alloy</t>
        </is>
      </c>
      <c r="BE132" s="152" t="inlineStr">
        <is>
          <t>Not disclosed</t>
        </is>
      </c>
      <c r="BF132" s="152" t="n"/>
      <c r="BG132" s="152" t="n"/>
      <c r="BH132" s="152" t="n"/>
      <c r="BI132" s="152" t="n"/>
      <c r="BJ132" s="152" t="n"/>
      <c r="BK132" s="152" t="n"/>
      <c r="BL132" s="152" t="n"/>
      <c r="BM132" s="152" t="inlineStr">
        <is>
          <t>Yes</t>
        </is>
      </c>
      <c r="BN132" s="152" t="inlineStr">
        <is>
          <t>Not disclosed</t>
        </is>
      </c>
      <c r="BO132" s="156" t="inlineStr">
        <is>
          <t>Market: Industrial; logistics; Manufacturing; Warehouse · Human-safe: Yes · Peak 7 km/h · Runtime 3</t>
        </is>
      </c>
      <c r="BP132" s="152" t="n"/>
      <c r="BQ132" s="156" t="inlineStr">
        <is>
          <t>Industrial; logistics; Manufacturing; Warehouse</t>
        </is>
      </c>
      <c r="BR132" s="156" t="inlineStr">
        <is>
          <t>In production</t>
        </is>
      </c>
      <c r="BS132" s="156" t="inlineStr">
        <is>
          <t>In production</t>
        </is>
      </c>
      <c r="BT132" s="152" t="n"/>
      <c r="BU132" s="152" t="n"/>
      <c r="BV132" s="156" t="n"/>
      <c r="BW132" s="156" t="inlineStr">
        <is>
          <t>Origin &amp; status — China · In production · 2026 | Manipulation — 2-finger gripping claws · Hand DOF 12 · Payload 55.1 lb | Sensing &amp; software — Sensor and compute package confirmed on formal quote | Buying notes — From $60,000 · 12 months manufacturer standard (typical research/commercial humanoid) · Best fit: Industrial</t>
        </is>
      </c>
      <c r="BX132" s="156" t="inlineStr">
        <is>
          <t>as_shipped|L1|60000|As shipped</t>
        </is>
      </c>
      <c r="BY132" s="152" t="inlineStr">
        <is>
          <t>l1|Manufacturer finish|#e2e8f0|0</t>
        </is>
      </c>
      <c r="BZ132" s="152" t="inlineStr"/>
      <c r="CA132" s="156" t="n"/>
      <c r="CB132" s="156" t="inlineStr">
        <is>
          <t>12 months manufacturer standard (typical research/commercial humanoid)</t>
        </is>
      </c>
      <c r="CC132" s="154" t="n">
        <v>12</v>
      </c>
      <c r="CD132" s="156" t="inlineStr">
        <is>
          <t>+3 Year Extended ≈24% of configuration (default in configurator)</t>
        </is>
      </c>
      <c r="CE132" s="152" t="inlineStr">
        <is>
          <t>Humanoid category norm 2025–2026</t>
        </is>
      </c>
      <c r="CF132" s="152" t="inlineStr">
        <is>
          <t>Estimated</t>
        </is>
      </c>
      <c r="CG132" s="156" t="inlineStr">
        <is>
          <t>Confirm on formal OEM quote. EDU or enterprise packages may differ.</t>
        </is>
      </c>
      <c r="CH132" s="152" t="inlineStr">
        <is>
          <t>10%</t>
        </is>
      </c>
      <c r="CI132" s="152" t="inlineStr">
        <is>
          <t>17%</t>
        </is>
      </c>
      <c r="CJ132" s="152" t="inlineStr">
        <is>
          <t>24%</t>
        </is>
      </c>
      <c r="CK132" s="156" t="inlineStr">
        <is>
          <t>+1yr ≈10% | +2yr ≈17% | +3yr ≈24% of selected configuration price (parts &amp; labor beyond manufacturer standard).</t>
        </is>
      </c>
      <c r="CL132"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32" s="152" t="inlineStr">
        <is>
          <t>12 months manufacturer standard (typical research/commercial humanoid)</t>
        </is>
      </c>
      <c r="CQ132" s="101" t="inlineStr">
        <is>
          <t>Height: 5 ft 5 in | Weight: 132.3 | Degrees of Freedom: 18 | Payload: 55.1 | Max Speed: 4.35 | Battery / Runtime: ≈ 3 hours</t>
        </is>
      </c>
    </row>
    <row r="133" ht="31.5" customHeight="1" s="102">
      <c r="A133" s="145" t="inlineStr">
        <is>
          <t>muks_robotics_spaceo_m1</t>
        </is>
      </c>
      <c r="B133" s="153" t="inlineStr">
        <is>
          <t>Humanoid.guide</t>
        </is>
      </c>
      <c r="C133" s="145" t="inlineStr">
        <is>
          <t>Muks Robotics</t>
        </is>
      </c>
      <c r="D133" s="145" t="inlineStr">
        <is>
          <t>Spaceo M1</t>
        </is>
      </c>
      <c r="E133" s="145" t="inlineStr">
        <is>
          <t>[Muks Robotics] Spaceo M1 (2026)</t>
        </is>
      </c>
      <c r="F133" s="146" t="inlineStr">
        <is>
          <t>humanoid</t>
        </is>
      </c>
      <c r="G133" s="145" t="inlineStr">
        <is>
          <t>India</t>
        </is>
      </c>
      <c r="H133" s="145" t="n"/>
      <c r="I133" s="148" t="n">
        <v>11000</v>
      </c>
      <c r="J133" s="145" t="inlineStr">
        <is>
          <t>Humanoid.guide list</t>
        </is>
      </c>
      <c r="K133" s="149" t="inlineStr">
        <is>
          <t>Spaceo M1 is a 167 cm social humanoid from India’s Muks Robotics that rolls at 7 km h, lifts up to 60 kg (100 kg peak) and runs a Linux-based multimodal LLM on board, offering four-plus hours of service for reception, retail and healthcare at a starting price of roughly $11 000.</t>
        </is>
      </c>
      <c r="L133" s="101" t="inlineStr">
        <is>
          <t>Spaceo M1 is a 167 cm social humanoid from India’s Muks Robotics that rolls at 7 km h, lifts up to 60 kg (100 kg peak) and runs a Linux-based multimodal LLM on board, offering four-plus hours of service for reception, retail and healthcare at a starting price of roughly $11 000.</t>
        </is>
      </c>
      <c r="M133" s="101" t="inlineStr">
        <is>
          <t>Spaceo M1 is a 167 cm social humanoid from India’s Muks Robotics that rolls at 7 km h, lifts up to 60 kg (100 kg peak) and runs a Linux-based multimodal LLM on board, offering four-plus hours of service for reception, retail and healthcare at a starting price of roughly $11 000. Public status is listed as in production, and it is positioned for healthcare; Hospitality; retail restocking.</t>
        </is>
      </c>
      <c r="N133" s="150" t="inlineStr">
        <is>
          <t>https://humanoid.guide/product/spaceo-m1/</t>
        </is>
      </c>
      <c r="O133" s="145" t="inlineStr">
        <is>
          <t>https://www.muksrobotics.com</t>
        </is>
      </c>
      <c r="P133" s="145" t="inlineStr">
        <is>
          <t>5 ft 6 in</t>
        </is>
      </c>
      <c r="Q133" s="145" t="n">
        <v>167</v>
      </c>
      <c r="R133" s="145" t="n">
        <v>143.3</v>
      </c>
      <c r="S133" s="145" t="n">
        <v>65</v>
      </c>
      <c r="T133" s="149" t="inlineStr">
        <is>
          <t>Not disclosed</t>
        </is>
      </c>
      <c r="U133" s="145" t="n"/>
      <c r="V133" s="145" t="inlineStr">
        <is>
          <t>16</t>
        </is>
      </c>
      <c r="W133" s="149" t="inlineStr">
        <is>
          <t>Not disclosed</t>
        </is>
      </c>
      <c r="X133" s="145" t="n">
        <v>44.1</v>
      </c>
      <c r="Y133" s="145" t="n">
        <v>20</v>
      </c>
      <c r="Z133" s="145" t="n">
        <v>4.47</v>
      </c>
      <c r="AA133" s="145" t="n">
        <v>7.2</v>
      </c>
      <c r="AB133" s="145" t="n"/>
      <c r="AC133" s="149" t="inlineStr">
        <is>
          <t>≈ 4 hours</t>
        </is>
      </c>
      <c r="AD133" s="149" t="inlineStr">
        <is>
          <t>4</t>
        </is>
      </c>
      <c r="AE133" s="145" t="n"/>
      <c r="AF133" s="145" t="inlineStr">
        <is>
          <t>Not disclosed</t>
        </is>
      </c>
      <c r="AG133" s="149" t="inlineStr">
        <is>
          <t>10</t>
        </is>
      </c>
      <c r="AH133" s="145" t="inlineStr">
        <is>
          <t>10</t>
        </is>
      </c>
      <c r="AI133" s="158" t="n">
        <v>2</v>
      </c>
      <c r="AJ133" s="149" t="inlineStr">
        <is>
          <t>RGB camera (resolution not stated) + 3-D LiDAR</t>
        </is>
      </c>
      <c r="AK133" s="149" t="inlineStr">
        <is>
          <t>RGB camera (resolution not stated) + 3-D LiDAR</t>
        </is>
      </c>
      <c r="AL133" s="145" t="inlineStr">
        <is>
          <t>Not disclosed</t>
        </is>
      </c>
      <c r="AM133" s="145" t="n"/>
      <c r="AN133" s="145" t="inlineStr">
        <is>
          <t>Not disclosed</t>
        </is>
      </c>
      <c r="AO133" s="145" t="inlineStr">
        <is>
          <t>Not disclosed</t>
        </is>
      </c>
      <c r="AP133" s="145" t="inlineStr">
        <is>
          <t>Not disclosed</t>
        </is>
      </c>
      <c r="AQ133" s="145" t="inlineStr">
        <is>
          <t>Not disclosed</t>
        </is>
      </c>
      <c r="AR133" s="145" t="n"/>
      <c r="AS133" s="145" t="n"/>
      <c r="AT133" s="149" t="inlineStr">
        <is>
          <t>Intel Core i5; NVIDIA</t>
        </is>
      </c>
      <c r="AU133" s="149" t="inlineStr">
        <is>
          <t>Bluetooth; OTA updates; WiFi</t>
        </is>
      </c>
      <c r="AV133" s="145" t="inlineStr">
        <is>
          <t>Not disclosed</t>
        </is>
      </c>
      <c r="AW133" s="149" t="inlineStr">
        <is>
          <t>Not disclosed</t>
        </is>
      </c>
      <c r="AX133" s="158" t="n">
        <v>2</v>
      </c>
      <c r="AY133" s="149" t="inlineStr">
        <is>
          <t>Linux; Linux-based FusionMax Omni-Modal AI stack</t>
        </is>
      </c>
      <c r="AZ133" s="149" t="inlineStr">
        <is>
          <t>Yes – on-device multimodal LLM for multilingual dialogu</t>
        </is>
      </c>
      <c r="BA133" s="149" t="inlineStr">
        <is>
          <t>Not specified</t>
        </is>
      </c>
      <c r="BB133" s="149" t="inlineStr">
        <is>
          <t>Electric servo actuators</t>
        </is>
      </c>
      <c r="BC133" s="149" t="inlineStr">
        <is>
          <t>harmonic/cycloidal</t>
        </is>
      </c>
      <c r="BD133" s="145" t="inlineStr">
        <is>
          <t>Aluminium; harmonic/cycloidal</t>
        </is>
      </c>
      <c r="BE133" s="145" t="inlineStr">
        <is>
          <t>Not disclosed</t>
        </is>
      </c>
      <c r="BF133" s="145" t="inlineStr">
        <is>
          <t>Not specified</t>
        </is>
      </c>
      <c r="BG133" s="145" t="n"/>
      <c r="BH133" s="145" t="n"/>
      <c r="BI133" s="145" t="n"/>
      <c r="BJ133" s="145" t="n"/>
      <c r="BK133" s="145" t="n"/>
      <c r="BL133" s="145" t="n"/>
      <c r="BM133" s="145" t="inlineStr">
        <is>
          <t>Yes</t>
        </is>
      </c>
      <c r="BN133" s="145" t="inlineStr">
        <is>
          <t>Not disclosed</t>
        </is>
      </c>
      <c r="BO133" s="149" t="inlineStr">
        <is>
          <t>Market: healthcare; Hospitality; retail restocking · Manipulation 2/4 · Navigation 2/4 · Human-safe: Yes · AI: Yes – on-device multimodal LLM for multilingual dialogu · Actuation: Electric servo actuators · Peak 7.2 km/h · Runtime 4</t>
        </is>
      </c>
      <c r="BP133" s="145" t="n"/>
      <c r="BQ133" s="149" t="inlineStr">
        <is>
          <t>healthcare; Hospitality; retail restocking</t>
        </is>
      </c>
      <c r="BR133" s="149" t="inlineStr">
        <is>
          <t>In production</t>
        </is>
      </c>
      <c r="BS133" s="149" t="inlineStr">
        <is>
          <t>In production</t>
        </is>
      </c>
      <c r="BT133" s="145" t="n"/>
      <c r="BU133" s="145" t="inlineStr">
        <is>
          <t>Not verified</t>
        </is>
      </c>
      <c r="BV133" s="149" t="n"/>
      <c r="BW133" s="149" t="inlineStr">
        <is>
          <t>Origin &amp; status — India · In production · 2026 | Manipulation — 10 · 10 fingers · Payload 44.1 lb | Sensing &amp; software — RGB camera (resolution not stated) + 3-D LiDAR · Yes – on-device multimodal LLM for multilingual dialogu · Linux; Linux-based FusionMax Omni-Modal AI stack | Buying notes — From $11,000 · 12 months manufacturer standard (typical research/commercial humanoid) · Best fit: healthcare</t>
        </is>
      </c>
      <c r="BX133" s="149" t="inlineStr">
        <is>
          <t>as_shipped|Spaceo M1|11000|As shipped</t>
        </is>
      </c>
      <c r="BY133" s="145" t="inlineStr">
        <is>
          <t>spaceo_m1|Manufacturer finish|#e2e8f0|0</t>
        </is>
      </c>
      <c r="BZ133" s="145" t="inlineStr"/>
      <c r="CA133" s="149" t="n"/>
      <c r="CB133" s="149" t="inlineStr">
        <is>
          <t>12 months manufacturer standard (typical research/commercial humanoid)</t>
        </is>
      </c>
      <c r="CC133" s="147" t="n">
        <v>12</v>
      </c>
      <c r="CD133" s="149" t="inlineStr">
        <is>
          <t>+3 Year Extended ≈24% of configuration (default in configurator)</t>
        </is>
      </c>
      <c r="CE133" s="145" t="inlineStr">
        <is>
          <t>Humanoid category norm 2025–2026</t>
        </is>
      </c>
      <c r="CF133" s="145" t="inlineStr">
        <is>
          <t>Estimated</t>
        </is>
      </c>
      <c r="CG133" s="149" t="inlineStr">
        <is>
          <t>Confirm on formal OEM quote. EDU or enterprise packages may differ.</t>
        </is>
      </c>
      <c r="CH133" s="145" t="inlineStr">
        <is>
          <t>10%</t>
        </is>
      </c>
      <c r="CI133" s="145" t="inlineStr">
        <is>
          <t>17%</t>
        </is>
      </c>
      <c r="CJ133" s="145" t="inlineStr">
        <is>
          <t>24%</t>
        </is>
      </c>
      <c r="CK133" s="149" t="inlineStr">
        <is>
          <t>+1yr ≈10% | +2yr ≈17% | +3yr ≈24% of selected configuration price (parts &amp; labor beyond manufacturer standard).</t>
        </is>
      </c>
      <c r="CL133"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33" s="145" t="inlineStr">
        <is>
          <t>12 months manufacturer standard (typical research/commercial humanoid)</t>
        </is>
      </c>
      <c r="CQ133" s="101" t="inlineStr">
        <is>
          <t>Height: 5 ft 6 in | Weight: 143.3 | Degrees of Freedom: 16 | Payload: 44.1 | Max Speed: 4.47 | Battery / Runtime: ≈ 4 hours</t>
        </is>
      </c>
    </row>
    <row r="134" ht="31.5" customHeight="1" s="102">
      <c r="A134" s="152" t="inlineStr">
        <is>
          <t>muks_robotics_spaceo_pro</t>
        </is>
      </c>
      <c r="B134" s="153" t="inlineStr">
        <is>
          <t>Humanoid.guide</t>
        </is>
      </c>
      <c r="C134" s="152" t="inlineStr">
        <is>
          <t>Muks Robotics</t>
        </is>
      </c>
      <c r="D134" s="152" t="inlineStr">
        <is>
          <t>Spaceo Pro</t>
        </is>
      </c>
      <c r="E134" s="152" t="inlineStr">
        <is>
          <t>[Muks Robotics] Spaceo Pro (2026)</t>
        </is>
      </c>
      <c r="F134" s="146" t="inlineStr">
        <is>
          <t>humanoid</t>
        </is>
      </c>
      <c r="G134" s="152" t="inlineStr">
        <is>
          <t>India</t>
        </is>
      </c>
      <c r="H134" s="152" t="n"/>
      <c r="I134" s="155" t="n">
        <v>60000</v>
      </c>
      <c r="J134" s="152" t="inlineStr">
        <is>
          <t>Humanoid.guide list</t>
        </is>
      </c>
      <c r="K134" s="156" t="inlineStr">
        <is>
          <t>Spaceo Pro is an Indian-built industrial humanoid from Muks Robotics, blending a 200 kg payload, 7-DOF arms and FusionMax AI to automate heavy, high-precision tasks across manufacturing and logistics.</t>
        </is>
      </c>
      <c r="L134" s="101" t="inlineStr">
        <is>
          <t>Spaceo Pro is an Indian-built industrial humanoid from Muks Robotics, blending a 200 kg payload, 7-DOF arms and FusionMax AI to automate heavy, high-precision tasks across manufacturing and logistics.</t>
        </is>
      </c>
      <c r="M134" s="101" t="inlineStr">
        <is>
          <t>Spaceo Pro is an Indian-built industrial humanoid from Muks Robotics, blending a 200 kg payload, 7-DOF arms and FusionMax AI to automate heavy, high-precision tasks across manufacturing and logistics. Public status is listed as in production, and it is positioned for industrial automation.</t>
        </is>
      </c>
      <c r="N134" s="157" t="inlineStr">
        <is>
          <t>https://humanoid.guide/product/spaceo-pro/</t>
        </is>
      </c>
      <c r="O134" s="152" t="inlineStr">
        <is>
          <t>https://www.muksrobotics.com</t>
        </is>
      </c>
      <c r="P134" s="152" t="inlineStr">
        <is>
          <t>5 ft 6 in</t>
        </is>
      </c>
      <c r="Q134" s="152" t="n">
        <v>167</v>
      </c>
      <c r="R134" s="152" t="n">
        <v>143.3</v>
      </c>
      <c r="S134" s="152" t="n">
        <v>65</v>
      </c>
      <c r="T134" s="156" t="inlineStr">
        <is>
          <t>Not disclosed</t>
        </is>
      </c>
      <c r="U134" s="152" t="n"/>
      <c r="V134" s="152" t="inlineStr">
        <is>
          <t>20</t>
        </is>
      </c>
      <c r="W134" s="156" t="inlineStr">
        <is>
          <t>7</t>
        </is>
      </c>
      <c r="X134" s="152" t="n">
        <v>11</v>
      </c>
      <c r="Y134" s="152" t="n">
        <v>5</v>
      </c>
      <c r="Z134" s="152" t="n">
        <v>4.47</v>
      </c>
      <c r="AA134" s="152" t="n">
        <v>7.2</v>
      </c>
      <c r="AB134" s="152" t="n"/>
      <c r="AC134" s="156" t="inlineStr">
        <is>
          <t>≈ 4 hours</t>
        </is>
      </c>
      <c r="AD134" s="156" t="inlineStr">
        <is>
          <t>4</t>
        </is>
      </c>
      <c r="AE134" s="152" t="n"/>
      <c r="AF134" s="152" t="inlineStr">
        <is>
          <t>Not disclosed</t>
        </is>
      </c>
      <c r="AG134" s="156" t="inlineStr">
        <is>
          <t>10</t>
        </is>
      </c>
      <c r="AH134" s="152" t="inlineStr">
        <is>
          <t>10</t>
        </is>
      </c>
      <c r="AI134" s="158" t="n">
        <v>2</v>
      </c>
      <c r="AJ134" s="156" t="inlineStr">
        <is>
          <t>Intel RealSense D435i depth camera</t>
        </is>
      </c>
      <c r="AK134" s="156" t="inlineStr">
        <is>
          <t>Intel RealSense D435i depth camera</t>
        </is>
      </c>
      <c r="AL134" s="152" t="inlineStr">
        <is>
          <t>Not disclosed</t>
        </is>
      </c>
      <c r="AM134" s="152" t="n"/>
      <c r="AN134" s="152" t="inlineStr">
        <is>
          <t>Not disclosed</t>
        </is>
      </c>
      <c r="AO134" s="152" t="inlineStr">
        <is>
          <t>Not disclosed</t>
        </is>
      </c>
      <c r="AP134" s="152" t="inlineStr">
        <is>
          <t>Not disclosed</t>
        </is>
      </c>
      <c r="AQ134" s="152" t="inlineStr">
        <is>
          <t>Not disclosed</t>
        </is>
      </c>
      <c r="AR134" s="152" t="n"/>
      <c r="AS134" s="152" t="n"/>
      <c r="AT134" s="156" t="inlineStr">
        <is>
          <t>Intel Core i5; NVIDIA</t>
        </is>
      </c>
      <c r="AU134" s="156" t="inlineStr">
        <is>
          <t>Bluetooth; WiFi</t>
        </is>
      </c>
      <c r="AV134" s="152" t="inlineStr">
        <is>
          <t>Not disclosed</t>
        </is>
      </c>
      <c r="AW134" s="156" t="inlineStr">
        <is>
          <t>Not disclosed</t>
        </is>
      </c>
      <c r="AX134" s="158" t="n">
        <v>2</v>
      </c>
      <c r="AY134" s="156" t="inlineStr">
        <is>
          <t>Custom in‑house OS</t>
        </is>
      </c>
      <c r="AZ134" s="156" t="inlineStr">
        <is>
          <t>FusionMax Omni-Modal AI</t>
        </is>
      </c>
      <c r="BA134" s="156" t="n"/>
      <c r="BB134" s="156" t="inlineStr">
        <is>
          <t>Electric servo actuators</t>
        </is>
      </c>
      <c r="BC134" s="156" t="inlineStr">
        <is>
          <t>Harmonic drive gearboxes in joints</t>
        </is>
      </c>
      <c r="BD134" s="152" t="inlineStr">
        <is>
          <t>Not disclosed</t>
        </is>
      </c>
      <c r="BE134" s="152" t="inlineStr">
        <is>
          <t>Not disclosed</t>
        </is>
      </c>
      <c r="BF134" s="152" t="n"/>
      <c r="BG134" s="152" t="n"/>
      <c r="BH134" s="152" t="n"/>
      <c r="BI134" s="152" t="n"/>
      <c r="BJ134" s="152" t="n"/>
      <c r="BK134" s="152" t="n"/>
      <c r="BL134" s="152" t="n"/>
      <c r="BM134" s="152" t="inlineStr">
        <is>
          <t>Yes</t>
        </is>
      </c>
      <c r="BN134" s="152" t="inlineStr">
        <is>
          <t>Not disclosed</t>
        </is>
      </c>
      <c r="BO134" s="156" t="inlineStr">
        <is>
          <t>Market: Industrial automation · Manipulation 2/4 · Navigation 2/4 · Human-safe: Yes · AI: FusionMax Omni-Modal AI · Actuation: Electric servo actuators · Peak 7.2 km/h · Runtime 4</t>
        </is>
      </c>
      <c r="BP134" s="152" t="n"/>
      <c r="BQ134" s="156" t="inlineStr">
        <is>
          <t>Industrial automation</t>
        </is>
      </c>
      <c r="BR134" s="156" t="inlineStr">
        <is>
          <t>In production</t>
        </is>
      </c>
      <c r="BS134" s="156" t="inlineStr">
        <is>
          <t>In production</t>
        </is>
      </c>
      <c r="BT134" s="152" t="n"/>
      <c r="BU134" s="152" t="inlineStr">
        <is>
          <t>Not verified</t>
        </is>
      </c>
      <c r="BV134" s="156" t="n"/>
      <c r="BW134" s="156" t="inlineStr">
        <is>
          <t>Origin &amp; status — India · In production · 2026 | Manipulation — 10 · 10 fingers · Hand DOF 7 · Payload 11 lb | Sensing &amp; software — Intel RealSense D435i depth camera · FusionMax Omni-Modal AI · Custom in‑house OS | Buying notes — From $60,000 · 12 months manufacturer standard (typical research/commercial humanoid) · Best fit: Industrial automation</t>
        </is>
      </c>
      <c r="BX134" s="156" t="inlineStr">
        <is>
          <t>as_shipped|Spaceo Pro|60000|As shipped</t>
        </is>
      </c>
      <c r="BY134" s="152" t="inlineStr">
        <is>
          <t>spaceo_pro|Manufacturer finish|#e2e8f0|0</t>
        </is>
      </c>
      <c r="BZ134" s="152" t="inlineStr"/>
      <c r="CA134" s="156" t="n"/>
      <c r="CB134" s="156" t="inlineStr">
        <is>
          <t>12 months manufacturer standard (typical research/commercial humanoid)</t>
        </is>
      </c>
      <c r="CC134" s="154" t="n">
        <v>12</v>
      </c>
      <c r="CD134" s="156" t="inlineStr">
        <is>
          <t>+3 Year Extended ≈24% of configuration (default in configurator)</t>
        </is>
      </c>
      <c r="CE134" s="152" t="inlineStr">
        <is>
          <t>Humanoid category norm 2025–2026</t>
        </is>
      </c>
      <c r="CF134" s="152" t="inlineStr">
        <is>
          <t>Estimated</t>
        </is>
      </c>
      <c r="CG134" s="156" t="inlineStr">
        <is>
          <t>Confirm on formal OEM quote. EDU or enterprise packages may differ.</t>
        </is>
      </c>
      <c r="CH134" s="152" t="inlineStr">
        <is>
          <t>10%</t>
        </is>
      </c>
      <c r="CI134" s="152" t="inlineStr">
        <is>
          <t>17%</t>
        </is>
      </c>
      <c r="CJ134" s="152" t="inlineStr">
        <is>
          <t>24%</t>
        </is>
      </c>
      <c r="CK134" s="156" t="inlineStr">
        <is>
          <t>+1yr ≈10% | +2yr ≈17% | +3yr ≈24% of selected configuration price (parts &amp; labor beyond manufacturer standard).</t>
        </is>
      </c>
      <c r="CL134"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34" s="152" t="inlineStr">
        <is>
          <t>12 months manufacturer standard (typical research/commercial humanoid)</t>
        </is>
      </c>
      <c r="CQ134" s="101" t="inlineStr">
        <is>
          <t>Height: 5 ft 6 in | Weight: 143.3 | Degrees of Freedom: 20 | Payload: 11 | Max Speed: 4.47 | Battery / Runtime: ≈ 4 hours</t>
        </is>
      </c>
    </row>
    <row r="135" ht="31.5" customHeight="1" s="102">
      <c r="A135" s="143" t="inlineStr">
        <is>
          <t>naiscorp_robotics_edge_ai_eldercare_comp</t>
        </is>
      </c>
      <c r="B135" s="160" t="inlineStr">
        <is>
          <t>Website</t>
        </is>
      </c>
      <c r="C135" s="145" t="inlineStr">
        <is>
          <t>Naiscorp Robotics</t>
        </is>
      </c>
      <c r="D135" s="145" t="inlineStr">
        <is>
          <t>Edge-AI Eldercare Companion</t>
        </is>
      </c>
      <c r="E135" s="145" t="inlineStr">
        <is>
          <t>[Naiscorp] Edge-AI Eldercare Companion (2026)</t>
        </is>
      </c>
      <c r="F135" s="146" t="inlineStr">
        <is>
          <t>humanoid</t>
        </is>
      </c>
      <c r="G135" s="145" t="inlineStr">
        <is>
          <t>Vietnam</t>
        </is>
      </c>
      <c r="H135" s="147" t="n">
        <v>2026</v>
      </c>
      <c r="I135" s="148" t="n">
        <v>50000</v>
      </c>
      <c r="J135" s="145" t="inlineStr">
        <is>
          <t>Website store</t>
        </is>
      </c>
      <c r="K135" s="149" t="inlineStr">
        <is>
          <t>Edge-AI Eldercare Companion is Naiscorp Robotics's humanoid — Not disclosed DOF. Grippers or dexterous hands depending on configuration; RGB and/or depth cameras for navigation and manipulation (configuration specific).</t>
        </is>
      </c>
      <c r="L135" s="101" t="inlineStr">
        <is>
          <t>Edge-AI Eldercare Companion is Naiscorp Robotics's humanoid — Not disclosed DOF. Grippers or dexterous hands depending on configuration; RGB and/or depth cameras for navigation and manipulation (configuration specific).</t>
        </is>
      </c>
      <c r="M135" s="101" t="inlineStr">
        <is>
          <t>Edge-AI Eldercare Companion is Naiscorp Robotics's humanoid — Not disclosed DOF. Grippers or dexterous hands depending on configuration; RGB and/or depth cameras for navigation and manipulation (configuration specific). Public status is listed as award winner (Qualcomm Vietnam Innovation Challenge $100k), and it is positioned for elder care / Companion.</t>
        </is>
      </c>
      <c r="N135" s="145" t="n"/>
      <c r="O135" s="145" t="inlineStr">
        <is>
          <t>https://naiscorp.com</t>
        </is>
      </c>
      <c r="P135" s="145" t="n"/>
      <c r="Q135" s="145" t="n"/>
      <c r="R135" s="145" t="n"/>
      <c r="S135" s="145" t="n"/>
      <c r="T135" s="149" t="inlineStr">
        <is>
          <t>Not disclosed</t>
        </is>
      </c>
      <c r="U135" s="145" t="n"/>
      <c r="V135" s="145" t="inlineStr">
        <is>
          <t>Not disclosed</t>
        </is>
      </c>
      <c r="W135" s="149" t="inlineStr">
        <is>
          <t>Not disclosed</t>
        </is>
      </c>
      <c r="X135" s="145" t="n"/>
      <c r="Y135" s="145" t="n"/>
      <c r="Z135" s="145" t="n"/>
      <c r="AA135" s="145" t="n"/>
      <c r="AB135" s="145" t="n"/>
      <c r="AC135" s="149" t="inlineStr">
        <is>
          <t>Not disclosed</t>
        </is>
      </c>
      <c r="AD135" s="149" t="n"/>
      <c r="AE135" s="145" t="n"/>
      <c r="AF135" s="145" t="inlineStr">
        <is>
          <t>Not disclosed</t>
        </is>
      </c>
      <c r="AG135" s="149" t="inlineStr">
        <is>
          <t>Grippers or dexterous hands depending on configuration</t>
        </is>
      </c>
      <c r="AH135" s="145" t="inlineStr">
        <is>
          <t>Not disclosed</t>
        </is>
      </c>
      <c r="AI135" s="145" t="n"/>
      <c r="AJ135" s="149" t="inlineStr">
        <is>
          <t>RGB and/or depth cameras for navigation and manipulation (configuration specific)</t>
        </is>
      </c>
      <c r="AK135" s="149" t="n"/>
      <c r="AL135" s="145" t="inlineStr">
        <is>
          <t>Onboard streams for teleoperation and logging when equipped</t>
        </is>
      </c>
      <c r="AM135" s="145" t="n"/>
      <c r="AN135" s="145" t="inlineStr">
        <is>
          <t>Not disclosed</t>
        </is>
      </c>
      <c r="AO135" s="145" t="inlineStr">
        <is>
          <t>Microphone array on interaction-oriented builds</t>
        </is>
      </c>
      <c r="AP135" s="145" t="inlineStr">
        <is>
          <t>Not disclosed</t>
        </is>
      </c>
      <c r="AQ135" s="145" t="inlineStr">
        <is>
          <t>Not disclosed</t>
        </is>
      </c>
      <c r="AR135" s="145" t="n"/>
      <c r="AS135" s="145" t="n"/>
      <c r="AT135" s="149" t="inlineStr">
        <is>
          <t>Not disclosed</t>
        </is>
      </c>
      <c r="AU135" s="149" t="inlineStr">
        <is>
          <t>Not disclosed</t>
        </is>
      </c>
      <c r="AV135" s="145" t="inlineStr">
        <is>
          <t>Manufacturer app and/or SDK</t>
        </is>
      </c>
      <c r="AW135" s="149" t="inlineStr">
        <is>
          <t>Bipedal balance and walking controllers</t>
        </is>
      </c>
      <c r="AX135" s="145" t="n"/>
      <c r="AY135" s="149" t="inlineStr">
        <is>
          <t>Not disclosed</t>
        </is>
      </c>
      <c r="AZ135" s="149" t="inlineStr">
        <is>
          <t>Not disclosed</t>
        </is>
      </c>
      <c r="BA135" s="149" t="n"/>
      <c r="BB135" s="149" t="inlineStr">
        <is>
          <t>Not disclosed</t>
        </is>
      </c>
      <c r="BC135" s="149" t="inlineStr">
        <is>
          <t>Not disclosed</t>
        </is>
      </c>
      <c r="BD135" s="145" t="inlineStr">
        <is>
          <t>Not disclosed</t>
        </is>
      </c>
      <c r="BE135" s="145" t="inlineStr">
        <is>
          <t>Not disclosed</t>
        </is>
      </c>
      <c r="BF135" s="145" t="n"/>
      <c r="BG135" s="145" t="n"/>
      <c r="BH135" s="145" t="n"/>
      <c r="BI135" s="145" t="n"/>
      <c r="BJ135" s="145" t="n"/>
      <c r="BK135" s="145" t="n"/>
      <c r="BL135" s="145" t="n"/>
      <c r="BM135" s="145" t="inlineStr">
        <is>
          <t>Not disclosed</t>
        </is>
      </c>
      <c r="BN135" s="145" t="inlineStr">
        <is>
          <t>Not disclosed</t>
        </is>
      </c>
      <c r="BO135" s="149" t="inlineStr">
        <is>
          <t>Market: Elder care / Companion · The Edge-AI Eldercare Companion is a bipedal humanoid robot from Naiscorp Robotics, associated with development and availability timelines around 2026.</t>
        </is>
      </c>
      <c r="BP135" s="145" t="n"/>
      <c r="BQ135" s="149" t="inlineStr">
        <is>
          <t>Elder care / Companion</t>
        </is>
      </c>
      <c r="BR135" s="149" t="inlineStr">
        <is>
          <t>Award winner (Qualcomm Vietnam Innovation Challenge $100k)</t>
        </is>
      </c>
      <c r="BS135" s="149" t="n"/>
      <c r="BT135" s="145" t="n"/>
      <c r="BU135" s="145" t="n"/>
      <c r="BV135" s="149" t="inlineStr">
        <is>
          <t>Top prize focus on elderly care</t>
        </is>
      </c>
      <c r="BW135" s="149" t="inlineStr">
        <is>
          <t>Origin &amp; status — Vietnam · Award winner (Qualcomm Vietnam Innovation Challenge $100k) · 2026 | Manipulation — Grippers or dexterous hands depending on configuration | Sensing &amp; software — RGB and/or depth cameras for navigation and manipulation (configuration specific) · Manufacturer app and/or SDK | Buying notes — From $50,000 · 12 months manufacturer standard (typical research/commercial humanoid) · Best fit: Elder care</t>
        </is>
      </c>
      <c r="BX135" s="149" t="inlineStr">
        <is>
          <t>as_shipped|Edge-AI Eldercare Companion|50000|As shipped</t>
        </is>
      </c>
      <c r="BY135" s="145" t="inlineStr">
        <is>
          <t>edge_ai_eldercare_co|Manufacturer finish|#e2e8f0|0</t>
        </is>
      </c>
      <c r="BZ135" s="145" t="inlineStr"/>
      <c r="CA135" s="149" t="inlineStr">
        <is>
          <t>Add-ons: case; 2 color options; Multi-year extended warranty available</t>
        </is>
      </c>
      <c r="CB135" s="149" t="inlineStr">
        <is>
          <t>12 months manufacturer standard (typical research/commercial humanoid)</t>
        </is>
      </c>
      <c r="CC135" s="147" t="n">
        <v>12</v>
      </c>
      <c r="CD135" s="149" t="inlineStr">
        <is>
          <t>+3 Year Extended ≈24% of configuration (default in configurator)</t>
        </is>
      </c>
      <c r="CE135" s="145" t="inlineStr">
        <is>
          <t>Humanoid category norm 2025–2026</t>
        </is>
      </c>
      <c r="CF135" s="145" t="inlineStr">
        <is>
          <t>Estimated</t>
        </is>
      </c>
      <c r="CG135" s="149" t="inlineStr">
        <is>
          <t>EDU or enterprise packages may differ; confirm on formal quote.</t>
        </is>
      </c>
      <c r="CH135" s="145" t="inlineStr">
        <is>
          <t>10%</t>
        </is>
      </c>
      <c r="CI135" s="145" t="inlineStr">
        <is>
          <t>17%</t>
        </is>
      </c>
      <c r="CJ135" s="145" t="inlineStr">
        <is>
          <t>24%</t>
        </is>
      </c>
      <c r="CK13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13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35" s="145" t="inlineStr">
        <is>
          <t>12 months manufacturer standard (typical research/commercial humanoid)</t>
        </is>
      </c>
      <c r="CQ135" s="101" t="inlineStr">
        <is>
          <t>Height: Not disclosed | Weight: Not disclosed | Degrees of Freedom: Not disclosed | Payload: Not disclosed | Max Speed: Not disclosed | Battery / Runtime: Not disclosed</t>
        </is>
      </c>
    </row>
    <row r="136" ht="31.5" customHeight="1" s="102">
      <c r="A136" s="152" t="inlineStr">
        <is>
          <t>naver_labs_ambidex</t>
        </is>
      </c>
      <c r="B136" s="153" t="inlineStr">
        <is>
          <t>Humanoid.guide</t>
        </is>
      </c>
      <c r="C136" s="152" t="inlineStr">
        <is>
          <t>Naver Labs</t>
        </is>
      </c>
      <c r="D136" s="152" t="inlineStr">
        <is>
          <t>Ambidex</t>
        </is>
      </c>
      <c r="E136" s="152" t="inlineStr">
        <is>
          <t>[Naver Labs] Ambidex (2026)</t>
        </is>
      </c>
      <c r="F136" s="146" t="inlineStr">
        <is>
          <t>humanoid</t>
        </is>
      </c>
      <c r="G136" s="152" t="inlineStr">
        <is>
          <t>South Korea</t>
        </is>
      </c>
      <c r="H136" s="152" t="n"/>
      <c r="I136" s="155" t="n">
        <v>100000</v>
      </c>
      <c r="J136" s="152" t="inlineStr">
        <is>
          <t>Humanoid.guide list</t>
        </is>
      </c>
      <c r="K136" s="156" t="inlineStr">
        <is>
          <t>Ambidex by Naver Labs is a versatile, lightweight robot designed for precision and safe human collaboration.</t>
        </is>
      </c>
      <c r="L136" s="101" t="inlineStr">
        <is>
          <t>Ambidex by Naver Labs is a versatile, lightweight robot designed for precision and safe human collaboration.</t>
        </is>
      </c>
      <c r="M136" s="101" t="inlineStr">
        <is>
          <t>Ambidex by Naver Labs is a versatile, lightweight robot designed for precision and safe human collaboration. Public status is listed as in production.</t>
        </is>
      </c>
      <c r="N136" s="157" t="inlineStr">
        <is>
          <t>https://humanoid.guide/product/ambidex/</t>
        </is>
      </c>
      <c r="O136" s="157" t="inlineStr">
        <is>
          <t>https://www.naverlabs.com</t>
        </is>
      </c>
      <c r="P136" s="152" t="inlineStr">
        <is>
          <t>6 ft 1 in</t>
        </is>
      </c>
      <c r="Q136" s="152" t="n">
        <v>186</v>
      </c>
      <c r="R136" s="152" t="n"/>
      <c r="S136" s="152" t="n"/>
      <c r="T136" s="156" t="inlineStr">
        <is>
          <t>Not disclosed</t>
        </is>
      </c>
      <c r="U136" s="152" t="n"/>
      <c r="V136" s="152" t="inlineStr">
        <is>
          <t>47</t>
        </is>
      </c>
      <c r="W136" s="156" t="inlineStr">
        <is>
          <t>Not disclosed</t>
        </is>
      </c>
      <c r="X136" s="152" t="n">
        <v>13.2</v>
      </c>
      <c r="Y136" s="152" t="n">
        <v>6</v>
      </c>
      <c r="Z136" s="152" t="n">
        <v>2.24</v>
      </c>
      <c r="AA136" s="152" t="n">
        <v>3.6</v>
      </c>
      <c r="AB136" s="152" t="n"/>
      <c r="AC136" s="156" t="inlineStr">
        <is>
          <t>≈ 8 hours</t>
        </is>
      </c>
      <c r="AD136" s="156" t="inlineStr">
        <is>
          <t>8</t>
        </is>
      </c>
      <c r="AE136" s="152" t="n"/>
      <c r="AF136" s="152" t="inlineStr">
        <is>
          <t>Not disclosed</t>
        </is>
      </c>
      <c r="AG136" s="156" t="inlineStr">
        <is>
          <t>Not disclosed</t>
        </is>
      </c>
      <c r="AH136" s="152" t="inlineStr">
        <is>
          <t>Not disclosed</t>
        </is>
      </c>
      <c r="AI136" s="158" t="n">
        <v>2</v>
      </c>
      <c r="AJ136" s="156" t="inlineStr">
        <is>
          <t>Not disclosed</t>
        </is>
      </c>
      <c r="AK136" s="156" t="n"/>
      <c r="AL136" s="152" t="inlineStr">
        <is>
          <t>Not disclosed</t>
        </is>
      </c>
      <c r="AM136" s="152" t="n"/>
      <c r="AN136" s="152" t="inlineStr">
        <is>
          <t>Not disclosed</t>
        </is>
      </c>
      <c r="AO136" s="152" t="inlineStr">
        <is>
          <t>Not disclosed</t>
        </is>
      </c>
      <c r="AP136" s="152" t="inlineStr">
        <is>
          <t>Not disclosed</t>
        </is>
      </c>
      <c r="AQ136" s="152" t="inlineStr">
        <is>
          <t>Not disclosed</t>
        </is>
      </c>
      <c r="AR136" s="152" t="n"/>
      <c r="AS136" s="152" t="n"/>
      <c r="AT136" s="156" t="inlineStr">
        <is>
          <t>Not disclosed</t>
        </is>
      </c>
      <c r="AU136" s="156" t="inlineStr">
        <is>
          <t>Not disclosed</t>
        </is>
      </c>
      <c r="AV136" s="152" t="inlineStr">
        <is>
          <t>Not disclosed</t>
        </is>
      </c>
      <c r="AW136" s="156" t="inlineStr">
        <is>
          <t>Not disclosed</t>
        </is>
      </c>
      <c r="AX136" s="158" t="n">
        <v>2</v>
      </c>
      <c r="AY136" s="156" t="inlineStr">
        <is>
          <t>Not disclosed</t>
        </is>
      </c>
      <c r="AZ136" s="156" t="inlineStr">
        <is>
          <t>Not disclosed</t>
        </is>
      </c>
      <c r="BA136" s="156" t="n"/>
      <c r="BB136" s="156" t="inlineStr">
        <is>
          <t>Not disclosed</t>
        </is>
      </c>
      <c r="BC136" s="156" t="inlineStr">
        <is>
          <t>Not disclosed</t>
        </is>
      </c>
      <c r="BD136" s="152" t="inlineStr">
        <is>
          <t>Not disclosed</t>
        </is>
      </c>
      <c r="BE136" s="152" t="inlineStr">
        <is>
          <t>Not disclosed</t>
        </is>
      </c>
      <c r="BF136" s="152" t="n"/>
      <c r="BG136" s="152" t="n"/>
      <c r="BH136" s="152" t="n"/>
      <c r="BI136" s="152" t="n"/>
      <c r="BJ136" s="152" t="n"/>
      <c r="BK136" s="152" t="n"/>
      <c r="BL136" s="152" t="n"/>
      <c r="BM136" s="152" t="inlineStr">
        <is>
          <t>Not disclosed</t>
        </is>
      </c>
      <c r="BN136" s="152" t="inlineStr">
        <is>
          <t>Not disclosed</t>
        </is>
      </c>
      <c r="BO136" s="156" t="inlineStr">
        <is>
          <t>Manipulation 2/4 · Navigation 2/4 · Peak 3.6 km/h · Runtime 8</t>
        </is>
      </c>
      <c r="BP136" s="152" t="n"/>
      <c r="BQ136" s="156" t="inlineStr">
        <is>
          <t>Research labs, commercial pilots, and education programs evaluating a humanoid from Naver Labs (South Korea).</t>
        </is>
      </c>
      <c r="BR136" s="156" t="inlineStr">
        <is>
          <t>In production</t>
        </is>
      </c>
      <c r="BS136" s="156" t="inlineStr">
        <is>
          <t>In production</t>
        </is>
      </c>
      <c r="BT136" s="152" t="n"/>
      <c r="BU136" s="152" t="inlineStr">
        <is>
          <t>Not verified</t>
        </is>
      </c>
      <c r="BV136" s="156" t="n"/>
      <c r="BW136" s="156" t="inlineStr">
        <is>
          <t>Origin &amp; status — South Korea · In production · 2026 | Manipulation — Payload 13.2 lb | Sensing &amp; software — Sensor and compute package confirmed on formal quote | Buying notes — From $100,000 · 12 months manufacturer standard (typical research/commercial humanoid)</t>
        </is>
      </c>
      <c r="BX136" s="156" t="inlineStr">
        <is>
          <t>as_shipped|Ambidex|100000|As shipped</t>
        </is>
      </c>
      <c r="BY136" s="152" t="inlineStr">
        <is>
          <t>ambidex|Manufacturer finish|#e2e8f0|0</t>
        </is>
      </c>
      <c r="BZ136" s="152" t="inlineStr"/>
      <c r="CA136" s="156" t="n"/>
      <c r="CB136" s="156" t="inlineStr">
        <is>
          <t>12 months manufacturer standard (typical research/commercial humanoid)</t>
        </is>
      </c>
      <c r="CC136" s="154" t="n">
        <v>12</v>
      </c>
      <c r="CD136" s="156" t="inlineStr">
        <is>
          <t>+3 Year Extended ≈24% of configuration (default in configurator)</t>
        </is>
      </c>
      <c r="CE136" s="152" t="inlineStr">
        <is>
          <t>Humanoid category norm 2025–2026</t>
        </is>
      </c>
      <c r="CF136" s="152" t="inlineStr">
        <is>
          <t>Estimated</t>
        </is>
      </c>
      <c r="CG136" s="156" t="inlineStr">
        <is>
          <t>Confirm on formal OEM quote. EDU or enterprise packages may differ.</t>
        </is>
      </c>
      <c r="CH136" s="152" t="inlineStr">
        <is>
          <t>10%</t>
        </is>
      </c>
      <c r="CI136" s="152" t="inlineStr">
        <is>
          <t>17%</t>
        </is>
      </c>
      <c r="CJ136" s="152" t="inlineStr">
        <is>
          <t>24%</t>
        </is>
      </c>
      <c r="CK136" s="156" t="inlineStr">
        <is>
          <t>+1yr ≈10% | +2yr ≈17% | +3yr ≈24% of selected configuration price (parts &amp; labor beyond manufacturer standard).</t>
        </is>
      </c>
      <c r="CL136"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36" s="152" t="inlineStr">
        <is>
          <t>12 months manufacturer standard (typical research/commercial humanoid)</t>
        </is>
      </c>
      <c r="CQ136" s="101" t="inlineStr">
        <is>
          <t>Height: 6 ft 1 in | Weight: Not disclosed | Degrees of Freedom: 47 | Payload: 13.2 | Max Speed: 2.24 | Battery / Runtime: ≈ 8 hours</t>
        </is>
      </c>
    </row>
    <row r="137" ht="31.5" customHeight="1" s="102">
      <c r="A137" s="143" t="inlineStr">
        <is>
          <t>fourne1mini</t>
        </is>
      </c>
      <c r="B137" s="144" t="inlineStr">
        <is>
          <t>Both</t>
        </is>
      </c>
      <c r="C137" s="145" t="inlineStr">
        <is>
          <t>Neura Robotics</t>
        </is>
      </c>
      <c r="D137" s="145" t="inlineStr">
        <is>
          <t>4NE-1</t>
        </is>
      </c>
      <c r="E137" s="145" t="inlineStr">
        <is>
          <t>[Neura] 4NE-1 Mini (2026)</t>
        </is>
      </c>
      <c r="F137" s="146" t="inlineStr">
        <is>
          <t>humanoid</t>
        </is>
      </c>
      <c r="G137" s="145" t="inlineStr">
        <is>
          <t>Germany</t>
        </is>
      </c>
      <c r="H137" s="147" t="n">
        <v>2026</v>
      </c>
      <c r="I137" s="148" t="n">
        <v>23100</v>
      </c>
      <c r="J137" s="145" t="inlineStr">
        <is>
          <t>Robot Price Index Aug 2026 · Gen 3.5 entry</t>
        </is>
      </c>
      <c r="K137" s="149" t="inlineStr">
        <is>
          <t>The 4NE-1 humanoid robot by NEURA Robotics excels in cognitive robotics with advanced AI and adaptable capabilities for industrial and domestic applications.</t>
        </is>
      </c>
      <c r="L137" s="101" t="inlineStr">
        <is>
          <t>The 4NE-1 humanoid robot by NEURA Robotics excels in cognitive robotics with advanced AI and adaptable capabilities for industrial and domestic applications.</t>
        </is>
      </c>
      <c r="M137" s="101" t="inlineStr">
        <is>
          <t>4NE-1 Mini is Neura Robotics's humanoid, introduced around 2026 in Germany. The 4NE-1 humanoid robot by NEURA Robotics excels in cognitive robotics with advanced AI and adaptable capabilities for industrial and domestic applications. Public status is listed as prototype.</t>
        </is>
      </c>
      <c r="N137" s="150" t="inlineStr">
        <is>
          <t>https://humanoid.guide/product/4ne-1/</t>
        </is>
      </c>
      <c r="O137" s="150" t="inlineStr">
        <is>
          <t>https://neura-robotics.com</t>
        </is>
      </c>
      <c r="P137" s="145" t="inlineStr">
        <is>
          <t>≈ 4 ft 4 in</t>
        </is>
      </c>
      <c r="Q137" s="145" t="n">
        <v>180</v>
      </c>
      <c r="R137" s="145" t="n">
        <v>176.4</v>
      </c>
      <c r="S137" s="145" t="n">
        <v>80</v>
      </c>
      <c r="T137" s="149" t="inlineStr">
        <is>
          <t>Not disclosed</t>
        </is>
      </c>
      <c r="U137" s="145" t="n"/>
      <c r="V137" s="145" t="inlineStr">
        <is>
          <t>≈ 25</t>
        </is>
      </c>
      <c r="W137" s="149" t="inlineStr">
        <is>
          <t>Not disclosed</t>
        </is>
      </c>
      <c r="X137" s="145" t="n">
        <v>33.1</v>
      </c>
      <c r="Y137" s="145" t="n">
        <v>15</v>
      </c>
      <c r="Z137" s="145" t="n">
        <v>2.49</v>
      </c>
      <c r="AA137" s="145" t="n">
        <v>4</v>
      </c>
      <c r="AB137" s="145" t="n">
        <v>3</v>
      </c>
      <c r="AC137" s="149" t="inlineStr">
        <is>
          <t>≈ 2.5 h class</t>
        </is>
      </c>
      <c r="AD137" s="149" t="inlineStr">
        <is>
          <t>2</t>
        </is>
      </c>
      <c r="AE137" s="145" t="n"/>
      <c r="AF137" s="145" t="inlineStr">
        <is>
          <t>Not disclosed</t>
        </is>
      </c>
      <c r="AG137" s="149" t="inlineStr">
        <is>
          <t>Not disclosed</t>
        </is>
      </c>
      <c r="AH137" s="145" t="inlineStr">
        <is>
          <t>Not disclosed</t>
        </is>
      </c>
      <c r="AI137" s="158" t="n">
        <v>2</v>
      </c>
      <c r="AJ137" s="149" t="inlineStr">
        <is>
          <t>Cognitive robotics vision stack (Neura)</t>
        </is>
      </c>
      <c r="AK137" s="149" t="n"/>
      <c r="AL137" s="145" t="inlineStr">
        <is>
          <t>Not disclosed</t>
        </is>
      </c>
      <c r="AM137" s="145" t="n"/>
      <c r="AN137" s="145" t="inlineStr">
        <is>
          <t>Not disclosed</t>
        </is>
      </c>
      <c r="AO137" s="145" t="inlineStr">
        <is>
          <t>Voice and interaction sensors</t>
        </is>
      </c>
      <c r="AP137" s="145" t="inlineStr">
        <is>
          <t>Not disclosed</t>
        </is>
      </c>
      <c r="AQ137" s="145" t="inlineStr">
        <is>
          <t>Not disclosed</t>
        </is>
      </c>
      <c r="AR137" s="145" t="n"/>
      <c r="AS137" s="145" t="n"/>
      <c r="AT137" s="149" t="inlineStr">
        <is>
          <t>Not disclosed</t>
        </is>
      </c>
      <c r="AU137" s="149" t="inlineStr">
        <is>
          <t>Not disclosed</t>
        </is>
      </c>
      <c r="AV137" s="145" t="inlineStr">
        <is>
          <t>Neura cognitive software environment</t>
        </is>
      </c>
      <c r="AW137" s="149" t="inlineStr">
        <is>
          <t>Compact humanoid mobility for research and pilot sites</t>
        </is>
      </c>
      <c r="AX137" s="158" t="n">
        <v>2</v>
      </c>
      <c r="AY137" s="149" t="inlineStr">
        <is>
          <t>Not disclosed</t>
        </is>
      </c>
      <c r="AZ137" s="149" t="inlineStr">
        <is>
          <t>Not disclosed</t>
        </is>
      </c>
      <c r="BA137" s="149" t="n"/>
      <c r="BB137" s="149" t="inlineStr">
        <is>
          <t>Not disclosed</t>
        </is>
      </c>
      <c r="BC137" s="149" t="inlineStr">
        <is>
          <t>Not disclosed</t>
        </is>
      </c>
      <c r="BD137" s="145" t="inlineStr">
        <is>
          <t>Not disclosed</t>
        </is>
      </c>
      <c r="BE137" s="145" t="inlineStr">
        <is>
          <t>Not disclosed</t>
        </is>
      </c>
      <c r="BF137" s="145" t="n"/>
      <c r="BG137" s="145" t="n"/>
      <c r="BH137" s="145" t="n"/>
      <c r="BI137" s="145" t="n"/>
      <c r="BJ137" s="145" t="n"/>
      <c r="BK137" s="145" t="n"/>
      <c r="BL137" s="145" t="n"/>
      <c r="BM137" s="145" t="inlineStr">
        <is>
          <t>Not disclosed</t>
        </is>
      </c>
      <c r="BN137" s="145" t="inlineStr">
        <is>
          <t>Not disclosed</t>
        </is>
      </c>
      <c r="BO137" s="149" t="inlineStr">
        <is>
          <t>Manipulation 2/4 · Navigation 2/4 · Peak 4 km/h · Walk 3 km/h · Runtime 2</t>
        </is>
      </c>
      <c r="BP137" s="145" t="n"/>
      <c r="BQ137" s="149" t="inlineStr">
        <is>
          <t>European education and research buyers, and teams wanting a Western cognitive humanoid at a more accessible size and price.</t>
        </is>
      </c>
      <c r="BR137" s="149" t="inlineStr">
        <is>
          <t>Prototype</t>
        </is>
      </c>
      <c r="BS137" s="149" t="inlineStr">
        <is>
          <t>Prototype</t>
        </is>
      </c>
      <c r="BT137" s="145" t="n"/>
      <c r="BU137" s="145" t="inlineStr">
        <is>
          <t>Not verified</t>
        </is>
      </c>
      <c r="BV137" s="149" t="inlineStr">
        <is>
          <t>Humanoid.guide listed price $200,000.</t>
        </is>
      </c>
      <c r="BW137" s="149" t="inlineStr">
        <is>
          <t>Origin &amp; status — Germany · Prototype · 2026 | Manipulation — Payload ≈ 6.6 lb | Sensing &amp; software — Cognitive robotics vision stack (Neura) · Neura cognitive software environment | Buying notes — From $23,100 · 12 months manufacturer standard (typical research/commercial humanoid)</t>
        </is>
      </c>
      <c r="BX137" s="149" t="inlineStr">
        <is>
          <t>std|4NE-1 Mini Standard|23100|Core education / research || pro|4NE-1 Mini Pro|34800|Higher capability Pro</t>
        </is>
      </c>
      <c r="BY137" s="145" t="inlineStr">
        <is>
          <t>white|European White|#f8fafc|0 || gray|Studio Gray|#94a3b8|0</t>
        </is>
      </c>
      <c r="BZ137" s="145" t="inlineStr">
        <is>
          <t>case, warranty_neura</t>
        </is>
      </c>
      <c r="CA137" s="149" t="inlineStr">
        <is>
          <t>2 configuration tiers; Add-ons: case; 2 color options; Multi-year extended warranty available</t>
        </is>
      </c>
      <c r="CB137" s="149" t="inlineStr">
        <is>
          <t>12 months manufacturer standard (typical research/commercial humanoid)</t>
        </is>
      </c>
      <c r="CC137" s="147" t="n">
        <v>12</v>
      </c>
      <c r="CD137" s="149" t="inlineStr">
        <is>
          <t>+3 Year Extended ≈24% of configuration (default in configurator)</t>
        </is>
      </c>
      <c r="CE137" s="145" t="inlineStr">
        <is>
          <t>Humanoid category norm 2025–2026</t>
        </is>
      </c>
      <c r="CF137" s="145" t="inlineStr">
        <is>
          <t>Estimated</t>
        </is>
      </c>
      <c r="CG137" s="149" t="inlineStr">
        <is>
          <t>EDU or enterprise packages may differ; confirm on formal quote.</t>
        </is>
      </c>
      <c r="CH137" s="145" t="inlineStr">
        <is>
          <t>10%</t>
        </is>
      </c>
      <c r="CI137" s="145" t="inlineStr">
        <is>
          <t>17%</t>
        </is>
      </c>
      <c r="CJ137" s="145" t="inlineStr">
        <is>
          <t>24%</t>
        </is>
      </c>
      <c r="CK137"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137"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37" s="145" t="inlineStr">
        <is>
          <t>12 months manufacturer standard (typical research/commercial humanoid)</t>
        </is>
      </c>
      <c r="CQ137" s="101" t="inlineStr">
        <is>
          <t>Height: ≈ 4 ft 4 in | Weight: 176.4 | Degrees of Freedom: ≈ 25 | Payload: 33.1 | Max Speed: 2.49 | Battery / Runtime: ≈ 2.5 h class</t>
        </is>
      </c>
    </row>
    <row r="138" ht="31.5" customHeight="1" s="102">
      <c r="A138" s="152" t="inlineStr">
        <is>
          <t>neura_robotics_4ne1</t>
        </is>
      </c>
      <c r="B138" s="153" t="inlineStr">
        <is>
          <t>Humanoid.guide</t>
        </is>
      </c>
      <c r="C138" s="152" t="inlineStr">
        <is>
          <t>NEURA Robotics</t>
        </is>
      </c>
      <c r="D138" s="152" t="inlineStr">
        <is>
          <t>4NE1</t>
        </is>
      </c>
      <c r="E138" s="152" t="inlineStr">
        <is>
          <t>[NEURA Robotics] 4NE1 (2026)</t>
        </is>
      </c>
      <c r="F138" s="146" t="inlineStr">
        <is>
          <t>humanoid</t>
        </is>
      </c>
      <c r="G138" s="152" t="inlineStr">
        <is>
          <t>Germany</t>
        </is>
      </c>
      <c r="H138" s="152" t="n"/>
      <c r="I138" s="155" t="n">
        <v>114500</v>
      </c>
      <c r="J138" s="152" t="inlineStr">
        <is>
          <t>Humanoid.guide list</t>
        </is>
      </c>
      <c r="K138" s="156" t="inlineStr">
        <is>
          <t>4NE1 is a cognitive humanoid robot developed by NEURA Robotics in Germany. It pairs human-like form and perception with advanced AI to collaborate safely with people across work and life.</t>
        </is>
      </c>
      <c r="L138" s="101" t="inlineStr">
        <is>
          <t>4NE1 is a cognitive humanoid robot developed by NEURA Robotics in Germany. It pairs human-like form and perception with advanced AI to collaborate safely with people across work and life.</t>
        </is>
      </c>
      <c r="M138" s="101" t="inlineStr">
        <is>
          <t>4NE1 is a cognitive humanoid robot developed by NEURA Robotics in Germany. It pairs human-like form and perception with advanced AI to collaborate safely with people across work and life. Public status is listed as early production / limited release, and it is positioned for everyday tasks; Industrial automation; services.</t>
        </is>
      </c>
      <c r="N138" s="157" t="inlineStr">
        <is>
          <t>https://humanoid.guide/product/4ne1/</t>
        </is>
      </c>
      <c r="O138" s="157" t="inlineStr">
        <is>
          <t>https://neura-robotics.com</t>
        </is>
      </c>
      <c r="P138" s="152" t="inlineStr">
        <is>
          <t>5 ft 11 in</t>
        </is>
      </c>
      <c r="Q138" s="152" t="n">
        <v>180</v>
      </c>
      <c r="R138" s="152" t="n">
        <v>176.4</v>
      </c>
      <c r="S138" s="152" t="n">
        <v>80</v>
      </c>
      <c r="T138" s="156" t="inlineStr">
        <is>
          <t>Not disclosed</t>
        </is>
      </c>
      <c r="U138" s="152" t="n"/>
      <c r="V138" s="152" t="inlineStr">
        <is>
          <t>Not officially published (estimate ~40–60)</t>
        </is>
      </c>
      <c r="W138" s="156" t="inlineStr">
        <is>
          <t>Not specified (likely ≥5 per hand)</t>
        </is>
      </c>
      <c r="X138" s="152" t="n">
        <v>33.1</v>
      </c>
      <c r="Y138" s="152" t="n">
        <v>15</v>
      </c>
      <c r="Z138" s="152" t="n">
        <v>3.11</v>
      </c>
      <c r="AA138" s="152" t="n">
        <v>5</v>
      </c>
      <c r="AB138" s="152" t="n">
        <v>5</v>
      </c>
      <c r="AC138" s="156" t="inlineStr">
        <is>
          <t>~6–8</t>
        </is>
      </c>
      <c r="AD138" s="156" t="inlineStr">
        <is>
          <t>~6–8</t>
        </is>
      </c>
      <c r="AE138" s="152" t="n"/>
      <c r="AF138" s="152" t="inlineStr">
        <is>
          <t>Not disclosed</t>
        </is>
      </c>
      <c r="AG138" s="156" t="inlineStr">
        <is>
          <t>5 per hand (multi-digit manipulators — model dependent)</t>
        </is>
      </c>
      <c r="AH138" s="152" t="inlineStr">
        <is>
          <t>5 per hand (multi-digit manipulators — model dependent)</t>
        </is>
      </c>
      <c r="AI138" s="152" t="n"/>
      <c r="AJ138" s="156" t="inlineStr">
        <is>
          <t>Multi-camera 360° vision</t>
        </is>
      </c>
      <c r="AK138" s="156" t="inlineStr">
        <is>
          <t>Multi-camera 360° vision</t>
        </is>
      </c>
      <c r="AL138" s="152" t="inlineStr">
        <is>
          <t>Not disclosed</t>
        </is>
      </c>
      <c r="AM138" s="152" t="n"/>
      <c r="AN138" s="152" t="inlineStr">
        <is>
          <t>Not disclosed</t>
        </is>
      </c>
      <c r="AO138" s="152" t="inlineStr">
        <is>
          <t>Not disclosed</t>
        </is>
      </c>
      <c r="AP138" s="152" t="inlineStr">
        <is>
          <t>Not disclosed</t>
        </is>
      </c>
      <c r="AQ138" s="152" t="inlineStr">
        <is>
          <t>Not disclosed</t>
        </is>
      </c>
      <c r="AR138" s="152" t="n"/>
      <c r="AS138" s="152" t="n"/>
      <c r="AT138" s="156" t="inlineStr">
        <is>
          <t>Onboard computing with integrated AI platform (Neuraverse)</t>
        </is>
      </c>
      <c r="AU138" s="156" t="inlineStr">
        <is>
          <t>Ethernet; Python/C++ SDK; ROS2; Wi-Fi 6</t>
        </is>
      </c>
      <c r="AV138" s="152" t="inlineStr">
        <is>
          <t>Not disclosed</t>
        </is>
      </c>
      <c r="AW138" s="156" t="inlineStr">
        <is>
          <t>Not disclosed</t>
        </is>
      </c>
      <c r="AX138" s="152" t="n"/>
      <c r="AY138" s="156" t="inlineStr">
        <is>
          <t>Neura OS with ROS compatibility</t>
        </is>
      </c>
      <c r="AZ138" s="156" t="inlineStr">
        <is>
          <t>Potential via cloud or edge AI integration</t>
        </is>
      </c>
      <c r="BA138" s="156" t="inlineStr">
        <is>
          <t>Low (edge and onboard processing)</t>
        </is>
      </c>
      <c r="BB138" s="156" t="inlineStr">
        <is>
          <t>Electric actuators (high-torque joints)</t>
        </is>
      </c>
      <c r="BC138" s="156" t="inlineStr">
        <is>
          <t>Precision reduction gears (inferred)</t>
        </is>
      </c>
      <c r="BD138" s="152" t="inlineStr">
        <is>
          <t>Aluminum, composites</t>
        </is>
      </c>
      <c r="BE138" s="152" t="inlineStr">
        <is>
          <t>Not disclosed</t>
        </is>
      </c>
      <c r="BF138" s="152" t="n"/>
      <c r="BG138" s="152" t="n"/>
      <c r="BH138" s="152" t="n"/>
      <c r="BI138" s="152" t="n"/>
      <c r="BJ138" s="152" t="n"/>
      <c r="BK138" s="152" t="n"/>
      <c r="BL138" s="152" t="n"/>
      <c r="BM138" s="152" t="inlineStr">
        <is>
          <t>Yes</t>
        </is>
      </c>
      <c r="BN138" s="152" t="inlineStr">
        <is>
          <t>Not disclosed</t>
        </is>
      </c>
      <c r="BO138" s="156" t="inlineStr">
        <is>
          <t>Market: everyday tasks; Industrial automation; services · Human-safe: Yes · AI: Potential via cloud or edge AI integration · Actuation: Electric actuators (high-torque joints) · Peak 5 km/h · Walk 5 km/h · Runtime ~6–8</t>
        </is>
      </c>
      <c r="BP138" s="152" t="n"/>
      <c r="BQ138" s="156" t="inlineStr">
        <is>
          <t>everyday tasks; Industrial automation; services</t>
        </is>
      </c>
      <c r="BR138" s="156" t="inlineStr">
        <is>
          <t>Early production / limited release</t>
        </is>
      </c>
      <c r="BS138" s="156" t="inlineStr">
        <is>
          <t>Early production / limited release</t>
        </is>
      </c>
      <c r="BT138" s="152" t="inlineStr">
        <is>
          <t>White</t>
        </is>
      </c>
      <c r="BU138" s="152" t="inlineStr">
        <is>
          <t>Not verified</t>
        </is>
      </c>
      <c r="BV138" s="156" t="n"/>
      <c r="BW138" s="156" t="inlineStr">
        <is>
          <t>Origin &amp; status — Germany · Early production / limited release · 2026 | Manipulation — 5 per hand (multi-digit manipulators — model dependent) · 5 per hand (multi-digit manipulators — model dependent) fingers · Hand DOF Not specified (likely ≥5 per… | Sensing &amp; software — Multi-camera 360° vision · Potential via cloud or edge AI integration · Neura OS with ROS compatibility | Buying notes — From $114,500 · 12 months manufacturer standard (typical research/commercial humanoid) · Best fit: everyday tasks</t>
        </is>
      </c>
      <c r="BX138" s="156" t="inlineStr">
        <is>
          <t>as_shipped|4NE1|114500|As shipped</t>
        </is>
      </c>
      <c r="BY138" s="152" t="inlineStr">
        <is>
          <t>white|White|#e2e8f0|0</t>
        </is>
      </c>
      <c r="BZ138" s="152" t="inlineStr"/>
      <c r="CA138" s="156" t="n"/>
      <c r="CB138" s="156" t="inlineStr">
        <is>
          <t>12 months manufacturer standard (typical research/commercial humanoid)</t>
        </is>
      </c>
      <c r="CC138" s="154" t="n">
        <v>12</v>
      </c>
      <c r="CD138" s="156" t="inlineStr">
        <is>
          <t>+3 Year Extended ≈24% of configuration (default in configurator)</t>
        </is>
      </c>
      <c r="CE138" s="152" t="inlineStr">
        <is>
          <t>Humanoid category norm 2025–2026</t>
        </is>
      </c>
      <c r="CF138" s="152" t="inlineStr">
        <is>
          <t>Estimated</t>
        </is>
      </c>
      <c r="CG138" s="156" t="inlineStr">
        <is>
          <t>Confirm on formal OEM quote. EDU or enterprise packages may differ.</t>
        </is>
      </c>
      <c r="CH138" s="152" t="inlineStr">
        <is>
          <t>10%</t>
        </is>
      </c>
      <c r="CI138" s="152" t="inlineStr">
        <is>
          <t>17%</t>
        </is>
      </c>
      <c r="CJ138" s="152" t="inlineStr">
        <is>
          <t>24%</t>
        </is>
      </c>
      <c r="CK138" s="156" t="inlineStr">
        <is>
          <t>+1yr ≈10% | +2yr ≈17% | +3yr ≈24% of selected configuration price (parts &amp; labor beyond manufacturer standard).</t>
        </is>
      </c>
      <c r="CL138"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38" s="152" t="inlineStr">
        <is>
          <t>12 months manufacturer standard (typical research/commercial humanoid)</t>
        </is>
      </c>
      <c r="CQ138" s="101" t="inlineStr">
        <is>
          <t>Height: 5 ft 11 in | Weight: 176.4 | Degrees of Freedom: Not officially published (estimate ~40–60) | Payload: 33.1 | Max Speed: 3.11 | Battery / Runtime: ~6–8</t>
        </is>
      </c>
    </row>
    <row r="139" ht="31.5" customHeight="1" s="102">
      <c r="A139" s="145" t="inlineStr">
        <is>
          <t>nineray_raynex_g3</t>
        </is>
      </c>
      <c r="B139" s="153" t="inlineStr">
        <is>
          <t>Humanoid.guide</t>
        </is>
      </c>
      <c r="C139" s="145" t="inlineStr">
        <is>
          <t>NineRay</t>
        </is>
      </c>
      <c r="D139" s="145" t="inlineStr">
        <is>
          <t>RayNex G3</t>
        </is>
      </c>
      <c r="E139" s="145" t="inlineStr">
        <is>
          <t>[NineRay] RayNex G3 (2026)</t>
        </is>
      </c>
      <c r="F139" s="146" t="inlineStr">
        <is>
          <t>humanoid</t>
        </is>
      </c>
      <c r="G139" s="145" t="inlineStr">
        <is>
          <t>China</t>
        </is>
      </c>
      <c r="H139" s="145" t="n"/>
      <c r="I139" s="148" t="n">
        <v>6500</v>
      </c>
      <c r="J139" s="145" t="inlineStr">
        <is>
          <t>Humanoid.guide list</t>
        </is>
      </c>
      <c r="K139" s="149" t="inlineStr">
        <is>
          <t>The RayNex G3 is an industrial humanoid robot built for heavy-payload work, featuring hybrid linear and harmonic joint technology, proprietary RayBrain AI, and a 100kg deadlift capacity in a 173cm, 60kg frame with 8-hour runtime.</t>
        </is>
      </c>
      <c r="L139" s="101" t="inlineStr">
        <is>
          <t>The RayNex G3 is an industrial humanoid robot built for heavy-payload work, featuring hybrid linear and harmonic joint technology, proprietary RayBrain AI, and a 100kg deadlift capacity in a 173cm, 60kg frame with 8-hour runtime.</t>
        </is>
      </c>
      <c r="M139" s="101" t="inlineStr">
        <is>
          <t>The RayNex G3 is an industrial humanoid robot built for heavy-payload work, featuring hybrid linear and harmonic joint technology, proprietary RayBrain AI, and a 100kg deadlift capacity in a 173cm, 60kg frame with 8-hour runtime. Public status is listed as in production, and it is positioned for industrial; Manufacturing.</t>
        </is>
      </c>
      <c r="N139" s="150" t="inlineStr">
        <is>
          <t>https://humanoid.guide/product/raynex-g3/</t>
        </is>
      </c>
      <c r="O139" s="150" t="inlineStr">
        <is>
          <t>https://www.nineraygroup.com/</t>
        </is>
      </c>
      <c r="P139" s="145" t="inlineStr">
        <is>
          <t>5 ft 8 in</t>
        </is>
      </c>
      <c r="Q139" s="145" t="n">
        <v>173</v>
      </c>
      <c r="R139" s="145" t="n">
        <v>132.3</v>
      </c>
      <c r="S139" s="145" t="n">
        <v>60</v>
      </c>
      <c r="T139" s="149" t="inlineStr">
        <is>
          <t>Not disclosed</t>
        </is>
      </c>
      <c r="U139" s="145" t="n"/>
      <c r="V139" s="145" t="inlineStr">
        <is>
          <t>32</t>
        </is>
      </c>
      <c r="W139" s="149" t="inlineStr">
        <is>
          <t>12</t>
        </is>
      </c>
      <c r="X139" s="145" t="n">
        <v>220.5</v>
      </c>
      <c r="Y139" s="145" t="n">
        <v>100</v>
      </c>
      <c r="Z139" s="145" t="n">
        <v>3.73</v>
      </c>
      <c r="AA139" s="145" t="n">
        <v>6</v>
      </c>
      <c r="AB139" s="145" t="n">
        <v>4</v>
      </c>
      <c r="AC139" s="149" t="inlineStr">
        <is>
          <t>≈ 8 hours</t>
        </is>
      </c>
      <c r="AD139" s="149" t="inlineStr">
        <is>
          <t>8</t>
        </is>
      </c>
      <c r="AE139" s="145" t="n"/>
      <c r="AF139" s="145" t="inlineStr">
        <is>
          <t>Not disclosed</t>
        </is>
      </c>
      <c r="AG139" s="149" t="inlineStr">
        <is>
          <t>5 per hand</t>
        </is>
      </c>
      <c r="AH139" s="145" t="inlineStr">
        <is>
          <t>5 per hand</t>
        </is>
      </c>
      <c r="AI139" s="145" t="n"/>
      <c r="AJ139" s="149" t="inlineStr">
        <is>
          <t>Not disclosed</t>
        </is>
      </c>
      <c r="AK139" s="149" t="n"/>
      <c r="AL139" s="145" t="inlineStr">
        <is>
          <t>Not disclosed</t>
        </is>
      </c>
      <c r="AM139" s="145" t="n"/>
      <c r="AN139" s="145" t="inlineStr">
        <is>
          <t>Not disclosed</t>
        </is>
      </c>
      <c r="AO139" s="145" t="inlineStr">
        <is>
          <t>Not disclosed</t>
        </is>
      </c>
      <c r="AP139" s="145" t="inlineStr">
        <is>
          <t>Not disclosed</t>
        </is>
      </c>
      <c r="AQ139" s="145" t="inlineStr">
        <is>
          <t>Not disclosed</t>
        </is>
      </c>
      <c r="AR139" s="145" t="n"/>
      <c r="AS139" s="145" t="n"/>
      <c r="AT139" s="149" t="inlineStr">
        <is>
          <t>RayBrain (proprietary)</t>
        </is>
      </c>
      <c r="AU139" s="149" t="inlineStr">
        <is>
          <t>Ethernet; Wi-Fi</t>
        </is>
      </c>
      <c r="AV139" s="145" t="inlineStr">
        <is>
          <t>Not disclosed</t>
        </is>
      </c>
      <c r="AW139" s="149" t="inlineStr">
        <is>
          <t>Not disclosed</t>
        </is>
      </c>
      <c r="AX139" s="145" t="n"/>
      <c r="AY139" s="149" t="inlineStr">
        <is>
          <t>RayBrain OS (proprietary)</t>
        </is>
      </c>
      <c r="AZ139" s="149" t="inlineStr">
        <is>
          <t>RayBrain AI (custom)</t>
        </is>
      </c>
      <c r="BA139" s="149" t="n"/>
      <c r="BB139" s="149" t="inlineStr">
        <is>
          <t>Frameless Torque Motors</t>
        </is>
      </c>
      <c r="BC139" s="149" t="inlineStr">
        <is>
          <t>Harmonic + Linear Drives</t>
        </is>
      </c>
      <c r="BD139" s="145" t="inlineStr">
        <is>
          <t>Aluminum/Composite</t>
        </is>
      </c>
      <c r="BE139" s="145" t="inlineStr">
        <is>
          <t>Not disclosed</t>
        </is>
      </c>
      <c r="BF139" s="145" t="n"/>
      <c r="BG139" s="145" t="n"/>
      <c r="BH139" s="145" t="n"/>
      <c r="BI139" s="145" t="n"/>
      <c r="BJ139" s="145" t="n"/>
      <c r="BK139" s="145" t="n"/>
      <c r="BL139" s="145" t="n"/>
      <c r="BM139" s="145" t="inlineStr">
        <is>
          <t>Yes</t>
        </is>
      </c>
      <c r="BN139" s="145" t="inlineStr">
        <is>
          <t>Not disclosed</t>
        </is>
      </c>
      <c r="BO139" s="149" t="inlineStr">
        <is>
          <t>Market: Industrial; Manufacturing · Human-safe: Yes · AI: RayBrain AI (custom) · Actuation: Frameless Torque Motors · Peak 6 km/h · Walk 4 km/h · Runtime 8</t>
        </is>
      </c>
      <c r="BP139" s="145" t="n"/>
      <c r="BQ139" s="149" t="inlineStr">
        <is>
          <t>Industrial; Manufacturing</t>
        </is>
      </c>
      <c r="BR139" s="149" t="inlineStr">
        <is>
          <t>In production</t>
        </is>
      </c>
      <c r="BS139" s="149" t="inlineStr">
        <is>
          <t>In production</t>
        </is>
      </c>
      <c r="BT139" s="145" t="n"/>
      <c r="BU139" s="145" t="inlineStr">
        <is>
          <t>Not verified</t>
        </is>
      </c>
      <c r="BV139" s="149" t="n"/>
      <c r="BW139" s="149" t="inlineStr">
        <is>
          <t>Origin &amp; status — China · In production · 2026 | Manipulation — 5 per hand · 5 per hand fingers · Hand DOF 12 · Payload 220.5 lb | Sensing &amp; software — RayBrain AI (custom) · RayBrain OS (proprietary) | Buying notes — From $6,500 · 12 months manufacturer standard (typical research/commercial humanoid) · Best fit: Industrial</t>
        </is>
      </c>
      <c r="BX139" s="149" t="inlineStr">
        <is>
          <t>as_shipped|RayNex G3|6500|As shipped</t>
        </is>
      </c>
      <c r="BY139" s="145" t="inlineStr">
        <is>
          <t>raynex_g3|Manufacturer finish|#e2e8f0|0</t>
        </is>
      </c>
      <c r="BZ139" s="145" t="inlineStr"/>
      <c r="CA139" s="149" t="n"/>
      <c r="CB139" s="149" t="inlineStr">
        <is>
          <t>12 months manufacturer standard (typical research/commercial humanoid)</t>
        </is>
      </c>
      <c r="CC139" s="147" t="n">
        <v>12</v>
      </c>
      <c r="CD139" s="149" t="inlineStr">
        <is>
          <t>+3 Year Extended ≈24% of configuration (default in configurator)</t>
        </is>
      </c>
      <c r="CE139" s="145" t="inlineStr">
        <is>
          <t>Humanoid category norm 2025–2026</t>
        </is>
      </c>
      <c r="CF139" s="145" t="inlineStr">
        <is>
          <t>Estimated</t>
        </is>
      </c>
      <c r="CG139" s="149" t="inlineStr">
        <is>
          <t>Confirm on formal OEM quote. EDU or enterprise packages may differ.</t>
        </is>
      </c>
      <c r="CH139" s="145" t="inlineStr">
        <is>
          <t>10%</t>
        </is>
      </c>
      <c r="CI139" s="145" t="inlineStr">
        <is>
          <t>17%</t>
        </is>
      </c>
      <c r="CJ139" s="145" t="inlineStr">
        <is>
          <t>24%</t>
        </is>
      </c>
      <c r="CK139" s="149" t="inlineStr">
        <is>
          <t>+1yr ≈10% | +2yr ≈17% | +3yr ≈24% of selected configuration price (parts &amp; labor beyond manufacturer standard).</t>
        </is>
      </c>
      <c r="CL13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39" s="145" t="inlineStr">
        <is>
          <t>12 months manufacturer standard (typical research/commercial humanoid)</t>
        </is>
      </c>
      <c r="CQ139" s="101" t="inlineStr">
        <is>
          <t>Height: 5 ft 8 in | Weight: 132.3 | Degrees of Freedom: 32 | Payload: 220.5 | Max Speed: 3.73 | Battery / Runtime: ≈ 8 hours</t>
        </is>
      </c>
    </row>
    <row r="140" ht="31.5" customHeight="1" s="102">
      <c r="A140" s="159" t="inlineStr">
        <is>
          <t>noble_machines_moby</t>
        </is>
      </c>
      <c r="B140" s="144" t="inlineStr">
        <is>
          <t>Both</t>
        </is>
      </c>
      <c r="C140" s="152" t="inlineStr">
        <is>
          <t>Noble Machines</t>
        </is>
      </c>
      <c r="D140" s="152" t="inlineStr">
        <is>
          <t>Moby</t>
        </is>
      </c>
      <c r="E140" s="152" t="inlineStr">
        <is>
          <t>[Noble Machines] Moby (2025)</t>
        </is>
      </c>
      <c r="F140" s="146" t="inlineStr">
        <is>
          <t>humanoid</t>
        </is>
      </c>
      <c r="G140" s="152" t="inlineStr">
        <is>
          <t>USA</t>
        </is>
      </c>
      <c r="H140" s="154" t="n">
        <v>2025</v>
      </c>
      <c r="I140" s="155" t="n">
        <v>50000</v>
      </c>
      <c r="J140" s="152" t="inlineStr">
        <is>
          <t>Website store</t>
        </is>
      </c>
      <c r="K140" s="156" t="inlineStr">
        <is>
          <t>Moby is a general-purpose industrial robot designed to perform hazardous and physically demanding tasks in real-world environments.</t>
        </is>
      </c>
      <c r="L140" s="101" t="inlineStr">
        <is>
          <t>Moby is a general-purpose industrial robot designed to perform hazardous and physically demanding tasks in real-world environments.</t>
        </is>
      </c>
      <c r="M140" s="101" t="inlineStr">
        <is>
          <t>Moby is a general-purpose industrial robot designed to perform hazardous and physically demanding tasks in real-world environments. Public status is listed as first deployments.</t>
        </is>
      </c>
      <c r="N140" s="157" t="inlineStr">
        <is>
          <t>https://humanoid.guide/product/moby/</t>
        </is>
      </c>
      <c r="O140" s="157" t="inlineStr">
        <is>
          <t>https://www.noblemachines.ai/</t>
        </is>
      </c>
      <c r="P140" s="152" t="inlineStr">
        <is>
          <t>5 ft 7 in</t>
        </is>
      </c>
      <c r="Q140" s="152" t="n">
        <v>170</v>
      </c>
      <c r="R140" s="152" t="n">
        <v>99.2</v>
      </c>
      <c r="S140" s="152" t="n">
        <v>45</v>
      </c>
      <c r="T140" s="156" t="inlineStr">
        <is>
          <t>Not disclosed</t>
        </is>
      </c>
      <c r="U140" s="152" t="n"/>
      <c r="V140" s="152" t="inlineStr">
        <is>
          <t>34</t>
        </is>
      </c>
      <c r="W140" s="156" t="inlineStr">
        <is>
          <t>10</t>
        </is>
      </c>
      <c r="X140" s="152" t="n">
        <v>19.8</v>
      </c>
      <c r="Y140" s="152" t="n">
        <v>9</v>
      </c>
      <c r="Z140" s="152" t="n">
        <v>1.86</v>
      </c>
      <c r="AA140" s="152" t="n">
        <v>3</v>
      </c>
      <c r="AB140" s="152" t="n">
        <v>3</v>
      </c>
      <c r="AC140" s="156" t="inlineStr">
        <is>
          <t>≈ 5 hours</t>
        </is>
      </c>
      <c r="AD140" s="156" t="inlineStr">
        <is>
          <t>5</t>
        </is>
      </c>
      <c r="AE140" s="152" t="n"/>
      <c r="AF140" s="152" t="inlineStr">
        <is>
          <t>Not disclosed</t>
        </is>
      </c>
      <c r="AG140" s="156" t="inlineStr">
        <is>
          <t>Grippers or dexterous hands depending on configuration</t>
        </is>
      </c>
      <c r="AH140" s="152" t="inlineStr">
        <is>
          <t>10</t>
        </is>
      </c>
      <c r="AI140" s="158" t="n">
        <v>2</v>
      </c>
      <c r="AJ140" s="156" t="inlineStr">
        <is>
          <t>RGB and/or depth cameras for navigation and manipulation (configuration specific)</t>
        </is>
      </c>
      <c r="AK140" s="156" t="n"/>
      <c r="AL140" s="152" t="inlineStr">
        <is>
          <t>Onboard streams for teleoperation and logging when equipped</t>
        </is>
      </c>
      <c r="AM140" s="152" t="n"/>
      <c r="AN140" s="152" t="inlineStr">
        <is>
          <t>Not disclosed</t>
        </is>
      </c>
      <c r="AO140" s="152" t="inlineStr">
        <is>
          <t>Microphone array on interaction-oriented builds</t>
        </is>
      </c>
      <c r="AP140" s="152" t="inlineStr">
        <is>
          <t>Not disclosed</t>
        </is>
      </c>
      <c r="AQ140" s="152" t="inlineStr">
        <is>
          <t>Not disclosed</t>
        </is>
      </c>
      <c r="AR140" s="152" t="n"/>
      <c r="AS140" s="152" t="n"/>
      <c r="AT140" s="156" t="inlineStr">
        <is>
          <t>Not disclosed</t>
        </is>
      </c>
      <c r="AU140" s="156" t="inlineStr">
        <is>
          <t>Bluetooth; Wi‑Fi</t>
        </is>
      </c>
      <c r="AV140" s="152" t="inlineStr">
        <is>
          <t>Manufacturer app and/or SDK</t>
        </is>
      </c>
      <c r="AW140" s="156" t="inlineStr">
        <is>
          <t>Bipedal balance and walking controllers</t>
        </is>
      </c>
      <c r="AX140" s="151" t="n">
        <v>3</v>
      </c>
      <c r="AY140" s="156" t="inlineStr">
        <is>
          <t>Linux, Ubuntu, ROS</t>
        </is>
      </c>
      <c r="AZ140" s="156" t="inlineStr">
        <is>
          <t>Yes</t>
        </is>
      </c>
      <c r="BA140" s="156" t="n"/>
      <c r="BB140" s="156" t="inlineStr">
        <is>
          <t>Brushless Motor</t>
        </is>
      </c>
      <c r="BC140" s="156" t="inlineStr">
        <is>
          <t>Harmonic or planetary gears</t>
        </is>
      </c>
      <c r="BD140" s="152" t="inlineStr">
        <is>
          <t>Composite polymer + aluminum frame</t>
        </is>
      </c>
      <c r="BE140" s="152" t="inlineStr">
        <is>
          <t>IP20</t>
        </is>
      </c>
      <c r="BF140" s="152" t="inlineStr">
        <is>
          <t>IP20</t>
        </is>
      </c>
      <c r="BG140" s="152" t="n"/>
      <c r="BH140" s="152" t="n"/>
      <c r="BI140" s="152" t="n"/>
      <c r="BJ140" s="152" t="n"/>
      <c r="BK140" s="152" t="n"/>
      <c r="BL140" s="152" t="n"/>
      <c r="BM140" s="152" t="inlineStr">
        <is>
          <t>Yes</t>
        </is>
      </c>
      <c r="BN140" s="152" t="inlineStr">
        <is>
          <t>Not disclosed</t>
        </is>
      </c>
      <c r="BO140" s="156" t="inlineStr">
        <is>
          <t>Market: Industrial · Manipulation 2/4 · Navigation 3/4 · Human-safe: Yes · AI: Yes · Actuation: Brushless Motor · Peak 3 km/h · Walk 3 km/h · Runtime 5</t>
        </is>
      </c>
      <c r="BP140" s="152" t="n"/>
      <c r="BQ140" s="156" t="inlineStr">
        <is>
          <t>Industrial</t>
        </is>
      </c>
      <c r="BR140" s="156" t="inlineStr">
        <is>
          <t>First deployments</t>
        </is>
      </c>
      <c r="BS140" s="156" t="inlineStr">
        <is>
          <t>Prototype</t>
        </is>
      </c>
      <c r="BT140" s="152" t="inlineStr">
        <is>
          <t>Black</t>
        </is>
      </c>
      <c r="BU140" s="152" t="inlineStr">
        <is>
          <t>Not verified</t>
        </is>
      </c>
      <c r="BV140" s="156" t="inlineStr">
        <is>
          <t>US industrial focus Humanoid.guide listed price $75,000.</t>
        </is>
      </c>
      <c r="BW140" s="156" t="inlineStr">
        <is>
          <t>Origin &amp; status — USA · First deployments · 2025 | Manipulation — Grippers or dexterous hands depending on configuration · 10 fingers · Hand DOF 10 · Payload 19.8 lb (9 kg) | Sensing &amp; software — RGB and/or depth cameras for navigation and manipulation (configuration specific) · Yes · Linux, Ubuntu, ROS · Manufacturer app and/or SDK | Buying notes — From $50,000 · 12 months manufacturer standard (typical research/commercial humanoid) · Best fit: Industrial</t>
        </is>
      </c>
      <c r="BX140" s="156" t="inlineStr">
        <is>
          <t>as_shipped|Moby|50000|As shipped</t>
        </is>
      </c>
      <c r="BY140" s="152" t="inlineStr">
        <is>
          <t>black|Black|#111111|0</t>
        </is>
      </c>
      <c r="BZ140" s="152" t="inlineStr"/>
      <c r="CA140" s="156" t="inlineStr">
        <is>
          <t>Add-ons: case; 2 color options; Multi-year extended warranty available</t>
        </is>
      </c>
      <c r="CB140" s="156" t="inlineStr">
        <is>
          <t>12 months manufacturer standard (typical research/commercial humanoid)</t>
        </is>
      </c>
      <c r="CC140" s="154" t="n">
        <v>12</v>
      </c>
      <c r="CD140" s="156" t="inlineStr">
        <is>
          <t>+3 Year Extended ≈24% of configuration (default in configurator)</t>
        </is>
      </c>
      <c r="CE140" s="152" t="inlineStr">
        <is>
          <t>Humanoid category norm 2025–2026</t>
        </is>
      </c>
      <c r="CF140" s="152" t="inlineStr">
        <is>
          <t>Estimated</t>
        </is>
      </c>
      <c r="CG140" s="156" t="inlineStr">
        <is>
          <t>EDU or enterprise packages may differ; confirm on formal quote.</t>
        </is>
      </c>
      <c r="CH140" s="152" t="inlineStr">
        <is>
          <t>10%</t>
        </is>
      </c>
      <c r="CI140" s="152" t="inlineStr">
        <is>
          <t>17%</t>
        </is>
      </c>
      <c r="CJ140" s="152" t="inlineStr">
        <is>
          <t>24%</t>
        </is>
      </c>
      <c r="CK140"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140"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40" s="152" t="inlineStr">
        <is>
          <t>12 months manufacturer standard (typical research/commercial humanoid)</t>
        </is>
      </c>
      <c r="CQ140" s="101" t="inlineStr">
        <is>
          <t>Height: 5 ft 7 in | Weight: 99.2 | Degrees of Freedom: 34 | Payload: 19.8 | Max Speed: 1.86 | Battery / Runtime: ≈ 5 hours</t>
        </is>
      </c>
    </row>
    <row r="141" ht="31.5" customHeight="1" s="102">
      <c r="A141" s="145" t="inlineStr">
        <is>
          <t>noetix_robotics_dora</t>
        </is>
      </c>
      <c r="B141" s="153" t="inlineStr">
        <is>
          <t>Humanoid.guide</t>
        </is>
      </c>
      <c r="C141" s="145" t="inlineStr">
        <is>
          <t>Noetix Robotics</t>
        </is>
      </c>
      <c r="D141" s="145" t="inlineStr">
        <is>
          <t>Dora</t>
        </is>
      </c>
      <c r="E141" s="145" t="inlineStr">
        <is>
          <t>[Noetix Robotics] Dora (2026)</t>
        </is>
      </c>
      <c r="F141" s="146" t="inlineStr">
        <is>
          <t>humanoid</t>
        </is>
      </c>
      <c r="G141" s="145" t="inlineStr">
        <is>
          <t>China</t>
        </is>
      </c>
      <c r="H141" s="145" t="n"/>
      <c r="I141" s="148" t="n">
        <v>10000</v>
      </c>
      <c r="J141" s="145" t="inlineStr">
        <is>
          <t>Humanoid.guide list</t>
        </is>
      </c>
      <c r="K141" s="149" t="inlineStr">
        <is>
          <t>Dora is a 1-metre-tall, 20 kg Chinese humanoid offering 20-plus DOF mobility, 3-camera 3-D vision and a Jetson Orin edge-AI brain, purpose-built for home, classroom and elder-care tasks with a 5 kg payload and optional dexterous hands.</t>
        </is>
      </c>
      <c r="L141" s="101" t="inlineStr">
        <is>
          <t>Dora is a 1-metre-tall, 20 kg Chinese humanoid offering 20-plus DOF mobility, 3-camera 3-D vision and a Jetson Orin edge-AI brain, purpose-built for home, classroom and elder-care tasks with a 5 kg payload and optional dexterous hands.</t>
        </is>
      </c>
      <c r="M141" s="101" t="inlineStr">
        <is>
          <t>Dora is a 1-metre-tall, 20 kg Chinese humanoid offering 20-plus DOF mobility, 3-camera 3-D vision and a Jetson Orin edge-AI brain, purpose-built for home, classroom and elder-care tasks with a 5 kg payload and optional dexterous hands. Public status is listed as prototype, and it is positioned for education; elder-care; Home assistance.</t>
        </is>
      </c>
      <c r="N141" s="150" t="inlineStr">
        <is>
          <t>https://humanoid.guide/product/dora/</t>
        </is>
      </c>
      <c r="O141" s="150" t="inlineStr">
        <is>
          <t>https://www.noetixrobotics.com</t>
        </is>
      </c>
      <c r="P141" s="145" t="inlineStr">
        <is>
          <t>3 ft 3 in</t>
        </is>
      </c>
      <c r="Q141" s="145" t="n">
        <v>100</v>
      </c>
      <c r="R141" s="145" t="n">
        <v>44.1</v>
      </c>
      <c r="S141" s="145" t="n">
        <v>20</v>
      </c>
      <c r="T141" s="149" t="inlineStr">
        <is>
          <t>Not disclosed</t>
        </is>
      </c>
      <c r="U141" s="145" t="n"/>
      <c r="V141" s="145" t="inlineStr">
        <is>
          <t>26</t>
        </is>
      </c>
      <c r="W141" s="149" t="inlineStr">
        <is>
          <t>Not disclosed</t>
        </is>
      </c>
      <c r="X141" s="145" t="n">
        <v>11</v>
      </c>
      <c r="Y141" s="145" t="n">
        <v>5</v>
      </c>
      <c r="Z141" s="145" t="n">
        <v>2.24</v>
      </c>
      <c r="AA141" s="145" t="n">
        <v>3.6</v>
      </c>
      <c r="AB141" s="145" t="n"/>
      <c r="AC141" s="149" t="inlineStr">
        <is>
          <t>Not disclosed</t>
        </is>
      </c>
      <c r="AD141" s="149" t="inlineStr">
        <is>
          <t>Not specified</t>
        </is>
      </c>
      <c r="AE141" s="145" t="n"/>
      <c r="AF141" s="145" t="inlineStr">
        <is>
          <t>Not disclosed</t>
        </is>
      </c>
      <c r="AG141" s="149" t="inlineStr">
        <is>
          <t>0</t>
        </is>
      </c>
      <c r="AH141" s="145" t="inlineStr">
        <is>
          <t>0</t>
        </is>
      </c>
      <c r="AI141" s="158" t="n">
        <v>2</v>
      </c>
      <c r="AJ141" s="149" t="inlineStr">
        <is>
          <t>3 structured-light depth cameras (2 downward, 1 forward)</t>
        </is>
      </c>
      <c r="AK141" s="149" t="inlineStr">
        <is>
          <t>3 structured-light depth cameras (2 downward, 1 forward)</t>
        </is>
      </c>
      <c r="AL141" s="145" t="inlineStr">
        <is>
          <t>Not disclosed</t>
        </is>
      </c>
      <c r="AM141" s="145" t="n"/>
      <c r="AN141" s="145" t="inlineStr">
        <is>
          <t>Not disclosed</t>
        </is>
      </c>
      <c r="AO141" s="145" t="inlineStr">
        <is>
          <t>Not disclosed</t>
        </is>
      </c>
      <c r="AP141" s="145" t="inlineStr">
        <is>
          <t>Not disclosed</t>
        </is>
      </c>
      <c r="AQ141" s="145" t="inlineStr">
        <is>
          <t>Not disclosed</t>
        </is>
      </c>
      <c r="AR141" s="145" t="n"/>
      <c r="AS141" s="145" t="n"/>
      <c r="AT141" s="149" t="inlineStr">
        <is>
          <t>Nvidia Jetson</t>
        </is>
      </c>
      <c r="AU141" s="149" t="inlineStr">
        <is>
          <t>Not disclosed</t>
        </is>
      </c>
      <c r="AV141" s="145" t="inlineStr">
        <is>
          <t>Not disclosed</t>
        </is>
      </c>
      <c r="AW141" s="149" t="inlineStr">
        <is>
          <t>Not disclosed</t>
        </is>
      </c>
      <c r="AX141" s="158" t="n">
        <v>2</v>
      </c>
      <c r="AY141" s="149" t="inlineStr">
        <is>
          <t>Jetson SDK presumed</t>
        </is>
      </c>
      <c r="AZ141" s="149" t="inlineStr">
        <is>
          <t>LLM Speech; Visual Interaction</t>
        </is>
      </c>
      <c r="BA141" s="149" t="inlineStr">
        <is>
          <t>Not specified</t>
        </is>
      </c>
      <c r="BB141" s="149" t="inlineStr">
        <is>
          <t>All-electric drive</t>
        </is>
      </c>
      <c r="BC141" s="149" t="inlineStr">
        <is>
          <t>Not disclosed</t>
        </is>
      </c>
      <c r="BD141" s="145" t="inlineStr">
        <is>
          <t>education; Home assistanc</t>
        </is>
      </c>
      <c r="BE141" s="145" t="inlineStr">
        <is>
          <t>Not disclosed</t>
        </is>
      </c>
      <c r="BF141" s="145" t="inlineStr">
        <is>
          <t>Not specified</t>
        </is>
      </c>
      <c r="BG141" s="145" t="n"/>
      <c r="BH141" s="145" t="n"/>
      <c r="BI141" s="145" t="n"/>
      <c r="BJ141" s="145" t="n"/>
      <c r="BK141" s="145" t="n"/>
      <c r="BL141" s="145" t="n"/>
      <c r="BM141" s="145" t="inlineStr">
        <is>
          <t>Yes</t>
        </is>
      </c>
      <c r="BN141" s="145" t="inlineStr">
        <is>
          <t>Not disclosed</t>
        </is>
      </c>
      <c r="BO141" s="149" t="inlineStr">
        <is>
          <t>Market: education; elder-care; Home assistance · Manipulation 2/4 · Navigation 2/4 · Human-safe: Yes · AI: LLM Speech; Visual Interaction · Actuation: All-electric drive · Peak 3.6 km/h · Runtime Not specified</t>
        </is>
      </c>
      <c r="BP141" s="145" t="n"/>
      <c r="BQ141" s="149" t="inlineStr">
        <is>
          <t>education; elder-care; Home assistance</t>
        </is>
      </c>
      <c r="BR141" s="149" t="inlineStr">
        <is>
          <t>Prototype</t>
        </is>
      </c>
      <c r="BS141" s="149" t="inlineStr">
        <is>
          <t>Prototype</t>
        </is>
      </c>
      <c r="BT141" s="145" t="n"/>
      <c r="BU141" s="145" t="inlineStr">
        <is>
          <t>Not verified</t>
        </is>
      </c>
      <c r="BV141" s="149" t="n"/>
      <c r="BW141" s="149" t="inlineStr">
        <is>
          <t>Origin &amp; status — China · Prototype · 2026 | Manipulation — 0 · 0 fingers · Payload 11 lb | Sensing &amp; software — 3 structured-light depth cameras (2 downward, 1 forward) · LLM Speech; Visual Interaction · Jetson SDK presumed | Buying notes — From $10,000 · 12 months manufacturer standard (typical research/commercial humanoid) · Best fit: education</t>
        </is>
      </c>
      <c r="BX141" s="149" t="inlineStr">
        <is>
          <t>as_shipped|Dora|10000|As shipped</t>
        </is>
      </c>
      <c r="BY141" s="145" t="inlineStr">
        <is>
          <t>dora|Manufacturer finish|#e2e8f0|0</t>
        </is>
      </c>
      <c r="BZ141" s="145" t="inlineStr"/>
      <c r="CA141" s="149" t="n"/>
      <c r="CB141" s="149" t="inlineStr">
        <is>
          <t>12 months manufacturer standard (typical research/commercial humanoid)</t>
        </is>
      </c>
      <c r="CC141" s="147" t="n">
        <v>12</v>
      </c>
      <c r="CD141" s="149" t="inlineStr">
        <is>
          <t>+3 Year Extended ≈24% of configuration (default in configurator)</t>
        </is>
      </c>
      <c r="CE141" s="145" t="inlineStr">
        <is>
          <t>Humanoid category norm 2025–2026</t>
        </is>
      </c>
      <c r="CF141" s="145" t="inlineStr">
        <is>
          <t>Estimated</t>
        </is>
      </c>
      <c r="CG141" s="149" t="inlineStr">
        <is>
          <t>Confirm on formal OEM quote. EDU or enterprise packages may differ.</t>
        </is>
      </c>
      <c r="CH141" s="145" t="inlineStr">
        <is>
          <t>10%</t>
        </is>
      </c>
      <c r="CI141" s="145" t="inlineStr">
        <is>
          <t>17%</t>
        </is>
      </c>
      <c r="CJ141" s="145" t="inlineStr">
        <is>
          <t>24%</t>
        </is>
      </c>
      <c r="CK141" s="149" t="inlineStr">
        <is>
          <t>+1yr ≈10% | +2yr ≈17% | +3yr ≈24% of selected configuration price (parts &amp; labor beyond manufacturer standard).</t>
        </is>
      </c>
      <c r="CL14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41" s="145" t="inlineStr">
        <is>
          <t>12 months manufacturer standard (typical research/commercial humanoid)</t>
        </is>
      </c>
      <c r="CQ141" s="101" t="inlineStr">
        <is>
          <t>Height: 3 ft 3 in | Weight: 44.1 | Degrees of Freedom: 26 | Payload: 11 | Max Speed: 2.24 | Battery / Runtime: Not disclosed</t>
        </is>
      </c>
    </row>
    <row r="142" ht="31.5" customHeight="1" s="102">
      <c r="A142" s="152" t="inlineStr">
        <is>
          <t>noetix_robotics_hobbs</t>
        </is>
      </c>
      <c r="B142" s="153" t="inlineStr">
        <is>
          <t>Humanoid.guide</t>
        </is>
      </c>
      <c r="C142" s="152" t="inlineStr">
        <is>
          <t>Noetix Robotics</t>
        </is>
      </c>
      <c r="D142" s="152" t="inlineStr">
        <is>
          <t>Hobbs</t>
        </is>
      </c>
      <c r="E142" s="152" t="inlineStr">
        <is>
          <t>[Noetix Robotics] Hobbs (2026)</t>
        </is>
      </c>
      <c r="F142" s="146" t="inlineStr">
        <is>
          <t>humanoid</t>
        </is>
      </c>
      <c r="G142" s="152" t="inlineStr">
        <is>
          <t>China</t>
        </is>
      </c>
      <c r="H142" s="152" t="n"/>
      <c r="I142" s="155" t="n">
        <v>35000</v>
      </c>
      <c r="J142" s="152" t="inlineStr">
        <is>
          <t>Humanoid.guide list</t>
        </is>
      </c>
      <c r="K142" s="156" t="inlineStr">
        <is>
          <t>Hobbs is a humanoid robot developed by Noetix Robotics for education, research, and light service scenarios.</t>
        </is>
      </c>
      <c r="L142" s="101" t="inlineStr">
        <is>
          <t>Hobbs is a humanoid robot developed by Noetix Robotics for education, research, and light service scenarios.</t>
        </is>
      </c>
      <c r="M142" s="101" t="inlineStr">
        <is>
          <t>Hobbs is a humanoid robot developed by Noetix Robotics for education, research, and light service scenarios. Public status is listed as in production, and it is positioned for research &amp; education; service demonstration.</t>
        </is>
      </c>
      <c r="N142" s="157" t="inlineStr">
        <is>
          <t>https://humanoid.guide/product/hobbs/</t>
        </is>
      </c>
      <c r="O142" s="157" t="inlineStr">
        <is>
          <t>https://www.noetixrobotics.com</t>
        </is>
      </c>
      <c r="P142" s="152" t="inlineStr">
        <is>
          <t>3 ft 11 in</t>
        </is>
      </c>
      <c r="Q142" s="152" t="n">
        <v>120</v>
      </c>
      <c r="R142" s="152" t="n">
        <v>88.2</v>
      </c>
      <c r="S142" s="152" t="n">
        <v>40</v>
      </c>
      <c r="T142" s="156" t="inlineStr">
        <is>
          <t>Not disclosed</t>
        </is>
      </c>
      <c r="U142" s="152" t="n"/>
      <c r="V142" s="152" t="inlineStr">
        <is>
          <t>20</t>
        </is>
      </c>
      <c r="W142" s="156" t="inlineStr">
        <is>
          <t>Not disclosed</t>
        </is>
      </c>
      <c r="X142" s="152" t="n">
        <v>13.2</v>
      </c>
      <c r="Y142" s="152" t="n">
        <v>6</v>
      </c>
      <c r="Z142" s="152" t="n">
        <v>0</v>
      </c>
      <c r="AA142" s="152" t="n">
        <v>0</v>
      </c>
      <c r="AB142" s="152" t="n"/>
      <c r="AC142" s="156" t="inlineStr">
        <is>
          <t>Not disclosed</t>
        </is>
      </c>
      <c r="AD142" s="156" t="n"/>
      <c r="AE142" s="152" t="n"/>
      <c r="AF142" s="152" t="inlineStr">
        <is>
          <t>Not disclosed</t>
        </is>
      </c>
      <c r="AG142" s="156" t="inlineStr">
        <is>
          <t>5 per hand</t>
        </is>
      </c>
      <c r="AH142" s="152" t="inlineStr">
        <is>
          <t>5 per hand</t>
        </is>
      </c>
      <c r="AI142" s="152" t="n"/>
      <c r="AJ142" s="156" t="inlineStr">
        <is>
          <t>RGB cameras</t>
        </is>
      </c>
      <c r="AK142" s="156" t="inlineStr">
        <is>
          <t>RGB cameras</t>
        </is>
      </c>
      <c r="AL142" s="152" t="inlineStr">
        <is>
          <t>Not disclosed</t>
        </is>
      </c>
      <c r="AM142" s="152" t="n"/>
      <c r="AN142" s="152" t="inlineStr">
        <is>
          <t>Not disclosed</t>
        </is>
      </c>
      <c r="AO142" s="152" t="inlineStr">
        <is>
          <t>Not disclosed</t>
        </is>
      </c>
      <c r="AP142" s="152" t="inlineStr">
        <is>
          <t>Not disclosed</t>
        </is>
      </c>
      <c r="AQ142" s="152" t="inlineStr">
        <is>
          <t>Not disclosed</t>
        </is>
      </c>
      <c r="AR142" s="152" t="n"/>
      <c r="AS142" s="152" t="n"/>
      <c r="AT142" s="156" t="inlineStr">
        <is>
          <t>Embedded x86 or ARM system (not specified)</t>
        </is>
      </c>
      <c r="AU142" s="156" t="inlineStr">
        <is>
          <t>Ethernet; Wi‑Fi</t>
        </is>
      </c>
      <c r="AV142" s="152" t="inlineStr">
        <is>
          <t>Not disclosed</t>
        </is>
      </c>
      <c r="AW142" s="156" t="inlineStr">
        <is>
          <t>Not disclosed</t>
        </is>
      </c>
      <c r="AX142" s="152" t="n"/>
      <c r="AY142" s="156" t="inlineStr">
        <is>
          <t>Linux-based robotics OS</t>
        </is>
      </c>
      <c r="AZ142" s="156" t="inlineStr">
        <is>
          <t>Possible via external integration</t>
        </is>
      </c>
      <c r="BA142" s="156" t="n"/>
      <c r="BB142" s="156" t="inlineStr">
        <is>
          <t>Electric actuators (servo)</t>
        </is>
      </c>
      <c r="BC142" s="156" t="inlineStr">
        <is>
          <t>Not disclosed</t>
        </is>
      </c>
      <c r="BD142" s="152" t="inlineStr">
        <is>
          <t>Aluminum alloys and plastics</t>
        </is>
      </c>
      <c r="BE142" s="152" t="inlineStr">
        <is>
          <t>Not disclosed</t>
        </is>
      </c>
      <c r="BF142" s="152" t="n"/>
      <c r="BG142" s="152" t="n"/>
      <c r="BH142" s="152" t="n"/>
      <c r="BI142" s="152" t="n"/>
      <c r="BJ142" s="152" t="n"/>
      <c r="BK142" s="152" t="n"/>
      <c r="BL142" s="152" t="n"/>
      <c r="BM142" s="152" t="inlineStr">
        <is>
          <t>Yes</t>
        </is>
      </c>
      <c r="BN142" s="152" t="inlineStr">
        <is>
          <t>Not disclosed</t>
        </is>
      </c>
      <c r="BO142" s="156" t="inlineStr">
        <is>
          <t>Market: Research &amp; education; service demonstration · Human-safe: Yes · AI: Possible via external integration · Actuation: Electric actuators (servo)</t>
        </is>
      </c>
      <c r="BP142" s="152" t="n"/>
      <c r="BQ142" s="156" t="inlineStr">
        <is>
          <t>Research &amp; education; service demonstration</t>
        </is>
      </c>
      <c r="BR142" s="156" t="inlineStr">
        <is>
          <t>In production</t>
        </is>
      </c>
      <c r="BS142" s="156" t="inlineStr">
        <is>
          <t>In production</t>
        </is>
      </c>
      <c r="BT142" s="152" t="inlineStr">
        <is>
          <t>Silver</t>
        </is>
      </c>
      <c r="BU142" s="152" t="inlineStr">
        <is>
          <t>Not verified</t>
        </is>
      </c>
      <c r="BV142" s="156" t="n"/>
      <c r="BW142" s="156" t="inlineStr">
        <is>
          <t>Origin &amp; status — China · In production · 2026 | Manipulation — 5 per hand · 5 per hand fingers · Payload 13.2 lb | Sensing &amp; software — RGB cameras · Possible via external integration · Linux-based robotics OS | Buying notes — From $35,000 · 12 months manufacturer standard (typical research/commercial humanoid) · Best fit: Research &amp; education</t>
        </is>
      </c>
      <c r="BX142" s="156" t="inlineStr">
        <is>
          <t>as_shipped|Hobbs|35000|As shipped</t>
        </is>
      </c>
      <c r="BY142" s="152" t="inlineStr">
        <is>
          <t>silver|Silver|#e2e8f0|0</t>
        </is>
      </c>
      <c r="BZ142" s="152" t="inlineStr"/>
      <c r="CA142" s="156" t="n"/>
      <c r="CB142" s="156" t="inlineStr">
        <is>
          <t>12 months manufacturer standard (typical research/commercial humanoid)</t>
        </is>
      </c>
      <c r="CC142" s="154" t="n">
        <v>12</v>
      </c>
      <c r="CD142" s="156" t="inlineStr">
        <is>
          <t>+3 Year Extended ≈24% of configuration (default in configurator)</t>
        </is>
      </c>
      <c r="CE142" s="152" t="inlineStr">
        <is>
          <t>Humanoid category norm 2025–2026</t>
        </is>
      </c>
      <c r="CF142" s="152" t="inlineStr">
        <is>
          <t>Estimated</t>
        </is>
      </c>
      <c r="CG142" s="156" t="inlineStr">
        <is>
          <t>Confirm on formal OEM quote. EDU or enterprise packages may differ.</t>
        </is>
      </c>
      <c r="CH142" s="152" t="inlineStr">
        <is>
          <t>10%</t>
        </is>
      </c>
      <c r="CI142" s="152" t="inlineStr">
        <is>
          <t>17%</t>
        </is>
      </c>
      <c r="CJ142" s="152" t="inlineStr">
        <is>
          <t>24%</t>
        </is>
      </c>
      <c r="CK142" s="156" t="inlineStr">
        <is>
          <t>+1yr ≈10% | +2yr ≈17% | +3yr ≈24% of selected configuration price (parts &amp; labor beyond manufacturer standard).</t>
        </is>
      </c>
      <c r="CL142"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42" s="152" t="inlineStr">
        <is>
          <t>12 months manufacturer standard (typical research/commercial humanoid)</t>
        </is>
      </c>
      <c r="CQ142" s="101" t="inlineStr">
        <is>
          <t>Height: 3 ft 11 in | Weight: 88.2 | Degrees of Freedom: 20 | Payload: 13.2 | Max Speed: 0 | Battery / Runtime: Not disclosed</t>
        </is>
      </c>
    </row>
    <row r="143" ht="31.5" customHeight="1" s="102">
      <c r="A143" s="143" t="inlineStr">
        <is>
          <t>noetix_robotics_n2_athlete_edu</t>
        </is>
      </c>
      <c r="B143" s="144" t="inlineStr">
        <is>
          <t>Both</t>
        </is>
      </c>
      <c r="C143" s="145" t="inlineStr">
        <is>
          <t>Noetix Robotics</t>
        </is>
      </c>
      <c r="D143" s="145" t="inlineStr">
        <is>
          <t>N2</t>
        </is>
      </c>
      <c r="E143" s="145" t="inlineStr">
        <is>
          <t>[Noetix] N2 (2025)</t>
        </is>
      </c>
      <c r="F143" s="146" t="inlineStr">
        <is>
          <t>humanoid</t>
        </is>
      </c>
      <c r="G143" s="145" t="inlineStr">
        <is>
          <t>China</t>
        </is>
      </c>
      <c r="H143" s="147" t="n">
        <v>2025</v>
      </c>
      <c r="I143" s="148" t="n">
        <v>35000</v>
      </c>
      <c r="J143" s="145" t="inlineStr">
        <is>
          <t>Website store</t>
        </is>
      </c>
      <c r="K143" s="149" t="inlineStr">
        <is>
          <t>N2 is Noetix Robotics's humanoid — 3 ft 10 in class, 18 DOF, ~5 lb (walking) payload. 0; onboard AI: LLM Speech &amp; Visual Interaction.</t>
        </is>
      </c>
      <c r="L143" s="101" t="inlineStr">
        <is>
          <t>N2 is Noetix Robotics's humanoid — 3 ft 10 in class, 18 DOF, ~5 lb (walking) payload. 0; onboard AI: LLM Speech &amp; Visual Interaction.</t>
        </is>
      </c>
      <c r="M143" s="101" t="inlineStr">
        <is>
          <t>N2 is Noetix Robotics's humanoid — 3 ft 10 in class, 18 DOF, ~5 lb (walking) payload. 0; onboard AI: LLM Speech &amp; Visual Interaction. Public status is listed as orderable / Competition-proven (WHRG medals), and it is positioned for athletic / Competition / Education / Research.</t>
        </is>
      </c>
      <c r="N143" s="150" t="inlineStr">
        <is>
          <t>https://humanoid.guide/product/n2/</t>
        </is>
      </c>
      <c r="O143" s="150" t="inlineStr">
        <is>
          <t>https://www.noetixrobotics.com</t>
        </is>
      </c>
      <c r="P143" s="145" t="inlineStr">
        <is>
          <t>3 ft 10 in</t>
        </is>
      </c>
      <c r="Q143" s="145" t="n">
        <v>118</v>
      </c>
      <c r="R143" s="145" t="n">
        <v>66.09999999999999</v>
      </c>
      <c r="S143" s="145" t="n">
        <v>30</v>
      </c>
      <c r="T143" s="149" t="inlineStr">
        <is>
          <t>Not disclosed</t>
        </is>
      </c>
      <c r="U143" s="145" t="n"/>
      <c r="V143" s="145" t="inlineStr">
        <is>
          <t>18</t>
        </is>
      </c>
      <c r="W143" s="149" t="inlineStr">
        <is>
          <t>Not disclosed</t>
        </is>
      </c>
      <c r="X143" s="145" t="n">
        <v>11</v>
      </c>
      <c r="Y143" s="145" t="n">
        <v>5</v>
      </c>
      <c r="Z143" s="145" t="n">
        <v>7.83</v>
      </c>
      <c r="AA143" s="145" t="n">
        <v>12.6</v>
      </c>
      <c r="AB143" s="145" t="n"/>
      <c r="AC143" s="149" t="inlineStr">
        <is>
          <t>≈ 2 hours</t>
        </is>
      </c>
      <c r="AD143" s="149" t="inlineStr">
        <is>
          <t>2</t>
        </is>
      </c>
      <c r="AE143" s="145" t="n"/>
      <c r="AF143" s="145" t="inlineStr">
        <is>
          <t>Not disclosed</t>
        </is>
      </c>
      <c r="AG143" s="149" t="inlineStr">
        <is>
          <t>0</t>
        </is>
      </c>
      <c r="AH143" s="145" t="inlineStr">
        <is>
          <t>0</t>
        </is>
      </c>
      <c r="AI143" s="158" t="n">
        <v>2</v>
      </c>
      <c r="AJ143" s="149" t="inlineStr">
        <is>
          <t>Education/athlete humanoid vision</t>
        </is>
      </c>
      <c r="AK143" s="149" t="inlineStr">
        <is>
          <t>Structured-light depth cam 640 × 400 @ 12 fps, &amp;lt; 3 mm depth error @ 0.5 m</t>
        </is>
      </c>
      <c r="AL143" s="145" t="inlineStr">
        <is>
          <t>Not disclosed</t>
        </is>
      </c>
      <c r="AM143" s="145" t="n"/>
      <c r="AN143" s="145" t="inlineStr">
        <is>
          <t>Not disclosed</t>
        </is>
      </c>
      <c r="AO143" s="145" t="inlineStr">
        <is>
          <t>Not disclosed</t>
        </is>
      </c>
      <c r="AP143" s="145" t="inlineStr">
        <is>
          <t>Not disclosed</t>
        </is>
      </c>
      <c r="AQ143" s="145" t="inlineStr">
        <is>
          <t>Not disclosed</t>
        </is>
      </c>
      <c r="AR143" s="145" t="n"/>
      <c r="AS143" s="145" t="n"/>
      <c r="AT143" s="149" t="inlineStr">
        <is>
          <t>Nvidia Jetson; Rockchip RK3588s (8-core, 6 TOPS)</t>
        </is>
      </c>
      <c r="AU143" s="149" t="inlineStr">
        <is>
          <t>Ethernet; HDMI; USB</t>
        </is>
      </c>
      <c r="AV143" s="145" t="inlineStr">
        <is>
          <t>Noetix EDU software paths</t>
        </is>
      </c>
      <c r="AW143" s="149" t="inlineStr">
        <is>
          <t>Not disclosed</t>
        </is>
      </c>
      <c r="AX143" s="158" t="n">
        <v>2</v>
      </c>
      <c r="AY143" s="149" t="inlineStr">
        <is>
          <t>Linux</t>
        </is>
      </c>
      <c r="AZ143" s="149" t="inlineStr">
        <is>
          <t>LLM Speech &amp; Visual Interaction</t>
        </is>
      </c>
      <c r="BA143" s="149" t="inlineStr">
        <is>
          <t>Not specified</t>
        </is>
      </c>
      <c r="BB143" s="149" t="inlineStr">
        <is>
          <t>48 V DC geared motors with encoders</t>
        </is>
      </c>
      <c r="BC143" s="149" t="inlineStr">
        <is>
          <t>Not disclosed</t>
        </is>
      </c>
      <c r="BD143" s="145" t="inlineStr">
        <is>
          <t>Not disclosed</t>
        </is>
      </c>
      <c r="BE143" s="145" t="inlineStr">
        <is>
          <t>Not disclosed</t>
        </is>
      </c>
      <c r="BF143" s="145" t="inlineStr">
        <is>
          <t>Not specified</t>
        </is>
      </c>
      <c r="BG143" s="145" t="n"/>
      <c r="BH143" s="145" t="n"/>
      <c r="BI143" s="145" t="n"/>
      <c r="BJ143" s="145" t="n"/>
      <c r="BK143" s="145" t="n"/>
      <c r="BL143" s="145" t="n"/>
      <c r="BM143" s="145" t="inlineStr">
        <is>
          <t>Not disclosed</t>
        </is>
      </c>
      <c r="BN143" s="145" t="inlineStr">
        <is>
          <t>Not disclosed</t>
        </is>
      </c>
      <c r="BO143" s="149" t="inlineStr">
        <is>
          <t>Market: Athletic / Competition / Education / Research · Manipulation 2/4 · Navigation 2/4 · Human-safe: Not specified · AI: LLM Speech &amp; Visual Interaction · Actuation: 48 V DC geared motors with encoders · Peak 12.6 km/h · Runtime 2</t>
        </is>
      </c>
      <c r="BP143" s="145" t="n"/>
      <c r="BQ143" s="149" t="inlineStr">
        <is>
          <t>Athletic / Competition / Education / Research</t>
        </is>
      </c>
      <c r="BR143" s="149" t="inlineStr">
        <is>
          <t>Orderable / Competition-proven (WHRG medals)</t>
        </is>
      </c>
      <c r="BS143" s="149" t="inlineStr">
        <is>
          <t>Prototype</t>
        </is>
      </c>
      <c r="BT143" s="145" t="n"/>
      <c r="BU143" s="145" t="inlineStr">
        <is>
          <t>Not verified</t>
        </is>
      </c>
      <c r="BV143" s="149" t="inlineStr">
        <is>
          <t>66 lb, 150 N·m peak torque, continuous backflips claimed; family/education focus Humanoid.guide listed price $9,000.</t>
        </is>
      </c>
      <c r="BW143" s="149" t="inlineStr">
        <is>
          <t>Origin &amp; status — China · Orderable / Competition-proven (WHRG medals) · 2025 | Manipulation — 0 · 0 fingers · Payload ~5 lb (walking) | Sensing &amp; software — Education/athlete humanoid vision · LLM Speech &amp; Visual Interaction · Linux · Noetix EDU software paths | Buying notes — From $35,000 · 12 months manufacturer standard (typical research/commercial humanoid) · Best fit: Athletic</t>
        </is>
      </c>
      <c r="BX143" s="149" t="inlineStr">
        <is>
          <t>as_shipped|N2|35000|As shipped</t>
        </is>
      </c>
      <c r="BY143" s="145" t="inlineStr">
        <is>
          <t>n2|Manufacturer finish|#e2e8f0|0</t>
        </is>
      </c>
      <c r="BZ143" s="145" t="inlineStr"/>
      <c r="CA143" s="149" t="inlineStr">
        <is>
          <t>Add-ons: case; 2 color options; Multi-year extended warranty available</t>
        </is>
      </c>
      <c r="CB143" s="149" t="inlineStr">
        <is>
          <t>12 months manufacturer standard (typical research/commercial humanoid)</t>
        </is>
      </c>
      <c r="CC143" s="147" t="n">
        <v>12</v>
      </c>
      <c r="CD143" s="149" t="inlineStr">
        <is>
          <t>+3 Year Extended ≈24% of configuration (default in configurator)</t>
        </is>
      </c>
      <c r="CE143" s="145" t="inlineStr">
        <is>
          <t>Humanoid category norm 2025–2026</t>
        </is>
      </c>
      <c r="CF143" s="145" t="inlineStr">
        <is>
          <t>Estimated</t>
        </is>
      </c>
      <c r="CG143" s="149" t="inlineStr">
        <is>
          <t>EDU or enterprise packages may differ; confirm on formal quote.</t>
        </is>
      </c>
      <c r="CH143" s="145" t="inlineStr">
        <is>
          <t>10%</t>
        </is>
      </c>
      <c r="CI143" s="145" t="inlineStr">
        <is>
          <t>17%</t>
        </is>
      </c>
      <c r="CJ143" s="145" t="inlineStr">
        <is>
          <t>24%</t>
        </is>
      </c>
      <c r="CK143"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143"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43" s="145" t="inlineStr">
        <is>
          <t>12 months manufacturer standard (typical research/commercial humanoid)</t>
        </is>
      </c>
      <c r="CQ143" s="101" t="inlineStr">
        <is>
          <t>Height: 3 ft 10 in | Weight: 66.1 | Degrees of Freedom: 18 | Payload: 11 | Max Speed: 7.83 | Battery / Runtime: ≈ 2 hours</t>
        </is>
      </c>
    </row>
    <row r="144" ht="31.5" customHeight="1" s="102">
      <c r="A144" s="143" t="inlineStr">
        <is>
          <t>noetix_robotics_n2_athlete_edu_n2_athlete</t>
        </is>
      </c>
      <c r="B144" s="144" t="inlineStr">
        <is>
          <t>Both</t>
        </is>
      </c>
      <c r="C144" s="145" t="inlineStr">
        <is>
          <t>Noetix Robotics</t>
        </is>
      </c>
      <c r="D144" s="145" t="inlineStr">
        <is>
          <t>N2 Athlete</t>
        </is>
      </c>
      <c r="E144" s="145" t="inlineStr">
        <is>
          <t>[Noetix] N2 Athlete (2025)</t>
        </is>
      </c>
      <c r="F144" s="146" t="inlineStr">
        <is>
          <t>humanoid</t>
        </is>
      </c>
      <c r="G144" s="145" t="inlineStr">
        <is>
          <t>China</t>
        </is>
      </c>
      <c r="H144" s="147" t="n">
        <v>2025</v>
      </c>
      <c r="I144" s="148" t="n">
        <v>35000</v>
      </c>
      <c r="J144" s="145" t="inlineStr">
        <is>
          <t>Website store</t>
        </is>
      </c>
      <c r="K144" s="149" t="inlineStr">
        <is>
          <t>N2 Athlete is Noetix Robotics's humanoid — 3 ft 10 in class, 18 DOF, ~5 lb (walking) payload. 0; onboard AI: LLM Speech &amp; Visual Interaction.</t>
        </is>
      </c>
      <c r="L144" s="101" t="inlineStr">
        <is>
          <t>N2 Athlete is Noetix Robotics's humanoid — 3 ft 10 in class, 18 DOF, ~5 lb (walking) payload. 0; onboard AI: LLM Speech &amp; Visual Interaction.</t>
        </is>
      </c>
      <c r="M144" s="101" t="inlineStr">
        <is>
          <t>N2 Athlete is Noetix Robotics's humanoid — 3 ft 10 in class, 18 DOF, ~5 lb (walking) payload. 0; onboard AI: LLM Speech &amp; Visual Interaction. Public status is listed as orderable / Competition-proven (WHRG medals), and it is positioned for athletic / Competition / Education / Research.</t>
        </is>
      </c>
      <c r="N144" s="150" t="inlineStr">
        <is>
          <t>https://humanoid.guide/product/n2/</t>
        </is>
      </c>
      <c r="O144" s="150" t="inlineStr">
        <is>
          <t>https://www.noetixrobotics.com</t>
        </is>
      </c>
      <c r="P144" s="145" t="inlineStr">
        <is>
          <t>3 ft 10 in</t>
        </is>
      </c>
      <c r="Q144" s="145" t="n">
        <v>118</v>
      </c>
      <c r="R144" s="145" t="n">
        <v>66.09999999999999</v>
      </c>
      <c r="S144" s="145" t="n">
        <v>30</v>
      </c>
      <c r="T144" s="149" t="inlineStr">
        <is>
          <t>Not disclosed</t>
        </is>
      </c>
      <c r="U144" s="145" t="n"/>
      <c r="V144" s="145" t="inlineStr">
        <is>
          <t>18</t>
        </is>
      </c>
      <c r="W144" s="149" t="inlineStr">
        <is>
          <t>Not disclosed</t>
        </is>
      </c>
      <c r="X144" s="145" t="n">
        <v>11</v>
      </c>
      <c r="Y144" s="145" t="n">
        <v>5</v>
      </c>
      <c r="Z144" s="145" t="n">
        <v>7.83</v>
      </c>
      <c r="AA144" s="145" t="n">
        <v>12.6</v>
      </c>
      <c r="AB144" s="145" t="n"/>
      <c r="AC144" s="149" t="inlineStr">
        <is>
          <t>≈ 2 hours</t>
        </is>
      </c>
      <c r="AD144" s="149" t="inlineStr">
        <is>
          <t>2</t>
        </is>
      </c>
      <c r="AE144" s="145" t="n"/>
      <c r="AF144" s="145" t="inlineStr">
        <is>
          <t>Not disclosed</t>
        </is>
      </c>
      <c r="AG144" s="149" t="inlineStr">
        <is>
          <t>0</t>
        </is>
      </c>
      <c r="AH144" s="145" t="inlineStr">
        <is>
          <t>0</t>
        </is>
      </c>
      <c r="AI144" s="158" t="n">
        <v>2</v>
      </c>
      <c r="AJ144" s="149" t="inlineStr">
        <is>
          <t>Education/athlete humanoid vision</t>
        </is>
      </c>
      <c r="AK144" s="149" t="inlineStr">
        <is>
          <t>Structured-light depth cam 640 × 400 @ 12 fps, &amp;lt; 3 mm depth error @ 0.5 m</t>
        </is>
      </c>
      <c r="AL144" s="145" t="inlineStr">
        <is>
          <t>Not disclosed</t>
        </is>
      </c>
      <c r="AM144" s="145" t="n"/>
      <c r="AN144" s="145" t="inlineStr">
        <is>
          <t>Not disclosed</t>
        </is>
      </c>
      <c r="AO144" s="145" t="inlineStr">
        <is>
          <t>Not disclosed</t>
        </is>
      </c>
      <c r="AP144" s="145" t="inlineStr">
        <is>
          <t>Not disclosed</t>
        </is>
      </c>
      <c r="AQ144" s="145" t="inlineStr">
        <is>
          <t>Not disclosed</t>
        </is>
      </c>
      <c r="AR144" s="145" t="n"/>
      <c r="AS144" s="145" t="n"/>
      <c r="AT144" s="149" t="inlineStr">
        <is>
          <t>Nvidia Jetson; Rockchip RK3588s (8-core, 6 TOPS)</t>
        </is>
      </c>
      <c r="AU144" s="149" t="inlineStr">
        <is>
          <t>Ethernet; HDMI; USB</t>
        </is>
      </c>
      <c r="AV144" s="145" t="inlineStr">
        <is>
          <t>Noetix EDU software paths</t>
        </is>
      </c>
      <c r="AW144" s="149" t="inlineStr">
        <is>
          <t>Not disclosed</t>
        </is>
      </c>
      <c r="AX144" s="158" t="n">
        <v>2</v>
      </c>
      <c r="AY144" s="149" t="inlineStr">
        <is>
          <t>Linux</t>
        </is>
      </c>
      <c r="AZ144" s="149" t="inlineStr">
        <is>
          <t>LLM Speech &amp; Visual Interaction</t>
        </is>
      </c>
      <c r="BA144" s="149" t="inlineStr">
        <is>
          <t>Not specified</t>
        </is>
      </c>
      <c r="BB144" s="149" t="inlineStr">
        <is>
          <t>48 V DC geared motors with encoders</t>
        </is>
      </c>
      <c r="BC144" s="149" t="inlineStr">
        <is>
          <t>Not disclosed</t>
        </is>
      </c>
      <c r="BD144" s="145" t="inlineStr">
        <is>
          <t>Not disclosed</t>
        </is>
      </c>
      <c r="BE144" s="145" t="inlineStr">
        <is>
          <t>Not disclosed</t>
        </is>
      </c>
      <c r="BF144" s="145" t="inlineStr">
        <is>
          <t>Not specified</t>
        </is>
      </c>
      <c r="BG144" s="145" t="n"/>
      <c r="BH144" s="145" t="n"/>
      <c r="BI144" s="145" t="n"/>
      <c r="BJ144" s="145" t="n"/>
      <c r="BK144" s="145" t="n"/>
      <c r="BL144" s="145" t="n"/>
      <c r="BM144" s="145" t="inlineStr">
        <is>
          <t>Not disclosed</t>
        </is>
      </c>
      <c r="BN144" s="145" t="inlineStr">
        <is>
          <t>Not disclosed</t>
        </is>
      </c>
      <c r="BO144" s="149" t="inlineStr">
        <is>
          <t>Market: Athletic / Competition / Education / Research · Manipulation 2/4 · Navigation 2/4 · Human-safe: Not specified · AI: LLM Speech &amp; Visual Interaction · Actuation: 48 V DC geared motors with encoders · Peak 12.6 km/h · Runtime 2</t>
        </is>
      </c>
      <c r="BP144" s="145" t="n"/>
      <c r="BQ144" s="149" t="inlineStr">
        <is>
          <t>Athletic / Competition / Education / Research</t>
        </is>
      </c>
      <c r="BR144" s="149" t="inlineStr">
        <is>
          <t>Orderable / Competition-proven (WHRG medals)</t>
        </is>
      </c>
      <c r="BS144" s="149" t="inlineStr">
        <is>
          <t>Prototype</t>
        </is>
      </c>
      <c r="BT144" s="145" t="n"/>
      <c r="BU144" s="145" t="inlineStr">
        <is>
          <t>Not verified</t>
        </is>
      </c>
      <c r="BV144" s="149" t="inlineStr">
        <is>
          <t>66 lb, 150 N·m peak torque, continuous backflips claimed; family/education focus Humanoid.guide listed price $9,000.</t>
        </is>
      </c>
      <c r="BW144" s="149" t="inlineStr">
        <is>
          <t>Origin &amp; status — China · Orderable / Competition-proven (WHRG medals) · 2025 | Manipulation — 0 · 0 fingers · Payload ~5 lb (walking) | Sensing &amp; software — Education/athlete humanoid vision · LLM Speech &amp; Visual Interaction · Linux · Noetix EDU software paths | Buying notes — From $35,000 · 12 months manufacturer standard (typical research/commercial humanoid) · Best fit: Athletic</t>
        </is>
      </c>
      <c r="BX144" s="149" t="inlineStr">
        <is>
          <t>as_shipped|N2 Athlete|35000|As shipped</t>
        </is>
      </c>
      <c r="BY144" s="145" t="inlineStr">
        <is>
          <t>n2_athlete|Manufacturer finish|#e2e8f0|0</t>
        </is>
      </c>
      <c r="BZ144" s="145" t="inlineStr"/>
      <c r="CA144" s="149" t="inlineStr">
        <is>
          <t>Add-ons: case; 2 color options; Multi-year extended warranty available</t>
        </is>
      </c>
      <c r="CB144" s="149" t="inlineStr">
        <is>
          <t>12 months manufacturer standard (typical research/commercial humanoid)</t>
        </is>
      </c>
      <c r="CC144" s="147" t="n">
        <v>12</v>
      </c>
      <c r="CD144" s="149" t="inlineStr">
        <is>
          <t>+3 Year Extended ≈24% of configuration (default in configurator)</t>
        </is>
      </c>
      <c r="CE144" s="145" t="inlineStr">
        <is>
          <t>Humanoid category norm 2025–2026</t>
        </is>
      </c>
      <c r="CF144" s="145" t="inlineStr">
        <is>
          <t>Estimated</t>
        </is>
      </c>
      <c r="CG144" s="149" t="inlineStr">
        <is>
          <t>EDU or enterprise packages may differ; confirm on formal quote.</t>
        </is>
      </c>
      <c r="CH144" s="145" t="inlineStr">
        <is>
          <t>10%</t>
        </is>
      </c>
      <c r="CI144" s="145" t="inlineStr">
        <is>
          <t>17%</t>
        </is>
      </c>
      <c r="CJ144" s="145" t="inlineStr">
        <is>
          <t>24%</t>
        </is>
      </c>
      <c r="CK144"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144"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44" s="145" t="inlineStr">
        <is>
          <t>12 months manufacturer standard (typical research/commercial humanoid)</t>
        </is>
      </c>
      <c r="CQ144" s="101" t="inlineStr">
        <is>
          <t>Height: 3 ft 10 in | Weight: 66.1 | Degrees of Freedom: 18 | Payload: 11 | Max Speed: 7.83 | Battery / Runtime: ≈ 2 hours</t>
        </is>
      </c>
    </row>
    <row r="145" ht="31.5" customHeight="1" s="102">
      <c r="A145" s="143" t="inlineStr">
        <is>
          <t>noetix_robotics_n2_athlete_edu_n2_edu</t>
        </is>
      </c>
      <c r="B145" s="144" t="inlineStr">
        <is>
          <t>Both</t>
        </is>
      </c>
      <c r="C145" s="145" t="inlineStr">
        <is>
          <t>Noetix Robotics</t>
        </is>
      </c>
      <c r="D145" s="145" t="inlineStr">
        <is>
          <t>N2 EDU</t>
        </is>
      </c>
      <c r="E145" s="145" t="inlineStr">
        <is>
          <t>[Noetix] N2 EDU (2025)</t>
        </is>
      </c>
      <c r="F145" s="146" t="inlineStr">
        <is>
          <t>humanoid</t>
        </is>
      </c>
      <c r="G145" s="145" t="inlineStr">
        <is>
          <t>China</t>
        </is>
      </c>
      <c r="H145" s="147" t="n">
        <v>2025</v>
      </c>
      <c r="I145" s="148" t="n">
        <v>35000</v>
      </c>
      <c r="J145" s="145" t="inlineStr">
        <is>
          <t>Website store</t>
        </is>
      </c>
      <c r="K145" s="149" t="inlineStr">
        <is>
          <t>The N2 EDU is a humanoid platform from Noetix Robotics.</t>
        </is>
      </c>
      <c r="L145" s="101" t="inlineStr">
        <is>
          <t>https://humanoid.guide/product/isaac-gr00t/</t>
        </is>
      </c>
      <c r="M145" t="inlineStr">
        <is>
          <t>https://www.nvidia.com/</t>
        </is>
      </c>
      <c r="N145" s="150" t="inlineStr">
        <is>
          <t>https://humanoid.guide/product/n2/</t>
        </is>
      </c>
      <c r="O145" s="150" t="inlineStr">
        <is>
          <t>https://www.noetixrobotics.com</t>
        </is>
      </c>
      <c r="P145" s="145" t="inlineStr">
        <is>
          <t>3 ft 10 in</t>
        </is>
      </c>
      <c r="Q145" s="145" t="n">
        <v>118</v>
      </c>
      <c r="R145" s="145" t="n">
        <v>66.09999999999999</v>
      </c>
      <c r="S145" s="145" t="n">
        <v>30</v>
      </c>
      <c r="T145" s="149" t="inlineStr">
        <is>
          <t>Not disclosed</t>
        </is>
      </c>
      <c r="U145" s="145" t="n"/>
      <c r="V145" s="145" t="inlineStr">
        <is>
          <t>18 DOF</t>
        </is>
      </c>
      <c r="W145" s="149" t="inlineStr">
        <is>
          <t>Not specified</t>
        </is>
      </c>
      <c r="X145" s="145" t="n">
        <v>11</v>
      </c>
      <c r="Y145" s="145" t="n">
        <v>5</v>
      </c>
      <c r="Z145" s="145" t="n">
        <v>7.83</v>
      </c>
      <c r="AA145" s="145" t="n">
        <v>12.6</v>
      </c>
      <c r="AB145" s="145" t="n"/>
      <c r="AC145" s="149" t="inlineStr">
        <is>
          <t>2</t>
        </is>
      </c>
      <c r="AD145" s="149" t="inlineStr">
        <is>
          <t>2</t>
        </is>
      </c>
      <c r="AE145" s="145" t="n"/>
      <c r="AF145" s="145" t="inlineStr">
        <is>
          <t>Not disclosed</t>
        </is>
      </c>
      <c r="AG145" s="149" t="inlineStr">
        <is>
          <t>0</t>
        </is>
      </c>
      <c r="AH145" s="145" t="inlineStr">
        <is>
          <t>0</t>
        </is>
      </c>
      <c r="AI145" s="158" t="n">
        <v>2</v>
      </c>
      <c r="AJ145" s="149" t="inlineStr">
        <is>
          <t>Education/athlete humanoid vision</t>
        </is>
      </c>
      <c r="AK145" s="149" t="inlineStr">
        <is>
          <t>Structured-light depth cam 640 × 400 @ 12 fps, &amp;lt; 3 mm depth error @ 0.5 m</t>
        </is>
      </c>
      <c r="AL145" s="145" t="inlineStr">
        <is>
          <t>Not disclosed</t>
        </is>
      </c>
      <c r="AM145" s="145" t="n"/>
      <c r="AN145" s="145" t="inlineStr">
        <is>
          <t>Not disclosed</t>
        </is>
      </c>
      <c r="AO145" s="145" t="inlineStr">
        <is>
          <t>Not disclosed</t>
        </is>
      </c>
      <c r="AP145" s="145" t="inlineStr">
        <is>
          <t>Not disclosed</t>
        </is>
      </c>
      <c r="AQ145" s="145" t="inlineStr">
        <is>
          <t>Not disclosed</t>
        </is>
      </c>
      <c r="AR145" s="145" t="n"/>
      <c r="AS145" s="145" t="n"/>
      <c r="AT145" s="149" t="inlineStr">
        <is>
          <t>Nvidia Jetson; Rockchip RK3588s (8-core, 6 TOPS)</t>
        </is>
      </c>
      <c r="AU145" s="149" t="inlineStr">
        <is>
          <t>Ethernet; HDMI; USB</t>
        </is>
      </c>
      <c r="AV145" s="145" t="inlineStr">
        <is>
          <t>Noetix EDU software paths</t>
        </is>
      </c>
      <c r="AW145" s="149" t="inlineStr">
        <is>
          <t>Not disclosed</t>
        </is>
      </c>
      <c r="AX145" s="158" t="n">
        <v>2</v>
      </c>
      <c r="AY145" s="149" t="inlineStr">
        <is>
          <t>Linux</t>
        </is>
      </c>
      <c r="AZ145" s="149" t="inlineStr">
        <is>
          <t>LLM Speech &amp; Visual Interaction</t>
        </is>
      </c>
      <c r="BA145" s="149" t="inlineStr">
        <is>
          <t>Not specified</t>
        </is>
      </c>
      <c r="BB145" s="149" t="inlineStr">
        <is>
          <t>48 V DC geared motors with encoders</t>
        </is>
      </c>
      <c r="BC145" s="149" t="inlineStr">
        <is>
          <t>Not disclosed</t>
        </is>
      </c>
      <c r="BD145" s="145" t="inlineStr">
        <is>
          <t>Not disclosed</t>
        </is>
      </c>
      <c r="BE145" s="145" t="inlineStr">
        <is>
          <t>Not disclosed</t>
        </is>
      </c>
      <c r="BF145" s="145" t="inlineStr">
        <is>
          <t>Not specified</t>
        </is>
      </c>
      <c r="BG145" s="145" t="n"/>
      <c r="BH145" s="145" t="n"/>
      <c r="BI145" s="145" t="n"/>
      <c r="BJ145" s="145" t="n"/>
      <c r="BK145" s="145" t="n"/>
      <c r="BL145" s="145" t="n"/>
      <c r="BM145" s="145" t="inlineStr">
        <is>
          <t>Not disclosed</t>
        </is>
      </c>
      <c r="BN145" s="145" t="inlineStr">
        <is>
          <t>Not disclosed</t>
        </is>
      </c>
      <c r="BO145" s="149" t="inlineStr">
        <is>
          <t>Market: Athletic / Competition / Education / Research · Manipulation 2/4 · Navigation 2/4 · Human-safe: Not specified · AI: LLM Speech &amp; Visual Interaction · Actuation: 48 V DC geared motors with encoders · Peak 12.6 km/h · Runtime 2</t>
        </is>
      </c>
      <c r="BP145" s="145" t="n"/>
      <c r="BQ145" s="149" t="inlineStr">
        <is>
          <t>Athletic / Competition / Education / Research</t>
        </is>
      </c>
      <c r="BR145" s="149" t="inlineStr">
        <is>
          <t>Orderable / Competition-proven (WHRG medals)</t>
        </is>
      </c>
      <c r="BS145" s="149" t="inlineStr">
        <is>
          <t>Prototype</t>
        </is>
      </c>
      <c r="BT145" s="145" t="n"/>
      <c r="BU145" s="145" t="inlineStr">
        <is>
          <t>Not verified</t>
        </is>
      </c>
      <c r="BV145" s="149" t="inlineStr">
        <is>
          <t>66 lb, 150 N·m peak torque, continuous backflips claimed; family/education focus Humanoid.guide listed price $9,000.</t>
        </is>
      </c>
      <c r="BW145" s="149" t="inlineStr">
        <is>
          <t>Height (fully upright): 3 ft 10 in | Operating weight: 66.1 | Degrees of freedom: 18 DOF | Payload capacity: 11 | Maximum speed: 7.83 | Battery / runtime: 2</t>
        </is>
      </c>
      <c r="BX145" s="149" t="inlineStr">
        <is>
          <t>std|Standard|35000|Primary configuration</t>
        </is>
      </c>
      <c r="BY145" s="145" t="inlineStr">
        <is>
          <t>standard|Standard|#e2e8f0|0 || dark|Dark|#1e293b|0</t>
        </is>
      </c>
      <c r="BZ145" s="145" t="inlineStr">
        <is>
          <t>case</t>
        </is>
      </c>
      <c r="CA145" s="149" t="inlineStr">
        <is>
          <t>Add-ons: case; 2 color options; Multi-year extended warranty available</t>
        </is>
      </c>
      <c r="CB145" s="149" t="inlineStr">
        <is>
          <t>12 months manufacturer standard (typical research/commercial humanoid)</t>
        </is>
      </c>
      <c r="CC145" s="147" t="n">
        <v>12</v>
      </c>
      <c r="CD145" s="149" t="inlineStr">
        <is>
          <t>+3 Year Extended ≈24% of configuration (default in configurator)</t>
        </is>
      </c>
      <c r="CE145" s="145" t="inlineStr">
        <is>
          <t>Humanoid category norm 2025–2026</t>
        </is>
      </c>
      <c r="CF145" s="145" t="inlineStr">
        <is>
          <t>Estimated</t>
        </is>
      </c>
      <c r="CG145" s="149" t="inlineStr">
        <is>
          <t>EDU or enterprise packages may differ; confirm on formal quote.</t>
        </is>
      </c>
      <c r="CH145" s="145" t="inlineStr">
        <is>
          <t>10%</t>
        </is>
      </c>
      <c r="CI145" s="145" t="inlineStr">
        <is>
          <t>17%</t>
        </is>
      </c>
      <c r="CJ145" s="145" t="inlineStr">
        <is>
          <t>24%</t>
        </is>
      </c>
      <c r="CK14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14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45" s="145" t="inlineStr">
        <is>
          <t>12 months manufacturer standard (typical research/commercial humanoid)</t>
        </is>
      </c>
      <c r="CQ145" s="101" t="inlineStr">
        <is>
          <t>Height: 3 ft 10 in | Weight: 66.1 | Degrees of Freedom: 18 DOF | Payload: 11 | Max Speed: 7.83 | Battery / Runtime: 2</t>
        </is>
      </c>
    </row>
    <row r="146" ht="31.5" customHeight="1" s="102">
      <c r="A146" s="152" t="inlineStr">
        <is>
          <t>o_id_modular</t>
        </is>
      </c>
      <c r="B146" s="153" t="inlineStr">
        <is>
          <t>Humanoid.guide</t>
        </is>
      </c>
      <c r="C146" s="152" t="inlineStr">
        <is>
          <t>O-ID</t>
        </is>
      </c>
      <c r="D146" s="152" t="inlineStr">
        <is>
          <t>Modular</t>
        </is>
      </c>
      <c r="E146" s="152" t="inlineStr">
        <is>
          <t>[O-ID] Modular (2026)</t>
        </is>
      </c>
      <c r="F146" s="146" t="inlineStr">
        <is>
          <t>humanoid</t>
        </is>
      </c>
      <c r="G146" s="152" t="inlineStr">
        <is>
          <t>Japan</t>
        </is>
      </c>
      <c r="H146" s="152" t="n"/>
      <c r="I146" s="155" t="n">
        <v>70000</v>
      </c>
      <c r="J146" s="152" t="inlineStr">
        <is>
          <t>Humanoid.guide list</t>
        </is>
      </c>
      <c r="K146" s="156" t="inlineStr">
        <is>
          <t>A modular, wheeled humanoid robot from Japan: 172 cm tall, 30 degrees of freedom, 16 kg payload, and 24/7 uptime, designed around interchangeable modules for adaptable industrial automation.</t>
        </is>
      </c>
      <c r="L146" s="101" t="inlineStr">
        <is>
          <t>A modular, wheeled humanoid robot from Japan: 172 cm tall, 30 degrees of freedom, 16 kg payload, and 24/7 uptime, designed around interchangeable modules for adaptable industrial automation.</t>
        </is>
      </c>
      <c r="M146" s="101" t="inlineStr">
        <is>
          <t>A modular, wheeled humanoid robot from Japan: 172 cm tall, 30 degrees of freedom, 16 kg payload, and 24/7 uptime, designed around interchangeable modules for adaptable industrial automation. Public status is listed as early production / limited release, and it is positioned for commercial automation; Industrial Manufacturing; logistics.</t>
        </is>
      </c>
      <c r="N146" s="157" t="inlineStr">
        <is>
          <t>https://humanoid.guide/product/modular/</t>
        </is>
      </c>
      <c r="O146" s="157" t="inlineStr">
        <is>
          <t>https://o-id.net/</t>
        </is>
      </c>
      <c r="P146" s="152" t="inlineStr">
        <is>
          <t>5 ft 8 in</t>
        </is>
      </c>
      <c r="Q146" s="152" t="n">
        <v>172</v>
      </c>
      <c r="R146" s="152" t="n">
        <v>154.3</v>
      </c>
      <c r="S146" s="152" t="n">
        <v>70</v>
      </c>
      <c r="T146" s="156" t="inlineStr">
        <is>
          <t>Not disclosed</t>
        </is>
      </c>
      <c r="U146" s="152" t="n"/>
      <c r="V146" s="152" t="inlineStr">
        <is>
          <t>30</t>
        </is>
      </c>
      <c r="W146" s="156" t="inlineStr">
        <is>
          <t>Not disclosed</t>
        </is>
      </c>
      <c r="X146" s="152" t="n">
        <v>35.3</v>
      </c>
      <c r="Y146" s="152" t="n">
        <v>16</v>
      </c>
      <c r="Z146" s="152" t="n">
        <v>3.11</v>
      </c>
      <c r="AA146" s="152" t="n">
        <v>5</v>
      </c>
      <c r="AB146" s="152" t="n"/>
      <c r="AC146" s="156" t="inlineStr">
        <is>
          <t>≈ 4 hours</t>
        </is>
      </c>
      <c r="AD146" s="156" t="inlineStr">
        <is>
          <t>4</t>
        </is>
      </c>
      <c r="AE146" s="152" t="n"/>
      <c r="AF146" s="152" t="inlineStr">
        <is>
          <t>Not disclosed</t>
        </is>
      </c>
      <c r="AG146" s="156" t="inlineStr">
        <is>
          <t>10</t>
        </is>
      </c>
      <c r="AH146" s="152" t="inlineStr">
        <is>
          <t>10</t>
        </is>
      </c>
      <c r="AI146" s="152" t="n"/>
      <c r="AJ146" s="156" t="inlineStr">
        <is>
          <t>Not disclosed</t>
        </is>
      </c>
      <c r="AK146" s="156" t="n"/>
      <c r="AL146" s="152" t="inlineStr">
        <is>
          <t>Not disclosed</t>
        </is>
      </c>
      <c r="AM146" s="152" t="n"/>
      <c r="AN146" s="152" t="inlineStr">
        <is>
          <t>Not disclosed</t>
        </is>
      </c>
      <c r="AO146" s="152" t="inlineStr">
        <is>
          <t>Not disclosed</t>
        </is>
      </c>
      <c r="AP146" s="152" t="inlineStr">
        <is>
          <t>Not disclosed</t>
        </is>
      </c>
      <c r="AQ146" s="152" t="inlineStr">
        <is>
          <t>Not disclosed</t>
        </is>
      </c>
      <c r="AR146" s="152" t="n"/>
      <c r="AS146" s="152" t="n"/>
      <c r="AT146" s="156" t="inlineStr">
        <is>
          <t>Not disclosed</t>
        </is>
      </c>
      <c r="AU146" s="156" t="inlineStr">
        <is>
          <t>Ethernet; Wi-Fi</t>
        </is>
      </c>
      <c r="AV146" s="152" t="inlineStr">
        <is>
          <t>Not disclosed</t>
        </is>
      </c>
      <c r="AW146" s="156" t="inlineStr">
        <is>
          <t>Not disclosed</t>
        </is>
      </c>
      <c r="AX146" s="152" t="n"/>
      <c r="AY146" s="156" t="inlineStr">
        <is>
          <t>Linux/ROS-based</t>
        </is>
      </c>
      <c r="AZ146" s="156" t="inlineStr">
        <is>
          <t>Not specified; assumption: possible via SDK</t>
        </is>
      </c>
      <c r="BA146" s="156" t="n"/>
      <c r="BB146" s="156" t="inlineStr">
        <is>
          <t>Electric servo/BLDC actuators + wheel hub motors</t>
        </is>
      </c>
      <c r="BC146" s="156" t="inlineStr">
        <is>
          <t>Harmonic/planetary reducers in arms</t>
        </is>
      </c>
      <c r="BD146" s="152" t="inlineStr">
        <is>
          <t>Aluminum alloy + composites</t>
        </is>
      </c>
      <c r="BE146" s="152" t="inlineStr">
        <is>
          <t>Not disclosed</t>
        </is>
      </c>
      <c r="BF146" s="152" t="n"/>
      <c r="BG146" s="152" t="n"/>
      <c r="BH146" s="152" t="n"/>
      <c r="BI146" s="152" t="n"/>
      <c r="BJ146" s="152" t="n"/>
      <c r="BK146" s="152" t="n"/>
      <c r="BL146" s="152" t="n"/>
      <c r="BM146" s="152" t="inlineStr">
        <is>
          <t>Yes</t>
        </is>
      </c>
      <c r="BN146" s="152" t="inlineStr">
        <is>
          <t>Not disclosed</t>
        </is>
      </c>
      <c r="BO146" s="156" t="inlineStr">
        <is>
          <t>Market: commercial automation; Industrial Manufacturing; logistics · Human-safe: Yes · AI: Not specified; assumption: possible via SDK · Actuation: Electric servo/BLDC actuators + wheel hub motors · Peak 5 km/h · Runtime 4</t>
        </is>
      </c>
      <c r="BP146" s="152" t="n"/>
      <c r="BQ146" s="156" t="inlineStr">
        <is>
          <t>commercial automation; Industrial Manufacturing; logistics</t>
        </is>
      </c>
      <c r="BR146" s="156" t="inlineStr">
        <is>
          <t>Early production / limited release</t>
        </is>
      </c>
      <c r="BS146" s="156" t="inlineStr">
        <is>
          <t>Early production / limited release</t>
        </is>
      </c>
      <c r="BT146" s="152" t="inlineStr">
        <is>
          <t>Blue; Grey; White</t>
        </is>
      </c>
      <c r="BU146" s="152" t="n"/>
      <c r="BV146" s="156" t="n"/>
      <c r="BW146" s="156" t="inlineStr">
        <is>
          <t>Origin &amp; status — Japan · Early production / limited release · 2026 | Manipulation — 10 · 10 fingers · Payload 35.3 lb | Sensing &amp; software — Not specified; assumption: possible via SDK · Linux/ROS-based | Buying notes — From $70,000 · 12 months manufacturer standard (typical research/commercial humanoid) · Best fit: commercial automation</t>
        </is>
      </c>
      <c r="BX146" s="156" t="inlineStr">
        <is>
          <t>as_shipped|Modular|70000|As shipped</t>
        </is>
      </c>
      <c r="BY146" s="152" t="inlineStr">
        <is>
          <t>blue|Blue|#e2e8f0|0 || grey|Grey|#1e293b|0 || white|White|#0891b2|0</t>
        </is>
      </c>
      <c r="BZ146" s="152" t="inlineStr"/>
      <c r="CA146" s="156" t="n"/>
      <c r="CB146" s="156" t="inlineStr">
        <is>
          <t>12 months manufacturer standard (typical research/commercial humanoid)</t>
        </is>
      </c>
      <c r="CC146" s="154" t="n">
        <v>12</v>
      </c>
      <c r="CD146" s="156" t="inlineStr">
        <is>
          <t>+3 Year Extended ≈24% of configuration (default in configurator)</t>
        </is>
      </c>
      <c r="CE146" s="152" t="inlineStr">
        <is>
          <t>Humanoid category norm 2025–2026</t>
        </is>
      </c>
      <c r="CF146" s="152" t="inlineStr">
        <is>
          <t>Estimated</t>
        </is>
      </c>
      <c r="CG146" s="156" t="inlineStr">
        <is>
          <t>Confirm on formal OEM quote. EDU or enterprise packages may differ.</t>
        </is>
      </c>
      <c r="CH146" s="152" t="inlineStr">
        <is>
          <t>10%</t>
        </is>
      </c>
      <c r="CI146" s="152" t="inlineStr">
        <is>
          <t>17%</t>
        </is>
      </c>
      <c r="CJ146" s="152" t="inlineStr">
        <is>
          <t>24%</t>
        </is>
      </c>
      <c r="CK146" s="156" t="inlineStr">
        <is>
          <t>+1yr ≈10% | +2yr ≈17% | +3yr ≈24% of selected configuration price (parts &amp; labor beyond manufacturer standard).</t>
        </is>
      </c>
      <c r="CL146"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46" s="152" t="inlineStr">
        <is>
          <t>12 months manufacturer standard (typical research/commercial humanoid)</t>
        </is>
      </c>
      <c r="CQ146" s="101" t="inlineStr">
        <is>
          <t>Height: 5 ft 8 in | Weight: 154.3 | Degrees of Freedom: 30 | Payload: 35.3 | Max Speed: 3.11 | Battery / Runtime: ≈ 4 hours</t>
        </is>
      </c>
    </row>
    <row r="147" ht="31.5" customHeight="1" s="102">
      <c r="A147" s="145" t="inlineStr">
        <is>
          <t>openarm_openarm_02</t>
        </is>
      </c>
      <c r="B147" s="153" t="inlineStr">
        <is>
          <t>Humanoid.guide</t>
        </is>
      </c>
      <c r="C147" s="145" t="inlineStr">
        <is>
          <t>OpenArm</t>
        </is>
      </c>
      <c r="D147" s="145" t="inlineStr">
        <is>
          <t>OpenArm 02</t>
        </is>
      </c>
      <c r="E147" s="145" t="inlineStr">
        <is>
          <t>[OpenArm] OpenArm 02 (2026)</t>
        </is>
      </c>
      <c r="F147" s="146" t="inlineStr">
        <is>
          <t>humanoid</t>
        </is>
      </c>
      <c r="G147" s="145" t="inlineStr">
        <is>
          <t>Japan</t>
        </is>
      </c>
      <c r="H147" s="145" t="n"/>
      <c r="I147" s="148" t="n">
        <v>6500</v>
      </c>
      <c r="J147" s="145" t="inlineStr">
        <is>
          <t>Humanoid.guide list</t>
        </is>
      </c>
      <c r="K147" s="149" t="inlineStr">
        <is>
          <t>An open-source, human-scale robotic arm from Tokyo’s Enactic, built for physical AI research, teleoperation, and reproducible robot-learning benchmarks.</t>
        </is>
      </c>
      <c r="L147" s="101" t="inlineStr">
        <is>
          <t>An open-source, human-scale robotic arm from Tokyo’s Enactic, built for physical AI research, teleoperation, and reproducible robot-learning benchmarks.</t>
        </is>
      </c>
      <c r="M147" s="101" t="inlineStr">
        <is>
          <t>OpenArm 02 is OpenArm's humanoid, introduced around 2026 in Japan. An open-source, human-scale robotic arm from Tokyo’s Enactic, built for physical AI research, teleoperation, and reproducible robot-learning benchmarks. Public status is listed as in production, and it is positioned for physical-AI/embodied-AI teams worldwide — data collection, teleoperation, and VLA model training; Robotics research labs; universities.</t>
        </is>
      </c>
      <c r="N147" s="150" t="inlineStr">
        <is>
          <t>https://humanoid.guide/product/openarm-02/</t>
        </is>
      </c>
      <c r="O147" s="150" t="inlineStr">
        <is>
          <t>https://openarm.dev/</t>
        </is>
      </c>
      <c r="P147" s="145" t="n"/>
      <c r="Q147" s="145" t="n"/>
      <c r="R147" s="145" t="n">
        <v>66.09999999999999</v>
      </c>
      <c r="S147" s="145" t="n">
        <v>30</v>
      </c>
      <c r="T147" s="149" t="inlineStr">
        <is>
          <t>Not disclosed</t>
        </is>
      </c>
      <c r="U147" s="145" t="n"/>
      <c r="V147" s="145" t="inlineStr">
        <is>
          <t>14</t>
        </is>
      </c>
      <c r="W147" s="149" t="inlineStr">
        <is>
          <t>1 DoF grippers each hand</t>
        </is>
      </c>
      <c r="X147" s="145" t="n">
        <v>33.1</v>
      </c>
      <c r="Y147" s="145" t="n">
        <v>15</v>
      </c>
      <c r="Z147" s="145" t="n">
        <v>0</v>
      </c>
      <c r="AA147" s="145" t="n">
        <v>0</v>
      </c>
      <c r="AB147" s="145" t="n">
        <v>0</v>
      </c>
      <c r="AC147" s="149" t="inlineStr">
        <is>
          <t>Not disclosed</t>
        </is>
      </c>
      <c r="AD147" s="149" t="n"/>
      <c r="AE147" s="145" t="n"/>
      <c r="AF147" s="145" t="inlineStr">
        <is>
          <t>Not disclosed</t>
        </is>
      </c>
      <c r="AG147" s="149" t="inlineStr">
        <is>
          <t>2-finger gripping claws</t>
        </is>
      </c>
      <c r="AH147" s="145" t="inlineStr">
        <is>
          <t>2-finger gripping claws</t>
        </is>
      </c>
      <c r="AI147" s="145" t="n"/>
      <c r="AJ147" s="149" t="inlineStr">
        <is>
          <t>Built-in in-hand RGB camera on the gripper (resolution unpublished); optional ZED-121210 stereo camera add-on for a top-down workspace view</t>
        </is>
      </c>
      <c r="AK147" s="149" t="inlineStr">
        <is>
          <t>Built-in in-hand RGB camera on the gripper (resolution unpublished); optional ZED-121210 stereo camera add-on for a top-down workspace view</t>
        </is>
      </c>
      <c r="AL147" s="145" t="inlineStr">
        <is>
          <t>Not disclosed</t>
        </is>
      </c>
      <c r="AM147" s="145" t="n"/>
      <c r="AN147" s="145" t="inlineStr">
        <is>
          <t>Not disclosed</t>
        </is>
      </c>
      <c r="AO147" s="145" t="inlineStr">
        <is>
          <t>Not disclosed</t>
        </is>
      </c>
      <c r="AP147" s="145" t="inlineStr">
        <is>
          <t>Not disclosed</t>
        </is>
      </c>
      <c r="AQ147" s="145" t="inlineStr">
        <is>
          <t>Not disclosed</t>
        </is>
      </c>
      <c r="AR147" s="145" t="n"/>
      <c r="AS147" s="145" t="n"/>
      <c r="AT147" s="149" t="inlineStr">
        <is>
          <t>Not disclosed</t>
        </is>
      </c>
      <c r="AU147" s="149" t="inlineStr">
        <is>
          <t>CAN-FD control bus (1 kHz), wired — no built-in Wi-Fi/Bluetooth; networking depends on the host computer</t>
        </is>
      </c>
      <c r="AV147" s="145" t="inlineStr">
        <is>
          <t>Not disclosed</t>
        </is>
      </c>
      <c r="AW147" s="149" t="inlineStr">
        <is>
          <t>Not disclosed</t>
        </is>
      </c>
      <c r="AX147" s="145" t="n"/>
      <c r="AY147" s="149" t="inlineStr">
        <is>
          <t>None onboard; driven from a Linux host (Ubuntu 22.04/24.04) via ROS 2 and SocketCAN</t>
        </is>
      </c>
      <c r="AZ147" s="149" t="inlineStr">
        <is>
          <t>Compatible with external vision-language-action (VLA) models via Hugging Face's LeRobot and similar frameworks, run on the user's own compute</t>
        </is>
      </c>
      <c r="BA147" s="149" t="inlineStr">
        <is>
          <t>Not a fixed hardware spec — depends on the external AI model and host PC. The CAN-FD control bus itself runs at 1 kHz (1 ms cycle)</t>
        </is>
      </c>
      <c r="BB147" s="149" t="inlineStr">
        <is>
          <t>DAMIAO quasi-direct-drive (QDD) brushless motors (DM-J4310, DM-J8009P), plus one higher-torque non-QDD motor (DM4340) at the base joint</t>
        </is>
      </c>
      <c r="BC147" s="149" t="inlineStr">
        <is>
          <t>Low-ratio planetary gearboxes (9:1 to 40:1 depending on joint), which preserve backdrivability</t>
        </is>
      </c>
      <c r="BD147" s="145" t="inlineStr">
        <is>
          <t>Aluminum and stainless steel, with MISUMI aluminum-frame support pillars</t>
        </is>
      </c>
      <c r="BE147" s="145" t="inlineStr">
        <is>
          <t>Not disclosed</t>
        </is>
      </c>
      <c r="BF147" s="145" t="n"/>
      <c r="BG147" s="145" t="n"/>
      <c r="BH147" s="145" t="n"/>
      <c r="BI147" s="145" t="n"/>
      <c r="BJ147" s="145" t="n"/>
      <c r="BK147" s="145" t="n"/>
      <c r="BL147" s="145" t="n"/>
      <c r="BM147" s="145" t="inlineStr">
        <is>
          <t>Yes</t>
        </is>
      </c>
      <c r="BN147" s="145" t="inlineStr">
        <is>
          <t>Not disclosed</t>
        </is>
      </c>
      <c r="BO147" s="149" t="inlineStr">
        <is>
          <t>Market: physical-AI/embodied-AI teams worldwide — data collection, teleoperation, and VLA model training; Robotics research labs; universities · Human-safe: Yes · AI: Compatible with external vision-language-action (VLA) models via Hugging Face's LeRobot and similar frameworks, run on the user's own com… · Actuation: DAMIAO quasi-direct-drive (QDD) brushless motors (DM-J4310, DM-J8009P), plus one higher-torque non-QDD moto…</t>
        </is>
      </c>
      <c r="BP147" s="145" t="n"/>
      <c r="BQ147" s="149" t="inlineStr">
        <is>
          <t>physical-AI/embodied-AI teams worldwide — data collection, teleoperation, and VLA model training; Robotics research labs; universities</t>
        </is>
      </c>
      <c r="BR147" s="149" t="inlineStr">
        <is>
          <t>In production</t>
        </is>
      </c>
      <c r="BS147" s="149" t="inlineStr">
        <is>
          <t>In production</t>
        </is>
      </c>
      <c r="BT147" s="145" t="n"/>
      <c r="BU147" s="145" t="inlineStr">
        <is>
          <t>Not verified</t>
        </is>
      </c>
      <c r="BV147" s="149" t="n"/>
      <c r="BW147" s="149" t="inlineStr">
        <is>
          <t>Origin &amp; status — Japan · In production · 2026 | Manipulation — 2-finger gripping claws · Hand DOF 1 DoF grippers each hand · Payload 33.1 lb | Sensing &amp; software — Built-in in-hand RGB camera on the gripper (resolution unpublished); optional ZED-121210 stereo camera add-on for a top-down workspace view · Compatible wit… | Buying notes — From $6,500 · 12 months manufacturer standard (typical research/commercial humanoid) · Best fit: physical-AI</t>
        </is>
      </c>
      <c r="BX147" s="149" t="inlineStr">
        <is>
          <t>as_shipped|OpenArm 02|6500|As shipped</t>
        </is>
      </c>
      <c r="BY147" s="145" t="inlineStr">
        <is>
          <t>openarm_02|Manufacturer finish|#e2e8f0|0</t>
        </is>
      </c>
      <c r="BZ147" s="145" t="inlineStr"/>
      <c r="CA147" s="149" t="n"/>
      <c r="CB147" s="149" t="inlineStr">
        <is>
          <t>12 months manufacturer standard (typical research/commercial humanoid)</t>
        </is>
      </c>
      <c r="CC147" s="147" t="n">
        <v>12</v>
      </c>
      <c r="CD147" s="149" t="inlineStr">
        <is>
          <t>+3 Year Extended ≈24% of configuration (default in configurator)</t>
        </is>
      </c>
      <c r="CE147" s="145" t="inlineStr">
        <is>
          <t>Humanoid category norm 2025–2026</t>
        </is>
      </c>
      <c r="CF147" s="145" t="inlineStr">
        <is>
          <t>Estimated</t>
        </is>
      </c>
      <c r="CG147" s="149" t="inlineStr">
        <is>
          <t>Confirm on formal OEM quote. EDU or enterprise packages may differ.</t>
        </is>
      </c>
      <c r="CH147" s="145" t="inlineStr">
        <is>
          <t>10%</t>
        </is>
      </c>
      <c r="CI147" s="145" t="inlineStr">
        <is>
          <t>17%</t>
        </is>
      </c>
      <c r="CJ147" s="145" t="inlineStr">
        <is>
          <t>24%</t>
        </is>
      </c>
      <c r="CK147" s="149" t="inlineStr">
        <is>
          <t>+1yr ≈10% | +2yr ≈17% | +3yr ≈24% of selected configuration price (parts &amp; labor beyond manufacturer standard).</t>
        </is>
      </c>
      <c r="CL147"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47" s="145" t="inlineStr">
        <is>
          <t>12 months manufacturer standard (typical research/commercial humanoid)</t>
        </is>
      </c>
      <c r="CQ147" s="101" t="inlineStr">
        <is>
          <t>Height: Not disclosed | Weight: 66.1 | Degrees of Freedom: 14 | Payload: 33.1 | Max Speed: 0 | Battery / Runtime: Not disclosed</t>
        </is>
      </c>
    </row>
    <row r="148" ht="31.5" customHeight="1" s="102">
      <c r="A148" s="152" t="inlineStr">
        <is>
          <t>openloong_qinglong_v3_0</t>
        </is>
      </c>
      <c r="B148" s="153" t="inlineStr">
        <is>
          <t>Humanoid.guide</t>
        </is>
      </c>
      <c r="C148" s="152" t="inlineStr">
        <is>
          <t>OpenLoong</t>
        </is>
      </c>
      <c r="D148" s="152" t="inlineStr">
        <is>
          <t>Qinglong V3.0</t>
        </is>
      </c>
      <c r="E148" s="152" t="inlineStr">
        <is>
          <t>[OpenLoong] Qinglong V3.0 (2026)</t>
        </is>
      </c>
      <c r="F148" s="146" t="inlineStr">
        <is>
          <t>humanoid</t>
        </is>
      </c>
      <c r="G148" s="152" t="inlineStr">
        <is>
          <t>China</t>
        </is>
      </c>
      <c r="H148" s="152" t="n"/>
      <c r="I148" s="155" t="n">
        <v>90000</v>
      </c>
      <c r="J148" s="152" t="inlineStr">
        <is>
          <t>Humanoid.guide list</t>
        </is>
      </c>
      <c r="K148" s="156" t="inlineStr">
        <is>
          <t>Qinglong V3.0 is a research humanoid robot by OpenLoong designed for locomotion, manipulation, and whole-body control studies.</t>
        </is>
      </c>
      <c r="L148" s="101" t="inlineStr">
        <is>
          <t>Qinglong V3.0 is a research humanoid robot by OpenLoong designed for locomotion, manipulation, and whole-body control studies.</t>
        </is>
      </c>
      <c r="M148" s="101" t="inlineStr">
        <is>
          <t>Qinglong V3.0 is a research humanoid robot by OpenLoong designed for locomotion, manipulation, and whole-body control studies. Public status is listed as early production / limited release, and it is positioned for academic research; humanoid R&amp;D.</t>
        </is>
      </c>
      <c r="N148" s="157" t="inlineStr">
        <is>
          <t>https://humanoid.guide/product/qinglong-v3-0/</t>
        </is>
      </c>
      <c r="O148" s="157" t="inlineStr">
        <is>
          <t>https://www.openloong.org.cn</t>
        </is>
      </c>
      <c r="P148" s="152" t="inlineStr">
        <is>
          <t>5 ft 5 in</t>
        </is>
      </c>
      <c r="Q148" s="152" t="n">
        <v>165</v>
      </c>
      <c r="R148" s="152" t="n">
        <v>165.3</v>
      </c>
      <c r="S148" s="152" t="n">
        <v>75</v>
      </c>
      <c r="T148" s="156" t="inlineStr">
        <is>
          <t>Not disclosed</t>
        </is>
      </c>
      <c r="U148" s="152" t="inlineStr">
        <is>
          <t>~185 × 85 × 65 cm</t>
        </is>
      </c>
      <c r="V148" s="152" t="inlineStr">
        <is>
          <t>40</t>
        </is>
      </c>
      <c r="W148" s="156" t="inlineStr">
        <is>
          <t>12</t>
        </is>
      </c>
      <c r="X148" s="152" t="n">
        <v>11</v>
      </c>
      <c r="Y148" s="152" t="n">
        <v>5</v>
      </c>
      <c r="Z148" s="152" t="n">
        <v>3.11</v>
      </c>
      <c r="AA148" s="152" t="n">
        <v>5</v>
      </c>
      <c r="AB148" s="152" t="n">
        <v>4.5</v>
      </c>
      <c r="AC148" s="156" t="inlineStr">
        <is>
          <t>≈ 3 hours</t>
        </is>
      </c>
      <c r="AD148" s="156" t="inlineStr">
        <is>
          <t>3</t>
        </is>
      </c>
      <c r="AE148" s="152" t="n"/>
      <c r="AF148" s="152" t="inlineStr">
        <is>
          <t>Not disclosed</t>
        </is>
      </c>
      <c r="AG148" s="156" t="inlineStr">
        <is>
          <t>5 per hand</t>
        </is>
      </c>
      <c r="AH148" s="152" t="inlineStr">
        <is>
          <t>5 per hand</t>
        </is>
      </c>
      <c r="AI148" s="151" t="n">
        <v>3</v>
      </c>
      <c r="AJ148" s="156" t="inlineStr">
        <is>
          <t>RGB + depth cameras, ~1080p</t>
        </is>
      </c>
      <c r="AK148" s="156" t="inlineStr">
        <is>
          <t>RGB + depth cameras, ~1080p</t>
        </is>
      </c>
      <c r="AL148" s="152" t="inlineStr">
        <is>
          <t>Not disclosed</t>
        </is>
      </c>
      <c r="AM148" s="152" t="n"/>
      <c r="AN148" s="152" t="inlineStr">
        <is>
          <t>Not disclosed</t>
        </is>
      </c>
      <c r="AO148" s="152" t="inlineStr">
        <is>
          <t>Not disclosed</t>
        </is>
      </c>
      <c r="AP148" s="152" t="inlineStr">
        <is>
          <t>Not disclosed</t>
        </is>
      </c>
      <c r="AQ148" s="152" t="inlineStr">
        <is>
          <t>Not disclosed</t>
        </is>
      </c>
      <c r="AR148" s="152" t="n"/>
      <c r="AS148" s="152" t="n"/>
      <c r="AT148" s="156" t="inlineStr">
        <is>
          <t>Industrial CPU + AI accelerator / GPU (assumed)</t>
        </is>
      </c>
      <c r="AU148" s="156" t="inlineStr">
        <is>
          <t>Ethernet; USB; Wi‑Fi</t>
        </is>
      </c>
      <c r="AV148" s="152" t="inlineStr">
        <is>
          <t>Not disclosed</t>
        </is>
      </c>
      <c r="AW148" s="156" t="inlineStr">
        <is>
          <t>Not disclosed</t>
        </is>
      </c>
      <c r="AX148" s="161" t="n">
        <v>4</v>
      </c>
      <c r="AY148" s="156" t="inlineStr">
        <is>
          <t>Linux-based / ROS</t>
        </is>
      </c>
      <c r="AZ148" s="156" t="inlineStr">
        <is>
          <t>Possible via external system integration</t>
        </is>
      </c>
      <c r="BA148" s="156" t="inlineStr">
        <is>
          <t>150–250 ms</t>
        </is>
      </c>
      <c r="BB148" s="156" t="inlineStr">
        <is>
          <t>Electric servo motors</t>
        </is>
      </c>
      <c r="BC148" s="156" t="inlineStr">
        <is>
          <t>Harmonic drive + planetary gears</t>
        </is>
      </c>
      <c r="BD148" s="152" t="inlineStr">
        <is>
          <t>Not disclosed</t>
        </is>
      </c>
      <c r="BE148" s="152" t="inlineStr">
        <is>
          <t>Not disclosed</t>
        </is>
      </c>
      <c r="BF148" s="152" t="n"/>
      <c r="BG148" s="152" t="n"/>
      <c r="BH148" s="152" t="n"/>
      <c r="BI148" s="152" t="n"/>
      <c r="BJ148" s="152" t="n"/>
      <c r="BK148" s="152" t="n"/>
      <c r="BL148" s="152" t="n"/>
      <c r="BM148" s="152" t="inlineStr">
        <is>
          <t>Yes</t>
        </is>
      </c>
      <c r="BN148" s="152" t="inlineStr">
        <is>
          <t>Not disclosed</t>
        </is>
      </c>
      <c r="BO148" s="156" t="inlineStr">
        <is>
          <t>Market: Academic research; humanoid R&amp;D · Manipulation 3/4 · Navigation 4/4 · Human-safe: Yes · AI: Possible via external system integration · Actuation: Electric servo motors · Peak 5 km/h · Walk 4.5 km/h · Runtime 3</t>
        </is>
      </c>
      <c r="BP148" s="152" t="n"/>
      <c r="BQ148" s="156" t="inlineStr">
        <is>
          <t>Academic research; humanoid R&amp;D</t>
        </is>
      </c>
      <c r="BR148" s="156" t="inlineStr">
        <is>
          <t>Early production / limited release</t>
        </is>
      </c>
      <c r="BS148" s="156" t="inlineStr">
        <is>
          <t>Early production / limited release</t>
        </is>
      </c>
      <c r="BT148" s="152" t="inlineStr">
        <is>
          <t>White</t>
        </is>
      </c>
      <c r="BU148" s="152" t="inlineStr">
        <is>
          <t>Not verified</t>
        </is>
      </c>
      <c r="BV148" s="156" t="n"/>
      <c r="BW148" s="156" t="inlineStr">
        <is>
          <t>Origin &amp; status — China · Early production / limited release · 2026 | Manipulation — 5 per hand · 5 per hand fingers · Hand DOF 12 · Payload 11 lb | Sensing &amp; software — RGB + depth cameras, ~1080p · Possible via external system integration · Linux-based / ROS | Buying notes — From $90,000 · 12 months manufacturer standard (typical research/commercial humanoid) · Best fit: Academic research</t>
        </is>
      </c>
      <c r="BX148" s="156" t="inlineStr">
        <is>
          <t>as_shipped|Qinglong V3.0|90000|As shipped</t>
        </is>
      </c>
      <c r="BY148" s="152" t="inlineStr">
        <is>
          <t>white|White|#e2e8f0|0</t>
        </is>
      </c>
      <c r="BZ148" s="152" t="inlineStr"/>
      <c r="CA148" s="156" t="n"/>
      <c r="CB148" s="156" t="inlineStr">
        <is>
          <t>12 months manufacturer standard (typical research/commercial humanoid)</t>
        </is>
      </c>
      <c r="CC148" s="154" t="n">
        <v>12</v>
      </c>
      <c r="CD148" s="156" t="inlineStr">
        <is>
          <t>+3 Year Extended ≈24% of configuration (default in configurator)</t>
        </is>
      </c>
      <c r="CE148" s="152" t="inlineStr">
        <is>
          <t>Humanoid category norm 2025–2026</t>
        </is>
      </c>
      <c r="CF148" s="152" t="inlineStr">
        <is>
          <t>Estimated</t>
        </is>
      </c>
      <c r="CG148" s="156" t="inlineStr">
        <is>
          <t>Confirm on formal OEM quote. EDU or enterprise packages may differ.</t>
        </is>
      </c>
      <c r="CH148" s="152" t="inlineStr">
        <is>
          <t>10%</t>
        </is>
      </c>
      <c r="CI148" s="152" t="inlineStr">
        <is>
          <t>17%</t>
        </is>
      </c>
      <c r="CJ148" s="152" t="inlineStr">
        <is>
          <t>24%</t>
        </is>
      </c>
      <c r="CK148" s="156" t="inlineStr">
        <is>
          <t>+1yr ≈10% | +2yr ≈17% | +3yr ≈24% of selected configuration price (parts &amp; labor beyond manufacturer standard).</t>
        </is>
      </c>
      <c r="CL148"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48" s="152" t="inlineStr">
        <is>
          <t>12 months manufacturer standard (typical research/commercial humanoid)</t>
        </is>
      </c>
      <c r="CQ148" s="101" t="inlineStr">
        <is>
          <t>Height: 5 ft 5 in | Weight: 165.3 | Degrees of Freedom: 40 | Payload: 11 | Max Speed: 3.11 | Battery / Runtime: ≈ 3 hours</t>
        </is>
      </c>
    </row>
    <row r="149" ht="31.5" customHeight="1" s="102">
      <c r="A149" s="143" t="inlineStr">
        <is>
          <t>openmind_robotics_smart_logistics_automa</t>
        </is>
      </c>
      <c r="B149" s="160" t="inlineStr">
        <is>
          <t>Website</t>
        </is>
      </c>
      <c r="C149" s="145" t="inlineStr">
        <is>
          <t>Openmind Robotics</t>
        </is>
      </c>
      <c r="D149" s="145" t="inlineStr">
        <is>
          <t>Smart Logistics Robot</t>
        </is>
      </c>
      <c r="E149" s="145" t="inlineStr">
        <is>
          <t>[Openmind] Smart Logistics Robot (2026)</t>
        </is>
      </c>
      <c r="F149" s="146" t="inlineStr">
        <is>
          <t>humanoid</t>
        </is>
      </c>
      <c r="G149" s="145" t="inlineStr">
        <is>
          <t>Vietnam</t>
        </is>
      </c>
      <c r="H149" s="147" t="n">
        <v>2026</v>
      </c>
      <c r="I149" s="148" t="n">
        <v>50000</v>
      </c>
      <c r="J149" s="145" t="inlineStr">
        <is>
          <t>Website store</t>
        </is>
      </c>
      <c r="K149" s="149" t="inlineStr">
        <is>
          <t>Smart Logistics Robot is Openmind Robotics's humanoid — Not disclosed DOF. Grippers or dexterous hands depending on configuration; RGB and/or depth cameras for navigation and manipulation (configuration specific).</t>
        </is>
      </c>
      <c r="L149" s="101" t="inlineStr">
        <is>
          <t>Smart Logistics Robot is Openmind Robotics's humanoid — Not disclosed DOF. Grippers or dexterous hands depending on configuration; RGB and/or depth cameras for navigation and manipulation (configuration specific).</t>
        </is>
      </c>
      <c r="M149" s="101" t="inlineStr">
        <is>
          <t>Smart Logistics Robot is Openmind Robotics's humanoid — Not disclosed DOF. Grippers or dexterous hands depending on configuration; RGB and/or depth cameras for navigation and manipulation (configuration specific). Public status is listed as innovation Award (Qualcomm Vietnam), and it is positioned for logistics automation.</t>
        </is>
      </c>
      <c r="N149" s="145" t="n"/>
      <c r="O149" s="145" t="inlineStr">
        <is>
          <t>https://www.openmind.org</t>
        </is>
      </c>
      <c r="P149" s="145" t="n"/>
      <c r="Q149" s="145" t="n"/>
      <c r="R149" s="145" t="n"/>
      <c r="S149" s="145" t="n"/>
      <c r="T149" s="149" t="inlineStr">
        <is>
          <t>Not disclosed</t>
        </is>
      </c>
      <c r="U149" s="145" t="n"/>
      <c r="V149" s="145" t="inlineStr">
        <is>
          <t>Not disclosed</t>
        </is>
      </c>
      <c r="W149" s="149" t="inlineStr">
        <is>
          <t>Not disclosed</t>
        </is>
      </c>
      <c r="X149" s="145" t="n"/>
      <c r="Y149" s="145" t="n"/>
      <c r="Z149" s="145" t="n"/>
      <c r="AA149" s="145" t="n"/>
      <c r="AB149" s="145" t="n"/>
      <c r="AC149" s="149" t="inlineStr">
        <is>
          <t>Not disclosed</t>
        </is>
      </c>
      <c r="AD149" s="149" t="n"/>
      <c r="AE149" s="145" t="n"/>
      <c r="AF149" s="145" t="inlineStr">
        <is>
          <t>Not disclosed</t>
        </is>
      </c>
      <c r="AG149" s="149" t="inlineStr">
        <is>
          <t>Grippers or dexterous hands depending on configuration</t>
        </is>
      </c>
      <c r="AH149" s="145" t="inlineStr">
        <is>
          <t>Not disclosed</t>
        </is>
      </c>
      <c r="AI149" s="145" t="n"/>
      <c r="AJ149" s="149" t="inlineStr">
        <is>
          <t>RGB and/or depth cameras for navigation and manipulation (configuration specific)</t>
        </is>
      </c>
      <c r="AK149" s="149" t="n"/>
      <c r="AL149" s="145" t="inlineStr">
        <is>
          <t>Onboard streams for teleoperation and logging when equipped</t>
        </is>
      </c>
      <c r="AM149" s="145" t="n"/>
      <c r="AN149" s="145" t="inlineStr">
        <is>
          <t>Not disclosed</t>
        </is>
      </c>
      <c r="AO149" s="145" t="inlineStr">
        <is>
          <t>Microphone array on interaction-oriented builds</t>
        </is>
      </c>
      <c r="AP149" s="145" t="inlineStr">
        <is>
          <t>Not disclosed</t>
        </is>
      </c>
      <c r="AQ149" s="145" t="inlineStr">
        <is>
          <t>Not disclosed</t>
        </is>
      </c>
      <c r="AR149" s="145" t="n"/>
      <c r="AS149" s="145" t="n"/>
      <c r="AT149" s="149" t="inlineStr">
        <is>
          <t>Not disclosed</t>
        </is>
      </c>
      <c r="AU149" s="149" t="inlineStr">
        <is>
          <t>Not disclosed</t>
        </is>
      </c>
      <c r="AV149" s="145" t="inlineStr">
        <is>
          <t>Manufacturer app and/or SDK</t>
        </is>
      </c>
      <c r="AW149" s="149" t="inlineStr">
        <is>
          <t>Bipedal balance and walking controllers</t>
        </is>
      </c>
      <c r="AX149" s="145" t="n"/>
      <c r="AY149" s="149" t="inlineStr">
        <is>
          <t>Not disclosed</t>
        </is>
      </c>
      <c r="AZ149" s="149" t="inlineStr">
        <is>
          <t>Not disclosed</t>
        </is>
      </c>
      <c r="BA149" s="149" t="n"/>
      <c r="BB149" s="149" t="inlineStr">
        <is>
          <t>Not disclosed</t>
        </is>
      </c>
      <c r="BC149" s="149" t="inlineStr">
        <is>
          <t>Not disclosed</t>
        </is>
      </c>
      <c r="BD149" s="145" t="inlineStr">
        <is>
          <t>Not disclosed</t>
        </is>
      </c>
      <c r="BE149" s="145" t="inlineStr">
        <is>
          <t>Not disclosed</t>
        </is>
      </c>
      <c r="BF149" s="145" t="n"/>
      <c r="BG149" s="145" t="n"/>
      <c r="BH149" s="145" t="n"/>
      <c r="BI149" s="145" t="n"/>
      <c r="BJ149" s="145" t="n"/>
      <c r="BK149" s="145" t="n"/>
      <c r="BL149" s="145" t="n"/>
      <c r="BM149" s="145" t="inlineStr">
        <is>
          <t>Not disclosed</t>
        </is>
      </c>
      <c r="BN149" s="145" t="inlineStr">
        <is>
          <t>Not disclosed</t>
        </is>
      </c>
      <c r="BO149" s="149" t="inlineStr">
        <is>
          <t>Market: Logistics automation · The Smart Logistics Robot is a bipedal humanoid robot from Openmind Robotics, associated with development and availability timelines around 2026.</t>
        </is>
      </c>
      <c r="BP149" s="145" t="n"/>
      <c r="BQ149" s="149" t="inlineStr">
        <is>
          <t>Logistics automation</t>
        </is>
      </c>
      <c r="BR149" s="149" t="inlineStr">
        <is>
          <t>Innovation Award (Qualcomm Vietnam)</t>
        </is>
      </c>
      <c r="BS149" s="149" t="n"/>
      <c r="BT149" s="145" t="n"/>
      <c r="BU149" s="145" t="n"/>
      <c r="BV149" s="149" t="n"/>
      <c r="BW149" s="149" t="inlineStr">
        <is>
          <t>Origin &amp; status — Vietnam · Innovation Award (Qualcomm Vietnam) · 2026 | Manipulation — Grippers or dexterous hands depending on configuration | Sensing &amp; software — RGB and/or depth cameras for navigation and manipulation (configuration specific) · Manufacturer app and/or SDK | Buying notes — From $50,000 · 12 months manufacturer standard (typical research/commercial humanoid) · Best fit: Logistics automation</t>
        </is>
      </c>
      <c r="BX149" s="149" t="inlineStr">
        <is>
          <t>as_shipped|Smart Logistics Robot|50000|As shipped</t>
        </is>
      </c>
      <c r="BY149" s="145" t="inlineStr">
        <is>
          <t>smart_logistics_robo|Manufacturer finish|#e2e8f0|0</t>
        </is>
      </c>
      <c r="BZ149" s="145" t="inlineStr"/>
      <c r="CA149" s="149" t="inlineStr">
        <is>
          <t>Add-ons: case; 2 color options; Multi-year extended warranty available</t>
        </is>
      </c>
      <c r="CB149" s="149" t="inlineStr">
        <is>
          <t>12 months manufacturer standard (typical research/commercial humanoid)</t>
        </is>
      </c>
      <c r="CC149" s="147" t="n">
        <v>12</v>
      </c>
      <c r="CD149" s="149" t="inlineStr">
        <is>
          <t>+3 Year Extended ≈24% of configuration (default in configurator)</t>
        </is>
      </c>
      <c r="CE149" s="145" t="inlineStr">
        <is>
          <t>Humanoid category norm 2025–2026</t>
        </is>
      </c>
      <c r="CF149" s="145" t="inlineStr">
        <is>
          <t>Estimated</t>
        </is>
      </c>
      <c r="CG149" s="149" t="inlineStr">
        <is>
          <t>EDU or enterprise packages may differ; confirm on formal quote.</t>
        </is>
      </c>
      <c r="CH149" s="145" t="inlineStr">
        <is>
          <t>10%</t>
        </is>
      </c>
      <c r="CI149" s="145" t="inlineStr">
        <is>
          <t>17%</t>
        </is>
      </c>
      <c r="CJ149" s="145" t="inlineStr">
        <is>
          <t>24%</t>
        </is>
      </c>
      <c r="CK14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14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49" s="145" t="inlineStr">
        <is>
          <t>12 months manufacturer standard (typical research/commercial humanoid)</t>
        </is>
      </c>
      <c r="CQ149" s="101" t="inlineStr">
        <is>
          <t>Height: Not disclosed | Weight: Not disclosed | Degrees of Freedom: Not disclosed | Payload: Not disclosed | Max Speed: Not disclosed | Battery / Runtime: Not disclosed</t>
        </is>
      </c>
    </row>
    <row r="150" ht="31.5" customHeight="1" s="102">
      <c r="A150" s="152" t="inlineStr">
        <is>
          <t>orbit_robotics_helios</t>
        </is>
      </c>
      <c r="B150" s="153" t="inlineStr">
        <is>
          <t>Humanoid.guide</t>
        </is>
      </c>
      <c r="C150" s="152" t="inlineStr">
        <is>
          <t>ORBIT Robotics</t>
        </is>
      </c>
      <c r="D150" s="152" t="inlineStr">
        <is>
          <t>HELIOS</t>
        </is>
      </c>
      <c r="E150" s="152" t="inlineStr">
        <is>
          <t>[ORBIT Robotics] HELIOS (2026)</t>
        </is>
      </c>
      <c r="F150" s="146" t="inlineStr">
        <is>
          <t>humanoid</t>
        </is>
      </c>
      <c r="G150" s="152" t="inlineStr">
        <is>
          <t>Switzerland</t>
        </is>
      </c>
      <c r="H150" s="152" t="n"/>
      <c r="I150" s="155" t="n">
        <v>75000</v>
      </c>
      <c r="J150" s="152" t="inlineStr">
        <is>
          <t>Humanoid.guide list</t>
        </is>
      </c>
      <c r="K150" s="156" t="inlineStr">
        <is>
          <t>HELIOS is a four-arm humanoid robot prototype from ORBIT Robotics designed for microgravity operations and space research.</t>
        </is>
      </c>
      <c r="L150" s="101" t="inlineStr">
        <is>
          <t>HELIOS is a four-arm humanoid robot prototype from ORBIT Robotics designed for microgravity operations and space research.</t>
        </is>
      </c>
      <c r="M150" s="101" t="inlineStr">
        <is>
          <t>HELIOS is a four-arm humanoid robot prototype from ORBIT Robotics designed for microgravity operations and space research.</t>
        </is>
      </c>
      <c r="N150" s="157" t="inlineStr">
        <is>
          <t>https://humanoid.guide/product/helios/</t>
        </is>
      </c>
      <c r="O150" s="157" t="inlineStr">
        <is>
          <t>https://www.orbitrobotics.ch/</t>
        </is>
      </c>
      <c r="P150" s="152" t="inlineStr">
        <is>
          <t>5 ft 3 in</t>
        </is>
      </c>
      <c r="Q150" s="152" t="n">
        <v>160</v>
      </c>
      <c r="R150" s="152" t="n">
        <v>132.3</v>
      </c>
      <c r="S150" s="152" t="n">
        <v>60</v>
      </c>
      <c r="T150" s="156" t="inlineStr">
        <is>
          <t>Not disclosed</t>
        </is>
      </c>
      <c r="U150" s="152" t="n"/>
      <c r="V150" s="152" t="inlineStr">
        <is>
          <t>28</t>
        </is>
      </c>
      <c r="W150" s="156" t="inlineStr">
        <is>
          <t>14</t>
        </is>
      </c>
      <c r="X150" s="152" t="n">
        <v>33.1</v>
      </c>
      <c r="Y150" s="152" t="n">
        <v>15</v>
      </c>
      <c r="Z150" s="152" t="n">
        <v>1.24</v>
      </c>
      <c r="AA150" s="152" t="n">
        <v>2</v>
      </c>
      <c r="AB150" s="152" t="n">
        <v>2</v>
      </c>
      <c r="AC150" s="156" t="inlineStr">
        <is>
          <t>≈ 3 hours</t>
        </is>
      </c>
      <c r="AD150" s="156" t="inlineStr">
        <is>
          <t>3</t>
        </is>
      </c>
      <c r="AE150" s="152" t="n"/>
      <c r="AF150" s="152" t="inlineStr">
        <is>
          <t>Not disclosed</t>
        </is>
      </c>
      <c r="AG150" s="156" t="inlineStr">
        <is>
          <t>5</t>
        </is>
      </c>
      <c r="AH150" s="152" t="inlineStr">
        <is>
          <t>5</t>
        </is>
      </c>
      <c r="AI150" s="152" t="n"/>
      <c r="AJ150" s="156" t="inlineStr">
        <is>
          <t>Likely HD stereo/depth cameras</t>
        </is>
      </c>
      <c r="AK150" s="156" t="inlineStr">
        <is>
          <t>Likely HD stereo/depth cameras</t>
        </is>
      </c>
      <c r="AL150" s="152" t="inlineStr">
        <is>
          <t>Not disclosed</t>
        </is>
      </c>
      <c r="AM150" s="152" t="n"/>
      <c r="AN150" s="152" t="inlineStr">
        <is>
          <t>Not disclosed</t>
        </is>
      </c>
      <c r="AO150" s="152" t="inlineStr">
        <is>
          <t>Not disclosed</t>
        </is>
      </c>
      <c r="AP150" s="152" t="inlineStr">
        <is>
          <t>Not disclosed</t>
        </is>
      </c>
      <c r="AQ150" s="152" t="inlineStr">
        <is>
          <t>Not disclosed</t>
        </is>
      </c>
      <c r="AR150" s="152" t="n"/>
      <c r="AS150" s="152" t="n"/>
      <c r="AT150" s="156" t="inlineStr">
        <is>
          <t>Not disclosed</t>
        </is>
      </c>
      <c r="AU150" s="156" t="inlineStr">
        <is>
          <t>Ethernet; Wi‑Fi</t>
        </is>
      </c>
      <c r="AV150" s="152" t="inlineStr">
        <is>
          <t>Not disclosed</t>
        </is>
      </c>
      <c r="AW150" s="156" t="inlineStr">
        <is>
          <t>Not disclosed</t>
        </is>
      </c>
      <c r="AX150" s="152" t="n"/>
      <c r="AY150" s="156" t="inlineStr">
        <is>
          <t>Likely Ubuntu + ROS/ROS2</t>
        </is>
      </c>
      <c r="AZ150" s="156" t="inlineStr">
        <is>
          <t>Possible experimental AI integration</t>
        </is>
      </c>
      <c r="BA150" s="156" t="n"/>
      <c r="BB150" s="156" t="inlineStr">
        <is>
          <t>Electric actuators with tendon-driven system</t>
        </is>
      </c>
      <c r="BC150" s="156" t="inlineStr">
        <is>
          <t>Rolling contact joint + cable transmission</t>
        </is>
      </c>
      <c r="BD150" s="152" t="inlineStr">
        <is>
          <t>Aluminum alloys and carbon fiber</t>
        </is>
      </c>
      <c r="BE150" s="152" t="inlineStr">
        <is>
          <t>Not disclosed</t>
        </is>
      </c>
      <c r="BF150" s="152" t="n"/>
      <c r="BG150" s="152" t="n"/>
      <c r="BH150" s="152" t="n"/>
      <c r="BI150" s="152" t="n"/>
      <c r="BJ150" s="152" t="n"/>
      <c r="BK150" s="152" t="n"/>
      <c r="BL150" s="152" t="n"/>
      <c r="BM150" s="152" t="inlineStr">
        <is>
          <t>Yes</t>
        </is>
      </c>
      <c r="BN150" s="152" t="inlineStr">
        <is>
          <t>Not disclosed</t>
        </is>
      </c>
      <c r="BO150" s="156" t="inlineStr">
        <is>
          <t>Market: Space research · Human-safe: Yes · AI: Possible experimental AI integration · Actuation: Electric actuators with tendon-driven system · Peak 2 km/h · Walk 2 km/h · Runtime 3</t>
        </is>
      </c>
      <c r="BP150" s="152" t="n"/>
      <c r="BQ150" s="156" t="inlineStr">
        <is>
          <t>Space research</t>
        </is>
      </c>
      <c r="BR150" s="156" t="inlineStr">
        <is>
          <t>Prototype</t>
        </is>
      </c>
      <c r="BS150" s="156" t="inlineStr">
        <is>
          <t>Prototype</t>
        </is>
      </c>
      <c r="BT150" s="152" t="n"/>
      <c r="BU150" s="152" t="n"/>
      <c r="BV150" s="156" t="n"/>
      <c r="BW150" s="156" t="inlineStr">
        <is>
          <t>Origin &amp; status — Switzerland · Prototype · 2026 | Manipulation — 5 · 5 fingers · Hand DOF 14 · Payload 33.1 lb | Sensing &amp; software — Likely HD stereo/depth cameras · Possible experimental AI integration · Likely Ubuntu + ROS/ROS2 | Buying notes — From $75,000 · 12 months manufacturer standard (typical research/commercial humanoid) · Best fit: Space research</t>
        </is>
      </c>
      <c r="BX150" s="156" t="inlineStr">
        <is>
          <t>as_shipped|HELIOS|75000|As shipped</t>
        </is>
      </c>
      <c r="BY150" s="152" t="inlineStr">
        <is>
          <t>helios|Manufacturer finish|#e2e8f0|0</t>
        </is>
      </c>
      <c r="BZ150" s="152" t="inlineStr"/>
      <c r="CA150" s="156" t="n"/>
      <c r="CB150" s="156" t="inlineStr">
        <is>
          <t>12 months manufacturer standard (typical research/commercial humanoid)</t>
        </is>
      </c>
      <c r="CC150" s="154" t="n">
        <v>12</v>
      </c>
      <c r="CD150" s="156" t="inlineStr">
        <is>
          <t>+3 Year Extended ≈24% of configuration (default in configurator)</t>
        </is>
      </c>
      <c r="CE150" s="152" t="inlineStr">
        <is>
          <t>Humanoid category norm 2025–2026</t>
        </is>
      </c>
      <c r="CF150" s="152" t="inlineStr">
        <is>
          <t>Estimated</t>
        </is>
      </c>
      <c r="CG150" s="156" t="inlineStr">
        <is>
          <t>Confirm on formal OEM quote. EDU or enterprise packages may differ.</t>
        </is>
      </c>
      <c r="CH150" s="152" t="inlineStr">
        <is>
          <t>10%</t>
        </is>
      </c>
      <c r="CI150" s="152" t="inlineStr">
        <is>
          <t>17%</t>
        </is>
      </c>
      <c r="CJ150" s="152" t="inlineStr">
        <is>
          <t>24%</t>
        </is>
      </c>
      <c r="CK150" s="156" t="inlineStr">
        <is>
          <t>+1yr ≈10% | +2yr ≈17% | +3yr ≈24% of selected configuration price (parts &amp; labor beyond manufacturer standard).</t>
        </is>
      </c>
      <c r="CL150"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50" s="152" t="inlineStr">
        <is>
          <t>12 months manufacturer standard (typical research/commercial humanoid)</t>
        </is>
      </c>
      <c r="CQ150" s="101" t="inlineStr">
        <is>
          <t>Height: 5 ft 3 in | Weight: 132.3 | Degrees of Freedom: 28 | Payload: 33.1 | Max Speed: 1.24 | Battery / Runtime: ≈ 3 hours</t>
        </is>
      </c>
    </row>
    <row r="151" ht="31.5" customHeight="1" s="102">
      <c r="A151" s="145" t="inlineStr">
        <is>
          <t>oversonic_robotics_robee</t>
        </is>
      </c>
      <c r="B151" s="153" t="inlineStr">
        <is>
          <t>Humanoid.guide</t>
        </is>
      </c>
      <c r="C151" s="145" t="inlineStr">
        <is>
          <t>Oversonic Robotics</t>
        </is>
      </c>
      <c r="D151" s="145" t="inlineStr">
        <is>
          <t>RoBee</t>
        </is>
      </c>
      <c r="E151" s="145" t="inlineStr">
        <is>
          <t>[Oversonic Robotics] RoBee (2026)</t>
        </is>
      </c>
      <c r="F151" s="146" t="inlineStr">
        <is>
          <t>humanoid</t>
        </is>
      </c>
      <c r="G151" s="145" t="inlineStr">
        <is>
          <t>Italy</t>
        </is>
      </c>
      <c r="H151" s="145" t="n"/>
      <c r="I151" s="148" t="n">
        <v>140000</v>
      </c>
      <c r="J151" s="145" t="inlineStr">
        <is>
          <t>Humanoid.guide list</t>
        </is>
      </c>
      <c r="K151" s="149" t="inlineStr">
        <is>
          <t>RoBee, part of the R Series dedicated to industrial applications, is designed to operate in industrial environments with autonomy, intelligence, and safety.</t>
        </is>
      </c>
      <c r="L151" s="101" t="inlineStr">
        <is>
          <t>RoBee, part of the R Series dedicated to industrial applications, is designed to operate in industrial environments with autonomy, intelligence, and safety.</t>
        </is>
      </c>
      <c r="M151" s="101" t="inlineStr">
        <is>
          <t>RoBee, part of the R Series dedicated to industrial applications, is designed to operate in industrial environments with autonomy, intelligence, and safety. Public status is listed as in production.</t>
        </is>
      </c>
      <c r="N151" s="150" t="inlineStr">
        <is>
          <t>https://humanoid.guide/product/robee/</t>
        </is>
      </c>
      <c r="O151" s="150" t="inlineStr">
        <is>
          <t>https://www.oversonicrobotics.com</t>
        </is>
      </c>
      <c r="P151" s="145" t="inlineStr">
        <is>
          <t>6 ft 3 in</t>
        </is>
      </c>
      <c r="Q151" s="145" t="n">
        <v>190</v>
      </c>
      <c r="R151" s="145" t="n">
        <v>396.8</v>
      </c>
      <c r="S151" s="145" t="n">
        <v>180</v>
      </c>
      <c r="T151" s="149" t="inlineStr">
        <is>
          <t>Not disclosed</t>
        </is>
      </c>
      <c r="U151" s="145" t="n"/>
      <c r="V151" s="145" t="inlineStr">
        <is>
          <t>40</t>
        </is>
      </c>
      <c r="W151" s="149" t="inlineStr">
        <is>
          <t>18</t>
        </is>
      </c>
      <c r="X151" s="145" t="n">
        <v>35.3</v>
      </c>
      <c r="Y151" s="145" t="n">
        <v>16</v>
      </c>
      <c r="Z151" s="145" t="n">
        <v>3.73</v>
      </c>
      <c r="AA151" s="145" t="n">
        <v>6</v>
      </c>
      <c r="AB151" s="145" t="n">
        <v>9</v>
      </c>
      <c r="AC151" s="149" t="inlineStr">
        <is>
          <t>≈ 8 hours</t>
        </is>
      </c>
      <c r="AD151" s="149" t="inlineStr">
        <is>
          <t>8</t>
        </is>
      </c>
      <c r="AE151" s="145" t="n"/>
      <c r="AF151" s="145" t="inlineStr">
        <is>
          <t>Not disclosed</t>
        </is>
      </c>
      <c r="AG151" s="149" t="inlineStr">
        <is>
          <t>2-finger gripping claws; 5 per hand</t>
        </is>
      </c>
      <c r="AH151" s="145" t="inlineStr">
        <is>
          <t>2-finger gripping claws; 5 per hand</t>
        </is>
      </c>
      <c r="AI151" s="145" t="n"/>
      <c r="AJ151" s="149" t="inlineStr">
        <is>
          <t>Not disclosed</t>
        </is>
      </c>
      <c r="AK151" s="149" t="n"/>
      <c r="AL151" s="145" t="inlineStr">
        <is>
          <t>Not disclosed</t>
        </is>
      </c>
      <c r="AM151" s="145" t="n"/>
      <c r="AN151" s="145" t="inlineStr">
        <is>
          <t>Not disclosed</t>
        </is>
      </c>
      <c r="AO151" s="145" t="inlineStr">
        <is>
          <t>Not disclosed</t>
        </is>
      </c>
      <c r="AP151" s="145" t="inlineStr">
        <is>
          <t>Not disclosed</t>
        </is>
      </c>
      <c r="AQ151" s="145" t="inlineStr">
        <is>
          <t>Not disclosed</t>
        </is>
      </c>
      <c r="AR151" s="145" t="n"/>
      <c r="AS151" s="145" t="n"/>
      <c r="AT151" s="149" t="inlineStr">
        <is>
          <t>NVIDIA</t>
        </is>
      </c>
      <c r="AU151" s="149" t="inlineStr">
        <is>
          <t>5G; Wi‑Fi</t>
        </is>
      </c>
      <c r="AV151" s="145" t="inlineStr">
        <is>
          <t>Not disclosed</t>
        </is>
      </c>
      <c r="AW151" s="149" t="inlineStr">
        <is>
          <t>Not disclosed</t>
        </is>
      </c>
      <c r="AX151" s="145" t="n"/>
      <c r="AY151" s="149" t="inlineStr">
        <is>
          <t>Linux</t>
        </is>
      </c>
      <c r="AZ151" s="149" t="inlineStr">
        <is>
          <t>Yes</t>
        </is>
      </c>
      <c r="BA151" s="149" t="inlineStr">
        <is>
          <t>120 ms</t>
        </is>
      </c>
      <c r="BB151" s="149" t="inlineStr">
        <is>
          <t>brushless</t>
        </is>
      </c>
      <c r="BC151" s="149" t="inlineStr">
        <is>
          <t>Strain Wave Gear</t>
        </is>
      </c>
      <c r="BD151" s="145" t="inlineStr">
        <is>
          <t>Steel</t>
        </is>
      </c>
      <c r="BE151" s="145" t="inlineStr">
        <is>
          <t>IP64</t>
        </is>
      </c>
      <c r="BF151" s="145" t="inlineStr">
        <is>
          <t>IP64</t>
        </is>
      </c>
      <c r="BG151" s="145" t="n"/>
      <c r="BH151" s="145" t="n"/>
      <c r="BI151" s="145" t="n"/>
      <c r="BJ151" s="145" t="n"/>
      <c r="BK151" s="145" t="n"/>
      <c r="BL151" s="145" t="n"/>
      <c r="BM151" s="145" t="inlineStr">
        <is>
          <t>Yes</t>
        </is>
      </c>
      <c r="BN151" s="145" t="inlineStr">
        <is>
          <t>Not disclosed</t>
        </is>
      </c>
      <c r="BO151" s="149" t="inlineStr">
        <is>
          <t>Market: Industrial · Human-safe: Yes · AI: Yes · Actuation: brushless · Peak 6 km/h · Walk 9 km/h · Runtime 8</t>
        </is>
      </c>
      <c r="BP151" s="145" t="n"/>
      <c r="BQ151" s="149" t="inlineStr">
        <is>
          <t>Industrial</t>
        </is>
      </c>
      <c r="BR151" s="149" t="inlineStr">
        <is>
          <t>In production</t>
        </is>
      </c>
      <c r="BS151" s="149" t="inlineStr">
        <is>
          <t>In production</t>
        </is>
      </c>
      <c r="BT151" s="145" t="inlineStr">
        <is>
          <t>Black</t>
        </is>
      </c>
      <c r="BU151" s="145" t="n"/>
      <c r="BV151" s="149" t="n"/>
      <c r="BW151" s="149" t="inlineStr">
        <is>
          <t>Origin &amp; status — Italy · In production · 2026 | Manipulation — 2-finger gripping claws; 5 per hand · Hand DOF 18 · Payload 35.3 lb | Sensing &amp; software — Yes · Linux | Buying notes — From $140,000 · 12 months manufacturer standard (typical research/commercial humanoid) · Best fit: Industrial</t>
        </is>
      </c>
      <c r="BX151" s="149" t="inlineStr">
        <is>
          <t>as_shipped|RoBee|140000|As shipped</t>
        </is>
      </c>
      <c r="BY151" s="145" t="inlineStr">
        <is>
          <t>black|Black|#e2e8f0|0</t>
        </is>
      </c>
      <c r="BZ151" s="145" t="inlineStr"/>
      <c r="CA151" s="149" t="n"/>
      <c r="CB151" s="149" t="inlineStr">
        <is>
          <t>12 months manufacturer standard (typical research/commercial humanoid)</t>
        </is>
      </c>
      <c r="CC151" s="147" t="n">
        <v>12</v>
      </c>
      <c r="CD151" s="149" t="inlineStr">
        <is>
          <t>+3 Year Extended ≈24% of configuration (default in configurator)</t>
        </is>
      </c>
      <c r="CE151" s="145" t="inlineStr">
        <is>
          <t>Humanoid category norm 2025–2026</t>
        </is>
      </c>
      <c r="CF151" s="145" t="inlineStr">
        <is>
          <t>Estimated</t>
        </is>
      </c>
      <c r="CG151" s="149" t="inlineStr">
        <is>
          <t>Confirm on formal OEM quote. EDU or enterprise packages may differ.</t>
        </is>
      </c>
      <c r="CH151" s="145" t="inlineStr">
        <is>
          <t>10%</t>
        </is>
      </c>
      <c r="CI151" s="145" t="inlineStr">
        <is>
          <t>17%</t>
        </is>
      </c>
      <c r="CJ151" s="145" t="inlineStr">
        <is>
          <t>24%</t>
        </is>
      </c>
      <c r="CK151" s="149" t="inlineStr">
        <is>
          <t>+1yr ≈10% | +2yr ≈17% | +3yr ≈24% of selected configuration price (parts &amp; labor beyond manufacturer standard).</t>
        </is>
      </c>
      <c r="CL15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51" s="145" t="inlineStr">
        <is>
          <t>12 months manufacturer standard (typical research/commercial humanoid)</t>
        </is>
      </c>
      <c r="CQ151" s="101" t="inlineStr">
        <is>
          <t>Height: 6 ft 3 in | Weight: 396.8 | Degrees of Freedom: 40 | Payload: 35.3 | Max Speed: 3.73 | Battery / Runtime: ≈ 8 hours</t>
        </is>
      </c>
    </row>
    <row r="152" ht="31.5" customHeight="1" s="102">
      <c r="A152" s="152" t="inlineStr">
        <is>
          <t>pal_robotics_kangaroo</t>
        </is>
      </c>
      <c r="B152" s="153" t="inlineStr">
        <is>
          <t>Humanoid.guide</t>
        </is>
      </c>
      <c r="C152" s="152" t="inlineStr">
        <is>
          <t>PAL Robotics</t>
        </is>
      </c>
      <c r="D152" s="152" t="inlineStr">
        <is>
          <t>Kangaroo</t>
        </is>
      </c>
      <c r="E152" s="152" t="inlineStr">
        <is>
          <t>[PAL Robotics] Kangaroo (2026)</t>
        </is>
      </c>
      <c r="F152" s="146" t="inlineStr">
        <is>
          <t>humanoid</t>
        </is>
      </c>
      <c r="G152" s="152" t="inlineStr">
        <is>
          <t>Spain</t>
        </is>
      </c>
      <c r="H152" s="152" t="n"/>
      <c r="I152" s="155" t="n">
        <v>100000</v>
      </c>
      <c r="J152" s="152" t="inlineStr">
        <is>
          <t>Humanoid.guide list</t>
        </is>
      </c>
      <c r="K152" s="156" t="inlineStr">
        <is>
          <t>Kangaroo is a dynamic bipedal robot developed by PAL Robotics, featuring advanced actuators, lightweight construction, and energy-efficient design.</t>
        </is>
      </c>
      <c r="L152" s="101" t="inlineStr">
        <is>
          <t>Kangaroo is a dynamic bipedal robot developed by PAL Robotics, featuring advanced actuators, lightweight construction, and energy-efficient design.</t>
        </is>
      </c>
      <c r="M152" s="101" t="inlineStr">
        <is>
          <t>Kangaroo is a dynamic bipedal robot developed by PAL Robotics, featuring advanced actuators, lightweight construction, and energy-efficient design. Public status is listed as prototype.</t>
        </is>
      </c>
      <c r="N152" s="157" t="inlineStr">
        <is>
          <t>https://humanoid.guide/product/kangaroo/</t>
        </is>
      </c>
      <c r="O152" s="157" t="inlineStr">
        <is>
          <t>https://pal-robotics.com</t>
        </is>
      </c>
      <c r="P152" s="152" t="inlineStr">
        <is>
          <t>5 ft 3 in</t>
        </is>
      </c>
      <c r="Q152" s="152" t="n">
        <v>160</v>
      </c>
      <c r="R152" s="152" t="n">
        <v>88.2</v>
      </c>
      <c r="S152" s="152" t="n">
        <v>40</v>
      </c>
      <c r="T152" s="156" t="inlineStr">
        <is>
          <t>Not disclosed</t>
        </is>
      </c>
      <c r="U152" s="152" t="n"/>
      <c r="V152" s="152" t="inlineStr">
        <is>
          <t>28</t>
        </is>
      </c>
      <c r="W152" s="156" t="inlineStr">
        <is>
          <t>Not disclosed</t>
        </is>
      </c>
      <c r="X152" s="152" t="n">
        <v>44.1</v>
      </c>
      <c r="Y152" s="152" t="n">
        <v>20</v>
      </c>
      <c r="Z152" s="152" t="n">
        <v>2.8</v>
      </c>
      <c r="AA152" s="152" t="n">
        <v>4.5</v>
      </c>
      <c r="AB152" s="152" t="n"/>
      <c r="AC152" s="156" t="inlineStr">
        <is>
          <t>≈ 6 hours</t>
        </is>
      </c>
      <c r="AD152" s="156" t="inlineStr">
        <is>
          <t>6</t>
        </is>
      </c>
      <c r="AE152" s="152" t="n"/>
      <c r="AF152" s="152" t="inlineStr">
        <is>
          <t>Not disclosed</t>
        </is>
      </c>
      <c r="AG152" s="156" t="inlineStr">
        <is>
          <t>Not disclosed</t>
        </is>
      </c>
      <c r="AH152" s="152" t="inlineStr">
        <is>
          <t>Not disclosed</t>
        </is>
      </c>
      <c r="AI152" s="158" t="n">
        <v>2</v>
      </c>
      <c r="AJ152" s="156" t="inlineStr">
        <is>
          <t>Not disclosed</t>
        </is>
      </c>
      <c r="AK152" s="156" t="n"/>
      <c r="AL152" s="152" t="inlineStr">
        <is>
          <t>Not disclosed</t>
        </is>
      </c>
      <c r="AM152" s="152" t="n"/>
      <c r="AN152" s="152" t="inlineStr">
        <is>
          <t>Not disclosed</t>
        </is>
      </c>
      <c r="AO152" s="152" t="inlineStr">
        <is>
          <t>Not disclosed</t>
        </is>
      </c>
      <c r="AP152" s="152" t="inlineStr">
        <is>
          <t>Not disclosed</t>
        </is>
      </c>
      <c r="AQ152" s="152" t="inlineStr">
        <is>
          <t>Not disclosed</t>
        </is>
      </c>
      <c r="AR152" s="152" t="n"/>
      <c r="AS152" s="152" t="n"/>
      <c r="AT152" s="156" t="inlineStr">
        <is>
          <t>Not disclosed</t>
        </is>
      </c>
      <c r="AU152" s="156" t="inlineStr">
        <is>
          <t>Not disclosed</t>
        </is>
      </c>
      <c r="AV152" s="152" t="inlineStr">
        <is>
          <t>Not disclosed</t>
        </is>
      </c>
      <c r="AW152" s="156" t="inlineStr">
        <is>
          <t>Not disclosed</t>
        </is>
      </c>
      <c r="AX152" s="158" t="n">
        <v>2</v>
      </c>
      <c r="AY152" s="156" t="inlineStr">
        <is>
          <t>Linux, Ubuntu, ROS; N/A</t>
        </is>
      </c>
      <c r="AZ152" s="156" t="inlineStr">
        <is>
          <t>Not disclosed</t>
        </is>
      </c>
      <c r="BA152" s="156" t="n"/>
      <c r="BB152" s="156" t="inlineStr">
        <is>
          <t>Not disclosed</t>
        </is>
      </c>
      <c r="BC152" s="156" t="inlineStr">
        <is>
          <t>Not disclosed</t>
        </is>
      </c>
      <c r="BD152" s="152" t="inlineStr">
        <is>
          <t>Not disclosed</t>
        </is>
      </c>
      <c r="BE152" s="152" t="inlineStr">
        <is>
          <t>Not disclosed</t>
        </is>
      </c>
      <c r="BF152" s="152" t="n"/>
      <c r="BG152" s="152" t="n"/>
      <c r="BH152" s="152" t="n"/>
      <c r="BI152" s="152" t="n"/>
      <c r="BJ152" s="152" t="n"/>
      <c r="BK152" s="152" t="n"/>
      <c r="BL152" s="152" t="n"/>
      <c r="BM152" s="152" t="inlineStr">
        <is>
          <t>Not disclosed</t>
        </is>
      </c>
      <c r="BN152" s="152" t="inlineStr">
        <is>
          <t>Not disclosed</t>
        </is>
      </c>
      <c r="BO152" s="156" t="inlineStr">
        <is>
          <t>Manipulation 2/4 · Navigation 2/4 · Peak 4.5 km/h · Runtime 6</t>
        </is>
      </c>
      <c r="BP152" s="152" t="n"/>
      <c r="BQ152" s="156" t="inlineStr">
        <is>
          <t>Research labs, commercial pilots, and education programs evaluating a humanoid from PAL Robotics (Spain) now listed as prototype.</t>
        </is>
      </c>
      <c r="BR152" s="156" t="inlineStr">
        <is>
          <t>Prototype</t>
        </is>
      </c>
      <c r="BS152" s="156" t="inlineStr">
        <is>
          <t>Prototype</t>
        </is>
      </c>
      <c r="BT152" s="152" t="n"/>
      <c r="BU152" s="152" t="inlineStr">
        <is>
          <t>Not verified</t>
        </is>
      </c>
      <c r="BV152" s="156" t="n"/>
      <c r="BW152" s="156" t="inlineStr">
        <is>
          <t>Origin &amp; status — Spain · Prototype · 2026 | Manipulation — Payload 44.1 lb | Sensing &amp; software — Linux, Ubuntu, ROS; N/A | Buying notes — From $100,000 · 12 months manufacturer standard (typical research/commercial humanoid)</t>
        </is>
      </c>
      <c r="BX152" s="156" t="inlineStr">
        <is>
          <t>as_shipped|Kangaroo|100000|As shipped</t>
        </is>
      </c>
      <c r="BY152" s="152" t="inlineStr">
        <is>
          <t>kangaroo|Manufacturer finish|#e2e8f0|0</t>
        </is>
      </c>
      <c r="BZ152" s="152" t="inlineStr"/>
      <c r="CA152" s="156" t="n"/>
      <c r="CB152" s="156" t="inlineStr">
        <is>
          <t>12 months manufacturer standard (typical research/commercial humanoid)</t>
        </is>
      </c>
      <c r="CC152" s="154" t="n">
        <v>12</v>
      </c>
      <c r="CD152" s="156" t="inlineStr">
        <is>
          <t>+3 Year Extended ≈24% of configuration (default in configurator)</t>
        </is>
      </c>
      <c r="CE152" s="152" t="inlineStr">
        <is>
          <t>Humanoid category norm 2025–2026</t>
        </is>
      </c>
      <c r="CF152" s="152" t="inlineStr">
        <is>
          <t>Estimated</t>
        </is>
      </c>
      <c r="CG152" s="156" t="inlineStr">
        <is>
          <t>Confirm on formal OEM quote. EDU or enterprise packages may differ.</t>
        </is>
      </c>
      <c r="CH152" s="152" t="inlineStr">
        <is>
          <t>10%</t>
        </is>
      </c>
      <c r="CI152" s="152" t="inlineStr">
        <is>
          <t>17%</t>
        </is>
      </c>
      <c r="CJ152" s="152" t="inlineStr">
        <is>
          <t>24%</t>
        </is>
      </c>
      <c r="CK152" s="156" t="inlineStr">
        <is>
          <t>+1yr ≈10% | +2yr ≈17% | +3yr ≈24% of selected configuration price (parts &amp; labor beyond manufacturer standard).</t>
        </is>
      </c>
      <c r="CL152"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52" s="152" t="inlineStr">
        <is>
          <t>12 months manufacturer standard (typical research/commercial humanoid)</t>
        </is>
      </c>
      <c r="CQ152" s="101" t="inlineStr">
        <is>
          <t>Height: 5 ft 3 in | Weight: 88.2 | Degrees of Freedom: 28 | Payload: 44.1 | Max Speed: 2.8 | Battery / Runtime: ≈ 6 hours</t>
        </is>
      </c>
    </row>
    <row r="153" ht="31.5" customHeight="1" s="102">
      <c r="A153" s="145" t="inlineStr">
        <is>
          <t>paxini_paxini_tech_tora_doubleone</t>
        </is>
      </c>
      <c r="B153" s="153" t="inlineStr">
        <is>
          <t>Humanoid.guide</t>
        </is>
      </c>
      <c r="C153" s="145" t="inlineStr">
        <is>
          <t>PaXini (PaXini Tech)</t>
        </is>
      </c>
      <c r="D153" s="145" t="inlineStr">
        <is>
          <t>Tora DoubleOne</t>
        </is>
      </c>
      <c r="E153" s="145" t="inlineStr">
        <is>
          <t>[PaXini] Tora DoubleOne (2026)</t>
        </is>
      </c>
      <c r="F153" s="146" t="inlineStr">
        <is>
          <t>humanoid</t>
        </is>
      </c>
      <c r="G153" s="145" t="inlineStr">
        <is>
          <t>China</t>
        </is>
      </c>
      <c r="H153" s="145" t="n"/>
      <c r="I153" s="148" t="n">
        <v>45000</v>
      </c>
      <c r="J153" s="145" t="inlineStr">
        <is>
          <t>Humanoid.guide list</t>
        </is>
      </c>
      <c r="K153" s="149" t="inlineStr">
        <is>
          <t>TORA DoubleOne is a wheeled humanoid robot developed by PaXini for real-world industrial and service environments.</t>
        </is>
      </c>
      <c r="L153" s="101" t="inlineStr">
        <is>
          <t>TORA DoubleOne is a wheeled humanoid robot developed by PaXini for real-world industrial and service environments.</t>
        </is>
      </c>
      <c r="M153" s="101" t="inlineStr">
        <is>
          <t>TORA DoubleOne is a wheeled humanoid robot developed by PaXini for real-world industrial and service environments. Public status is listed as in production; pre-order, and it is positioned for industrial; logistics; service robotics.</t>
        </is>
      </c>
      <c r="N153" s="150" t="inlineStr">
        <is>
          <t>https://humanoid.guide/product/tora-doubleone/</t>
        </is>
      </c>
      <c r="O153" s="150" t="inlineStr">
        <is>
          <t>https://www.paxini.com</t>
        </is>
      </c>
      <c r="P153" s="145" t="inlineStr">
        <is>
          <t>5 ft 6 in</t>
        </is>
      </c>
      <c r="Q153" s="145" t="n">
        <v>168</v>
      </c>
      <c r="R153" s="145" t="n">
        <v>154.3</v>
      </c>
      <c r="S153" s="145" t="n">
        <v>70</v>
      </c>
      <c r="T153" s="149" t="inlineStr">
        <is>
          <t>Not disclosed</t>
        </is>
      </c>
      <c r="U153" s="145" t="n"/>
      <c r="V153" s="145" t="inlineStr">
        <is>
          <t>58</t>
        </is>
      </c>
      <c r="W153" s="149" t="inlineStr">
        <is>
          <t>18</t>
        </is>
      </c>
      <c r="X153" s="145" t="n">
        <v>14.3</v>
      </c>
      <c r="Y153" s="145" t="n">
        <v>6.5</v>
      </c>
      <c r="Z153" s="145" t="n">
        <v>4.04</v>
      </c>
      <c r="AA153" s="145" t="n">
        <v>6.5</v>
      </c>
      <c r="AB153" s="145" t="n"/>
      <c r="AC153" s="149" t="inlineStr">
        <is>
          <t>≈ 6 hours</t>
        </is>
      </c>
      <c r="AD153" s="149" t="inlineStr">
        <is>
          <t>6</t>
        </is>
      </c>
      <c r="AE153" s="145" t="n"/>
      <c r="AF153" s="145" t="inlineStr">
        <is>
          <t>Not disclosed</t>
        </is>
      </c>
      <c r="AG153" s="149" t="inlineStr">
        <is>
          <t>5 per hand</t>
        </is>
      </c>
      <c r="AH153" s="145" t="inlineStr">
        <is>
          <t>5 per hand</t>
        </is>
      </c>
      <c r="AI153" s="145" t="n"/>
      <c r="AJ153" s="149" t="inlineStr">
        <is>
          <t>RGB + RGB-D (exact resolution not disclosed)</t>
        </is>
      </c>
      <c r="AK153" s="149" t="inlineStr">
        <is>
          <t>RGB + RGB-D (exact resolution not disclosed)</t>
        </is>
      </c>
      <c r="AL153" s="145" t="inlineStr">
        <is>
          <t>Not disclosed</t>
        </is>
      </c>
      <c r="AM153" s="145" t="n"/>
      <c r="AN153" s="145" t="inlineStr">
        <is>
          <t>Not disclosed</t>
        </is>
      </c>
      <c r="AO153" s="145" t="inlineStr">
        <is>
          <t>Not disclosed</t>
        </is>
      </c>
      <c r="AP153" s="145" t="inlineStr">
        <is>
          <t>Not disclosed</t>
        </is>
      </c>
      <c r="AQ153" s="145" t="inlineStr">
        <is>
          <t>Not disclosed</t>
        </is>
      </c>
      <c r="AR153" s="145" t="n"/>
      <c r="AS153" s="145" t="n"/>
      <c r="AT153" s="149" t="inlineStr">
        <is>
          <t>NVIDIA Jetson AGX Orin + x86 real-time controller</t>
        </is>
      </c>
      <c r="AU153" s="149" t="inlineStr">
        <is>
          <t>Wi-Fi, Bluetooth, 5G</t>
        </is>
      </c>
      <c r="AV153" s="145" t="inlineStr">
        <is>
          <t>Not disclosed</t>
        </is>
      </c>
      <c r="AW153" s="149" t="inlineStr">
        <is>
          <t>Not disclosed</t>
        </is>
      </c>
      <c r="AX153" s="145" t="n"/>
      <c r="AY153" s="149" t="inlineStr">
        <is>
          <t>Linux-based custom robotics OS</t>
        </is>
      </c>
      <c r="AZ153" s="149" t="inlineStr">
        <is>
          <t>Possible via AGX Orin (not native)</t>
        </is>
      </c>
      <c r="BA153" s="149" t="n"/>
      <c r="BB153" s="149" t="inlineStr">
        <is>
          <t>Electric servo actuators</t>
        </is>
      </c>
      <c r="BC153" s="149" t="inlineStr">
        <is>
          <t>Harmonic reducers</t>
        </is>
      </c>
      <c r="BD153" s="145" t="inlineStr">
        <is>
          <t>Industrial aluminum alloys (assumed, not specified)</t>
        </is>
      </c>
      <c r="BE153" s="145" t="inlineStr">
        <is>
          <t>Not disclosed</t>
        </is>
      </c>
      <c r="BF153" s="145" t="n"/>
      <c r="BG153" s="145" t="n"/>
      <c r="BH153" s="145" t="n"/>
      <c r="BI153" s="145" t="n"/>
      <c r="BJ153" s="145" t="n"/>
      <c r="BK153" s="145" t="n"/>
      <c r="BL153" s="145" t="n"/>
      <c r="BM153" s="145" t="inlineStr">
        <is>
          <t>Yes</t>
        </is>
      </c>
      <c r="BN153" s="145" t="inlineStr">
        <is>
          <t>Not disclosed</t>
        </is>
      </c>
      <c r="BO153" s="149" t="inlineStr">
        <is>
          <t>Market: Industrial; logistics; service robotics · Human-safe: Yes · AI: Possible via AGX Orin (not native) · Actuation: Electric servo actuators · Peak 6.5 km/h · Runtime 6</t>
        </is>
      </c>
      <c r="BP153" s="145" t="n"/>
      <c r="BQ153" s="149" t="inlineStr">
        <is>
          <t>Industrial; logistics; service robotics</t>
        </is>
      </c>
      <c r="BR153" s="149" t="inlineStr">
        <is>
          <t>In production; pre-order</t>
        </is>
      </c>
      <c r="BS153" s="149" t="inlineStr">
        <is>
          <t>In production; pre-order</t>
        </is>
      </c>
      <c r="BT153" s="145" t="inlineStr">
        <is>
          <t>Black; Grey; White</t>
        </is>
      </c>
      <c r="BU153" s="145" t="inlineStr">
        <is>
          <t>Not verified</t>
        </is>
      </c>
      <c r="BV153" s="149" t="n"/>
      <c r="BW153" s="149" t="inlineStr">
        <is>
          <t>Origin &amp; status — China · In production; pre-order · 2026 | Manipulation — 5 per hand · 5 per hand fingers · Hand DOF 18 · Payload 14.3 lb | Sensing &amp; software — RGB + RGB-D (exact resolution not disclosed) · Possible via AGX Orin (not native) · Linux-based custom robotics OS | Buying notes — From $45,000 · 12 months manufacturer standard (typical research/commercial humanoid) · Best fit: Industrial</t>
        </is>
      </c>
      <c r="BX153" s="149" t="inlineStr">
        <is>
          <t>as_shipped|Tora DoubleOne|45000|As shipped</t>
        </is>
      </c>
      <c r="BY153" s="145" t="inlineStr">
        <is>
          <t>black|Black|#e2e8f0|0 || grey|Grey|#1e293b|0 || white|White|#0891b2|0</t>
        </is>
      </c>
      <c r="BZ153" s="145" t="inlineStr"/>
      <c r="CA153" s="149" t="n"/>
      <c r="CB153" s="149" t="inlineStr">
        <is>
          <t>12 months manufacturer standard (typical research/commercial humanoid)</t>
        </is>
      </c>
      <c r="CC153" s="147" t="n">
        <v>12</v>
      </c>
      <c r="CD153" s="149" t="inlineStr">
        <is>
          <t>+3 Year Extended ≈24% of configuration (default in configurator)</t>
        </is>
      </c>
      <c r="CE153" s="145" t="inlineStr">
        <is>
          <t>Humanoid category norm 2025–2026</t>
        </is>
      </c>
      <c r="CF153" s="145" t="inlineStr">
        <is>
          <t>Estimated</t>
        </is>
      </c>
      <c r="CG153" s="149" t="inlineStr">
        <is>
          <t>Confirm on formal OEM quote. EDU or enterprise packages may differ.</t>
        </is>
      </c>
      <c r="CH153" s="145" t="inlineStr">
        <is>
          <t>10%</t>
        </is>
      </c>
      <c r="CI153" s="145" t="inlineStr">
        <is>
          <t>17%</t>
        </is>
      </c>
      <c r="CJ153" s="145" t="inlineStr">
        <is>
          <t>24%</t>
        </is>
      </c>
      <c r="CK153" s="149" t="inlineStr">
        <is>
          <t>+1yr ≈10% | +2yr ≈17% | +3yr ≈24% of selected configuration price (parts &amp; labor beyond manufacturer standard).</t>
        </is>
      </c>
      <c r="CL153"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53" s="145" t="inlineStr">
        <is>
          <t>12 months manufacturer standard (typical research/commercial humanoid)</t>
        </is>
      </c>
      <c r="CQ153" s="101" t="inlineStr">
        <is>
          <t>Height: 5 ft 6 in | Weight: 154.3 | Degrees of Freedom: 58 | Payload: 14.3 | Max Speed: 4.04 | Battery / Runtime: ≈ 6 hours</t>
        </is>
      </c>
    </row>
    <row r="154" ht="31.5" customHeight="1" s="102">
      <c r="A154" s="152" t="inlineStr">
        <is>
          <t>perceptyne_pr_34d</t>
        </is>
      </c>
      <c r="B154" s="153" t="inlineStr">
        <is>
          <t>Humanoid.guide</t>
        </is>
      </c>
      <c r="C154" s="152" t="inlineStr">
        <is>
          <t>Perceptyne</t>
        </is>
      </c>
      <c r="D154" s="152" t="inlineStr">
        <is>
          <t>PR-34D</t>
        </is>
      </c>
      <c r="E154" s="152" t="inlineStr">
        <is>
          <t>[Perceptyne] PR-34D (2026)</t>
        </is>
      </c>
      <c r="F154" s="146" t="inlineStr">
        <is>
          <t>humanoid</t>
        </is>
      </c>
      <c r="G154" s="152" t="inlineStr">
        <is>
          <t>India</t>
        </is>
      </c>
      <c r="H154" s="152" t="n"/>
      <c r="I154" s="155" t="n">
        <v>120000</v>
      </c>
      <c r="J154" s="152" t="inlineStr">
        <is>
          <t>Humanoid.guide list</t>
        </is>
      </c>
      <c r="K154" s="156" t="inlineStr">
        <is>
          <t>The Perceptyne PR-34D is a dual-arm, semi-humanoid robot engineered for dexterous industrial tasks in the electronics and automotive sectors.</t>
        </is>
      </c>
      <c r="L154" s="101" t="inlineStr">
        <is>
          <t>The Perceptyne PR-34D is a dual-arm, semi-humanoid robot engineered for dexterous industrial tasks in the electronics and automotive sectors.</t>
        </is>
      </c>
      <c r="M154" s="101" t="inlineStr">
        <is>
          <t>PR-34D is Perceptyne's humanoid, introduced around 2026 in India. The Perceptyne PR-34D is a dual-arm, semi-humanoid robot engineered for dexterous industrial tasks in the electronics and automotive sectors. Public status is listed as commercial Pilots / Early Production, and it is positioned for automotive Industries; Electronics Manufacturing Services (EMS).</t>
        </is>
      </c>
      <c r="N154" s="157" t="inlineStr">
        <is>
          <t>https://humanoid.guide/product/pr-34d/</t>
        </is>
      </c>
      <c r="O154" s="157" t="inlineStr">
        <is>
          <t>https://www.perceptyne.com/</t>
        </is>
      </c>
      <c r="P154" s="152" t="n"/>
      <c r="Q154" s="152" t="n"/>
      <c r="R154" s="152" t="n"/>
      <c r="S154" s="152" t="n"/>
      <c r="T154" s="156" t="inlineStr">
        <is>
          <t>Not disclosed</t>
        </is>
      </c>
      <c r="U154" s="152" t="n"/>
      <c r="V154" s="152" t="inlineStr">
        <is>
          <t>34</t>
        </is>
      </c>
      <c r="W154" s="156" t="inlineStr">
        <is>
          <t>10</t>
        </is>
      </c>
      <c r="X154" s="152" t="n">
        <v>13.2</v>
      </c>
      <c r="Y154" s="152" t="n">
        <v>6</v>
      </c>
      <c r="Z154" s="152" t="n">
        <v>0</v>
      </c>
      <c r="AA154" s="152" t="n">
        <v>0</v>
      </c>
      <c r="AB154" s="152" t="n"/>
      <c r="AC154" s="156" t="inlineStr">
        <is>
          <t>Not disclosed</t>
        </is>
      </c>
      <c r="AD154" s="156" t="n"/>
      <c r="AE154" s="152" t="n"/>
      <c r="AF154" s="152" t="inlineStr">
        <is>
          <t>Not disclosed</t>
        </is>
      </c>
      <c r="AG154" s="156" t="inlineStr">
        <is>
          <t>Not disclosed</t>
        </is>
      </c>
      <c r="AH154" s="152" t="inlineStr">
        <is>
          <t>Not disclosed</t>
        </is>
      </c>
      <c r="AI154" s="151" t="n">
        <v>3</v>
      </c>
      <c r="AJ154" s="156" t="inlineStr">
        <is>
          <t>High-Resolution Vision</t>
        </is>
      </c>
      <c r="AK154" s="156" t="inlineStr">
        <is>
          <t>High-Resolution Vision</t>
        </is>
      </c>
      <c r="AL154" s="152" t="inlineStr">
        <is>
          <t>Not disclosed</t>
        </is>
      </c>
      <c r="AM154" s="152" t="n"/>
      <c r="AN154" s="152" t="inlineStr">
        <is>
          <t>Not disclosed</t>
        </is>
      </c>
      <c r="AO154" s="152" t="inlineStr">
        <is>
          <t>Not disclosed</t>
        </is>
      </c>
      <c r="AP154" s="152" t="inlineStr">
        <is>
          <t>Not disclosed</t>
        </is>
      </c>
      <c r="AQ154" s="152" t="inlineStr">
        <is>
          <t>Not disclosed</t>
        </is>
      </c>
      <c r="AR154" s="152" t="n"/>
      <c r="AS154" s="152" t="n"/>
      <c r="AT154" s="156" t="inlineStr">
        <is>
          <t>Dedicated CPU/GPU for AI &amp; Vision</t>
        </is>
      </c>
      <c r="AU154" s="156" t="inlineStr">
        <is>
          <t>Ethernet; Wi‑Fi</t>
        </is>
      </c>
      <c r="AV154" s="152" t="inlineStr">
        <is>
          <t>Not disclosed</t>
        </is>
      </c>
      <c r="AW154" s="156" t="inlineStr">
        <is>
          <t>Not disclosed</t>
        </is>
      </c>
      <c r="AX154" s="158" t="n">
        <v>2</v>
      </c>
      <c r="AY154" s="156" t="inlineStr">
        <is>
          <t>ROS/Linux/Proprietary</t>
        </is>
      </c>
      <c r="AZ154" s="156" t="inlineStr">
        <is>
          <t>Yes</t>
        </is>
      </c>
      <c r="BA154" s="156" t="n"/>
      <c r="BB154" s="156" t="inlineStr">
        <is>
          <t>Electric servo motors</t>
        </is>
      </c>
      <c r="BC154" s="156" t="inlineStr">
        <is>
          <t>Proprietary/Custom-built</t>
        </is>
      </c>
      <c r="BD154" s="152" t="inlineStr">
        <is>
          <t>Not disclosed</t>
        </is>
      </c>
      <c r="BE154" s="152" t="inlineStr">
        <is>
          <t>Not disclosed</t>
        </is>
      </c>
      <c r="BF154" s="152" t="n"/>
      <c r="BG154" s="152" t="n"/>
      <c r="BH154" s="152" t="n"/>
      <c r="BI154" s="152" t="n"/>
      <c r="BJ154" s="152" t="n"/>
      <c r="BK154" s="152" t="n"/>
      <c r="BL154" s="152" t="n"/>
      <c r="BM154" s="152" t="inlineStr">
        <is>
          <t>Yes</t>
        </is>
      </c>
      <c r="BN154" s="152" t="inlineStr">
        <is>
          <t>Not disclosed</t>
        </is>
      </c>
      <c r="BO154" s="156" t="inlineStr">
        <is>
          <t>Market: Automotive Industries; Electronics Manufacturing Services (EMS) · Manipulation 3/4 · Navigation 2/4 · Human-safe: Yes · AI: Yes · Actuation: Electric servo motors</t>
        </is>
      </c>
      <c r="BP154" s="152" t="n"/>
      <c r="BQ154" s="156" t="inlineStr">
        <is>
          <t>Automotive Industries; Electronics Manufacturing Services (EMS)</t>
        </is>
      </c>
      <c r="BR154" s="156" t="inlineStr">
        <is>
          <t>Commercial Pilots / Early Production</t>
        </is>
      </c>
      <c r="BS154" s="156" t="inlineStr">
        <is>
          <t>Commercial Pilots / Early Production</t>
        </is>
      </c>
      <c r="BT154" s="152" t="inlineStr">
        <is>
          <t>White/Black/Industrial Blue</t>
        </is>
      </c>
      <c r="BU154" s="152" t="inlineStr">
        <is>
          <t>Not verified</t>
        </is>
      </c>
      <c r="BV154" s="156" t="n"/>
      <c r="BW154" s="156" t="inlineStr">
        <is>
          <t>Origin &amp; status — India · Commercial Pilots / Early Production · 2026 | Manipulation — Hand DOF 10 · Payload 13.2 lb | Sensing &amp; software — High-Resolution Vision · Yes · ROS/Linux/Proprietary | Buying notes — From $120,000 · 12 months manufacturer standard (typical research/commercial humanoid) · Best fit: Automotive Industries</t>
        </is>
      </c>
      <c r="BX154" s="156" t="inlineStr">
        <is>
          <t>as_shipped|PR-34D|120000|As shipped</t>
        </is>
      </c>
      <c r="BY154" s="152" t="inlineStr">
        <is>
          <t>white|White|#e2e8f0|0 || black|Black|#1e293b|0 || industrial_blue|Industrial Blue|#0891b2|0</t>
        </is>
      </c>
      <c r="BZ154" s="152" t="inlineStr"/>
      <c r="CA154" s="156" t="n"/>
      <c r="CB154" s="156" t="inlineStr">
        <is>
          <t>12 months manufacturer standard (typical research/commercial humanoid)</t>
        </is>
      </c>
      <c r="CC154" s="154" t="n">
        <v>12</v>
      </c>
      <c r="CD154" s="156" t="inlineStr">
        <is>
          <t>+3 Year Extended ≈24% of configuration (default in configurator)</t>
        </is>
      </c>
      <c r="CE154" s="152" t="inlineStr">
        <is>
          <t>Humanoid category norm 2025–2026</t>
        </is>
      </c>
      <c r="CF154" s="152" t="inlineStr">
        <is>
          <t>Estimated</t>
        </is>
      </c>
      <c r="CG154" s="156" t="inlineStr">
        <is>
          <t>Confirm on formal OEM quote. EDU or enterprise packages may differ.</t>
        </is>
      </c>
      <c r="CH154" s="152" t="inlineStr">
        <is>
          <t>10%</t>
        </is>
      </c>
      <c r="CI154" s="152" t="inlineStr">
        <is>
          <t>17%</t>
        </is>
      </c>
      <c r="CJ154" s="152" t="inlineStr">
        <is>
          <t>24%</t>
        </is>
      </c>
      <c r="CK154" s="156" t="inlineStr">
        <is>
          <t>+1yr ≈10% | +2yr ≈17% | +3yr ≈24% of selected configuration price (parts &amp; labor beyond manufacturer standard).</t>
        </is>
      </c>
      <c r="CL154"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54" s="152" t="inlineStr">
        <is>
          <t>12 months manufacturer standard (typical research/commercial humanoid)</t>
        </is>
      </c>
      <c r="CQ154" s="101" t="inlineStr">
        <is>
          <t>Height: Not disclosed | Weight: Not disclosed | Degrees of Freedom: 34 | Payload: 13.2 | Max Speed: 0 | Battery / Runtime: Not disclosed</t>
        </is>
      </c>
    </row>
    <row r="155" ht="31.5" customHeight="1" s="102">
      <c r="A155" s="145" t="inlineStr">
        <is>
          <t>phybot_phybot_c1</t>
        </is>
      </c>
      <c r="B155" s="153" t="inlineStr">
        <is>
          <t>Humanoid.guide</t>
        </is>
      </c>
      <c r="C155" s="145" t="inlineStr">
        <is>
          <t>PHYBOT</t>
        </is>
      </c>
      <c r="D155" s="145" t="inlineStr">
        <is>
          <t>PHYBOT C1</t>
        </is>
      </c>
      <c r="E155" s="145" t="inlineStr">
        <is>
          <t>[PHYBOT] PHYBOT C1 (2026)</t>
        </is>
      </c>
      <c r="F155" s="146" t="inlineStr">
        <is>
          <t>humanoid</t>
        </is>
      </c>
      <c r="G155" s="145" t="inlineStr">
        <is>
          <t>China</t>
        </is>
      </c>
      <c r="H155" s="145" t="n"/>
      <c r="I155" s="148" t="n">
        <v>22000</v>
      </c>
      <c r="J155" s="145" t="inlineStr">
        <is>
          <t>Humanoid.guide list</t>
        </is>
      </c>
      <c r="K155" s="149" t="inlineStr">
        <is>
          <t>The C1 by PHYBOT is a compact humanoid robot designed for research, AI development, and light-duty assistance tasks, offering reliable mobility and accessible interaction in indoor environments.</t>
        </is>
      </c>
      <c r="L155" s="101" t="inlineStr">
        <is>
          <t>The C1 by PHYBOT is a compact humanoid robot designed for research, AI development, and light-duty assistance tasks, offering reliable mobility and accessible interaction in indoor environments.</t>
        </is>
      </c>
      <c r="M155" s="101" t="inlineStr">
        <is>
          <t>PHYBOT C1 is PHYBOT's humanoid, introduced around 2026 in China. The C1 by PHYBOT is a compact humanoid robot designed for research, AI development, and light-duty assistance tasks, offering reliable mobility and accessible interaction in indoor environments. Public status is listed as prototype, and it is positioned for research, education, AI labs.</t>
        </is>
      </c>
      <c r="N155" s="150" t="inlineStr">
        <is>
          <t>https://humanoid.guide/product/phybot-c1/</t>
        </is>
      </c>
      <c r="O155" s="150" t="inlineStr">
        <is>
          <t>https://www.phybot.tech/</t>
        </is>
      </c>
      <c r="P155" s="145" t="inlineStr">
        <is>
          <t>4 ft 1 in</t>
        </is>
      </c>
      <c r="Q155" s="145" t="n">
        <v>125</v>
      </c>
      <c r="R155" s="145" t="n">
        <v>55.1</v>
      </c>
      <c r="S155" s="145" t="n">
        <v>25</v>
      </c>
      <c r="T155" s="149" t="inlineStr">
        <is>
          <t>Not disclosed</t>
        </is>
      </c>
      <c r="U155" s="145" t="inlineStr">
        <is>
          <t>130×50×40 cm</t>
        </is>
      </c>
      <c r="V155" s="145" t="inlineStr">
        <is>
          <t>28</t>
        </is>
      </c>
      <c r="W155" s="149" t="inlineStr">
        <is>
          <t>12</t>
        </is>
      </c>
      <c r="X155" s="145" t="n">
        <v>11</v>
      </c>
      <c r="Y155" s="145" t="n">
        <v>5</v>
      </c>
      <c r="Z155" s="145" t="n">
        <v>1.86</v>
      </c>
      <c r="AA155" s="145" t="n">
        <v>3</v>
      </c>
      <c r="AB155" s="145" t="n">
        <v>2</v>
      </c>
      <c r="AC155" s="149" t="inlineStr">
        <is>
          <t>≈ 3 hours</t>
        </is>
      </c>
      <c r="AD155" s="149" t="inlineStr">
        <is>
          <t>3</t>
        </is>
      </c>
      <c r="AE155" s="145" t="n"/>
      <c r="AF155" s="145" t="inlineStr">
        <is>
          <t>Not disclosed</t>
        </is>
      </c>
      <c r="AG155" s="149" t="inlineStr">
        <is>
          <t>5 per hand</t>
        </is>
      </c>
      <c r="AH155" s="145" t="inlineStr">
        <is>
          <t>5 per hand</t>
        </is>
      </c>
      <c r="AI155" s="158" t="n">
        <v>2</v>
      </c>
      <c r="AJ155" s="149" t="inlineStr">
        <is>
          <t>1080p RGB + depth camera</t>
        </is>
      </c>
      <c r="AK155" s="149" t="inlineStr">
        <is>
          <t>1080p RGB + depth camera</t>
        </is>
      </c>
      <c r="AL155" s="145" t="inlineStr">
        <is>
          <t>Not disclosed</t>
        </is>
      </c>
      <c r="AM155" s="145" t="n"/>
      <c r="AN155" s="145" t="inlineStr">
        <is>
          <t>Not disclosed</t>
        </is>
      </c>
      <c r="AO155" s="145" t="inlineStr">
        <is>
          <t>Not disclosed</t>
        </is>
      </c>
      <c r="AP155" s="145" t="inlineStr">
        <is>
          <t>Not disclosed</t>
        </is>
      </c>
      <c r="AQ155" s="145" t="inlineStr">
        <is>
          <t>Not disclosed</t>
        </is>
      </c>
      <c r="AR155" s="145" t="n"/>
      <c r="AS155" s="145" t="n"/>
      <c r="AT155" s="149" t="inlineStr">
        <is>
          <t>Likely ARM/embedded compute + edge AI module (assumed)</t>
        </is>
      </c>
      <c r="AU155" s="149" t="inlineStr">
        <is>
          <t>Bluetooth; Wi‑Fi</t>
        </is>
      </c>
      <c r="AV155" s="145" t="inlineStr">
        <is>
          <t>Not disclosed</t>
        </is>
      </c>
      <c r="AW155" s="149" t="inlineStr">
        <is>
          <t>Not disclosed</t>
        </is>
      </c>
      <c r="AX155" s="151" t="n">
        <v>3</v>
      </c>
      <c r="AY155" s="149" t="inlineStr">
        <is>
          <t>Linux-based ROS environment</t>
        </is>
      </c>
      <c r="AZ155" s="149" t="inlineStr">
        <is>
          <t>External API</t>
        </is>
      </c>
      <c r="BA155" s="149" t="inlineStr">
        <is>
          <t>150–250 ms</t>
        </is>
      </c>
      <c r="BB155" s="149" t="inlineStr">
        <is>
          <t>Electric servo motors</t>
        </is>
      </c>
      <c r="BC155" s="149" t="inlineStr">
        <is>
          <t>Harmonic or planetary gears</t>
        </is>
      </c>
      <c r="BD155" s="145" t="inlineStr">
        <is>
          <t>Composite polymer + aluminum frame</t>
        </is>
      </c>
      <c r="BE155" s="145" t="inlineStr">
        <is>
          <t>IP20</t>
        </is>
      </c>
      <c r="BF155" s="145" t="inlineStr">
        <is>
          <t>IP20</t>
        </is>
      </c>
      <c r="BG155" s="145" t="n"/>
      <c r="BH155" s="145" t="n"/>
      <c r="BI155" s="145" t="n"/>
      <c r="BJ155" s="145" t="n"/>
      <c r="BK155" s="145" t="n"/>
      <c r="BL155" s="145" t="n"/>
      <c r="BM155" s="145" t="inlineStr">
        <is>
          <t>Yes</t>
        </is>
      </c>
      <c r="BN155" s="145" t="inlineStr">
        <is>
          <t>Not disclosed</t>
        </is>
      </c>
      <c r="BO155" s="149" t="inlineStr">
        <is>
          <t>Market: Research, education, AI labs · Manipulation 2/4 · Navigation 3/4 · Human-safe: Yes · AI: External API · Actuation: Electric servo motors · Peak 3 km/h · Walk 2 km/h · Runtime 3</t>
        </is>
      </c>
      <c r="BP155" s="145" t="n"/>
      <c r="BQ155" s="149" t="inlineStr">
        <is>
          <t>Research, education, AI labs</t>
        </is>
      </c>
      <c r="BR155" s="149" t="inlineStr">
        <is>
          <t>Prototype</t>
        </is>
      </c>
      <c r="BS155" s="149" t="inlineStr">
        <is>
          <t>Prototype</t>
        </is>
      </c>
      <c r="BT155" s="145" t="inlineStr">
        <is>
          <t>Black; White</t>
        </is>
      </c>
      <c r="BU155" s="145" t="inlineStr">
        <is>
          <t>Not verified</t>
        </is>
      </c>
      <c r="BV155" s="149" t="n"/>
      <c r="BW155" s="149" t="inlineStr">
        <is>
          <t>Origin &amp; status — China · Prototype · 2026 | Manipulation — 5 per hand · 5 per hand fingers · Hand DOF 12 · Payload 11 lb | Sensing &amp; software — 1080p RGB + depth camera · External API · Linux-based ROS environment | Buying notes — From $22,000 · 12 months manufacturer standard (typical research/commercial humanoid) · Best fit: Research, education, AI labs</t>
        </is>
      </c>
      <c r="BX155" s="149" t="inlineStr">
        <is>
          <t>as_shipped|PHYBOT C1|22000|As shipped</t>
        </is>
      </c>
      <c r="BY155" s="145" t="inlineStr">
        <is>
          <t>black|Black|#e2e8f0|0 || white|White|#1e293b|0</t>
        </is>
      </c>
      <c r="BZ155" s="145" t="inlineStr"/>
      <c r="CA155" s="149" t="n"/>
      <c r="CB155" s="149" t="inlineStr">
        <is>
          <t>12 months manufacturer standard (typical research/commercial humanoid)</t>
        </is>
      </c>
      <c r="CC155" s="147" t="n">
        <v>12</v>
      </c>
      <c r="CD155" s="149" t="inlineStr">
        <is>
          <t>+3 Year Extended ≈24% of configuration (default in configurator)</t>
        </is>
      </c>
      <c r="CE155" s="145" t="inlineStr">
        <is>
          <t>Humanoid category norm 2025–2026</t>
        </is>
      </c>
      <c r="CF155" s="145" t="inlineStr">
        <is>
          <t>Estimated</t>
        </is>
      </c>
      <c r="CG155" s="149" t="inlineStr">
        <is>
          <t>Confirm on formal OEM quote. EDU or enterprise packages may differ.</t>
        </is>
      </c>
      <c r="CH155" s="145" t="inlineStr">
        <is>
          <t>10%</t>
        </is>
      </c>
      <c r="CI155" s="145" t="inlineStr">
        <is>
          <t>17%</t>
        </is>
      </c>
      <c r="CJ155" s="145" t="inlineStr">
        <is>
          <t>24%</t>
        </is>
      </c>
      <c r="CK155" s="149" t="inlineStr">
        <is>
          <t>+1yr ≈10% | +2yr ≈17% | +3yr ≈24% of selected configuration price (parts &amp; labor beyond manufacturer standard).</t>
        </is>
      </c>
      <c r="CL15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55" s="145" t="inlineStr">
        <is>
          <t>12 months manufacturer standard (typical research/commercial humanoid)</t>
        </is>
      </c>
      <c r="CQ155" s="101" t="inlineStr">
        <is>
          <t>Height: 4 ft 1 in | Weight: 55.1 | Degrees of Freedom: 28 | Payload: 11 | Max Speed: 1.86 | Battery / Runtime: ≈ 3 hours</t>
        </is>
      </c>
    </row>
    <row r="156" ht="31.5" customHeight="1" s="102">
      <c r="A156" s="152" t="inlineStr">
        <is>
          <t>phybot_phybot_m1</t>
        </is>
      </c>
      <c r="B156" s="153" t="inlineStr">
        <is>
          <t>Humanoid.guide</t>
        </is>
      </c>
      <c r="C156" s="152" t="inlineStr">
        <is>
          <t>PHYBOT</t>
        </is>
      </c>
      <c r="D156" s="152" t="inlineStr">
        <is>
          <t>PHYBOT M1</t>
        </is>
      </c>
      <c r="E156" s="152" t="inlineStr">
        <is>
          <t>[PHYBOT] PHYBOT M1 (2026)</t>
        </is>
      </c>
      <c r="F156" s="146" t="inlineStr">
        <is>
          <t>humanoid</t>
        </is>
      </c>
      <c r="G156" s="152" t="inlineStr">
        <is>
          <t>China</t>
        </is>
      </c>
      <c r="H156" s="152" t="n"/>
      <c r="I156" s="155" t="n">
        <v>39000</v>
      </c>
      <c r="J156" s="152" t="inlineStr">
        <is>
          <t>Humanoid.guide list</t>
        </is>
      </c>
      <c r="K156" s="156" t="inlineStr">
        <is>
          <t>PHYBOT M1 is a full-size electric humanoid robot combining human-height mobility, high-torque actuation, and advanced perception — designed for heavy-duty tasks, dynamic motion, and real-world work environments.</t>
        </is>
      </c>
      <c r="L156" s="101" t="inlineStr">
        <is>
          <t>PHYBOT M1 is a full-size electric humanoid robot combining human-height mobility, high-torque actuation, and advanced perception — designed for heavy-duty tasks, dynamic motion, and real-world work environments.</t>
        </is>
      </c>
      <c r="M156" s="101" t="inlineStr">
        <is>
          <t>PHYBOT M1 is a full-size electric humanoid robot combining human-height mobility, high-torque actuation, and advanced perception — designed for heavy-duty tasks, dynamic motion, and real-world work environments. Public status is listed as early production / limited release, and it is positioned for general embodied AI testing environments; Heavy object handling; Industrial logistics; Robotics research + academic labs.</t>
        </is>
      </c>
      <c r="N156" s="157" t="inlineStr">
        <is>
          <t>https://humanoid.guide/product/phybot-m1/</t>
        </is>
      </c>
      <c r="O156" s="157" t="inlineStr">
        <is>
          <t>https://www.phybot.tech/</t>
        </is>
      </c>
      <c r="P156" s="152" t="inlineStr">
        <is>
          <t>5 ft 8 in</t>
        </is>
      </c>
      <c r="Q156" s="152" t="n">
        <v>172</v>
      </c>
      <c r="R156" s="152" t="n">
        <v>132.3</v>
      </c>
      <c r="S156" s="152" t="n">
        <v>60</v>
      </c>
      <c r="T156" s="156" t="inlineStr">
        <is>
          <t>Not disclosed</t>
        </is>
      </c>
      <c r="U156" s="152" t="n"/>
      <c r="V156" s="152" t="inlineStr">
        <is>
          <t>32</t>
        </is>
      </c>
      <c r="W156" s="156" t="inlineStr">
        <is>
          <t>12</t>
        </is>
      </c>
      <c r="X156" s="152" t="n">
        <v>11</v>
      </c>
      <c r="Y156" s="152" t="n">
        <v>5</v>
      </c>
      <c r="Z156" s="152" t="n">
        <v>6.21</v>
      </c>
      <c r="AA156" s="152" t="n">
        <v>10</v>
      </c>
      <c r="AB156" s="152" t="n">
        <v>5</v>
      </c>
      <c r="AC156" s="156" t="inlineStr">
        <is>
          <t>Dual 9 Ah swappable batteries — runtime claimed &amp;gt;2 hours</t>
        </is>
      </c>
      <c r="AD156" s="156" t="inlineStr">
        <is>
          <t>Dual 9 Ah swappable batteries — runtime claimed &amp;gt;2 hours</t>
        </is>
      </c>
      <c r="AE156" s="152" t="n"/>
      <c r="AF156" s="152" t="inlineStr">
        <is>
          <t>Not disclosed</t>
        </is>
      </c>
      <c r="AG156" s="156" t="inlineStr">
        <is>
          <t>5 per hand</t>
        </is>
      </c>
      <c r="AH156" s="152" t="inlineStr">
        <is>
          <t>5 per hand</t>
        </is>
      </c>
      <c r="AI156" s="161" t="n">
        <v>4</v>
      </c>
      <c r="AJ156" s="156" t="inlineStr">
        <is>
          <t>3D LiDAR; Stereo RGB cameras at ~2–5 MP each</t>
        </is>
      </c>
      <c r="AK156" s="156" t="inlineStr">
        <is>
          <t>3D LiDAR; Stereo RGB cameras at ~2–5 MP each</t>
        </is>
      </c>
      <c r="AL156" s="152" t="inlineStr">
        <is>
          <t>Not disclosed</t>
        </is>
      </c>
      <c r="AM156" s="152" t="n"/>
      <c r="AN156" s="152" t="inlineStr">
        <is>
          <t>Not disclosed</t>
        </is>
      </c>
      <c r="AO156" s="152" t="inlineStr">
        <is>
          <t>Not disclosed</t>
        </is>
      </c>
      <c r="AP156" s="152" t="inlineStr">
        <is>
          <t>Not disclosed</t>
        </is>
      </c>
      <c r="AQ156" s="152" t="inlineStr">
        <is>
          <t>Not disclosed</t>
        </is>
      </c>
      <c r="AR156" s="152" t="n"/>
      <c r="AS156" s="152" t="n"/>
      <c r="AT156" s="156" t="inlineStr">
        <is>
          <t>Intel Core i7 (system controller); NVIDIA Jetson Orin</t>
        </is>
      </c>
      <c r="AU156" s="156" t="inlineStr">
        <is>
          <t>Bluetooth; Ethernet; Wi‑Fi</t>
        </is>
      </c>
      <c r="AV156" s="152" t="inlineStr">
        <is>
          <t>Not disclosed</t>
        </is>
      </c>
      <c r="AW156" s="156" t="inlineStr">
        <is>
          <t>Not disclosed</t>
        </is>
      </c>
      <c r="AX156" s="151" t="n">
        <v>3</v>
      </c>
      <c r="AY156" s="156" t="inlineStr">
        <is>
          <t>Linux (ROS2-based)</t>
        </is>
      </c>
      <c r="AZ156" s="156" t="inlineStr">
        <is>
          <t>Yes</t>
        </is>
      </c>
      <c r="BA156" s="156" t="inlineStr">
        <is>
          <t>150–250 ms</t>
        </is>
      </c>
      <c r="BB156" s="156" t="inlineStr">
        <is>
          <t>High-torque electric motors; Likely custom "PhyArc" actuator modules optimized for burst torque</t>
        </is>
      </c>
      <c r="BC156" s="156" t="inlineStr">
        <is>
          <t>Cycloidal gear drives</t>
        </is>
      </c>
      <c r="BD156" s="152" t="inlineStr">
        <is>
          <t>Aluminum alloy chassis; Composite outer shells</t>
        </is>
      </c>
      <c r="BE156" s="152" t="inlineStr">
        <is>
          <t>IP42</t>
        </is>
      </c>
      <c r="BF156" s="152" t="inlineStr">
        <is>
          <t>IP42</t>
        </is>
      </c>
      <c r="BG156" s="152" t="n"/>
      <c r="BH156" s="152" t="n"/>
      <c r="BI156" s="152" t="n"/>
      <c r="BJ156" s="152" t="n"/>
      <c r="BK156" s="152" t="n"/>
      <c r="BL156" s="152" t="n"/>
      <c r="BM156" s="152" t="inlineStr">
        <is>
          <t>Yes</t>
        </is>
      </c>
      <c r="BN156" s="152" t="inlineStr">
        <is>
          <t>Not disclosed</t>
        </is>
      </c>
      <c r="BO156" s="156" t="inlineStr">
        <is>
          <t>Market: General embodied AI testing environments; Heavy object handling; Industrial logistics; Robotics research + academic labs · Manipulation 4/4 · Navigation 3/4 · Human-safe: Yes · AI: Yes · Actuation: High-torque electric motors; Likely custom "PhyArc" actuator modules optimized for burst torque · Peak 10 km/h · Walk 5 km/h · Runtime Dual 9 Ah swappable batteries — runtime claimed &amp;gt;2 hours</t>
        </is>
      </c>
      <c r="BP156" s="152" t="n"/>
      <c r="BQ156" s="156" t="inlineStr">
        <is>
          <t>General embodied AI testing environments; Heavy object handling; Industrial logistics; Robotics research + academic labs</t>
        </is>
      </c>
      <c r="BR156" s="156" t="inlineStr">
        <is>
          <t>Early production / limited release</t>
        </is>
      </c>
      <c r="BS156" s="156" t="inlineStr">
        <is>
          <t>Early production / limited release</t>
        </is>
      </c>
      <c r="BT156" s="152" t="inlineStr">
        <is>
          <t>Black</t>
        </is>
      </c>
      <c r="BU156" s="152" t="inlineStr">
        <is>
          <t>Not verified</t>
        </is>
      </c>
      <c r="BV156" s="156" t="n"/>
      <c r="BW156" s="156" t="inlineStr">
        <is>
          <t>Origin &amp; status — China · Early production / limited release · 2026 | Manipulation — 5 per hand · 5 per hand fingers · Hand DOF 12 · Payload 11 lb | Sensing &amp; software — 3D LiDAR; Stereo RGB cameras at ~2–5 MP each · Yes · Linux (ROS2-based) | Buying notes — From $39,000 · 12 months manufacturer standard (typical research/commercial humanoid) · Best fit: General embodied AI testing environments</t>
        </is>
      </c>
      <c r="BX156" s="156" t="inlineStr">
        <is>
          <t>as_shipped|PHYBOT M1|39000|As shipped</t>
        </is>
      </c>
      <c r="BY156" s="152" t="inlineStr">
        <is>
          <t>black|Black|#e2e8f0|0</t>
        </is>
      </c>
      <c r="BZ156" s="152" t="inlineStr"/>
      <c r="CA156" s="156" t="n"/>
      <c r="CB156" s="156" t="inlineStr">
        <is>
          <t>12 months manufacturer standard (typical research/commercial humanoid)</t>
        </is>
      </c>
      <c r="CC156" s="154" t="n">
        <v>12</v>
      </c>
      <c r="CD156" s="156" t="inlineStr">
        <is>
          <t>+3 Year Extended ≈24% of configuration (default in configurator)</t>
        </is>
      </c>
      <c r="CE156" s="152" t="inlineStr">
        <is>
          <t>Humanoid category norm 2025–2026</t>
        </is>
      </c>
      <c r="CF156" s="152" t="inlineStr">
        <is>
          <t>Estimated</t>
        </is>
      </c>
      <c r="CG156" s="156" t="inlineStr">
        <is>
          <t>Confirm on formal OEM quote. EDU or enterprise packages may differ.</t>
        </is>
      </c>
      <c r="CH156" s="152" t="inlineStr">
        <is>
          <t>10%</t>
        </is>
      </c>
      <c r="CI156" s="152" t="inlineStr">
        <is>
          <t>17%</t>
        </is>
      </c>
      <c r="CJ156" s="152" t="inlineStr">
        <is>
          <t>24%</t>
        </is>
      </c>
      <c r="CK156" s="156" t="inlineStr">
        <is>
          <t>+1yr ≈10% | +2yr ≈17% | +3yr ≈24% of selected configuration price (parts &amp; labor beyond manufacturer standard).</t>
        </is>
      </c>
      <c r="CL156"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56" s="152" t="inlineStr">
        <is>
          <t>12 months manufacturer standard (typical research/commercial humanoid)</t>
        </is>
      </c>
      <c r="CQ156" s="101" t="inlineStr">
        <is>
          <t>Height: 5 ft 8 in | Weight: 132.3 | Degrees of Freedom: 32 | Payload: 11 | Max Speed: 6.21 | Battery / Runtime: Dual 9 Ah swappable batteries — runtime claimed &amp;gt;2 hours</t>
        </is>
      </c>
    </row>
    <row r="157" ht="31.5" customHeight="1" s="102">
      <c r="A157" s="145" t="inlineStr">
        <is>
          <t>pl_universe_prowhite</t>
        </is>
      </c>
      <c r="B157" s="153" t="inlineStr">
        <is>
          <t>Humanoid.guide</t>
        </is>
      </c>
      <c r="C157" s="145" t="inlineStr">
        <is>
          <t>PL-Universe</t>
        </is>
      </c>
      <c r="D157" s="145" t="inlineStr">
        <is>
          <t>ProWhite</t>
        </is>
      </c>
      <c r="E157" s="145" t="inlineStr">
        <is>
          <t>[PL-Universe] ProWhite (2026)</t>
        </is>
      </c>
      <c r="F157" s="146" t="inlineStr">
        <is>
          <t>humanoid</t>
        </is>
      </c>
      <c r="G157" s="145" t="inlineStr">
        <is>
          <t>China</t>
        </is>
      </c>
      <c r="H157" s="145" t="n"/>
      <c r="I157" s="148" t="n">
        <v>45000</v>
      </c>
      <c r="J157" s="145" t="inlineStr">
        <is>
          <t>Humanoid.guide list</t>
        </is>
      </c>
      <c r="K157" s="149" t="inlineStr">
        <is>
          <t>ProWhite is a humanoid service robot developed by PL-Universe for public-facing environments.</t>
        </is>
      </c>
      <c r="L157" s="101" t="inlineStr">
        <is>
          <t>ProWhite is a humanoid service robot developed by PL-Universe for public-facing environments.</t>
        </is>
      </c>
      <c r="M157" s="101" t="inlineStr">
        <is>
          <t>ProWhite is a humanoid service robot developed by PL-Universe for public-facing environments. Public status is listed as in production, and it is positioned for education; exhibitions; reception; Service.</t>
        </is>
      </c>
      <c r="N157" s="150" t="inlineStr">
        <is>
          <t>https://humanoid.guide/product/prowhite/</t>
        </is>
      </c>
      <c r="O157" s="150" t="inlineStr">
        <is>
          <t>https://en.pl-universe.com/</t>
        </is>
      </c>
      <c r="P157" s="145" t="inlineStr">
        <is>
          <t>5 ft 1 in</t>
        </is>
      </c>
      <c r="Q157" s="145" t="n">
        <v>155</v>
      </c>
      <c r="R157" s="145" t="n">
        <v>99.2</v>
      </c>
      <c r="S157" s="145" t="n">
        <v>45</v>
      </c>
      <c r="T157" s="149" t="inlineStr">
        <is>
          <t>Not disclosed</t>
        </is>
      </c>
      <c r="U157" s="145" t="n"/>
      <c r="V157" s="145" t="inlineStr">
        <is>
          <t>~28–32</t>
        </is>
      </c>
      <c r="W157" s="149" t="inlineStr">
        <is>
          <t>~5 per hand</t>
        </is>
      </c>
      <c r="X157" s="145" t="n">
        <v>8.800000000000001</v>
      </c>
      <c r="Y157" s="145" t="n">
        <v>4</v>
      </c>
      <c r="Z157" s="145" t="n">
        <v>0</v>
      </c>
      <c r="AA157" s="145" t="n">
        <v>0</v>
      </c>
      <c r="AB157" s="145" t="n"/>
      <c r="AC157" s="149" t="inlineStr">
        <is>
          <t>~6–8</t>
        </is>
      </c>
      <c r="AD157" s="149" t="inlineStr">
        <is>
          <t>~6–8</t>
        </is>
      </c>
      <c r="AE157" s="145" t="n"/>
      <c r="AF157" s="145" t="inlineStr">
        <is>
          <t>Not disclosed</t>
        </is>
      </c>
      <c r="AG157" s="149" t="inlineStr">
        <is>
          <t>Not disclosed</t>
        </is>
      </c>
      <c r="AH157" s="145" t="inlineStr">
        <is>
          <t>Not disclosed</t>
        </is>
      </c>
      <c r="AI157" s="145" t="n"/>
      <c r="AJ157" s="149" t="inlineStr">
        <is>
          <t>RGB cameras</t>
        </is>
      </c>
      <c r="AK157" s="149" t="inlineStr">
        <is>
          <t>RGB cameras</t>
        </is>
      </c>
      <c r="AL157" s="145" t="inlineStr">
        <is>
          <t>Not disclosed</t>
        </is>
      </c>
      <c r="AM157" s="145" t="n"/>
      <c r="AN157" s="145" t="inlineStr">
        <is>
          <t>Not disclosed</t>
        </is>
      </c>
      <c r="AO157" s="145" t="inlineStr">
        <is>
          <t>Not disclosed</t>
        </is>
      </c>
      <c r="AP157" s="145" t="inlineStr">
        <is>
          <t>Not disclosed</t>
        </is>
      </c>
      <c r="AQ157" s="145" t="inlineStr">
        <is>
          <t>Not disclosed</t>
        </is>
      </c>
      <c r="AR157" s="145" t="n"/>
      <c r="AS157" s="145" t="n"/>
      <c r="AT157" s="149" t="inlineStr">
        <is>
          <t>Embedded industrial processor</t>
        </is>
      </c>
      <c r="AU157" s="149" t="inlineStr">
        <is>
          <t>Ethernet; Wi‑Fi</t>
        </is>
      </c>
      <c r="AV157" s="145" t="inlineStr">
        <is>
          <t>Not disclosed</t>
        </is>
      </c>
      <c r="AW157" s="149" t="inlineStr">
        <is>
          <t>Not disclosed</t>
        </is>
      </c>
      <c r="AX157" s="145" t="n"/>
      <c r="AY157" s="149" t="inlineStr">
        <is>
          <t>Linux-based robotics OS</t>
        </is>
      </c>
      <c r="AZ157" s="149" t="inlineStr">
        <is>
          <t>Possible via external integration</t>
        </is>
      </c>
      <c r="BA157" s="149" t="n"/>
      <c r="BB157" s="149" t="inlineStr">
        <is>
          <t>Not disclosed</t>
        </is>
      </c>
      <c r="BC157" s="149" t="inlineStr">
        <is>
          <t>Not disclosed</t>
        </is>
      </c>
      <c r="BD157" s="145" t="inlineStr">
        <is>
          <t>Aluminum frame with plastic outer shell</t>
        </is>
      </c>
      <c r="BE157" s="145" t="inlineStr">
        <is>
          <t>Not disclosed</t>
        </is>
      </c>
      <c r="BF157" s="145" t="n"/>
      <c r="BG157" s="145" t="n"/>
      <c r="BH157" s="145" t="n"/>
      <c r="BI157" s="145" t="n"/>
      <c r="BJ157" s="145" t="n"/>
      <c r="BK157" s="145" t="n"/>
      <c r="BL157" s="145" t="n"/>
      <c r="BM157" s="145" t="inlineStr">
        <is>
          <t>Yes</t>
        </is>
      </c>
      <c r="BN157" s="145" t="inlineStr">
        <is>
          <t>Not disclosed</t>
        </is>
      </c>
      <c r="BO157" s="149" t="inlineStr">
        <is>
          <t>Market: education; exhibitions; reception; Service · Human-safe: Yes · AI: Possible via external integration · Runtime ~6–8</t>
        </is>
      </c>
      <c r="BP157" s="145" t="n"/>
      <c r="BQ157" s="149" t="inlineStr">
        <is>
          <t>education; exhibitions; reception; Service</t>
        </is>
      </c>
      <c r="BR157" s="149" t="inlineStr">
        <is>
          <t>In production</t>
        </is>
      </c>
      <c r="BS157" s="149" t="inlineStr">
        <is>
          <t>In production</t>
        </is>
      </c>
      <c r="BT157" s="145" t="inlineStr">
        <is>
          <t>White</t>
        </is>
      </c>
      <c r="BU157" s="145" t="inlineStr">
        <is>
          <t>Not verified</t>
        </is>
      </c>
      <c r="BV157" s="149" t="n"/>
      <c r="BW157" s="149" t="inlineStr">
        <is>
          <t>Origin &amp; status — China · In production · 2026 | Manipulation — Hand DOF ~5 per hand · Payload 8.8 lb | Sensing &amp; software — RGB cameras · Possible via external integration · Linux-based robotics OS | Buying notes — From $45,000 · 12 months manufacturer standard (typical research/commercial humanoid) · Best fit: education</t>
        </is>
      </c>
      <c r="BX157" s="149" t="inlineStr">
        <is>
          <t>as_shipped|ProWhite|45000|As shipped</t>
        </is>
      </c>
      <c r="BY157" s="145" t="inlineStr">
        <is>
          <t>white|White|#e2e8f0|0</t>
        </is>
      </c>
      <c r="BZ157" s="145" t="inlineStr"/>
      <c r="CA157" s="149" t="n"/>
      <c r="CB157" s="149" t="inlineStr">
        <is>
          <t>12 months manufacturer standard (typical research/commercial humanoid)</t>
        </is>
      </c>
      <c r="CC157" s="147" t="n">
        <v>12</v>
      </c>
      <c r="CD157" s="149" t="inlineStr">
        <is>
          <t>+3 Year Extended ≈24% of configuration (default in configurator)</t>
        </is>
      </c>
      <c r="CE157" s="145" t="inlineStr">
        <is>
          <t>Humanoid category norm 2025–2026</t>
        </is>
      </c>
      <c r="CF157" s="145" t="inlineStr">
        <is>
          <t>Estimated</t>
        </is>
      </c>
      <c r="CG157" s="149" t="inlineStr">
        <is>
          <t>Confirm on formal OEM quote. EDU or enterprise packages may differ.</t>
        </is>
      </c>
      <c r="CH157" s="145" t="inlineStr">
        <is>
          <t>10%</t>
        </is>
      </c>
      <c r="CI157" s="145" t="inlineStr">
        <is>
          <t>17%</t>
        </is>
      </c>
      <c r="CJ157" s="145" t="inlineStr">
        <is>
          <t>24%</t>
        </is>
      </c>
      <c r="CK157" s="149" t="inlineStr">
        <is>
          <t>+1yr ≈10% | +2yr ≈17% | +3yr ≈24% of selected configuration price (parts &amp; labor beyond manufacturer standard).</t>
        </is>
      </c>
      <c r="CL157"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57" s="145" t="inlineStr">
        <is>
          <t>12 months manufacturer standard (typical research/commercial humanoid)</t>
        </is>
      </c>
      <c r="CQ157" s="101" t="inlineStr">
        <is>
          <t>Height: 5 ft 1 in | Weight: 99.2 | Degrees of Freedom: ~28–32 | Payload: 8.8 | Max Speed: 0 | Battery / Runtime: ~6–8</t>
        </is>
      </c>
    </row>
    <row r="158" ht="31.5" customHeight="1" s="102">
      <c r="A158" s="152" t="inlineStr">
        <is>
          <t>pl_universe_zeus_1</t>
        </is>
      </c>
      <c r="B158" s="153" t="inlineStr">
        <is>
          <t>Humanoid.guide</t>
        </is>
      </c>
      <c r="C158" s="152" t="inlineStr">
        <is>
          <t>PL-Universe</t>
        </is>
      </c>
      <c r="D158" s="152" t="inlineStr">
        <is>
          <t>Zeus 1</t>
        </is>
      </c>
      <c r="E158" s="152" t="inlineStr">
        <is>
          <t>[PL-Universe] Zeus 1 (2026)</t>
        </is>
      </c>
      <c r="F158" s="146" t="inlineStr">
        <is>
          <t>humanoid</t>
        </is>
      </c>
      <c r="G158" s="152" t="inlineStr">
        <is>
          <t>China</t>
        </is>
      </c>
      <c r="H158" s="152" t="n"/>
      <c r="I158" s="155" t="n">
        <v>140000</v>
      </c>
      <c r="J158" s="152" t="inlineStr">
        <is>
          <t>Humanoid.guide list</t>
        </is>
      </c>
      <c r="K158" s="156" t="inlineStr">
        <is>
          <t>Zeus 1 is a heavy-duty industrial humanoid built for long runtimes, modular tooling, and high-precision smart manufacturing tasks.</t>
        </is>
      </c>
      <c r="L158" s="101" t="inlineStr">
        <is>
          <t>Zeus 1 is a heavy-duty industrial humanoid built for long runtimes, modular tooling, and high-precision smart manufacturing tasks.</t>
        </is>
      </c>
      <c r="M158" s="101" t="inlineStr">
        <is>
          <t>Zeus 1 is a heavy-duty industrial humanoid built for long runtimes, modular tooling, and high-precision smart manufacturing tasks. Public status is listed as production-ready prototype / early commercial units, and it is positioned for industrial automation; Manufacturing.</t>
        </is>
      </c>
      <c r="N158" s="157" t="inlineStr">
        <is>
          <t>https://humanoid.guide/product/zeus-1/</t>
        </is>
      </c>
      <c r="O158" s="157" t="inlineStr">
        <is>
          <t>https://en.pl-universe.com/</t>
        </is>
      </c>
      <c r="P158" s="152" t="inlineStr">
        <is>
          <t>5 ft 3 in</t>
        </is>
      </c>
      <c r="Q158" s="152" t="n">
        <v>160</v>
      </c>
      <c r="R158" s="152" t="n">
        <v>661.4</v>
      </c>
      <c r="S158" s="152" t="n">
        <v>300</v>
      </c>
      <c r="T158" s="156" t="inlineStr">
        <is>
          <t>Not disclosed</t>
        </is>
      </c>
      <c r="U158" s="152" t="n"/>
      <c r="V158" s="152" t="inlineStr">
        <is>
          <t>42</t>
        </is>
      </c>
      <c r="W158" s="156" t="inlineStr">
        <is>
          <t>14</t>
        </is>
      </c>
      <c r="X158" s="152" t="n">
        <v>55.1</v>
      </c>
      <c r="Y158" s="152" t="n">
        <v>25</v>
      </c>
      <c r="Z158" s="152" t="n">
        <v>4.97</v>
      </c>
      <c r="AA158" s="152" t="n">
        <v>8</v>
      </c>
      <c r="AB158" s="152" t="n"/>
      <c r="AC158" s="156" t="inlineStr">
        <is>
          <t>≈ 8 hours</t>
        </is>
      </c>
      <c r="AD158" s="156" t="inlineStr">
        <is>
          <t>8</t>
        </is>
      </c>
      <c r="AE158" s="152" t="n"/>
      <c r="AF158" s="152" t="inlineStr">
        <is>
          <t>Not disclosed</t>
        </is>
      </c>
      <c r="AG158" s="156" t="inlineStr">
        <is>
          <t>2-finger gripping claws</t>
        </is>
      </c>
      <c r="AH158" s="152" t="inlineStr">
        <is>
          <t>2-finger gripping claws</t>
        </is>
      </c>
      <c r="AI158" s="161" t="n">
        <v>4</v>
      </c>
      <c r="AJ158" s="156" t="inlineStr">
        <is>
          <t>RGB + depth, ~1080p</t>
        </is>
      </c>
      <c r="AK158" s="156" t="inlineStr">
        <is>
          <t>RGB + depth, ~1080p</t>
        </is>
      </c>
      <c r="AL158" s="152" t="inlineStr">
        <is>
          <t>Not disclosed</t>
        </is>
      </c>
      <c r="AM158" s="152" t="n"/>
      <c r="AN158" s="152" t="inlineStr">
        <is>
          <t>Not disclosed</t>
        </is>
      </c>
      <c r="AO158" s="152" t="inlineStr">
        <is>
          <t>Not disclosed</t>
        </is>
      </c>
      <c r="AP158" s="152" t="inlineStr">
        <is>
          <t>Not disclosed</t>
        </is>
      </c>
      <c r="AQ158" s="152" t="inlineStr">
        <is>
          <t>Not disclosed</t>
        </is>
      </c>
      <c r="AR158" s="152" t="n"/>
      <c r="AS158" s="152" t="n"/>
      <c r="AT158" s="156" t="inlineStr">
        <is>
          <t>Industrial CPU + dedicated AI accelerator (assumed)</t>
        </is>
      </c>
      <c r="AU158" s="156" t="inlineStr">
        <is>
          <t>Ethernet; Industrial fieldbus; Wi‑Fi</t>
        </is>
      </c>
      <c r="AV158" s="152" t="inlineStr">
        <is>
          <t>Not disclosed</t>
        </is>
      </c>
      <c r="AW158" s="156" t="inlineStr">
        <is>
          <t>Not disclosed</t>
        </is>
      </c>
      <c r="AX158" s="151" t="n">
        <v>3</v>
      </c>
      <c r="AY158" s="156" t="inlineStr">
        <is>
          <t>Linux-based industrial OS / ROS</t>
        </is>
      </c>
      <c r="AZ158" s="156" t="inlineStr">
        <is>
          <t>Possible via external system integration</t>
        </is>
      </c>
      <c r="BA158" s="156" t="inlineStr">
        <is>
          <t>150–250 ms</t>
        </is>
      </c>
      <c r="BB158" s="156" t="inlineStr">
        <is>
          <t>High-torque electric motors</t>
        </is>
      </c>
      <c r="BC158" s="156" t="inlineStr">
        <is>
          <t>Harmonic + reinforced planetary gears</t>
        </is>
      </c>
      <c r="BD158" s="152" t="inlineStr">
        <is>
          <t>Steel frame with aluminum components</t>
        </is>
      </c>
      <c r="BE158" s="152" t="inlineStr">
        <is>
          <t>Industrial-grade, indoor rated</t>
        </is>
      </c>
      <c r="BF158" s="152" t="inlineStr">
        <is>
          <t>Industrial-grade, indoor rated</t>
        </is>
      </c>
      <c r="BG158" s="152" t="n"/>
      <c r="BH158" s="152" t="n"/>
      <c r="BI158" s="152" t="n"/>
      <c r="BJ158" s="152" t="n"/>
      <c r="BK158" s="152" t="n"/>
      <c r="BL158" s="152" t="n"/>
      <c r="BM158" s="152" t="inlineStr">
        <is>
          <t>Yes</t>
        </is>
      </c>
      <c r="BN158" s="152" t="inlineStr">
        <is>
          <t>Not disclosed</t>
        </is>
      </c>
      <c r="BO158" s="156" t="inlineStr">
        <is>
          <t>Market: Industrial automation; Manufacturing · Manipulation 4/4 · Navigation 3/4 · Human-safe: Yes · AI: Possible via external system integration · Actuation: High-torque electric motors · Peak 8 km/h · Runtime 8</t>
        </is>
      </c>
      <c r="BP158" s="152" t="n"/>
      <c r="BQ158" s="156" t="inlineStr">
        <is>
          <t>Industrial automation; Manufacturing</t>
        </is>
      </c>
      <c r="BR158" s="156" t="inlineStr">
        <is>
          <t>Production-ready prototype / early commercial units</t>
        </is>
      </c>
      <c r="BS158" s="156" t="inlineStr">
        <is>
          <t>Production-ready prototype / early commercial units</t>
        </is>
      </c>
      <c r="BT158" s="152" t="inlineStr">
        <is>
          <t>White</t>
        </is>
      </c>
      <c r="BU158" s="152" t="inlineStr">
        <is>
          <t>Not verified</t>
        </is>
      </c>
      <c r="BV158" s="156" t="n"/>
      <c r="BW158" s="156" t="inlineStr">
        <is>
          <t>Origin &amp; status — China · Production-ready prototype / early commercial units · 2026 | Manipulation — 2-finger gripping claws · Hand DOF 14 · Payload 55.1 lb | Sensing &amp; software — RGB + depth, ~1080p · Possible via external system integration · Linux-based industrial OS / ROS | Buying notes — From $140,000 · 12 months manufacturer standard (typical research/commercial humanoid) · Best fit: Industrial automation</t>
        </is>
      </c>
      <c r="BX158" s="156" t="inlineStr">
        <is>
          <t>as_shipped|Zeus 1|140000|As shipped</t>
        </is>
      </c>
      <c r="BY158" s="152" t="inlineStr">
        <is>
          <t>white|White|#e2e8f0|0</t>
        </is>
      </c>
      <c r="BZ158" s="152" t="inlineStr"/>
      <c r="CA158" s="156" t="n"/>
      <c r="CB158" s="156" t="inlineStr">
        <is>
          <t>12 months manufacturer standard (typical research/commercial humanoid)</t>
        </is>
      </c>
      <c r="CC158" s="154" t="n">
        <v>12</v>
      </c>
      <c r="CD158" s="156" t="inlineStr">
        <is>
          <t>+3 Year Extended ≈24% of configuration (default in configurator)</t>
        </is>
      </c>
      <c r="CE158" s="152" t="inlineStr">
        <is>
          <t>Humanoid category norm 2025–2026</t>
        </is>
      </c>
      <c r="CF158" s="152" t="inlineStr">
        <is>
          <t>Estimated</t>
        </is>
      </c>
      <c r="CG158" s="156" t="inlineStr">
        <is>
          <t>Confirm on formal OEM quote. EDU or enterprise packages may differ.</t>
        </is>
      </c>
      <c r="CH158" s="152" t="inlineStr">
        <is>
          <t>10%</t>
        </is>
      </c>
      <c r="CI158" s="152" t="inlineStr">
        <is>
          <t>17%</t>
        </is>
      </c>
      <c r="CJ158" s="152" t="inlineStr">
        <is>
          <t>24%</t>
        </is>
      </c>
      <c r="CK158" s="156" t="inlineStr">
        <is>
          <t>+1yr ≈10% | +2yr ≈17% | +3yr ≈24% of selected configuration price (parts &amp; labor beyond manufacturer standard).</t>
        </is>
      </c>
      <c r="CL158"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58" s="152" t="inlineStr">
        <is>
          <t>12 months manufacturer standard (typical research/commercial humanoid)</t>
        </is>
      </c>
      <c r="CQ158" s="101" t="inlineStr">
        <is>
          <t>Height: 5 ft 3 in | Weight: 661.4 | Degrees of Freedom: 42 | Payload: 55.1 | Max Speed: 4.97 | Battery / Runtime: ≈ 8 hours</t>
        </is>
      </c>
    </row>
    <row r="159" ht="31.5" customHeight="1" s="102">
      <c r="A159" s="143" t="inlineStr">
        <is>
          <t>pndbotics_adam</t>
        </is>
      </c>
      <c r="B159" s="144" t="inlineStr">
        <is>
          <t>Both</t>
        </is>
      </c>
      <c r="C159" s="145" t="inlineStr">
        <is>
          <t>PNDbotics</t>
        </is>
      </c>
      <c r="D159" s="145" t="inlineStr">
        <is>
          <t>Adam Lite</t>
        </is>
      </c>
      <c r="E159" s="145" t="inlineStr">
        <is>
          <t>[PNDbotics] Adam (2025)</t>
        </is>
      </c>
      <c r="F159" s="146" t="inlineStr">
        <is>
          <t>humanoid</t>
        </is>
      </c>
      <c r="G159" s="145" t="inlineStr">
        <is>
          <t>China</t>
        </is>
      </c>
      <c r="H159" s="147" t="n">
        <v>2025</v>
      </c>
      <c r="I159" s="148" t="n">
        <v>100000</v>
      </c>
      <c r="J159" s="145" t="inlineStr">
        <is>
          <t>Robot Price Index Aug 2026 · entry</t>
        </is>
      </c>
      <c r="K159" s="149" t="inlineStr">
        <is>
          <t>PNDbotics Adam is a modular, stable, and AI-powered humanoid robot designed to set a universal standard for the robotics industry.</t>
        </is>
      </c>
      <c r="L159" s="101" t="inlineStr">
        <is>
          <t>https://humanoid.guide/product/adam/</t>
        </is>
      </c>
      <c r="M159" t="inlineStr">
        <is>
          <t>https://pndbotics.com/</t>
        </is>
      </c>
      <c r="N159" s="150" t="inlineStr">
        <is>
          <t>https://humanoid.guide/product/adam/</t>
        </is>
      </c>
      <c r="O159" s="150" t="inlineStr">
        <is>
          <t>https://pndbotics.com/</t>
        </is>
      </c>
      <c r="P159" s="145" t="inlineStr">
        <is>
          <t>5 ft 6 in</t>
        </is>
      </c>
      <c r="Q159" s="145" t="n">
        <v>160</v>
      </c>
      <c r="R159" s="145" t="n">
        <v>132.3</v>
      </c>
      <c r="S159" s="145" t="n">
        <v>60</v>
      </c>
      <c r="T159" s="149" t="inlineStr">
        <is>
          <t>Not disclosed</t>
        </is>
      </c>
      <c r="U159" s="145" t="n"/>
      <c r="V159" s="145" t="inlineStr">
        <is>
          <t>25</t>
        </is>
      </c>
      <c r="W159" s="149" t="n"/>
      <c r="X159" s="145" t="n">
        <v>11</v>
      </c>
      <c r="Y159" s="145" t="n">
        <v>5</v>
      </c>
      <c r="Z159" s="145" t="n">
        <v>3.73</v>
      </c>
      <c r="AA159" s="145" t="n">
        <v>6</v>
      </c>
      <c r="AB159" s="145" t="n">
        <v>4</v>
      </c>
      <c r="AC159" s="149" t="inlineStr">
        <is>
          <t>3</t>
        </is>
      </c>
      <c r="AD159" s="149" t="inlineStr">
        <is>
          <t>3</t>
        </is>
      </c>
      <c r="AE159" s="145" t="n"/>
      <c r="AF159" s="145" t="inlineStr">
        <is>
          <t>Not disclosed</t>
        </is>
      </c>
      <c r="AG159" s="149" t="inlineStr">
        <is>
          <t>Manipulation for research tasks</t>
        </is>
      </c>
      <c r="AH159" s="145" t="n"/>
      <c r="AI159" s="158" t="n">
        <v>2</v>
      </c>
      <c r="AJ159" s="149" t="inlineStr">
        <is>
          <t>General-purpose humanoid cameras</t>
        </is>
      </c>
      <c r="AK159" s="149" t="n"/>
      <c r="AL159" s="145" t="inlineStr">
        <is>
          <t>Not disclosed</t>
        </is>
      </c>
      <c r="AM159" s="145" t="n"/>
      <c r="AN159" s="145" t="inlineStr">
        <is>
          <t>Not disclosed</t>
        </is>
      </c>
      <c r="AO159" s="145" t="inlineStr">
        <is>
          <t>Not disclosed</t>
        </is>
      </c>
      <c r="AP159" s="145" t="inlineStr">
        <is>
          <t>Not disclosed</t>
        </is>
      </c>
      <c r="AQ159" s="145" t="inlineStr">
        <is>
          <t>Not disclosed</t>
        </is>
      </c>
      <c r="AR159" s="145" t="n"/>
      <c r="AS159" s="145" t="n"/>
      <c r="AT159" s="149" t="inlineStr">
        <is>
          <t>Not disclosed</t>
        </is>
      </c>
      <c r="AU159" s="149" t="inlineStr">
        <is>
          <t>Not disclosed</t>
        </is>
      </c>
      <c r="AV159" s="145" t="inlineStr">
        <is>
          <t>PNDbotics software</t>
        </is>
      </c>
      <c r="AW159" s="149" t="inlineStr">
        <is>
          <t>Not disclosed</t>
        </is>
      </c>
      <c r="AX159" s="158" t="n">
        <v>2</v>
      </c>
      <c r="AY159" s="149" t="inlineStr">
        <is>
          <t>Not disclosed</t>
        </is>
      </c>
      <c r="AZ159" s="149" t="inlineStr">
        <is>
          <t>Not disclosed</t>
        </is>
      </c>
      <c r="BA159" s="149" t="n"/>
      <c r="BB159" s="149" t="inlineStr">
        <is>
          <t>Not disclosed</t>
        </is>
      </c>
      <c r="BC159" s="149" t="inlineStr">
        <is>
          <t>Not disclosed</t>
        </is>
      </c>
      <c r="BD159" s="145" t="inlineStr">
        <is>
          <t>Not disclosed</t>
        </is>
      </c>
      <c r="BE159" s="145" t="inlineStr">
        <is>
          <t>Not disclosed</t>
        </is>
      </c>
      <c r="BF159" s="145" t="n"/>
      <c r="BG159" s="145" t="n"/>
      <c r="BH159" s="145" t="n"/>
      <c r="BI159" s="145" t="n"/>
      <c r="BJ159" s="145" t="n"/>
      <c r="BK159" s="145" t="n"/>
      <c r="BL159" s="145" t="n"/>
      <c r="BM159" s="145" t="inlineStr">
        <is>
          <t>Not disclosed</t>
        </is>
      </c>
      <c r="BN159" s="145" t="inlineStr">
        <is>
          <t>Not disclosed</t>
        </is>
      </c>
      <c r="BO159" s="149" t="inlineStr">
        <is>
          <t>Market: Research / Service · Manipulation 2/4 · Navigation 2/4 · Peak 6 km/h · Walk 4 km/h · Runtime 3</t>
        </is>
      </c>
      <c r="BP159" s="145" t="n"/>
      <c r="BQ159" s="149" t="inlineStr">
        <is>
          <t>Research / Service</t>
        </is>
      </c>
      <c r="BR159" s="149" t="inlineStr">
        <is>
          <t>Available</t>
        </is>
      </c>
      <c r="BS159" s="149" t="inlineStr">
        <is>
          <t>Prototype</t>
        </is>
      </c>
      <c r="BT159" s="145" t="n"/>
      <c r="BU159" s="145" t="inlineStr">
        <is>
          <t>Not verified</t>
        </is>
      </c>
      <c r="BV159" s="149" t="inlineStr">
        <is>
          <t>Humanoid.guide listed price $120,000.</t>
        </is>
      </c>
      <c r="BW159" s="149" t="inlineStr">
        <is>
          <t>Height (fully upright): 5 ft 6 in | Operating weight: 132.3 | Degrees of freedom: 25 | Payload capacity: 11 | Maximum speed: 3.73 | Battery / runtime: 3</t>
        </is>
      </c>
      <c r="BX159" s="149" t="inlineStr">
        <is>
          <t>std|Standard|99999|Primary configuration</t>
        </is>
      </c>
      <c r="BY159" s="145" t="inlineStr">
        <is>
          <t>standard|Standard|#e2e8f0|0 || dark|Dark|#1e293b|0</t>
        </is>
      </c>
      <c r="BZ159" s="145" t="inlineStr">
        <is>
          <t>case</t>
        </is>
      </c>
      <c r="CA159" s="149" t="inlineStr">
        <is>
          <t>Add-ons: case; 2 color options; Multi-year extended warranty available</t>
        </is>
      </c>
      <c r="CB159" s="149" t="inlineStr">
        <is>
          <t>12 months manufacturer standard (typical research/commercial humanoid)</t>
        </is>
      </c>
      <c r="CC159" s="147" t="n">
        <v>12</v>
      </c>
      <c r="CD159" s="149" t="inlineStr">
        <is>
          <t>+3 Year Extended ≈24% of configuration (default in configurator)</t>
        </is>
      </c>
      <c r="CE159" s="145" t="inlineStr">
        <is>
          <t>Humanoid category norm 2025–2026</t>
        </is>
      </c>
      <c r="CF159" s="145" t="inlineStr">
        <is>
          <t>Estimated</t>
        </is>
      </c>
      <c r="CG159" s="149" t="inlineStr">
        <is>
          <t>EDU or enterprise packages may differ; confirm on formal quote.</t>
        </is>
      </c>
      <c r="CH159" s="145" t="inlineStr">
        <is>
          <t>10%</t>
        </is>
      </c>
      <c r="CI159" s="145" t="inlineStr">
        <is>
          <t>17%</t>
        </is>
      </c>
      <c r="CJ159" s="145" t="inlineStr">
        <is>
          <t>24%</t>
        </is>
      </c>
      <c r="CK15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15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59" s="145" t="inlineStr">
        <is>
          <t>12 months manufacturer standard (typical research/commercial humanoid)</t>
        </is>
      </c>
      <c r="CQ159" s="101" t="inlineStr">
        <is>
          <t>Height: 5 ft 6 in | Weight: 132.3 | Degrees of Freedom: 25 | Payload: 11 | Max Speed: 3.73 | Battery / Runtime: 3</t>
        </is>
      </c>
    </row>
    <row r="160" ht="31.5" customHeight="1" s="102">
      <c r="A160" s="152" t="inlineStr">
        <is>
          <t>pndbotics_adam_sp</t>
        </is>
      </c>
      <c r="B160" s="153" t="inlineStr">
        <is>
          <t>Humanoid.guide</t>
        </is>
      </c>
      <c r="C160" s="152" t="inlineStr">
        <is>
          <t>PNDbotics</t>
        </is>
      </c>
      <c r="D160" s="152" t="inlineStr">
        <is>
          <t>Adam SP</t>
        </is>
      </c>
      <c r="E160" s="152" t="inlineStr">
        <is>
          <t>[PNDbotics] Adam SP (2026)</t>
        </is>
      </c>
      <c r="F160" s="146" t="inlineStr">
        <is>
          <t>humanoid</t>
        </is>
      </c>
      <c r="G160" s="152" t="inlineStr">
        <is>
          <t>China</t>
        </is>
      </c>
      <c r="H160" s="152" t="n"/>
      <c r="I160" s="155" t="n">
        <v>100000</v>
      </c>
      <c r="J160" s="152" t="inlineStr">
        <is>
          <t>Robot Price Index Aug 2026 · entry</t>
        </is>
      </c>
      <c r="K160" s="156" t="inlineStr">
        <is>
          <t>ADAM SP is PNDbotics’ 1.67 m‑tall, 62 kg humanoid robot that couples 41 degrees‑of‑freedom hardware with reinforcement‑learning control, giving industries a modular, developer‑friendly platform for safe, human‑like automation.</t>
        </is>
      </c>
      <c r="L160" s="101" t="inlineStr">
        <is>
          <t>ADAM SP is PNDbotics’ 1.67 m‑tall, 62 kg humanoid robot that couples 41 degrees‑of‑freedom hardware with reinforcement‑learning control, giving industries a modular, developer‑friendly platform for safe, human‑like automation.</t>
        </is>
      </c>
      <c r="M160" s="101" t="inlineStr">
        <is>
          <t>ADAM SP is PNDbotics’ 1.67 m‑tall, 62 kg humanoid robot that couples 41 degrees‑of‑freedom hardware with reinforcement‑learning control, giving industries a modular, developer‑friendly platform for safe, human‑like automation. Public status is listed as prototype, and it is positioned for industrial automation; service robotics.</t>
        </is>
      </c>
      <c r="N160" s="157" t="inlineStr">
        <is>
          <t>https://humanoid.guide/product/adamsp/</t>
        </is>
      </c>
      <c r="O160" s="157" t="inlineStr">
        <is>
          <t>https://pndbotics.com/</t>
        </is>
      </c>
      <c r="P160" s="152" t="inlineStr">
        <is>
          <t>5 ft 6 in</t>
        </is>
      </c>
      <c r="Q160" s="152" t="n">
        <v>167</v>
      </c>
      <c r="R160" s="152" t="n">
        <v>136.7</v>
      </c>
      <c r="S160" s="152" t="n">
        <v>62</v>
      </c>
      <c r="T160" s="156" t="inlineStr">
        <is>
          <t>Not disclosed</t>
        </is>
      </c>
      <c r="U160" s="152" t="n"/>
      <c r="V160" s="152" t="inlineStr">
        <is>
          <t>41</t>
        </is>
      </c>
      <c r="W160" s="156" t="inlineStr">
        <is>
          <t>7</t>
        </is>
      </c>
      <c r="X160" s="152" t="n">
        <v>11</v>
      </c>
      <c r="Y160" s="152" t="n">
        <v>5</v>
      </c>
      <c r="Z160" s="152" t="n">
        <v>3.73</v>
      </c>
      <c r="AA160" s="152" t="n">
        <v>6</v>
      </c>
      <c r="AB160" s="152" t="n"/>
      <c r="AC160" s="156" t="inlineStr">
        <is>
          <t>≈ 2 hours</t>
        </is>
      </c>
      <c r="AD160" s="156" t="inlineStr">
        <is>
          <t>2</t>
        </is>
      </c>
      <c r="AE160" s="152" t="n"/>
      <c r="AF160" s="152" t="inlineStr">
        <is>
          <t>Not disclosed</t>
        </is>
      </c>
      <c r="AG160" s="156" t="inlineStr">
        <is>
          <t>10</t>
        </is>
      </c>
      <c r="AH160" s="152" t="inlineStr">
        <is>
          <t>10</t>
        </is>
      </c>
      <c r="AI160" s="158" t="n">
        <v>2</v>
      </c>
      <c r="AJ160" s="156" t="inlineStr">
        <is>
          <t>Not disclosed</t>
        </is>
      </c>
      <c r="AK160" s="156" t="inlineStr">
        <is>
          <t>Not specified</t>
        </is>
      </c>
      <c r="AL160" s="152" t="inlineStr">
        <is>
          <t>Not disclosed</t>
        </is>
      </c>
      <c r="AM160" s="152" t="n"/>
      <c r="AN160" s="152" t="inlineStr">
        <is>
          <t>Not disclosed</t>
        </is>
      </c>
      <c r="AO160" s="152" t="inlineStr">
        <is>
          <t>Not disclosed</t>
        </is>
      </c>
      <c r="AP160" s="152" t="inlineStr">
        <is>
          <t>Not disclosed</t>
        </is>
      </c>
      <c r="AQ160" s="152" t="inlineStr">
        <is>
          <t>Not disclosed</t>
        </is>
      </c>
      <c r="AR160" s="152" t="n"/>
      <c r="AS160" s="152" t="n"/>
      <c r="AT160" s="156" t="inlineStr">
        <is>
          <t>Not disclosed</t>
        </is>
      </c>
      <c r="AU160" s="156" t="inlineStr">
        <is>
          <t>Not disclosed</t>
        </is>
      </c>
      <c r="AV160" s="152" t="inlineStr">
        <is>
          <t>Not disclosed</t>
        </is>
      </c>
      <c r="AW160" s="156" t="inlineStr">
        <is>
          <t>Not disclosed</t>
        </is>
      </c>
      <c r="AX160" s="158" t="n">
        <v>2</v>
      </c>
      <c r="AY160" s="156" t="inlineStr">
        <is>
          <t>Not disclosed</t>
        </is>
      </c>
      <c r="AZ160" s="156" t="inlineStr">
        <is>
          <t>Not disclosed</t>
        </is>
      </c>
      <c r="BA160" s="156" t="inlineStr">
        <is>
          <t>Not specified</t>
        </is>
      </c>
      <c r="BB160" s="156" t="inlineStr">
        <is>
          <t>PND Smart Actuator (PSA)</t>
        </is>
      </c>
      <c r="BC160" s="156" t="inlineStr">
        <is>
          <t>Integrated transmission</t>
        </is>
      </c>
      <c r="BD160" s="152" t="inlineStr">
        <is>
          <t>Integrated transmission</t>
        </is>
      </c>
      <c r="BE160" s="152" t="inlineStr">
        <is>
          <t>Not disclosed</t>
        </is>
      </c>
      <c r="BF160" s="152" t="inlineStr">
        <is>
          <t>Not specified</t>
        </is>
      </c>
      <c r="BG160" s="152" t="n"/>
      <c r="BH160" s="152" t="n"/>
      <c r="BI160" s="152" t="n"/>
      <c r="BJ160" s="152" t="n"/>
      <c r="BK160" s="152" t="n"/>
      <c r="BL160" s="152" t="n"/>
      <c r="BM160" s="152" t="inlineStr">
        <is>
          <t>Yes</t>
        </is>
      </c>
      <c r="BN160" s="152" t="inlineStr">
        <is>
          <t>Not disclosed</t>
        </is>
      </c>
      <c r="BO160" s="156" t="inlineStr">
        <is>
          <t>Market: Industrial automation; service robotics · Manipulation 2/4 · Navigation 2/4 · Human-safe: Yes · AI: Not specified · Actuation: PND Smart Actuator (PSA) · Peak 6 km/h · Runtime 2</t>
        </is>
      </c>
      <c r="BP160" s="152" t="n"/>
      <c r="BQ160" s="156" t="inlineStr">
        <is>
          <t>Industrial automation; service robotics</t>
        </is>
      </c>
      <c r="BR160" s="156" t="inlineStr">
        <is>
          <t>Prototype</t>
        </is>
      </c>
      <c r="BS160" s="156" t="inlineStr">
        <is>
          <t>Prototype</t>
        </is>
      </c>
      <c r="BT160" s="152" t="n"/>
      <c r="BU160" s="152" t="inlineStr">
        <is>
          <t>Not verified</t>
        </is>
      </c>
      <c r="BV160" s="156" t="n"/>
      <c r="BW160" s="156" t="inlineStr">
        <is>
          <t>Origin &amp; status — China · Prototype · 2026 | Manipulation — 10 · 10 fingers · Hand DOF 7 · Payload 11 lb | Sensing &amp; software — Sensor and compute package confirmed on formal quote | Buying notes — From $100,000 · 12 months manufacturer standard (typical research/commercial humanoid) · Best fit: Industrial automation</t>
        </is>
      </c>
      <c r="BX160" s="156" t="inlineStr">
        <is>
          <t>as_shipped|Adam SP|100000|As shipped</t>
        </is>
      </c>
      <c r="BY160" s="152" t="inlineStr">
        <is>
          <t>adam_sp|Manufacturer finish|#e2e8f0|0</t>
        </is>
      </c>
      <c r="BZ160" s="152" t="inlineStr"/>
      <c r="CA160" s="156" t="n"/>
      <c r="CB160" s="156" t="inlineStr">
        <is>
          <t>12 months manufacturer standard (typical research/commercial humanoid)</t>
        </is>
      </c>
      <c r="CC160" s="154" t="n">
        <v>12</v>
      </c>
      <c r="CD160" s="156" t="inlineStr">
        <is>
          <t>+3 Year Extended ≈24% of configuration (default in configurator)</t>
        </is>
      </c>
      <c r="CE160" s="152" t="inlineStr">
        <is>
          <t>Humanoid category norm 2025–2026</t>
        </is>
      </c>
      <c r="CF160" s="152" t="inlineStr">
        <is>
          <t>Estimated</t>
        </is>
      </c>
      <c r="CG160" s="156" t="inlineStr">
        <is>
          <t>Confirm on formal OEM quote. EDU or enterprise packages may differ.</t>
        </is>
      </c>
      <c r="CH160" s="152" t="inlineStr">
        <is>
          <t>10%</t>
        </is>
      </c>
      <c r="CI160" s="152" t="inlineStr">
        <is>
          <t>17%</t>
        </is>
      </c>
      <c r="CJ160" s="152" t="inlineStr">
        <is>
          <t>24%</t>
        </is>
      </c>
      <c r="CK160" s="156" t="inlineStr">
        <is>
          <t>+1yr ≈10% | +2yr ≈17% | +3yr ≈24% of selected configuration price (parts &amp; labor beyond manufacturer standard).</t>
        </is>
      </c>
      <c r="CL160"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60" s="152" t="inlineStr">
        <is>
          <t>12 months manufacturer standard (typical research/commercial humanoid)</t>
        </is>
      </c>
      <c r="CQ160" s="101" t="inlineStr">
        <is>
          <t>Height: 5 ft 6 in | Weight: 136.7 | Degrees of Freedom: 41 | Payload: 11 | Max Speed: 3.73 | Battery / Runtime: ≈ 2 hours</t>
        </is>
      </c>
    </row>
    <row r="161" ht="31.5" customHeight="1" s="102">
      <c r="A161" s="145" t="inlineStr">
        <is>
          <t>pollen_robotics_reachy_2</t>
        </is>
      </c>
      <c r="B161" s="153" t="inlineStr">
        <is>
          <t>Humanoid.guide</t>
        </is>
      </c>
      <c r="C161" s="145" t="inlineStr">
        <is>
          <t>Pollen Robotics</t>
        </is>
      </c>
      <c r="D161" s="145" t="inlineStr">
        <is>
          <t>Reachy 2</t>
        </is>
      </c>
      <c r="E161" s="145" t="inlineStr">
        <is>
          <t>[Pollen Robotics] Reachy 2 (2026)</t>
        </is>
      </c>
      <c r="F161" s="146" t="inlineStr">
        <is>
          <t>humanoid</t>
        </is>
      </c>
      <c r="G161" s="145" t="inlineStr">
        <is>
          <t>France</t>
        </is>
      </c>
      <c r="H161" s="145" t="n"/>
      <c r="I161" s="148" t="n">
        <v>78000</v>
      </c>
      <c r="J161" s="145" t="inlineStr">
        <is>
          <t>Humanoid.guide list</t>
        </is>
      </c>
      <c r="K161" s="149" t="inlineStr">
        <is>
          <t>Reachy 2 is Pollen Robotics's humanoid — 5 ft 5 in class, 14 DOF, 6.6 lb payload. Aimed at research, commercial pilots, education, and professional deployment.</t>
        </is>
      </c>
      <c r="L161" s="101" t="inlineStr">
        <is>
          <t>Reachy 2 is Pollen Robotics's humanoid — 5 ft 5 in class, 14 DOF, 6.6 lb payload. Aimed at research, commercial pilots, education, and professional deployment.</t>
        </is>
      </c>
      <c r="M161" s="101" t="inlineStr">
        <is>
          <t>Reachy 2 is Pollen Robotics's humanoid — 5 ft 5 in class, 14 DOF, 6.6 lb payload. Aimed at research, commercial pilots, education, and professional deployment. Public status is listed as prototype.</t>
        </is>
      </c>
      <c r="N161" s="150" t="inlineStr">
        <is>
          <t>https://humanoid.guide/product/reachy-2/</t>
        </is>
      </c>
      <c r="O161" s="150" t="inlineStr">
        <is>
          <t>https://www.pollen-robotics.com</t>
        </is>
      </c>
      <c r="P161" s="145" t="inlineStr">
        <is>
          <t>5 ft 5 in</t>
        </is>
      </c>
      <c r="Q161" s="145" t="n">
        <v>166</v>
      </c>
      <c r="R161" s="145" t="n">
        <v>110.2</v>
      </c>
      <c r="S161" s="145" t="n">
        <v>50</v>
      </c>
      <c r="T161" s="149" t="inlineStr">
        <is>
          <t>Not disclosed</t>
        </is>
      </c>
      <c r="U161" s="145" t="n"/>
      <c r="V161" s="145" t="inlineStr">
        <is>
          <t>14</t>
        </is>
      </c>
      <c r="W161" s="149" t="inlineStr">
        <is>
          <t>Not disclosed</t>
        </is>
      </c>
      <c r="X161" s="145" t="n">
        <v>6.6</v>
      </c>
      <c r="Y161" s="145" t="n">
        <v>3</v>
      </c>
      <c r="Z161" s="145" t="n">
        <v>1.86</v>
      </c>
      <c r="AA161" s="145" t="n">
        <v>3</v>
      </c>
      <c r="AB161" s="145" t="n"/>
      <c r="AC161" s="149" t="inlineStr">
        <is>
          <t>≈ 8 hours</t>
        </is>
      </c>
      <c r="AD161" s="149" t="inlineStr">
        <is>
          <t>8</t>
        </is>
      </c>
      <c r="AE161" s="145" t="n"/>
      <c r="AF161" s="145" t="inlineStr">
        <is>
          <t>Not disclosed</t>
        </is>
      </c>
      <c r="AG161" s="149" t="inlineStr">
        <is>
          <t>Not disclosed</t>
        </is>
      </c>
      <c r="AH161" s="145" t="inlineStr">
        <is>
          <t>Not disclosed</t>
        </is>
      </c>
      <c r="AI161" s="158" t="n">
        <v>2</v>
      </c>
      <c r="AJ161" s="149" t="inlineStr">
        <is>
          <t>Not disclosed</t>
        </is>
      </c>
      <c r="AK161" s="149" t="n"/>
      <c r="AL161" s="145" t="inlineStr">
        <is>
          <t>Not disclosed</t>
        </is>
      </c>
      <c r="AM161" s="145" t="n"/>
      <c r="AN161" s="145" t="inlineStr">
        <is>
          <t>Not disclosed</t>
        </is>
      </c>
      <c r="AO161" s="145" t="inlineStr">
        <is>
          <t>Not disclosed</t>
        </is>
      </c>
      <c r="AP161" s="145" t="inlineStr">
        <is>
          <t>Not disclosed</t>
        </is>
      </c>
      <c r="AQ161" s="145" t="inlineStr">
        <is>
          <t>Not disclosed</t>
        </is>
      </c>
      <c r="AR161" s="145" t="n"/>
      <c r="AS161" s="145" t="n"/>
      <c r="AT161" s="149" t="inlineStr">
        <is>
          <t>Not disclosed</t>
        </is>
      </c>
      <c r="AU161" s="149" t="inlineStr">
        <is>
          <t>Not disclosed</t>
        </is>
      </c>
      <c r="AV161" s="145" t="inlineStr">
        <is>
          <t>Not disclosed</t>
        </is>
      </c>
      <c r="AW161" s="149" t="inlineStr">
        <is>
          <t>Not disclosed</t>
        </is>
      </c>
      <c r="AX161" s="158" t="n">
        <v>2</v>
      </c>
      <c r="AY161" s="149" t="inlineStr">
        <is>
          <t>Not disclosed</t>
        </is>
      </c>
      <c r="AZ161" s="149" t="inlineStr">
        <is>
          <t>Not disclosed</t>
        </is>
      </c>
      <c r="BA161" s="149" t="n"/>
      <c r="BB161" s="149" t="inlineStr">
        <is>
          <t>Not disclosed</t>
        </is>
      </c>
      <c r="BC161" s="149" t="inlineStr">
        <is>
          <t>Not disclosed</t>
        </is>
      </c>
      <c r="BD161" s="145" t="inlineStr">
        <is>
          <t>Not disclosed</t>
        </is>
      </c>
      <c r="BE161" s="145" t="inlineStr">
        <is>
          <t>Not disclosed</t>
        </is>
      </c>
      <c r="BF161" s="145" t="n"/>
      <c r="BG161" s="145" t="n"/>
      <c r="BH161" s="145" t="n"/>
      <c r="BI161" s="145" t="n"/>
      <c r="BJ161" s="145" t="n"/>
      <c r="BK161" s="145" t="n"/>
      <c r="BL161" s="145" t="n"/>
      <c r="BM161" s="145" t="inlineStr">
        <is>
          <t>Not disclosed</t>
        </is>
      </c>
      <c r="BN161" s="145" t="inlineStr">
        <is>
          <t>Not disclosed</t>
        </is>
      </c>
      <c r="BO161" s="149" t="inlineStr">
        <is>
          <t>Manipulation 2/4 · Navigation 2/4 · Peak 3 km/h · Runtime 8</t>
        </is>
      </c>
      <c r="BP161" s="145" t="n"/>
      <c r="BQ161" s="149" t="inlineStr">
        <is>
          <t>Research labs, commercial pilots, and education programs evaluating a humanoid from Pollen Robotics (France) now listed as prototype.</t>
        </is>
      </c>
      <c r="BR161" s="149" t="inlineStr">
        <is>
          <t>Prototype</t>
        </is>
      </c>
      <c r="BS161" s="149" t="inlineStr">
        <is>
          <t>Prototype</t>
        </is>
      </c>
      <c r="BT161" s="145" t="n"/>
      <c r="BU161" s="145" t="inlineStr">
        <is>
          <t>Not verified</t>
        </is>
      </c>
      <c r="BV161" s="149" t="n"/>
      <c r="BW161" s="149" t="inlineStr">
        <is>
          <t>Origin &amp; status — France · Prototype · 2026 | Manipulation — Payload 6.6 lb | Sensing &amp; software — Sensor and compute package confirmed on formal quote | Buying notes — From $78,000 · 12 months manufacturer standard (typical research/commercial humanoid)</t>
        </is>
      </c>
      <c r="BX161" s="149" t="inlineStr">
        <is>
          <t>as_shipped|Reachy 2|78000|As shipped</t>
        </is>
      </c>
      <c r="BY161" s="145" t="inlineStr">
        <is>
          <t>reachy_2|Manufacturer finish|#e2e8f0|0</t>
        </is>
      </c>
      <c r="BZ161" s="145" t="inlineStr"/>
      <c r="CA161" s="149" t="n"/>
      <c r="CB161" s="149" t="inlineStr">
        <is>
          <t>12 months manufacturer standard (typical research/commercial humanoid)</t>
        </is>
      </c>
      <c r="CC161" s="147" t="n">
        <v>12</v>
      </c>
      <c r="CD161" s="149" t="inlineStr">
        <is>
          <t>+3 Year Extended ≈24% of configuration (default in configurator)</t>
        </is>
      </c>
      <c r="CE161" s="145" t="inlineStr">
        <is>
          <t>Humanoid category norm 2025–2026</t>
        </is>
      </c>
      <c r="CF161" s="145" t="inlineStr">
        <is>
          <t>Estimated</t>
        </is>
      </c>
      <c r="CG161" s="149" t="inlineStr">
        <is>
          <t>Confirm on formal OEM quote. EDU or enterprise packages may differ.</t>
        </is>
      </c>
      <c r="CH161" s="145" t="inlineStr">
        <is>
          <t>10%</t>
        </is>
      </c>
      <c r="CI161" s="145" t="inlineStr">
        <is>
          <t>17%</t>
        </is>
      </c>
      <c r="CJ161" s="145" t="inlineStr">
        <is>
          <t>24%</t>
        </is>
      </c>
      <c r="CK161" s="149" t="inlineStr">
        <is>
          <t>+1yr ≈10% | +2yr ≈17% | +3yr ≈24% of selected configuration price (parts &amp; labor beyond manufacturer standard).</t>
        </is>
      </c>
      <c r="CL16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61" s="145" t="inlineStr">
        <is>
          <t>12 months manufacturer standard (typical research/commercial humanoid)</t>
        </is>
      </c>
      <c r="CQ161" s="101" t="inlineStr">
        <is>
          <t>Height: 5 ft 5 in | Weight: 110.2 | Degrees of Freedom: 14 | Payload: 6.6 | Max Speed: 1.86 | Battery / Runtime: ≈ 8 hours</t>
        </is>
      </c>
    </row>
    <row r="162" ht="31.5" customHeight="1" s="102">
      <c r="A162" s="152" t="inlineStr">
        <is>
          <t>primebot_primebot_q1</t>
        </is>
      </c>
      <c r="B162" s="153" t="inlineStr">
        <is>
          <t>Humanoid.guide</t>
        </is>
      </c>
      <c r="C162" s="152" t="inlineStr">
        <is>
          <t>PrimeBOT</t>
        </is>
      </c>
      <c r="D162" s="152" t="inlineStr">
        <is>
          <t>PrimeBOT Q1</t>
        </is>
      </c>
      <c r="E162" s="152" t="inlineStr">
        <is>
          <t>[PrimeBOT] PrimeBOT Q1 (2026)</t>
        </is>
      </c>
      <c r="F162" s="146" t="inlineStr">
        <is>
          <t>humanoid</t>
        </is>
      </c>
      <c r="G162" s="152" t="inlineStr">
        <is>
          <t>China</t>
        </is>
      </c>
      <c r="H162" s="154" t="n">
        <v>2026</v>
      </c>
      <c r="I162" s="155" t="n">
        <v>12000</v>
      </c>
      <c r="J162" s="152" t="inlineStr">
        <is>
          <t>Humanoid.guide list</t>
        </is>
      </c>
      <c r="K162" s="156" t="inlineStr">
        <is>
          <t>PrimeBOT Q1 is Swancor’s tiny, fully customizable personal humanoid robot, debuted at CES 2026 with QDD joints and an open SDK/HDK — full specs and pricing aren’t yet public.</t>
        </is>
      </c>
      <c r="L162" s="101" t="inlineStr">
        <is>
          <t>PrimeBOT Q1 is Swancor’s tiny, fully customizable personal humanoid robot, debuted at CES 2026 with QDD joints and an open SDK/HDK — full specs and pricing aren’t yet public.</t>
        </is>
      </c>
      <c r="M162" s="101" t="inlineStr">
        <is>
          <t>PrimeBOT Q1 is Swancor’s tiny, fully customizable personal humanoid robot, debuted at CES 2026 with QDD joints and an open SDK/HDK — full specs and pricing aren’t yet public. Public status is listed as in production, and it is positioned for consumer home use; Developers; Robotics education.</t>
        </is>
      </c>
      <c r="N162" s="157" t="inlineStr">
        <is>
          <t>https://humanoid.guide/product/primebot-q1/</t>
        </is>
      </c>
      <c r="O162" s="157" t="inlineStr">
        <is>
          <t>https://www.primebot.cn/</t>
        </is>
      </c>
      <c r="P162" s="152" t="inlineStr">
        <is>
          <t>1 ft 8 in</t>
        </is>
      </c>
      <c r="Q162" s="152" t="n">
        <v>50</v>
      </c>
      <c r="R162" s="152" t="n">
        <v>8.800000000000001</v>
      </c>
      <c r="S162" s="152" t="n">
        <v>4</v>
      </c>
      <c r="T162" s="156" t="inlineStr">
        <is>
          <t>Not disclosed</t>
        </is>
      </c>
      <c r="U162" s="152" t="n"/>
      <c r="V162" s="152" t="inlineStr">
        <is>
          <t>20</t>
        </is>
      </c>
      <c r="W162" s="156" t="inlineStr">
        <is>
          <t>2</t>
        </is>
      </c>
      <c r="X162" s="152" t="n">
        <v>2.2</v>
      </c>
      <c r="Y162" s="152" t="n">
        <v>1</v>
      </c>
      <c r="Z162" s="152" t="n">
        <v>1.86</v>
      </c>
      <c r="AA162" s="152" t="n">
        <v>3</v>
      </c>
      <c r="AB162" s="152" t="n"/>
      <c r="AC162" s="156" t="inlineStr">
        <is>
          <t>≈ 1.5 hours</t>
        </is>
      </c>
      <c r="AD162" s="156" t="inlineStr">
        <is>
          <t>1.5</t>
        </is>
      </c>
      <c r="AE162" s="152" t="n"/>
      <c r="AF162" s="152" t="inlineStr">
        <is>
          <t>Not disclosed</t>
        </is>
      </c>
      <c r="AG162" s="156" t="inlineStr">
        <is>
          <t>5 per hand</t>
        </is>
      </c>
      <c r="AH162" s="152" t="inlineStr">
        <is>
          <t>5 per hand</t>
        </is>
      </c>
      <c r="AI162" s="152" t="n"/>
      <c r="AJ162" s="156" t="inlineStr">
        <is>
          <t>Not disclosed</t>
        </is>
      </c>
      <c r="AK162" s="156" t="n"/>
      <c r="AL162" s="152" t="inlineStr">
        <is>
          <t>Not disclosed</t>
        </is>
      </c>
      <c r="AM162" s="152" t="n"/>
      <c r="AN162" s="152" t="inlineStr">
        <is>
          <t>Not disclosed</t>
        </is>
      </c>
      <c r="AO162" s="152" t="inlineStr">
        <is>
          <t>Not disclosed</t>
        </is>
      </c>
      <c r="AP162" s="152" t="inlineStr">
        <is>
          <t>Not disclosed</t>
        </is>
      </c>
      <c r="AQ162" s="152" t="inlineStr">
        <is>
          <t>Not disclosed</t>
        </is>
      </c>
      <c r="AR162" s="152" t="n"/>
      <c r="AS162" s="152" t="n"/>
      <c r="AT162" s="156" t="inlineStr">
        <is>
          <t>Embedded edge-AI SoC given on-device "emotion computing engine"</t>
        </is>
      </c>
      <c r="AU162" s="156" t="inlineStr">
        <is>
          <t>cameras; circular mic array; Touch sensors</t>
        </is>
      </c>
      <c r="AV162" s="152" t="inlineStr">
        <is>
          <t>Not disclosed</t>
        </is>
      </c>
      <c r="AW162" s="156" t="inlineStr">
        <is>
          <t>Not disclosed</t>
        </is>
      </c>
      <c r="AX162" s="152" t="n"/>
      <c r="AY162" s="156" t="inlineStr">
        <is>
          <t>Proprietary PrimeBOT app/OS layer</t>
        </is>
      </c>
      <c r="AZ162" s="156" t="inlineStr">
        <is>
          <t>Yes</t>
        </is>
      </c>
      <c r="BA162" s="156" t="n"/>
      <c r="BB162" s="156" t="inlineStr">
        <is>
          <t>QDD (quasi-direct-drive) joints</t>
        </is>
      </c>
      <c r="BC162" s="156" t="inlineStr">
        <is>
          <t>Low-ratio/single-stage gearing typical of QDD actuators</t>
        </is>
      </c>
      <c r="BD162" s="152" t="inlineStr">
        <is>
          <t>Not disclosed</t>
        </is>
      </c>
      <c r="BE162" s="152" t="inlineStr">
        <is>
          <t>Not disclosed</t>
        </is>
      </c>
      <c r="BF162" s="152" t="n"/>
      <c r="BG162" s="152" t="n"/>
      <c r="BH162" s="152" t="n"/>
      <c r="BI162" s="152" t="n"/>
      <c r="BJ162" s="152" t="n"/>
      <c r="BK162" s="152" t="n"/>
      <c r="BL162" s="152" t="n"/>
      <c r="BM162" s="152" t="inlineStr">
        <is>
          <t>Yes</t>
        </is>
      </c>
      <c r="BN162" s="152" t="inlineStr">
        <is>
          <t>Not disclosed</t>
        </is>
      </c>
      <c r="BO162" s="156" t="inlineStr">
        <is>
          <t>Market: Consumer home use; Developers; Robotics education · Human-safe: Yes · AI: Yes · Actuation: QDD (quasi-direct-drive) joints · Peak 3 km/h · Runtime 1.5</t>
        </is>
      </c>
      <c r="BP162" s="152" t="n"/>
      <c r="BQ162" s="156" t="inlineStr">
        <is>
          <t>Consumer home use; Developers; Robotics education</t>
        </is>
      </c>
      <c r="BR162" s="156" t="inlineStr">
        <is>
          <t>In production</t>
        </is>
      </c>
      <c r="BS162" s="156" t="inlineStr">
        <is>
          <t>In production</t>
        </is>
      </c>
      <c r="BT162" s="152" t="n"/>
      <c r="BU162" s="152" t="n"/>
      <c r="BV162" s="156" t="n"/>
      <c r="BW162" s="156" t="inlineStr">
        <is>
          <t>Origin &amp; status — China · In production · 2026 | Manipulation — 5 per hand · 5 per hand fingers · Hand DOF 2 · Payload 2.2 lb | Sensing &amp; software — Yes · Proprietary PrimeBOT app/OS layer | Buying notes — From $12,000 · 12 months manufacturer standard (typical research/commercial humanoid) · Best fit: Consumer home use</t>
        </is>
      </c>
      <c r="BX162" s="156" t="inlineStr">
        <is>
          <t>as_shipped|PrimeBOT Q1|12000|As shipped</t>
        </is>
      </c>
      <c r="BY162" s="152" t="inlineStr">
        <is>
          <t>primebot_q1|Manufacturer finish|#e2e8f0|0</t>
        </is>
      </c>
      <c r="BZ162" s="152" t="inlineStr"/>
      <c r="CA162" s="156" t="n"/>
      <c r="CB162" s="156" t="inlineStr">
        <is>
          <t>12 months manufacturer standard (typical research/commercial humanoid)</t>
        </is>
      </c>
      <c r="CC162" s="154" t="n">
        <v>12</v>
      </c>
      <c r="CD162" s="156" t="inlineStr">
        <is>
          <t>+3 Year Extended ≈24% of configuration (default in configurator)</t>
        </is>
      </c>
      <c r="CE162" s="152" t="inlineStr">
        <is>
          <t>Humanoid category norm 2025–2026</t>
        </is>
      </c>
      <c r="CF162" s="152" t="inlineStr">
        <is>
          <t>Estimated</t>
        </is>
      </c>
      <c r="CG162" s="156" t="inlineStr">
        <is>
          <t>Confirm on formal OEM quote. EDU or enterprise packages may differ.</t>
        </is>
      </c>
      <c r="CH162" s="152" t="inlineStr">
        <is>
          <t>10%</t>
        </is>
      </c>
      <c r="CI162" s="152" t="inlineStr">
        <is>
          <t>17%</t>
        </is>
      </c>
      <c r="CJ162" s="152" t="inlineStr">
        <is>
          <t>24%</t>
        </is>
      </c>
      <c r="CK162" s="156" t="inlineStr">
        <is>
          <t>+1yr ≈10% | +2yr ≈17% | +3yr ≈24% of selected configuration price (parts &amp; labor beyond manufacturer standard).</t>
        </is>
      </c>
      <c r="CL162"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62" s="152" t="inlineStr">
        <is>
          <t>12 months manufacturer standard (typical research/commercial humanoid)</t>
        </is>
      </c>
      <c r="CQ162" s="101" t="inlineStr">
        <is>
          <t>Height: 1 ft 8 in | Weight: 8.8 | Degrees of Freedom: 20 | Payload: 2.2 | Max Speed: 1.86 | Battery / Runtime: ≈ 1.5 hours</t>
        </is>
      </c>
    </row>
    <row r="163" ht="31.5" customHeight="1" s="102">
      <c r="A163" s="145" t="inlineStr">
        <is>
          <t>primebot_primebot_t1</t>
        </is>
      </c>
      <c r="B163" s="153" t="inlineStr">
        <is>
          <t>Humanoid.guide</t>
        </is>
      </c>
      <c r="C163" s="145" t="inlineStr">
        <is>
          <t>PrimeBOT</t>
        </is>
      </c>
      <c r="D163" s="145" t="inlineStr">
        <is>
          <t>PrimeBOT T1</t>
        </is>
      </c>
      <c r="E163" s="145" t="inlineStr">
        <is>
          <t>[PrimeBOT] PrimeBOT T1 (2026)</t>
        </is>
      </c>
      <c r="F163" s="146" t="inlineStr">
        <is>
          <t>humanoid</t>
        </is>
      </c>
      <c r="G163" s="145" t="inlineStr">
        <is>
          <t>China</t>
        </is>
      </c>
      <c r="H163" s="145" t="n"/>
      <c r="I163" s="148" t="n">
        <v>3200</v>
      </c>
      <c r="J163" s="145" t="inlineStr">
        <is>
          <t>Humanoid.guide list</t>
        </is>
      </c>
      <c r="K163" s="149" t="inlineStr">
        <is>
          <t>T1 is a transformable personal robot from PrimeBOT (Swancor) that switches between a wheeled-humanoid stance and a four-legged form, built for home companionship and mobile filming.</t>
        </is>
      </c>
      <c r="L163" s="101" t="inlineStr">
        <is>
          <t>T1 is a transformable personal robot from PrimeBOT (Swancor) that switches between a wheeled-humanoid stance and a four-legged form, built for home companionship and mobile filming.</t>
        </is>
      </c>
      <c r="M163" s="101" t="inlineStr">
        <is>
          <t>PrimeBOT T1 is PrimeBOT's humanoid, introduced around 2026 in China. T1 is a transformable personal robot from PrimeBOT (Swancor) that switches between a wheeled-humanoid stance and a four-legged form, built for home companionship and mobile filming. Public status is listed as prototype, and it is positioned for consumer home use.</t>
        </is>
      </c>
      <c r="N163" s="150" t="inlineStr">
        <is>
          <t>https://humanoid.guide/product/primebot-t1/</t>
        </is>
      </c>
      <c r="O163" s="150" t="inlineStr">
        <is>
          <t>https://www.primebot.cn/</t>
        </is>
      </c>
      <c r="P163" s="145" t="inlineStr">
        <is>
          <t>2 ft 0 in</t>
        </is>
      </c>
      <c r="Q163" s="145" t="n">
        <v>60</v>
      </c>
      <c r="R163" s="145" t="n">
        <v>18.7</v>
      </c>
      <c r="S163" s="145" t="n">
        <v>8.5</v>
      </c>
      <c r="T163" s="149" t="inlineStr">
        <is>
          <t>Not disclosed</t>
        </is>
      </c>
      <c r="U163" s="145" t="n"/>
      <c r="V163" s="145" t="inlineStr">
        <is>
          <t>16</t>
        </is>
      </c>
      <c r="W163" s="149" t="inlineStr">
        <is>
          <t>6</t>
        </is>
      </c>
      <c r="X163" s="145" t="n">
        <v>17.6</v>
      </c>
      <c r="Y163" s="145" t="n">
        <v>8</v>
      </c>
      <c r="Z163" s="145" t="n">
        <v>3.11</v>
      </c>
      <c r="AA163" s="145" t="n">
        <v>5</v>
      </c>
      <c r="AB163" s="145" t="n"/>
      <c r="AC163" s="149" t="inlineStr">
        <is>
          <t>≈ 4 hours</t>
        </is>
      </c>
      <c r="AD163" s="149" t="inlineStr">
        <is>
          <t>4</t>
        </is>
      </c>
      <c r="AE163" s="145" t="n"/>
      <c r="AF163" s="145" t="inlineStr">
        <is>
          <t>Not disclosed</t>
        </is>
      </c>
      <c r="AG163" s="149" t="inlineStr">
        <is>
          <t>0</t>
        </is>
      </c>
      <c r="AH163" s="145" t="inlineStr">
        <is>
          <t>0</t>
        </is>
      </c>
      <c r="AI163" s="145" t="n"/>
      <c r="AJ163" s="149" t="inlineStr">
        <is>
          <t>Not disclosed</t>
        </is>
      </c>
      <c r="AK163" s="149" t="n"/>
      <c r="AL163" s="145" t="inlineStr">
        <is>
          <t>Not disclosed</t>
        </is>
      </c>
      <c r="AM163" s="145" t="n"/>
      <c r="AN163" s="145" t="inlineStr">
        <is>
          <t>Not disclosed</t>
        </is>
      </c>
      <c r="AO163" s="145" t="inlineStr">
        <is>
          <t>Not disclosed</t>
        </is>
      </c>
      <c r="AP163" s="145" t="inlineStr">
        <is>
          <t>Not disclosed</t>
        </is>
      </c>
      <c r="AQ163" s="145" t="inlineStr">
        <is>
          <t>Not disclosed</t>
        </is>
      </c>
      <c r="AR163" s="145" t="n"/>
      <c r="AS163" s="145" t="n"/>
      <c r="AT163" s="149" t="inlineStr">
        <is>
          <t>Not disclosed</t>
        </is>
      </c>
      <c r="AU163" s="149" t="inlineStr">
        <is>
          <t>Bluetooth</t>
        </is>
      </c>
      <c r="AV163" s="145" t="inlineStr">
        <is>
          <t>Not disclosed</t>
        </is>
      </c>
      <c r="AW163" s="149" t="inlineStr">
        <is>
          <t>Not disclosed</t>
        </is>
      </c>
      <c r="AX163" s="145" t="n"/>
      <c r="AY163" s="149" t="inlineStr">
        <is>
          <t>Not disclosed</t>
        </is>
      </c>
      <c r="AZ163" s="149" t="inlineStr">
        <is>
          <t>Not disclosed</t>
        </is>
      </c>
      <c r="BA163" s="149" t="n"/>
      <c r="BB163" s="149" t="inlineStr">
        <is>
          <t>QDD (quasi-direct-drive) joints</t>
        </is>
      </c>
      <c r="BC163" s="149" t="inlineStr">
        <is>
          <t>Not disclosed</t>
        </is>
      </c>
      <c r="BD163" s="145" t="inlineStr">
        <is>
          <t>Advanced composite materials</t>
        </is>
      </c>
      <c r="BE163" s="145" t="inlineStr">
        <is>
          <t>Not disclosed</t>
        </is>
      </c>
      <c r="BF163" s="145" t="n"/>
      <c r="BG163" s="145" t="n"/>
      <c r="BH163" s="145" t="n"/>
      <c r="BI163" s="145" t="n"/>
      <c r="BJ163" s="145" t="n"/>
      <c r="BK163" s="145" t="n"/>
      <c r="BL163" s="145" t="n"/>
      <c r="BM163" s="145" t="inlineStr">
        <is>
          <t>Yes</t>
        </is>
      </c>
      <c r="BN163" s="145" t="inlineStr">
        <is>
          <t>Not disclosed</t>
        </is>
      </c>
      <c r="BO163" s="149" t="inlineStr">
        <is>
          <t>Market: Consumer home use · Human-safe: Yes · Actuation: QDD (quasi-direct-drive) joints · Peak 5 km/h · Runtime 4</t>
        </is>
      </c>
      <c r="BP163" s="145" t="n"/>
      <c r="BQ163" s="149" t="inlineStr">
        <is>
          <t>Consumer home use</t>
        </is>
      </c>
      <c r="BR163" s="149" t="inlineStr">
        <is>
          <t>Prototype</t>
        </is>
      </c>
      <c r="BS163" s="149" t="inlineStr">
        <is>
          <t>Prototype</t>
        </is>
      </c>
      <c r="BT163" s="145" t="n"/>
      <c r="BU163" s="145" t="n"/>
      <c r="BV163" s="149" t="n"/>
      <c r="BW163" s="149" t="inlineStr">
        <is>
          <t>Origin &amp; status — China · Prototype · 2026 | Manipulation — 0 · 0 fingers · Hand DOF 6 · Payload 17.6 lb | Sensing &amp; software — Sensor and compute package confirmed on formal quote | Buying notes — From $3,200 · 12 months manufacturer standard (typical research/commercial humanoid) · Best fit: Consumer home use</t>
        </is>
      </c>
      <c r="BX163" s="149" t="inlineStr">
        <is>
          <t>as_shipped|PrimeBOT T1|3200|As shipped</t>
        </is>
      </c>
      <c r="BY163" s="145" t="inlineStr">
        <is>
          <t>primebot_t1|Manufacturer finish|#e2e8f0|0</t>
        </is>
      </c>
      <c r="BZ163" s="145" t="inlineStr"/>
      <c r="CA163" s="149" t="n"/>
      <c r="CB163" s="149" t="inlineStr">
        <is>
          <t>12 months manufacturer standard (typical research/commercial humanoid)</t>
        </is>
      </c>
      <c r="CC163" s="147" t="n">
        <v>12</v>
      </c>
      <c r="CD163" s="149" t="inlineStr">
        <is>
          <t>+3 Year Extended ≈24% of configuration (default in configurator)</t>
        </is>
      </c>
      <c r="CE163" s="145" t="inlineStr">
        <is>
          <t>Humanoid category norm 2025–2026</t>
        </is>
      </c>
      <c r="CF163" s="145" t="inlineStr">
        <is>
          <t>Estimated</t>
        </is>
      </c>
      <c r="CG163" s="149" t="inlineStr">
        <is>
          <t>Confirm on formal OEM quote. EDU or enterprise packages may differ.</t>
        </is>
      </c>
      <c r="CH163" s="145" t="inlineStr">
        <is>
          <t>10%</t>
        </is>
      </c>
      <c r="CI163" s="145" t="inlineStr">
        <is>
          <t>17%</t>
        </is>
      </c>
      <c r="CJ163" s="145" t="inlineStr">
        <is>
          <t>24%</t>
        </is>
      </c>
      <c r="CK163" s="149" t="inlineStr">
        <is>
          <t>+1yr ≈10% | +2yr ≈17% | +3yr ≈24% of selected configuration price (parts &amp; labor beyond manufacturer standard).</t>
        </is>
      </c>
      <c r="CL163"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63" s="145" t="inlineStr">
        <is>
          <t>12 months manufacturer standard (typical research/commercial humanoid)</t>
        </is>
      </c>
      <c r="CQ163" s="101" t="inlineStr">
        <is>
          <t>Height: 2 ft 0 in | Weight: 18.7 | Degrees of Freedom: 16 | Payload: 17.6 | Max Speed: 3.11 | Battery / Runtime: ≈ 4 hours</t>
        </is>
      </c>
    </row>
    <row r="164" ht="31.5" customHeight="1" s="102">
      <c r="A164" s="152" t="inlineStr">
        <is>
          <t>psibot_psi_v1</t>
        </is>
      </c>
      <c r="B164" s="153" t="inlineStr">
        <is>
          <t>Humanoid.guide</t>
        </is>
      </c>
      <c r="C164" s="152" t="inlineStr">
        <is>
          <t>PsiBot</t>
        </is>
      </c>
      <c r="D164" s="152" t="inlineStr">
        <is>
          <t>Psi V1</t>
        </is>
      </c>
      <c r="E164" s="152" t="inlineStr">
        <is>
          <t>[PsiBot] Psi V1 (2026)</t>
        </is>
      </c>
      <c r="F164" s="146" t="inlineStr">
        <is>
          <t>humanoid</t>
        </is>
      </c>
      <c r="G164" s="152" t="inlineStr">
        <is>
          <t>China</t>
        </is>
      </c>
      <c r="H164" s="152" t="n"/>
      <c r="I164" s="155" t="n">
        <v>9300</v>
      </c>
      <c r="J164" s="152" t="inlineStr">
        <is>
          <t>Humanoid.guide list</t>
        </is>
      </c>
      <c r="K164" s="156" t="inlineStr">
        <is>
          <t>Psi V1 is a full-size humanoid robot by PsiBot built for precise manipulation, advanced perception, and AI-driven task execution.</t>
        </is>
      </c>
      <c r="L164" s="101" t="inlineStr">
        <is>
          <t>Psi V1 is a full-size humanoid robot by PsiBot built for precise manipulation, advanced perception, and AI-driven task execution.</t>
        </is>
      </c>
      <c r="M164" s="101" t="inlineStr">
        <is>
          <t>Psi V1 is a full-size humanoid robot by PsiBot built for precise manipulation, advanced perception, and AI-driven task execution. Public status is listed as in production, and it is positioned for industrial automation; Light industrial tasks.</t>
        </is>
      </c>
      <c r="N164" s="157" t="inlineStr">
        <is>
          <t>https://humanoid.guide/product/psi-v1/</t>
        </is>
      </c>
      <c r="O164" s="157" t="inlineStr">
        <is>
          <t>https://www.psibot.ai/</t>
        </is>
      </c>
      <c r="P164" s="152" t="inlineStr">
        <is>
          <t>5 ft 9 in</t>
        </is>
      </c>
      <c r="Q164" s="152" t="n">
        <v>175</v>
      </c>
      <c r="R164" s="152" t="n">
        <v>330.7</v>
      </c>
      <c r="S164" s="152" t="n">
        <v>150</v>
      </c>
      <c r="T164" s="156" t="inlineStr">
        <is>
          <t>Not disclosed</t>
        </is>
      </c>
      <c r="U164" s="152" t="n"/>
      <c r="V164" s="152" t="inlineStr">
        <is>
          <t>42</t>
        </is>
      </c>
      <c r="W164" s="156" t="inlineStr">
        <is>
          <t>22</t>
        </is>
      </c>
      <c r="X164" s="152" t="n">
        <v>22</v>
      </c>
      <c r="Y164" s="152" t="n">
        <v>10</v>
      </c>
      <c r="Z164" s="152" t="n">
        <v>2.49</v>
      </c>
      <c r="AA164" s="152" t="n">
        <v>4</v>
      </c>
      <c r="AB164" s="152" t="n"/>
      <c r="AC164" s="156" t="inlineStr">
        <is>
          <t>≈ 5 hours</t>
        </is>
      </c>
      <c r="AD164" s="156" t="inlineStr">
        <is>
          <t>5</t>
        </is>
      </c>
      <c r="AE164" s="152" t="n"/>
      <c r="AF164" s="152" t="inlineStr">
        <is>
          <t>Not disclosed</t>
        </is>
      </c>
      <c r="AG164" s="156" t="inlineStr">
        <is>
          <t>5 per hand</t>
        </is>
      </c>
      <c r="AH164" s="152" t="inlineStr">
        <is>
          <t>5 per hand</t>
        </is>
      </c>
      <c r="AI164" s="152" t="n"/>
      <c r="AJ164" s="156" t="inlineStr">
        <is>
          <t>Not disclosed</t>
        </is>
      </c>
      <c r="AK164" s="156" t="n"/>
      <c r="AL164" s="152" t="inlineStr">
        <is>
          <t>Not disclosed</t>
        </is>
      </c>
      <c r="AM164" s="152" t="n"/>
      <c r="AN164" s="152" t="inlineStr">
        <is>
          <t>Not disclosed</t>
        </is>
      </c>
      <c r="AO164" s="152" t="inlineStr">
        <is>
          <t>Not disclosed</t>
        </is>
      </c>
      <c r="AP164" s="152" t="inlineStr">
        <is>
          <t>Not disclosed</t>
        </is>
      </c>
      <c r="AQ164" s="152" t="inlineStr">
        <is>
          <t>Not disclosed</t>
        </is>
      </c>
      <c r="AR164" s="152" t="n"/>
      <c r="AS164" s="152" t="n"/>
      <c r="AT164" s="156" t="inlineStr">
        <is>
          <t>NVIDIA Orin AGX 64GB (275 TOPS)</t>
        </is>
      </c>
      <c r="AU164" s="156" t="inlineStr">
        <is>
          <t>Ethernet; Wi‑Fi</t>
        </is>
      </c>
      <c r="AV164" s="152" t="inlineStr">
        <is>
          <t>Not disclosed</t>
        </is>
      </c>
      <c r="AW164" s="156" t="inlineStr">
        <is>
          <t>Not disclosed</t>
        </is>
      </c>
      <c r="AX164" s="152" t="n"/>
      <c r="AY164" s="156" t="inlineStr">
        <is>
          <t>Not disclosed</t>
        </is>
      </c>
      <c r="AZ164" s="156" t="inlineStr">
        <is>
          <t>Supported (edge AI platform enables deployment of large models)</t>
        </is>
      </c>
      <c r="BA164" s="156" t="n"/>
      <c r="BB164" s="156" t="inlineStr">
        <is>
          <t>Electric servo motors with force feedback</t>
        </is>
      </c>
      <c r="BC164" s="156" t="inlineStr">
        <is>
          <t>Harmonic drive / precision reducers</t>
        </is>
      </c>
      <c r="BD164" s="152" t="inlineStr">
        <is>
          <t>Aluminum alloy + steel frame</t>
        </is>
      </c>
      <c r="BE164" s="152" t="inlineStr">
        <is>
          <t>Not disclosed</t>
        </is>
      </c>
      <c r="BF164" s="152" t="n"/>
      <c r="BG164" s="152" t="n"/>
      <c r="BH164" s="152" t="n"/>
      <c r="BI164" s="152" t="n"/>
      <c r="BJ164" s="152" t="n"/>
      <c r="BK164" s="152" t="n"/>
      <c r="BL164" s="152" t="n"/>
      <c r="BM164" s="152" t="inlineStr">
        <is>
          <t>Yes</t>
        </is>
      </c>
      <c r="BN164" s="152" t="inlineStr">
        <is>
          <t>Not disclosed</t>
        </is>
      </c>
      <c r="BO164" s="156" t="inlineStr">
        <is>
          <t>Market: Industrial automation; Light industrial tasks · Human-safe: Yes · AI: Supported (edge AI platform enables deployment of large models) · Actuation: Electric servo motors with force feedback · Peak 4 km/h · Runtime 5</t>
        </is>
      </c>
      <c r="BP164" s="152" t="n"/>
      <c r="BQ164" s="156" t="inlineStr">
        <is>
          <t>Industrial automation; Light industrial tasks</t>
        </is>
      </c>
      <c r="BR164" s="156" t="inlineStr">
        <is>
          <t>In production</t>
        </is>
      </c>
      <c r="BS164" s="156" t="inlineStr">
        <is>
          <t>In production</t>
        </is>
      </c>
      <c r="BT164" s="152" t="n"/>
      <c r="BU164" s="152" t="n"/>
      <c r="BV164" s="156" t="n"/>
      <c r="BW164" s="156" t="inlineStr">
        <is>
          <t>Origin &amp; status — China · In production · 2026 | Manipulation — 5 per hand · 5 per hand fingers · Hand DOF 22 · Payload 22 lb | Sensing &amp; software — Supported (edge AI platform enables deployment of large models) | Buying notes — From $9,300 · 12 months manufacturer standard (typical research/commercial humanoid) · Best fit: Industrial automation</t>
        </is>
      </c>
      <c r="BX164" s="156" t="inlineStr">
        <is>
          <t>as_shipped|Psi V1|9300|As shipped</t>
        </is>
      </c>
      <c r="BY164" s="152" t="inlineStr">
        <is>
          <t>psi_v1|Manufacturer finish|#e2e8f0|0</t>
        </is>
      </c>
      <c r="BZ164" s="152" t="inlineStr"/>
      <c r="CA164" s="156" t="n"/>
      <c r="CB164" s="156" t="inlineStr">
        <is>
          <t>12 months manufacturer standard (typical research/commercial humanoid)</t>
        </is>
      </c>
      <c r="CC164" s="154" t="n">
        <v>12</v>
      </c>
      <c r="CD164" s="156" t="inlineStr">
        <is>
          <t>+3 Year Extended ≈24% of configuration (default in configurator)</t>
        </is>
      </c>
      <c r="CE164" s="152" t="inlineStr">
        <is>
          <t>Humanoid category norm 2025–2026</t>
        </is>
      </c>
      <c r="CF164" s="152" t="inlineStr">
        <is>
          <t>Estimated</t>
        </is>
      </c>
      <c r="CG164" s="156" t="inlineStr">
        <is>
          <t>Confirm on formal OEM quote. EDU or enterprise packages may differ.</t>
        </is>
      </c>
      <c r="CH164" s="152" t="inlineStr">
        <is>
          <t>10%</t>
        </is>
      </c>
      <c r="CI164" s="152" t="inlineStr">
        <is>
          <t>17%</t>
        </is>
      </c>
      <c r="CJ164" s="152" t="inlineStr">
        <is>
          <t>24%</t>
        </is>
      </c>
      <c r="CK164" s="156" t="inlineStr">
        <is>
          <t>+1yr ≈10% | +2yr ≈17% | +3yr ≈24% of selected configuration price (parts &amp; labor beyond manufacturer standard).</t>
        </is>
      </c>
      <c r="CL164"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64" s="152" t="inlineStr">
        <is>
          <t>12 months manufacturer standard (typical research/commercial humanoid)</t>
        </is>
      </c>
      <c r="CQ164" s="101" t="inlineStr">
        <is>
          <t>Height: 5 ft 9 in | Weight: 330.7 | Degrees of Freedom: 42 | Payload: 22 | Max Speed: 2.49 | Battery / Runtime: ≈ 5 hours</t>
        </is>
      </c>
    </row>
    <row r="165" ht="31.5" customHeight="1" s="102">
      <c r="A165" s="145" t="inlineStr">
        <is>
          <t>psibot_synrobot</t>
        </is>
      </c>
      <c r="B165" s="153" t="inlineStr">
        <is>
          <t>Humanoid.guide</t>
        </is>
      </c>
      <c r="C165" s="145" t="inlineStr">
        <is>
          <t>PsiBot</t>
        </is>
      </c>
      <c r="D165" s="145" t="inlineStr">
        <is>
          <t>ψ-SynRobot</t>
        </is>
      </c>
      <c r="E165" s="145" t="inlineStr">
        <is>
          <t>[PsiBot] ψ-SynRobot (2026)</t>
        </is>
      </c>
      <c r="F165" s="146" t="inlineStr">
        <is>
          <t>humanoid</t>
        </is>
      </c>
      <c r="G165" s="145" t="inlineStr">
        <is>
          <t>China</t>
        </is>
      </c>
      <c r="H165" s="145" t="n"/>
      <c r="I165" s="148" t="n">
        <v>80000</v>
      </c>
      <c r="J165" s="145" t="inlineStr">
        <is>
          <t>Humanoid.guide list</t>
        </is>
      </c>
      <c r="K165" s="149" t="inlineStr">
        <is>
          <t>Ψ-SynRobot is a wheeled humanoid robot by PsiBot designed for precise manipulation, stable mobility, and long-duration operation in structured environments.</t>
        </is>
      </c>
      <c r="L165" s="101" t="inlineStr">
        <is>
          <t>Ψ-SynRobot is a wheeled humanoid robot by PsiBot designed for precise manipulation, stable mobility, and long-duration operation in structured environments.</t>
        </is>
      </c>
      <c r="M165" s="101" t="inlineStr">
        <is>
          <t>Ψ-SynRobot is a wheeled humanoid robot by PsiBot designed for precise manipulation, stable mobility, and long-duration operation in structured environments. Public status is listed as prototype, and it is positioned for light industrial tasks; Logistics automation; Research &amp; education.</t>
        </is>
      </c>
      <c r="N165" s="150" t="inlineStr">
        <is>
          <t>https://humanoid.guide/product/%cf%88-synrobot/</t>
        </is>
      </c>
      <c r="O165" s="150" t="inlineStr">
        <is>
          <t>https://www.psibot.ai/</t>
        </is>
      </c>
      <c r="P165" s="145" t="inlineStr">
        <is>
          <t>4 ft 9 in</t>
        </is>
      </c>
      <c r="Q165" s="145" t="n">
        <v>145</v>
      </c>
      <c r="R165" s="145" t="n">
        <v>143.3</v>
      </c>
      <c r="S165" s="145" t="n">
        <v>65</v>
      </c>
      <c r="T165" s="149" t="inlineStr">
        <is>
          <t>Not disclosed</t>
        </is>
      </c>
      <c r="U165" s="145" t="n"/>
      <c r="V165" s="145" t="inlineStr">
        <is>
          <t>18</t>
        </is>
      </c>
      <c r="W165" s="149" t="inlineStr">
        <is>
          <t>14</t>
        </is>
      </c>
      <c r="X165" s="145" t="n">
        <v>11</v>
      </c>
      <c r="Y165" s="145" t="n">
        <v>5</v>
      </c>
      <c r="Z165" s="145" t="n">
        <v>3.36</v>
      </c>
      <c r="AA165" s="145" t="n">
        <v>5.4</v>
      </c>
      <c r="AB165" s="145" t="n"/>
      <c r="AC165" s="149" t="inlineStr">
        <is>
          <t>≈ 2 hours</t>
        </is>
      </c>
      <c r="AD165" s="149" t="inlineStr">
        <is>
          <t>2</t>
        </is>
      </c>
      <c r="AE165" s="145" t="n"/>
      <c r="AF165" s="145" t="inlineStr">
        <is>
          <t>Not disclosed</t>
        </is>
      </c>
      <c r="AG165" s="149" t="inlineStr">
        <is>
          <t>5 per hand</t>
        </is>
      </c>
      <c r="AH165" s="145" t="inlineStr">
        <is>
          <t>5 per hand</t>
        </is>
      </c>
      <c r="AI165" s="145" t="n"/>
      <c r="AJ165" s="149" t="inlineStr">
        <is>
          <t>Not disclosed</t>
        </is>
      </c>
      <c r="AK165" s="149" t="n"/>
      <c r="AL165" s="145" t="inlineStr">
        <is>
          <t>Not disclosed</t>
        </is>
      </c>
      <c r="AM165" s="145" t="n"/>
      <c r="AN165" s="145" t="inlineStr">
        <is>
          <t>Not disclosed</t>
        </is>
      </c>
      <c r="AO165" s="145" t="inlineStr">
        <is>
          <t>Not disclosed</t>
        </is>
      </c>
      <c r="AP165" s="145" t="inlineStr">
        <is>
          <t>Not disclosed</t>
        </is>
      </c>
      <c r="AQ165" s="145" t="inlineStr">
        <is>
          <t>Not disclosed</t>
        </is>
      </c>
      <c r="AR165" s="145" t="n"/>
      <c r="AS165" s="145" t="n"/>
      <c r="AT165" s="149" t="inlineStr">
        <is>
          <t>Thor computing platform</t>
        </is>
      </c>
      <c r="AU165" s="149" t="inlineStr">
        <is>
          <t>Wi-Fi 5, Bluetooth 5.0, Ethernet ×2, USB 2.0/3.0</t>
        </is>
      </c>
      <c r="AV165" s="145" t="inlineStr">
        <is>
          <t>Not disclosed</t>
        </is>
      </c>
      <c r="AW165" s="149" t="inlineStr">
        <is>
          <t>Not disclosed</t>
        </is>
      </c>
      <c r="AX165" s="145" t="n"/>
      <c r="AY165" s="149" t="inlineStr">
        <is>
          <t>Not disclosed</t>
        </is>
      </c>
      <c r="AZ165" s="149" t="inlineStr">
        <is>
          <t>Supported via external deployment (Thor platform enables AI model execution)</t>
        </is>
      </c>
      <c r="BA165" s="149" t="n"/>
      <c r="BB165" s="149" t="inlineStr">
        <is>
          <t>Electric servo motors with force control</t>
        </is>
      </c>
      <c r="BC165" s="149" t="inlineStr">
        <is>
          <t>Harmonic drive / precision reducers</t>
        </is>
      </c>
      <c r="BD165" s="145" t="inlineStr">
        <is>
          <t>Aluminum alloy + composite panels</t>
        </is>
      </c>
      <c r="BE165" s="145" t="inlineStr">
        <is>
          <t>Not disclosed</t>
        </is>
      </c>
      <c r="BF165" s="145" t="n"/>
      <c r="BG165" s="145" t="n"/>
      <c r="BH165" s="145" t="n"/>
      <c r="BI165" s="145" t="n"/>
      <c r="BJ165" s="145" t="n"/>
      <c r="BK165" s="145" t="n"/>
      <c r="BL165" s="145" t="n"/>
      <c r="BM165" s="145" t="inlineStr">
        <is>
          <t>Yes</t>
        </is>
      </c>
      <c r="BN165" s="145" t="inlineStr">
        <is>
          <t>Not disclosed</t>
        </is>
      </c>
      <c r="BO165" s="149" t="inlineStr">
        <is>
          <t>Market: Light industrial tasks; Logistics automation; Research &amp; education · Human-safe: Yes · AI: Supported via external deployment (Thor platform enables AI model execution) · Actuation: Electric servo motors with force control · Peak 5.4 km/h · Runtime 2</t>
        </is>
      </c>
      <c r="BP165" s="145" t="n"/>
      <c r="BQ165" s="149" t="inlineStr">
        <is>
          <t>Light industrial tasks; Logistics automation; Research &amp; education</t>
        </is>
      </c>
      <c r="BR165" s="149" t="inlineStr">
        <is>
          <t>Prototype</t>
        </is>
      </c>
      <c r="BS165" s="149" t="inlineStr">
        <is>
          <t>Prototype</t>
        </is>
      </c>
      <c r="BT165" s="145" t="n"/>
      <c r="BU165" s="145" t="n"/>
      <c r="BV165" s="149" t="n"/>
      <c r="BW165" s="149" t="inlineStr">
        <is>
          <t>Origin &amp; status — China · Prototype · 2026 | Manipulation — 5 per hand · 5 per hand fingers · Hand DOF 14 · Payload 11 lb | Sensing &amp; software — Supported via external deployment (Thor platform enables AI model execution) | Buying notes — From $80,000 · 12 months manufacturer standard (typical research/commercial humanoid) · Best fit: Light industrial tasks</t>
        </is>
      </c>
      <c r="BX165" s="149" t="inlineStr">
        <is>
          <t>as_shipped|ψ-SynRobot|80000|As shipped</t>
        </is>
      </c>
      <c r="BY165" s="145" t="inlineStr">
        <is>
          <t>synrobot|Manufacturer finish|#e2e8f0|0</t>
        </is>
      </c>
      <c r="BZ165" s="145" t="inlineStr"/>
      <c r="CA165" s="149" t="n"/>
      <c r="CB165" s="149" t="inlineStr">
        <is>
          <t>12 months manufacturer standard (typical research/commercial humanoid)</t>
        </is>
      </c>
      <c r="CC165" s="147" t="n">
        <v>12</v>
      </c>
      <c r="CD165" s="149" t="inlineStr">
        <is>
          <t>+3 Year Extended ≈24% of configuration (default in configurator)</t>
        </is>
      </c>
      <c r="CE165" s="145" t="inlineStr">
        <is>
          <t>Humanoid category norm 2025–2026</t>
        </is>
      </c>
      <c r="CF165" s="145" t="inlineStr">
        <is>
          <t>Estimated</t>
        </is>
      </c>
      <c r="CG165" s="149" t="inlineStr">
        <is>
          <t>Confirm on formal OEM quote. EDU or enterprise packages may differ.</t>
        </is>
      </c>
      <c r="CH165" s="145" t="inlineStr">
        <is>
          <t>10%</t>
        </is>
      </c>
      <c r="CI165" s="145" t="inlineStr">
        <is>
          <t>17%</t>
        </is>
      </c>
      <c r="CJ165" s="145" t="inlineStr">
        <is>
          <t>24%</t>
        </is>
      </c>
      <c r="CK165" s="149" t="inlineStr">
        <is>
          <t>+1yr ≈10% | +2yr ≈17% | +3yr ≈24% of selected configuration price (parts &amp; labor beyond manufacturer standard).</t>
        </is>
      </c>
      <c r="CL16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65" s="145" t="inlineStr">
        <is>
          <t>12 months manufacturer standard (typical research/commercial humanoid)</t>
        </is>
      </c>
      <c r="CQ165" s="101" t="inlineStr">
        <is>
          <t>Height: 4 ft 9 in | Weight: 143.3 | Degrees of Freedom: 18 | Payload: 11 | Max Speed: 3.36 | Battery / Runtime: ≈ 2 hours</t>
        </is>
      </c>
    </row>
    <row r="166" ht="31.5" customHeight="1" s="102">
      <c r="A166" s="152" t="inlineStr">
        <is>
          <t>pudu_robotics_flashbot_arm</t>
        </is>
      </c>
      <c r="B166" s="153" t="inlineStr">
        <is>
          <t>Humanoid.guide</t>
        </is>
      </c>
      <c r="C166" s="152" t="inlineStr">
        <is>
          <t>Pudu Robotics</t>
        </is>
      </c>
      <c r="D166" s="152" t="inlineStr">
        <is>
          <t>FlashBot Arm</t>
        </is>
      </c>
      <c r="E166" s="152" t="inlineStr">
        <is>
          <t>[Pudu Robotics] FlashBot Arm (2026)</t>
        </is>
      </c>
      <c r="F166" s="146" t="inlineStr">
        <is>
          <t>humanoid</t>
        </is>
      </c>
      <c r="G166" s="152" t="inlineStr">
        <is>
          <t>China</t>
        </is>
      </c>
      <c r="H166" s="152" t="n"/>
      <c r="I166" s="155" t="n">
        <v>34000</v>
      </c>
      <c r="J166" s="152" t="inlineStr">
        <is>
          <t>Humanoid.guide list</t>
        </is>
      </c>
      <c r="K166" s="156" t="inlineStr">
        <is>
          <t>FlashBot Arm is PUDU X-Lab’s semi-humanoid service robot that combines dual 7-DOF arms, dexterous hands, and VSLAM+LiDAR navigation for autonomous delivery and interaction.</t>
        </is>
      </c>
      <c r="L166" s="101" t="inlineStr">
        <is>
          <t>FlashBot Arm is PUDU X-Lab’s semi-humanoid service robot that combines dual 7-DOF arms, dexterous hands, and VSLAM+LiDAR navigation for autonomous delivery and interaction.</t>
        </is>
      </c>
      <c r="M166" s="101" t="inlineStr">
        <is>
          <t>FlashBot Arm is PUDU X-Lab’s semi-humanoid service robot that combines dual 7-DOF arms, dexterous hands, and VSLAM+LiDAR navigation for autonomous delivery and interaction. Public status is listed as in production, and it is positioned for hospitality; household services; logistics; Research &amp; education; retail restocking.</t>
        </is>
      </c>
      <c r="N166" s="157" t="inlineStr">
        <is>
          <t>https://humanoid.guide/product/flashbot-arm/</t>
        </is>
      </c>
      <c r="O166" s="157" t="inlineStr">
        <is>
          <t>https://www.pudurobotics.com</t>
        </is>
      </c>
      <c r="P166" s="152" t="inlineStr">
        <is>
          <t>4 ft 9 in</t>
        </is>
      </c>
      <c r="Q166" s="152" t="n">
        <v>144</v>
      </c>
      <c r="R166" s="152" t="n">
        <v>154.3</v>
      </c>
      <c r="S166" s="152" t="n">
        <v>70</v>
      </c>
      <c r="T166" s="156" t="inlineStr">
        <is>
          <t>Not disclosed</t>
        </is>
      </c>
      <c r="U166" s="152" t="inlineStr">
        <is>
          <t>53.9 × 51.5 × 144</t>
        </is>
      </c>
      <c r="V166" s="152" t="inlineStr">
        <is>
          <t>7 DOF per arm (two arms → 14 DOF for both arms, excluding hands and any base DOFs)</t>
        </is>
      </c>
      <c r="W166" s="156" t="inlineStr">
        <is>
          <t>6 active + 5 passive</t>
        </is>
      </c>
      <c r="X166" s="152" t="n">
        <v>33.1</v>
      </c>
      <c r="Y166" s="152" t="n">
        <v>15</v>
      </c>
      <c r="Z166" s="152" t="n">
        <v>2.8</v>
      </c>
      <c r="AA166" s="152" t="n">
        <v>4.5</v>
      </c>
      <c r="AB166" s="152" t="n"/>
      <c r="AC166" s="156" t="inlineStr">
        <is>
          <t>≈ 8 hours</t>
        </is>
      </c>
      <c r="AD166" s="156" t="inlineStr">
        <is>
          <t>8</t>
        </is>
      </c>
      <c r="AE166" s="152" t="n"/>
      <c r="AF166" s="152" t="inlineStr">
        <is>
          <t>Not disclosed</t>
        </is>
      </c>
      <c r="AG166" s="156" t="inlineStr">
        <is>
          <t>5 per hand</t>
        </is>
      </c>
      <c r="AH166" s="152" t="inlineStr">
        <is>
          <t>5 per hand</t>
        </is>
      </c>
      <c r="AI166" s="161" t="n">
        <v>4</v>
      </c>
      <c r="AJ166" s="156" t="inlineStr">
        <is>
          <t>RGBD cameras + LiDAR + panoramic cameras</t>
        </is>
      </c>
      <c r="AK166" s="156" t="inlineStr">
        <is>
          <t>RGBD cameras + LiDAR + panoramic cameras</t>
        </is>
      </c>
      <c r="AL166" s="152" t="inlineStr">
        <is>
          <t>Not disclosed</t>
        </is>
      </c>
      <c r="AM166" s="152" t="n"/>
      <c r="AN166" s="152" t="inlineStr">
        <is>
          <t>Not disclosed</t>
        </is>
      </c>
      <c r="AO166" s="152" t="inlineStr">
        <is>
          <t>Not disclosed</t>
        </is>
      </c>
      <c r="AP166" s="152" t="inlineStr">
        <is>
          <t>Not disclosed</t>
        </is>
      </c>
      <c r="AQ166" s="152" t="inlineStr">
        <is>
          <t>Not disclosed</t>
        </is>
      </c>
      <c r="AR166" s="152" t="n"/>
      <c r="AS166" s="152" t="n"/>
      <c r="AT166" s="156" t="inlineStr">
        <is>
          <t>Not disclosed</t>
        </is>
      </c>
      <c r="AU166" s="156" t="inlineStr">
        <is>
          <t>Ethernet; Wi‑Fi</t>
        </is>
      </c>
      <c r="AV166" s="152" t="inlineStr">
        <is>
          <t>Not disclosed</t>
        </is>
      </c>
      <c r="AW166" s="156" t="inlineStr">
        <is>
          <t>Not disclosed</t>
        </is>
      </c>
      <c r="AX166" s="158" t="n">
        <v>2</v>
      </c>
      <c r="AY166" s="156" t="inlineStr">
        <is>
          <t>Not disclosed</t>
        </is>
      </c>
      <c r="AZ166" s="156" t="inlineStr">
        <is>
          <t>Not disclosed</t>
        </is>
      </c>
      <c r="BA166" s="156" t="n"/>
      <c r="BB166" s="156" t="inlineStr">
        <is>
          <t>Likely brushless DC motors with controllers for arm joints and differential or omni wheel drive</t>
        </is>
      </c>
      <c r="BC166" s="156" t="inlineStr">
        <is>
          <t>Not disclosed</t>
        </is>
      </c>
      <c r="BD166" s="152" t="inlineStr">
        <is>
          <t>Not disclosed</t>
        </is>
      </c>
      <c r="BE166" s="152" t="inlineStr">
        <is>
          <t>Not disclosed</t>
        </is>
      </c>
      <c r="BF166" s="152" t="n"/>
      <c r="BG166" s="152" t="n"/>
      <c r="BH166" s="152" t="n"/>
      <c r="BI166" s="152" t="n"/>
      <c r="BJ166" s="152" t="n"/>
      <c r="BK166" s="152" t="n"/>
      <c r="BL166" s="152" t="n"/>
      <c r="BM166" s="152" t="inlineStr">
        <is>
          <t>Yes</t>
        </is>
      </c>
      <c r="BN166" s="152" t="inlineStr">
        <is>
          <t>Not disclosed</t>
        </is>
      </c>
      <c r="BO166" s="156" t="inlineStr">
        <is>
          <t>Market: Hospitality; household services; logistics; Research &amp; education; retail restocking · Manipulation 4/4 · Navigation 2/4 · Human-safe: Yes · AI: Not specified · Actuation: Likely brushless DC motors with controllers for arm joints and differential or omni wheel drive · Peak 4.5 km/h · Runtime 8</t>
        </is>
      </c>
      <c r="BP166" s="152" t="n"/>
      <c r="BQ166" s="156" t="inlineStr">
        <is>
          <t>Hospitality; household services; logistics; Research &amp; education; retail restocking</t>
        </is>
      </c>
      <c r="BR166" s="156" t="inlineStr">
        <is>
          <t>In production</t>
        </is>
      </c>
      <c r="BS166" s="156" t="inlineStr">
        <is>
          <t>In production</t>
        </is>
      </c>
      <c r="BT166" s="152" t="inlineStr">
        <is>
          <t>Dark Grey</t>
        </is>
      </c>
      <c r="BU166" s="152" t="inlineStr">
        <is>
          <t>Verified</t>
        </is>
      </c>
      <c r="BV166" s="156" t="n"/>
      <c r="BW166" s="156" t="inlineStr">
        <is>
          <t>Origin &amp; status — China · In production · 2026 | Manipulation — 5 per hand · 5 per hand fingers · Hand DOF 6 active + 5 passive · Payload 33.1 lb | Sensing &amp; software — RGBD cameras + LiDAR + panoramic cameras | Buying notes — From $34,000 · 12 months manufacturer standard (typical research/commercial humanoid) · Best fit: Hospitality</t>
        </is>
      </c>
      <c r="BX166" s="156" t="inlineStr">
        <is>
          <t>as_shipped|FlashBot Arm|34000|As shipped</t>
        </is>
      </c>
      <c r="BY166" s="152" t="inlineStr">
        <is>
          <t>dark_grey|Dark Grey|#e2e8f0|0</t>
        </is>
      </c>
      <c r="BZ166" s="152" t="inlineStr"/>
      <c r="CA166" s="156" t="n"/>
      <c r="CB166" s="156" t="inlineStr">
        <is>
          <t>12 months manufacturer standard (typical research/commercial humanoid)</t>
        </is>
      </c>
      <c r="CC166" s="154" t="n">
        <v>12</v>
      </c>
      <c r="CD166" s="156" t="inlineStr">
        <is>
          <t>+3 Year Extended ≈24% of configuration (default in configurator)</t>
        </is>
      </c>
      <c r="CE166" s="152" t="inlineStr">
        <is>
          <t>Humanoid category norm 2025–2026</t>
        </is>
      </c>
      <c r="CF166" s="152" t="inlineStr">
        <is>
          <t>Estimated</t>
        </is>
      </c>
      <c r="CG166" s="156" t="inlineStr">
        <is>
          <t>Confirm on formal OEM quote. EDU or enterprise packages may differ.</t>
        </is>
      </c>
      <c r="CH166" s="152" t="inlineStr">
        <is>
          <t>10%</t>
        </is>
      </c>
      <c r="CI166" s="152" t="inlineStr">
        <is>
          <t>17%</t>
        </is>
      </c>
      <c r="CJ166" s="152" t="inlineStr">
        <is>
          <t>24%</t>
        </is>
      </c>
      <c r="CK166" s="156" t="inlineStr">
        <is>
          <t>+1yr ≈10% | +2yr ≈17% | +3yr ≈24% of selected configuration price (parts &amp; labor beyond manufacturer standard).</t>
        </is>
      </c>
      <c r="CL166"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66" s="152" t="inlineStr">
        <is>
          <t>12 months manufacturer standard (typical research/commercial humanoid)</t>
        </is>
      </c>
      <c r="CQ166" s="101" t="inlineStr">
        <is>
          <t>Height: 4 ft 9 in | Weight: 154.3 | Degrees of Freedom: 7 DOF per arm (two arms → 14 DOF for both arms, excluding hands and any base DOFs) | Payload: 33.1 | Max Speed: 2.8 | Battery / Runtime: ≈ 8 hours</t>
        </is>
      </c>
    </row>
    <row r="167" ht="31.5" customHeight="1" s="102">
      <c r="A167" s="145" t="inlineStr">
        <is>
          <t>pudu_robotics_pudu_d7</t>
        </is>
      </c>
      <c r="B167" s="153" t="inlineStr">
        <is>
          <t>Humanoid.guide</t>
        </is>
      </c>
      <c r="C167" s="145" t="inlineStr">
        <is>
          <t>Pudu Robotics</t>
        </is>
      </c>
      <c r="D167" s="145" t="inlineStr">
        <is>
          <t>Pudu D7</t>
        </is>
      </c>
      <c r="E167" s="145" t="inlineStr">
        <is>
          <t>[Pudu Robotics] Pudu D7 (2026)</t>
        </is>
      </c>
      <c r="F167" s="146" t="inlineStr">
        <is>
          <t>humanoid</t>
        </is>
      </c>
      <c r="G167" s="145" t="inlineStr">
        <is>
          <t>China</t>
        </is>
      </c>
      <c r="H167" s="145" t="n"/>
      <c r="I167" s="148" t="n">
        <v>70000</v>
      </c>
      <c r="J167" s="145" t="inlineStr">
        <is>
          <t>Humanoid.guide list</t>
        </is>
      </c>
      <c r="K167" s="149" t="inlineStr">
        <is>
          <t>Pudu Robotics proudly presents the PUDU D7, a cutting-edge semi-humanoid robot that embodies the future of service automation.</t>
        </is>
      </c>
      <c r="L167" s="101" t="inlineStr">
        <is>
          <t>Pudu Robotics proudly presents the PUDU D7, a cutting-edge semi-humanoid robot that embodies the future of service automation.</t>
        </is>
      </c>
      <c r="M167" s="101" t="inlineStr">
        <is>
          <t>Pudu D7 is Pudu Robotics's humanoid, introduced around 2026 in China. Pudu Robotics proudly presents the PUDU D7, a cutting-edge semi-humanoid robot that embodies the future of service automation. Public status is listed as prototype.</t>
        </is>
      </c>
      <c r="N167" s="150" t="inlineStr">
        <is>
          <t>https://humanoid.guide/product/pudu-d7/</t>
        </is>
      </c>
      <c r="O167" s="150" t="inlineStr">
        <is>
          <t>https://www.pudurobotics.com</t>
        </is>
      </c>
      <c r="P167" s="145" t="inlineStr">
        <is>
          <t>5 ft 5 in</t>
        </is>
      </c>
      <c r="Q167" s="145" t="n">
        <v>165</v>
      </c>
      <c r="R167" s="145" t="n">
        <v>99.2</v>
      </c>
      <c r="S167" s="145" t="n">
        <v>45</v>
      </c>
      <c r="T167" s="149" t="inlineStr">
        <is>
          <t>Not disclosed</t>
        </is>
      </c>
      <c r="U167" s="145" t="n"/>
      <c r="V167" s="145" t="inlineStr">
        <is>
          <t>30</t>
        </is>
      </c>
      <c r="W167" s="149" t="inlineStr">
        <is>
          <t>Not disclosed</t>
        </is>
      </c>
      <c r="X167" s="145" t="n">
        <v>44.1</v>
      </c>
      <c r="Y167" s="145" t="n">
        <v>20</v>
      </c>
      <c r="Z167" s="145" t="n">
        <v>4.47</v>
      </c>
      <c r="AA167" s="145" t="n">
        <v>7.2</v>
      </c>
      <c r="AB167" s="145" t="n">
        <v>7.2</v>
      </c>
      <c r="AC167" s="149" t="inlineStr">
        <is>
          <t>≈ 8 hours</t>
        </is>
      </c>
      <c r="AD167" s="149" t="inlineStr">
        <is>
          <t>8</t>
        </is>
      </c>
      <c r="AE167" s="145" t="n"/>
      <c r="AF167" s="145" t="inlineStr">
        <is>
          <t>Not disclosed</t>
        </is>
      </c>
      <c r="AG167" s="149" t="inlineStr">
        <is>
          <t>Not disclosed</t>
        </is>
      </c>
      <c r="AH167" s="145" t="inlineStr">
        <is>
          <t>Not disclosed</t>
        </is>
      </c>
      <c r="AI167" s="158" t="n">
        <v>2</v>
      </c>
      <c r="AJ167" s="149" t="inlineStr">
        <is>
          <t>Not disclosed</t>
        </is>
      </c>
      <c r="AK167" s="149" t="n"/>
      <c r="AL167" s="145" t="inlineStr">
        <is>
          <t>Not disclosed</t>
        </is>
      </c>
      <c r="AM167" s="145" t="n"/>
      <c r="AN167" s="145" t="inlineStr">
        <is>
          <t>Not disclosed</t>
        </is>
      </c>
      <c r="AO167" s="145" t="inlineStr">
        <is>
          <t>Not disclosed</t>
        </is>
      </c>
      <c r="AP167" s="145" t="inlineStr">
        <is>
          <t>Not disclosed</t>
        </is>
      </c>
      <c r="AQ167" s="145" t="inlineStr">
        <is>
          <t>Not disclosed</t>
        </is>
      </c>
      <c r="AR167" s="145" t="n"/>
      <c r="AS167" s="145" t="n"/>
      <c r="AT167" s="149" t="inlineStr">
        <is>
          <t>Not disclosed</t>
        </is>
      </c>
      <c r="AU167" s="149" t="inlineStr">
        <is>
          <t>Not disclosed</t>
        </is>
      </c>
      <c r="AV167" s="145" t="inlineStr">
        <is>
          <t>Not disclosed</t>
        </is>
      </c>
      <c r="AW167" s="149" t="inlineStr">
        <is>
          <t>Not disclosed</t>
        </is>
      </c>
      <c r="AX167" s="158" t="n">
        <v>2</v>
      </c>
      <c r="AY167" s="149" t="inlineStr">
        <is>
          <t>Not disclosed</t>
        </is>
      </c>
      <c r="AZ167" s="149" t="inlineStr">
        <is>
          <t>Not disclosed</t>
        </is>
      </c>
      <c r="BA167" s="149" t="n"/>
      <c r="BB167" s="149" t="inlineStr">
        <is>
          <t>Not disclosed</t>
        </is>
      </c>
      <c r="BC167" s="149" t="inlineStr">
        <is>
          <t>Not disclosed</t>
        </is>
      </c>
      <c r="BD167" s="145" t="inlineStr">
        <is>
          <t>Not disclosed</t>
        </is>
      </c>
      <c r="BE167" s="145" t="inlineStr">
        <is>
          <t>Not disclosed</t>
        </is>
      </c>
      <c r="BF167" s="145" t="n"/>
      <c r="BG167" s="145" t="n"/>
      <c r="BH167" s="145" t="n"/>
      <c r="BI167" s="145" t="n"/>
      <c r="BJ167" s="145" t="n"/>
      <c r="BK167" s="145" t="n"/>
      <c r="BL167" s="145" t="n"/>
      <c r="BM167" s="145" t="inlineStr">
        <is>
          <t>Not disclosed</t>
        </is>
      </c>
      <c r="BN167" s="145" t="inlineStr">
        <is>
          <t>Not disclosed</t>
        </is>
      </c>
      <c r="BO167" s="149" t="inlineStr">
        <is>
          <t>Manipulation 2/4 · Navigation 2/4 · Peak 7.2 km/h · Walk 7.2 km/h · Runtime 8</t>
        </is>
      </c>
      <c r="BP167" s="145" t="n"/>
      <c r="BQ167" s="149" t="inlineStr">
        <is>
          <t>Research labs, commercial pilots, and education programs evaluating a humanoid from Pudu Robotics (China) now listed as prototype.</t>
        </is>
      </c>
      <c r="BR167" s="149" t="inlineStr">
        <is>
          <t>Prototype</t>
        </is>
      </c>
      <c r="BS167" s="149" t="inlineStr">
        <is>
          <t>Prototype</t>
        </is>
      </c>
      <c r="BT167" s="145" t="n"/>
      <c r="BU167" s="145" t="inlineStr">
        <is>
          <t>Not verified</t>
        </is>
      </c>
      <c r="BV167" s="149" t="n"/>
      <c r="BW167" s="149" t="inlineStr">
        <is>
          <t>Origin &amp; status — China · Prototype · 2026 | Manipulation — Payload 44.1 lb | Sensing &amp; software — Sensor and compute package confirmed on formal quote | Buying notes — From $70,000 · 12 months manufacturer standard (typical research/commercial humanoid)</t>
        </is>
      </c>
      <c r="BX167" s="149" t="inlineStr">
        <is>
          <t>as_shipped|Pudu D7|70000|As shipped</t>
        </is>
      </c>
      <c r="BY167" s="145" t="inlineStr">
        <is>
          <t>pudu_d7|Manufacturer finish|#e2e8f0|0</t>
        </is>
      </c>
      <c r="BZ167" s="145" t="inlineStr"/>
      <c r="CA167" s="149" t="n"/>
      <c r="CB167" s="149" t="inlineStr">
        <is>
          <t>12 months manufacturer standard (typical research/commercial humanoid)</t>
        </is>
      </c>
      <c r="CC167" s="147" t="n">
        <v>12</v>
      </c>
      <c r="CD167" s="149" t="inlineStr">
        <is>
          <t>+3 Year Extended ≈24% of configuration (default in configurator)</t>
        </is>
      </c>
      <c r="CE167" s="145" t="inlineStr">
        <is>
          <t>Humanoid category norm 2025–2026</t>
        </is>
      </c>
      <c r="CF167" s="145" t="inlineStr">
        <is>
          <t>Estimated</t>
        </is>
      </c>
      <c r="CG167" s="149" t="inlineStr">
        <is>
          <t>Confirm on formal OEM quote. EDU or enterprise packages may differ.</t>
        </is>
      </c>
      <c r="CH167" s="145" t="inlineStr">
        <is>
          <t>10%</t>
        </is>
      </c>
      <c r="CI167" s="145" t="inlineStr">
        <is>
          <t>17%</t>
        </is>
      </c>
      <c r="CJ167" s="145" t="inlineStr">
        <is>
          <t>24%</t>
        </is>
      </c>
      <c r="CK167" s="149" t="inlineStr">
        <is>
          <t>+1yr ≈10% | +2yr ≈17% | +3yr ≈24% of selected configuration price (parts &amp; labor beyond manufacturer standard).</t>
        </is>
      </c>
      <c r="CL167"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67" s="145" t="inlineStr">
        <is>
          <t>12 months manufacturer standard (typical research/commercial humanoid)</t>
        </is>
      </c>
      <c r="CQ167" s="101" t="inlineStr">
        <is>
          <t>Height: 5 ft 5 in | Weight: 99.2 | Degrees of Freedom: 30 | Payload: 44.1 | Max Speed: 4.47 | Battery / Runtime: ≈ 8 hours</t>
        </is>
      </c>
    </row>
    <row r="168" ht="31.5" customHeight="1" s="102">
      <c r="A168" s="152" t="inlineStr">
        <is>
          <t>pudu_robotics_pudu_d9</t>
        </is>
      </c>
      <c r="B168" s="153" t="inlineStr">
        <is>
          <t>Humanoid.guide</t>
        </is>
      </c>
      <c r="C168" s="152" t="inlineStr">
        <is>
          <t>Pudu Robotics</t>
        </is>
      </c>
      <c r="D168" s="152" t="inlineStr">
        <is>
          <t>Pudu D9</t>
        </is>
      </c>
      <c r="E168" s="152" t="inlineStr">
        <is>
          <t>[Pudu Robotics] Pudu D9 (2026)</t>
        </is>
      </c>
      <c r="F168" s="146" t="inlineStr">
        <is>
          <t>humanoid</t>
        </is>
      </c>
      <c r="G168" s="152" t="inlineStr">
        <is>
          <t>China</t>
        </is>
      </c>
      <c r="H168" s="152" t="n"/>
      <c r="I168" s="155" t="n">
        <v>100000</v>
      </c>
      <c r="J168" s="152" t="inlineStr">
        <is>
          <t>Humanoid.guide list</t>
        </is>
      </c>
      <c r="K168" s="156" t="inlineStr">
        <is>
          <t>The PUDU D9 is a versatile humanoid robot designed to emulate human capabilities, offering dynamic mobility, precise manipulation, and adaptability across various applications.</t>
        </is>
      </c>
      <c r="L168" s="101" t="inlineStr">
        <is>
          <t>The PUDU D9 is a versatile humanoid robot designed to emulate human capabilities, offering dynamic mobility, precise manipulation, and adaptability across various applications.</t>
        </is>
      </c>
      <c r="M168" s="101" t="inlineStr">
        <is>
          <t>The PUDU D9 is a versatile humanoid robot designed to emulate human capabilities, offering dynamic mobility, precise manipulation, and adaptability across various applications. Public status is listed as prototype.</t>
        </is>
      </c>
      <c r="N168" s="157" t="inlineStr">
        <is>
          <t>https://humanoid.guide/product/pudu-d9/</t>
        </is>
      </c>
      <c r="O168" s="157" t="inlineStr">
        <is>
          <t>https://www.pudurobotics.com</t>
        </is>
      </c>
      <c r="P168" s="152" t="inlineStr">
        <is>
          <t>5 ft 7 in</t>
        </is>
      </c>
      <c r="Q168" s="152" t="n">
        <v>170</v>
      </c>
      <c r="R168" s="152" t="n">
        <v>121.3</v>
      </c>
      <c r="S168" s="152" t="n">
        <v>55</v>
      </c>
      <c r="T168" s="156" t="inlineStr">
        <is>
          <t>Not disclosed</t>
        </is>
      </c>
      <c r="U168" s="152" t="n"/>
      <c r="V168" s="152" t="inlineStr">
        <is>
          <t>42</t>
        </is>
      </c>
      <c r="W168" s="156" t="inlineStr">
        <is>
          <t>Not disclosed</t>
        </is>
      </c>
      <c r="X168" s="152" t="n">
        <v>44.1</v>
      </c>
      <c r="Y168" s="152" t="n">
        <v>20</v>
      </c>
      <c r="Z168" s="152" t="n">
        <v>4.47</v>
      </c>
      <c r="AA168" s="152" t="n">
        <v>7.2</v>
      </c>
      <c r="AB168" s="152" t="n"/>
      <c r="AC168" s="156" t="inlineStr">
        <is>
          <t>≈ 1.5 hours</t>
        </is>
      </c>
      <c r="AD168" s="156" t="inlineStr">
        <is>
          <t>1.5</t>
        </is>
      </c>
      <c r="AE168" s="152" t="n"/>
      <c r="AF168" s="152" t="inlineStr">
        <is>
          <t>Not disclosed</t>
        </is>
      </c>
      <c r="AG168" s="156" t="inlineStr">
        <is>
          <t>Not disclosed</t>
        </is>
      </c>
      <c r="AH168" s="152" t="inlineStr">
        <is>
          <t>Not disclosed</t>
        </is>
      </c>
      <c r="AI168" s="151" t="n">
        <v>3</v>
      </c>
      <c r="AJ168" s="156" t="inlineStr">
        <is>
          <t>Not disclosed</t>
        </is>
      </c>
      <c r="AK168" s="156" t="n"/>
      <c r="AL168" s="152" t="inlineStr">
        <is>
          <t>Not disclosed</t>
        </is>
      </c>
      <c r="AM168" s="152" t="n"/>
      <c r="AN168" s="152" t="inlineStr">
        <is>
          <t>Not disclosed</t>
        </is>
      </c>
      <c r="AO168" s="152" t="inlineStr">
        <is>
          <t>Not disclosed</t>
        </is>
      </c>
      <c r="AP168" s="152" t="inlineStr">
        <is>
          <t>Not disclosed</t>
        </is>
      </c>
      <c r="AQ168" s="152" t="inlineStr">
        <is>
          <t>Not disclosed</t>
        </is>
      </c>
      <c r="AR168" s="152" t="n"/>
      <c r="AS168" s="152" t="n"/>
      <c r="AT168" s="156" t="inlineStr">
        <is>
          <t>Not disclosed</t>
        </is>
      </c>
      <c r="AU168" s="156" t="inlineStr">
        <is>
          <t>Not disclosed</t>
        </is>
      </c>
      <c r="AV168" s="152" t="inlineStr">
        <is>
          <t>Not disclosed</t>
        </is>
      </c>
      <c r="AW168" s="156" t="inlineStr">
        <is>
          <t>Not disclosed</t>
        </is>
      </c>
      <c r="AX168" s="151" t="n">
        <v>3</v>
      </c>
      <c r="AY168" s="156" t="inlineStr">
        <is>
          <t>Not disclosed</t>
        </is>
      </c>
      <c r="AZ168" s="156" t="inlineStr">
        <is>
          <t>Not disclosed</t>
        </is>
      </c>
      <c r="BA168" s="156" t="n"/>
      <c r="BB168" s="156" t="inlineStr">
        <is>
          <t>Not disclosed</t>
        </is>
      </c>
      <c r="BC168" s="156" t="inlineStr">
        <is>
          <t>Not disclosed</t>
        </is>
      </c>
      <c r="BD168" s="152" t="inlineStr">
        <is>
          <t>Not disclosed</t>
        </is>
      </c>
      <c r="BE168" s="152" t="inlineStr">
        <is>
          <t>Not disclosed</t>
        </is>
      </c>
      <c r="BF168" s="152" t="n"/>
      <c r="BG168" s="152" t="n"/>
      <c r="BH168" s="152" t="n"/>
      <c r="BI168" s="152" t="n"/>
      <c r="BJ168" s="152" t="n"/>
      <c r="BK168" s="152" t="n"/>
      <c r="BL168" s="152" t="n"/>
      <c r="BM168" s="152" t="inlineStr">
        <is>
          <t>Not disclosed</t>
        </is>
      </c>
      <c r="BN168" s="152" t="inlineStr">
        <is>
          <t>Not disclosed</t>
        </is>
      </c>
      <c r="BO168" s="156" t="inlineStr">
        <is>
          <t>Manipulation 3/4 · Navigation 3/4 · Peak 7.2 km/h · Runtime 1.5</t>
        </is>
      </c>
      <c r="BP168" s="152" t="n"/>
      <c r="BQ168" s="156" t="inlineStr">
        <is>
          <t>Research labs, commercial pilots, and education programs evaluating a humanoid from Pudu Robotics (China) now listed as prototype.</t>
        </is>
      </c>
      <c r="BR168" s="156" t="inlineStr">
        <is>
          <t>Prototype</t>
        </is>
      </c>
      <c r="BS168" s="156" t="inlineStr">
        <is>
          <t>Prototype</t>
        </is>
      </c>
      <c r="BT168" s="152" t="n"/>
      <c r="BU168" s="152" t="inlineStr">
        <is>
          <t>Not verified</t>
        </is>
      </c>
      <c r="BV168" s="156" t="n"/>
      <c r="BW168" s="156" t="inlineStr">
        <is>
          <t>Origin &amp; status — China · Prototype · 2026 | Manipulation — Payload 44.1 lb | Sensing &amp; software — Sensor and compute package confirmed on formal quote | Buying notes — From $100,000 · 12 months manufacturer standard (typical research/commercial humanoid)</t>
        </is>
      </c>
      <c r="BX168" s="156" t="inlineStr">
        <is>
          <t>as_shipped|Pudu D9|100000|As shipped</t>
        </is>
      </c>
      <c r="BY168" s="152" t="inlineStr">
        <is>
          <t>pudu_d9|Manufacturer finish|#e2e8f0|0</t>
        </is>
      </c>
      <c r="BZ168" s="152" t="inlineStr"/>
      <c r="CA168" s="156" t="n"/>
      <c r="CB168" s="156" t="inlineStr">
        <is>
          <t>12 months manufacturer standard (typical research/commercial humanoid)</t>
        </is>
      </c>
      <c r="CC168" s="154" t="n">
        <v>12</v>
      </c>
      <c r="CD168" s="156" t="inlineStr">
        <is>
          <t>+3 Year Extended ≈24% of configuration (default in configurator)</t>
        </is>
      </c>
      <c r="CE168" s="152" t="inlineStr">
        <is>
          <t>Humanoid category norm 2025–2026</t>
        </is>
      </c>
      <c r="CF168" s="152" t="inlineStr">
        <is>
          <t>Estimated</t>
        </is>
      </c>
      <c r="CG168" s="156" t="inlineStr">
        <is>
          <t>Confirm on formal OEM quote. EDU or enterprise packages may differ.</t>
        </is>
      </c>
      <c r="CH168" s="152" t="inlineStr">
        <is>
          <t>10%</t>
        </is>
      </c>
      <c r="CI168" s="152" t="inlineStr">
        <is>
          <t>17%</t>
        </is>
      </c>
      <c r="CJ168" s="152" t="inlineStr">
        <is>
          <t>24%</t>
        </is>
      </c>
      <c r="CK168" s="156" t="inlineStr">
        <is>
          <t>+1yr ≈10% | +2yr ≈17% | +3yr ≈24% of selected configuration price (parts &amp; labor beyond manufacturer standard).</t>
        </is>
      </c>
      <c r="CL168"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68" s="152" t="inlineStr">
        <is>
          <t>12 months manufacturer standard (typical research/commercial humanoid)</t>
        </is>
      </c>
      <c r="CQ168" s="101" t="inlineStr">
        <is>
          <t>Height: 5 ft 7 in | Weight: 121.3 | Degrees of Freedom: 42 | Payload: 44.1 | Max Speed: 4.47 | Battery / Runtime: ≈ 1.5 hours</t>
        </is>
      </c>
    </row>
    <row r="169" ht="31.5" customHeight="1" s="102">
      <c r="A169" s="145" t="inlineStr">
        <is>
          <t>rainbow_robotics_rb_y1</t>
        </is>
      </c>
      <c r="B169" s="153" t="inlineStr">
        <is>
          <t>Humanoid.guide</t>
        </is>
      </c>
      <c r="C169" s="145" t="inlineStr">
        <is>
          <t>Rainbow Robotics</t>
        </is>
      </c>
      <c r="D169" s="145" t="inlineStr">
        <is>
          <t>RB-Y1</t>
        </is>
      </c>
      <c r="E169" s="145" t="inlineStr">
        <is>
          <t>[Rainbow Robotics] RB-Y1 (2026)</t>
        </is>
      </c>
      <c r="F169" s="146" t="inlineStr">
        <is>
          <t>humanoid</t>
        </is>
      </c>
      <c r="G169" s="145" t="inlineStr">
        <is>
          <t>South Korea</t>
        </is>
      </c>
      <c r="H169" s="145" t="n"/>
      <c r="I169" s="148" t="n">
        <v>120000</v>
      </c>
      <c r="J169" s="145" t="inlineStr">
        <is>
          <t>Humanoid.guide list</t>
        </is>
      </c>
      <c r="K169" s="149" t="inlineStr">
        <is>
          <t>Rainbow Robotics’ newly released Dual-Arm Mobile Manipulator RB-Y1 is equipped with both arms with 7 degrees of freedom per arm and a single leg with 6 degrees of freedom.</t>
        </is>
      </c>
      <c r="L169" s="101" t="inlineStr">
        <is>
          <t>Rainbow Robotics’ newly released Dual-Arm Mobile Manipulator RB-Y1 is equipped with both arms with 7 degrees of freedom per arm and a single leg with 6 degrees of freedom.</t>
        </is>
      </c>
      <c r="M169" s="101" t="inlineStr">
        <is>
          <t>RB-Y1 is Rainbow Robotics's humanoid, introduced around 2026 in South Korea. Rainbow Robotics’ newly released Dual-Arm Mobile Manipulator RB-Y1 is equipped with both arms with 7 degrees of freedom per arm and a single leg with 6 degrees of freedom. Public status is listed as in production.</t>
        </is>
      </c>
      <c r="N169" s="150" t="inlineStr">
        <is>
          <t>https://humanoid.guide/product/rb-y1/</t>
        </is>
      </c>
      <c r="O169" s="150" t="inlineStr">
        <is>
          <t>https://www.rainbow-robotics.com</t>
        </is>
      </c>
      <c r="P169" s="145" t="inlineStr">
        <is>
          <t>5 ft 3 in</t>
        </is>
      </c>
      <c r="Q169" s="145" t="n">
        <v>160</v>
      </c>
      <c r="R169" s="145" t="n">
        <v>288.8</v>
      </c>
      <c r="S169" s="145" t="n">
        <v>131</v>
      </c>
      <c r="T169" s="149" t="inlineStr">
        <is>
          <t>Not disclosed</t>
        </is>
      </c>
      <c r="U169" s="145" t="n"/>
      <c r="V169" s="145" t="inlineStr">
        <is>
          <t>24</t>
        </is>
      </c>
      <c r="W169" s="149" t="inlineStr">
        <is>
          <t>Not disclosed</t>
        </is>
      </c>
      <c r="X169" s="145" t="n">
        <v>6.6</v>
      </c>
      <c r="Y169" s="145" t="n">
        <v>3</v>
      </c>
      <c r="Z169" s="145" t="n">
        <v>3.36</v>
      </c>
      <c r="AA169" s="145" t="n">
        <v>5.4</v>
      </c>
      <c r="AB169" s="145" t="n">
        <v>4</v>
      </c>
      <c r="AC169" s="149" t="inlineStr">
        <is>
          <t>≈ 3 hours</t>
        </is>
      </c>
      <c r="AD169" s="149" t="inlineStr">
        <is>
          <t>3</t>
        </is>
      </c>
      <c r="AE169" s="145" t="n"/>
      <c r="AF169" s="145" t="inlineStr">
        <is>
          <t>Not disclosed</t>
        </is>
      </c>
      <c r="AG169" s="149" t="inlineStr">
        <is>
          <t>Not disclosed</t>
        </is>
      </c>
      <c r="AH169" s="145" t="inlineStr">
        <is>
          <t>Not disclosed</t>
        </is>
      </c>
      <c r="AI169" s="158" t="n">
        <v>2</v>
      </c>
      <c r="AJ169" s="149" t="inlineStr">
        <is>
          <t>Not disclosed</t>
        </is>
      </c>
      <c r="AK169" s="149" t="n"/>
      <c r="AL169" s="145" t="inlineStr">
        <is>
          <t>Not disclosed</t>
        </is>
      </c>
      <c r="AM169" s="145" t="n"/>
      <c r="AN169" s="145" t="inlineStr">
        <is>
          <t>Not disclosed</t>
        </is>
      </c>
      <c r="AO169" s="145" t="inlineStr">
        <is>
          <t>Not disclosed</t>
        </is>
      </c>
      <c r="AP169" s="145" t="inlineStr">
        <is>
          <t>Not disclosed</t>
        </is>
      </c>
      <c r="AQ169" s="145" t="inlineStr">
        <is>
          <t>Not disclosed</t>
        </is>
      </c>
      <c r="AR169" s="145" t="n"/>
      <c r="AS169" s="145" t="n"/>
      <c r="AT169" s="149" t="inlineStr">
        <is>
          <t>Not disclosed</t>
        </is>
      </c>
      <c r="AU169" s="149" t="inlineStr">
        <is>
          <t>Not disclosed</t>
        </is>
      </c>
      <c r="AV169" s="145" t="inlineStr">
        <is>
          <t>Not disclosed</t>
        </is>
      </c>
      <c r="AW169" s="149" t="inlineStr">
        <is>
          <t>Not disclosed</t>
        </is>
      </c>
      <c r="AX169" s="158" t="n">
        <v>2</v>
      </c>
      <c r="AY169" s="149" t="inlineStr">
        <is>
          <t>Not disclosed</t>
        </is>
      </c>
      <c r="AZ169" s="149" t="inlineStr">
        <is>
          <t>Not disclosed</t>
        </is>
      </c>
      <c r="BA169" s="149" t="n"/>
      <c r="BB169" s="149" t="inlineStr">
        <is>
          <t>Not disclosed</t>
        </is>
      </c>
      <c r="BC169" s="149" t="inlineStr">
        <is>
          <t>Not disclosed</t>
        </is>
      </c>
      <c r="BD169" s="145" t="inlineStr">
        <is>
          <t>Not disclosed</t>
        </is>
      </c>
      <c r="BE169" s="145" t="inlineStr">
        <is>
          <t>Not disclosed</t>
        </is>
      </c>
      <c r="BF169" s="145" t="n"/>
      <c r="BG169" s="145" t="n"/>
      <c r="BH169" s="145" t="n"/>
      <c r="BI169" s="145" t="n"/>
      <c r="BJ169" s="145" t="n"/>
      <c r="BK169" s="145" t="n"/>
      <c r="BL169" s="145" t="n"/>
      <c r="BM169" s="145" t="inlineStr">
        <is>
          <t>Not disclosed</t>
        </is>
      </c>
      <c r="BN169" s="145" t="inlineStr">
        <is>
          <t>Not disclosed</t>
        </is>
      </c>
      <c r="BO169" s="149" t="inlineStr">
        <is>
          <t>Manipulation 2/4 · Navigation 2/4 · Peak 5.4 km/h · Walk 4 km/h · Runtime 3</t>
        </is>
      </c>
      <c r="BP169" s="145" t="n"/>
      <c r="BQ169" s="149" t="inlineStr">
        <is>
          <t>Research labs, commercial pilots, and education programs evaluating a humanoid from Rainbow Robotics (South Korea).</t>
        </is>
      </c>
      <c r="BR169" s="149" t="inlineStr">
        <is>
          <t>In production</t>
        </is>
      </c>
      <c r="BS169" s="149" t="inlineStr">
        <is>
          <t>In production</t>
        </is>
      </c>
      <c r="BT169" s="145" t="n"/>
      <c r="BU169" s="145" t="inlineStr">
        <is>
          <t>Not verified</t>
        </is>
      </c>
      <c r="BV169" s="149" t="n"/>
      <c r="BW169" s="149" t="inlineStr">
        <is>
          <t>Origin &amp; status — South Korea · In production · 2026 | Manipulation — Payload 6.6 lb | Sensing &amp; software — Sensor and compute package confirmed on formal quote | Buying notes — From $120,000 · 12 months manufacturer standard (typical research/commercial humanoid)</t>
        </is>
      </c>
      <c r="BX169" s="149" t="inlineStr">
        <is>
          <t>as_shipped|RB-Y1|120000|As shipped</t>
        </is>
      </c>
      <c r="BY169" s="145" t="inlineStr">
        <is>
          <t>rb_y1|Manufacturer finish|#e2e8f0|0</t>
        </is>
      </c>
      <c r="BZ169" s="145" t="inlineStr"/>
      <c r="CA169" s="149" t="n"/>
      <c r="CB169" s="149" t="inlineStr">
        <is>
          <t>12 months manufacturer standard (typical research/commercial humanoid)</t>
        </is>
      </c>
      <c r="CC169" s="147" t="n">
        <v>12</v>
      </c>
      <c r="CD169" s="149" t="inlineStr">
        <is>
          <t>+3 Year Extended ≈24% of configuration (default in configurator)</t>
        </is>
      </c>
      <c r="CE169" s="145" t="inlineStr">
        <is>
          <t>Humanoid category norm 2025–2026</t>
        </is>
      </c>
      <c r="CF169" s="145" t="inlineStr">
        <is>
          <t>Estimated</t>
        </is>
      </c>
      <c r="CG169" s="149" t="inlineStr">
        <is>
          <t>Confirm on formal OEM quote. EDU or enterprise packages may differ.</t>
        </is>
      </c>
      <c r="CH169" s="145" t="inlineStr">
        <is>
          <t>10%</t>
        </is>
      </c>
      <c r="CI169" s="145" t="inlineStr">
        <is>
          <t>17%</t>
        </is>
      </c>
      <c r="CJ169" s="145" t="inlineStr">
        <is>
          <t>24%</t>
        </is>
      </c>
      <c r="CK169" s="149" t="inlineStr">
        <is>
          <t>+1yr ≈10% | +2yr ≈17% | +3yr ≈24% of selected configuration price (parts &amp; labor beyond manufacturer standard).</t>
        </is>
      </c>
      <c r="CL16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69" s="145" t="inlineStr">
        <is>
          <t>12 months manufacturer standard (typical research/commercial humanoid)</t>
        </is>
      </c>
      <c r="CQ169" s="101" t="inlineStr">
        <is>
          <t>Height: 5 ft 3 in | Weight: 288.8 | Degrees of Freedom: 24 | Payload: 6.6 | Max Speed: 3.36 | Battery / Runtime: ≈ 3 hours</t>
        </is>
      </c>
    </row>
    <row r="170" ht="31.5" customHeight="1" s="102">
      <c r="A170" s="159" t="inlineStr">
        <is>
          <t>reflex_robotics_reflex</t>
        </is>
      </c>
      <c r="B170" s="153" t="inlineStr">
        <is>
          <t>Major-player brief 11 Sep 2026</t>
        </is>
      </c>
      <c r="C170" s="152" t="inlineStr">
        <is>
          <t>Reflex Robotics</t>
        </is>
      </c>
      <c r="D170" s="152" t="inlineStr">
        <is>
          <t>Reflex</t>
        </is>
      </c>
      <c r="E170" s="152" t="inlineStr">
        <is>
          <t>[Reflex Robotics] Reflex (2026)</t>
        </is>
      </c>
      <c r="F170" s="146" t="inlineStr">
        <is>
          <t>humanoid</t>
        </is>
      </c>
      <c r="G170" s="152" t="inlineStr">
        <is>
          <t>USA</t>
        </is>
      </c>
      <c r="H170" s="199" t="n">
        <v>2026</v>
      </c>
      <c r="I170" s="155" t="n">
        <v>50000</v>
      </c>
      <c r="J170" s="152" t="inlineStr">
        <is>
          <t>Humanoid.guide list</t>
        </is>
      </c>
      <c r="K170" s="156" t="inlineStr">
        <is>
          <t>Reflex takes a different approach with a wheeled platform designed for manufacturing and logistics, supported by real-time human supervision.</t>
        </is>
      </c>
      <c r="L170" s="101" t="inlineStr">
        <is>
          <t>Reflex takes a different approach with a wheeled platform designed for manufacturing and logistics, supported by real-time human supervision.</t>
        </is>
      </c>
      <c r="M170" s="101" t="inlineStr">
        <is>
          <t>Reflex Robotics took a different path from most US humanoid startups: a wheeled platform for manufacturing and logistics, supervised in real time by a human rather than asked to balance on two legs.</t>
        </is>
      </c>
      <c r="N170" s="157" t="inlineStr">
        <is>
          <t>https://humanoid.guide/product/reflex/</t>
        </is>
      </c>
      <c r="O170" s="152" t="inlineStr">
        <is>
          <t>https://www.reflexrobotics.com</t>
        </is>
      </c>
      <c r="P170" s="152" t="n"/>
      <c r="Q170" s="152" t="n">
        <v>0</v>
      </c>
      <c r="R170" s="152" t="n"/>
      <c r="S170" s="152" t="n">
        <v>0</v>
      </c>
      <c r="T170" s="156" t="inlineStr">
        <is>
          <t>Not disclosed</t>
        </is>
      </c>
      <c r="U170" s="152" t="n"/>
      <c r="V170" s="152" t="inlineStr">
        <is>
          <t>0.0</t>
        </is>
      </c>
      <c r="W170" s="156" t="inlineStr">
        <is>
          <t>0.0</t>
        </is>
      </c>
      <c r="X170" s="152" t="n"/>
      <c r="Y170" s="152" t="n">
        <v>0</v>
      </c>
      <c r="Z170" s="152" t="n">
        <v>0</v>
      </c>
      <c r="AA170" s="152" t="n">
        <v>0</v>
      </c>
      <c r="AB170" s="152" t="n">
        <v>0</v>
      </c>
      <c r="AC170" s="156" t="inlineStr">
        <is>
          <t>≈ 16 hours</t>
        </is>
      </c>
      <c r="AD170" s="156" t="inlineStr">
        <is>
          <t>16</t>
        </is>
      </c>
      <c r="AE170" s="152" t="n"/>
      <c r="AF170" s="152" t="inlineStr">
        <is>
          <t>Not disclosed</t>
        </is>
      </c>
      <c r="AG170" s="156" t="inlineStr">
        <is>
          <t>0.0</t>
        </is>
      </c>
      <c r="AH170" s="152" t="inlineStr">
        <is>
          <t>0.0</t>
        </is>
      </c>
      <c r="AI170" s="152" t="n"/>
      <c r="AJ170" s="156" t="inlineStr">
        <is>
          <t>0.0</t>
        </is>
      </c>
      <c r="AK170" s="156" t="inlineStr">
        <is>
          <t>0.0</t>
        </is>
      </c>
      <c r="AL170" s="152" t="inlineStr">
        <is>
          <t>Not disclosed</t>
        </is>
      </c>
      <c r="AM170" s="152" t="n"/>
      <c r="AN170" s="152" t="inlineStr">
        <is>
          <t>Not disclosed</t>
        </is>
      </c>
      <c r="AO170" s="152" t="inlineStr">
        <is>
          <t>Not disclosed</t>
        </is>
      </c>
      <c r="AP170" s="152" t="inlineStr">
        <is>
          <t>Not disclosed</t>
        </is>
      </c>
      <c r="AQ170" s="152" t="inlineStr">
        <is>
          <t>Not disclosed</t>
        </is>
      </c>
      <c r="AR170" s="152" t="n"/>
      <c r="AS170" s="152" t="n"/>
      <c r="AT170" s="156" t="inlineStr">
        <is>
          <t>0.0</t>
        </is>
      </c>
      <c r="AU170" s="156" t="inlineStr">
        <is>
          <t>0.0</t>
        </is>
      </c>
      <c r="AV170" s="152" t="inlineStr">
        <is>
          <t>Not disclosed</t>
        </is>
      </c>
      <c r="AW170" s="156" t="inlineStr">
        <is>
          <t>Not disclosed</t>
        </is>
      </c>
      <c r="AX170" s="152" t="n"/>
      <c r="AY170" s="156" t="inlineStr">
        <is>
          <t>0.0</t>
        </is>
      </c>
      <c r="AZ170" s="156" t="inlineStr">
        <is>
          <t>0.0</t>
        </is>
      </c>
      <c r="BA170" s="156" t="inlineStr">
        <is>
          <t>0.0</t>
        </is>
      </c>
      <c r="BB170" s="156" t="inlineStr">
        <is>
          <t>0.0</t>
        </is>
      </c>
      <c r="BC170" s="156" t="inlineStr">
        <is>
          <t>0.0</t>
        </is>
      </c>
      <c r="BD170" s="152" t="inlineStr">
        <is>
          <t>0.0</t>
        </is>
      </c>
      <c r="BE170" s="152" t="inlineStr">
        <is>
          <t>0.0</t>
        </is>
      </c>
      <c r="BF170" s="152" t="inlineStr">
        <is>
          <t>0.0</t>
        </is>
      </c>
      <c r="BG170" s="152" t="n"/>
      <c r="BH170" s="152" t="n"/>
      <c r="BI170" s="152" t="n"/>
      <c r="BJ170" s="152" t="n"/>
      <c r="BK170" s="152" t="n"/>
      <c r="BL170" s="152" t="n"/>
      <c r="BM170" s="152" t="inlineStr">
        <is>
          <t>Yes</t>
        </is>
      </c>
      <c r="BN170" s="152" t="inlineStr">
        <is>
          <t>Not disclosed</t>
        </is>
      </c>
      <c r="BO170" s="156" t="inlineStr">
        <is>
          <t>Market: Warehousing &amp; Logistics · Human-safe: Yes · AI: 0.0 · Actuation: 0.0 · Runtime 16</t>
        </is>
      </c>
      <c r="BP170" s="152" t="n"/>
      <c r="BQ170" s="156" t="inlineStr">
        <is>
          <t>Wheeled manufacturing and logistics with human supervision</t>
        </is>
      </c>
      <c r="BR170" s="156" t="inlineStr">
        <is>
          <t>Prototype</t>
        </is>
      </c>
      <c r="BS170" s="156" t="inlineStr">
        <is>
          <t>Prototype</t>
        </is>
      </c>
      <c r="BT170" s="152" t="n"/>
      <c r="BU170" s="152" t="inlineStr">
        <is>
          <t>Verified</t>
        </is>
      </c>
      <c r="BV170" s="156" t="n"/>
      <c r="BW170" s="156" t="inlineStr">
        <is>
          <t>Origin &amp; status — USA · Prototype · 2026 | Manipulation — 0.0 · 0.0 fingers · Hand DOF 0.0 | Sensing &amp; software — 0.0 | Buying notes — From $50,000 · 12 months manufacturer standard (typical research/commercial humanoid) · Best fit: Warehousing &amp; Logistics</t>
        </is>
      </c>
      <c r="BX170" s="156" t="inlineStr">
        <is>
          <t>as_shipped|Reflex|50000|As shipped</t>
        </is>
      </c>
      <c r="BY170" s="152" t="inlineStr">
        <is>
          <t>reflex|Manufacturer finish|#e2e8f0|0</t>
        </is>
      </c>
      <c r="BZ170" s="152" t="inlineStr"/>
      <c r="CA170" s="156" t="n"/>
      <c r="CB170" s="156" t="inlineStr">
        <is>
          <t>12 months manufacturer standard (typical research/commercial humanoid)</t>
        </is>
      </c>
      <c r="CC170" s="154" t="n">
        <v>12</v>
      </c>
      <c r="CD170" s="156" t="inlineStr">
        <is>
          <t>+3 Year Extended ≈24% of configuration (default in configurator)</t>
        </is>
      </c>
      <c r="CE170" s="152" t="inlineStr">
        <is>
          <t>Humanoid category norm 2025–2026</t>
        </is>
      </c>
      <c r="CF170" s="152" t="inlineStr">
        <is>
          <t>Estimated</t>
        </is>
      </c>
      <c r="CG170" s="156" t="inlineStr">
        <is>
          <t>Confirm on formal OEM quote. EDU or enterprise packages may differ.</t>
        </is>
      </c>
      <c r="CH170" s="152" t="inlineStr">
        <is>
          <t>10%</t>
        </is>
      </c>
      <c r="CI170" s="152" t="inlineStr">
        <is>
          <t>17%</t>
        </is>
      </c>
      <c r="CJ170" s="152" t="inlineStr">
        <is>
          <t>24%</t>
        </is>
      </c>
      <c r="CK170" s="156" t="inlineStr">
        <is>
          <t>+1yr ≈10% | +2yr ≈17% | +3yr ≈24% of selected configuration price (parts &amp; labor beyond manufacturer standard).</t>
        </is>
      </c>
      <c r="CL170"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70" s="152" t="inlineStr">
        <is>
          <t>12 months manufacturer standard (typical research/commercial humanoid)</t>
        </is>
      </c>
      <c r="CQ170" s="101" t="inlineStr">
        <is>
          <t>Height: Not disclosed | Weight: Not disclosed | Degrees of Freedom: 0.0 | Payload: Not disclosed | Max Speed: 0 | Battery / Runtime: ≈ 16 hours</t>
        </is>
      </c>
    </row>
    <row r="171" ht="31.5" customHeight="1" s="102">
      <c r="A171" s="145" t="inlineStr">
        <is>
          <t>robbyant_ant_lingbo_technology_part_of_ant_group</t>
        </is>
      </c>
      <c r="B171" s="153" t="inlineStr">
        <is>
          <t>Humanoid.guide</t>
        </is>
      </c>
      <c r="C171" s="145" t="inlineStr">
        <is>
          <t>Robbyant (Ant Lingbo Technology), part of Ant Group (China)</t>
        </is>
      </c>
      <c r="D171" s="145" t="inlineStr">
        <is>
          <t>Robbyant R1</t>
        </is>
      </c>
      <c r="E171" s="145" t="inlineStr">
        <is>
          <t>[Robbyant] Robbyant R1 (2026)</t>
        </is>
      </c>
      <c r="F171" s="146" t="inlineStr">
        <is>
          <t>humanoid</t>
        </is>
      </c>
      <c r="G171" s="145" t="inlineStr">
        <is>
          <t>China</t>
        </is>
      </c>
      <c r="H171" s="145" t="n"/>
      <c r="I171" s="148" t="n">
        <v>55000</v>
      </c>
      <c r="J171" s="145" t="inlineStr">
        <is>
          <t>Humanoid.guide list</t>
        </is>
      </c>
      <c r="K171" s="149" t="inlineStr">
        <is>
          <t>Robbyant R1 is a wheeled humanoid robot developed by Ant Group’s robotics arm, designed to bring embodied AI into real-world settings — from kitchens and museums to hospitality, medical support, and public services.</t>
        </is>
      </c>
      <c r="L171" s="101" t="inlineStr">
        <is>
          <t>Robbyant R1 is a wheeled humanoid robot developed by Ant Group’s robotics arm, designed to bring embodied AI into real-world settings — from kitchens and museums to hospitality, medical support, and public services.</t>
        </is>
      </c>
      <c r="M171" s="101" t="inlineStr">
        <is>
          <t>Robbyant R1 is a wheeled humanoid robot developed by Ant Group’s robotics arm, designed to bring embodied AI into real-world settings — from kitchens and museums to hospitality, medical support, and public services. Public status is listed as in production, and it is positioned for hospitality, kitchens, service, hospitality, tourism (museum tours), healthcare / medical assistance, public services, institutional deployments (not consumer).</t>
        </is>
      </c>
      <c r="N171" s="150" t="inlineStr">
        <is>
          <t>https://humanoid.guide/product/robbyant-r1/</t>
        </is>
      </c>
      <c r="O171" s="150" t="inlineStr">
        <is>
          <t>https://www.antgroup.com</t>
        </is>
      </c>
      <c r="P171" s="145" t="inlineStr">
        <is>
          <t>5 ft 3 in</t>
        </is>
      </c>
      <c r="Q171" s="145" t="n">
        <v>160</v>
      </c>
      <c r="R171" s="145" t="n">
        <v>242.5</v>
      </c>
      <c r="S171" s="145" t="n">
        <v>110</v>
      </c>
      <c r="T171" s="149" t="inlineStr">
        <is>
          <t>Not disclosed</t>
        </is>
      </c>
      <c r="U171" s="145" t="n"/>
      <c r="V171" s="145" t="inlineStr">
        <is>
          <t>34</t>
        </is>
      </c>
      <c r="W171" s="149" t="inlineStr">
        <is>
          <t>Not disclosed</t>
        </is>
      </c>
      <c r="X171" s="145" t="n">
        <v>13.2</v>
      </c>
      <c r="Y171" s="145" t="n">
        <v>6</v>
      </c>
      <c r="Z171" s="145" t="n">
        <v>3.36</v>
      </c>
      <c r="AA171" s="145" t="n">
        <v>5.4</v>
      </c>
      <c r="AB171" s="145" t="n">
        <v>5.4</v>
      </c>
      <c r="AC171" s="149" t="inlineStr">
        <is>
          <t>Not disclosed</t>
        </is>
      </c>
      <c r="AD171" s="149" t="n"/>
      <c r="AE171" s="145" t="n"/>
      <c r="AF171" s="145" t="inlineStr">
        <is>
          <t>Not disclosed</t>
        </is>
      </c>
      <c r="AG171" s="149" t="inlineStr">
        <is>
          <t>Not disclosed</t>
        </is>
      </c>
      <c r="AH171" s="145" t="inlineStr">
        <is>
          <t>Not disclosed</t>
        </is>
      </c>
      <c r="AI171" s="158" t="n">
        <v>2</v>
      </c>
      <c r="AJ171" s="149" t="inlineStr">
        <is>
          <t>Uses multimodal perception camera</t>
        </is>
      </c>
      <c r="AK171" s="149" t="inlineStr">
        <is>
          <t>Uses multimodal perception camera</t>
        </is>
      </c>
      <c r="AL171" s="145" t="inlineStr">
        <is>
          <t>Not disclosed</t>
        </is>
      </c>
      <c r="AM171" s="145" t="n"/>
      <c r="AN171" s="145" t="inlineStr">
        <is>
          <t>Not disclosed</t>
        </is>
      </c>
      <c r="AO171" s="145" t="inlineStr">
        <is>
          <t>Not disclosed</t>
        </is>
      </c>
      <c r="AP171" s="145" t="inlineStr">
        <is>
          <t>Not disclosed</t>
        </is>
      </c>
      <c r="AQ171" s="145" t="inlineStr">
        <is>
          <t>Not disclosed</t>
        </is>
      </c>
      <c r="AR171" s="145" t="n"/>
      <c r="AS171" s="145" t="n"/>
      <c r="AT171" s="149" t="inlineStr">
        <is>
          <t>Not disclosed</t>
        </is>
      </c>
      <c r="AU171" s="149" t="inlineStr">
        <is>
          <t>Bluetooth; Wi‑Fi</t>
        </is>
      </c>
      <c r="AV171" s="145" t="inlineStr">
        <is>
          <t>Not disclosed</t>
        </is>
      </c>
      <c r="AW171" s="149" t="inlineStr">
        <is>
          <t>Not disclosed</t>
        </is>
      </c>
      <c r="AX171" s="151" t="n">
        <v>3</v>
      </c>
      <c r="AY171" s="149" t="inlineStr">
        <is>
          <t>Not disclosed</t>
        </is>
      </c>
      <c r="AZ171" s="149" t="inlineStr">
        <is>
          <t>Bailing LLM</t>
        </is>
      </c>
      <c r="BA171" s="149" t="n"/>
      <c r="BB171" s="149" t="inlineStr">
        <is>
          <t>48 V DC geared motors with encoders</t>
        </is>
      </c>
      <c r="BC171" s="149" t="inlineStr">
        <is>
          <t>Not disclosed</t>
        </is>
      </c>
      <c r="BD171" s="145" t="inlineStr">
        <is>
          <t>Not disclosed</t>
        </is>
      </c>
      <c r="BE171" s="145" t="inlineStr">
        <is>
          <t>Not disclosed</t>
        </is>
      </c>
      <c r="BF171" s="145" t="n"/>
      <c r="BG171" s="145" t="n"/>
      <c r="BH171" s="145" t="n"/>
      <c r="BI171" s="145" t="n"/>
      <c r="BJ171" s="145" t="n"/>
      <c r="BK171" s="145" t="n"/>
      <c r="BL171" s="145" t="n"/>
      <c r="BM171" s="145" t="inlineStr">
        <is>
          <t>Not disclosed</t>
        </is>
      </c>
      <c r="BN171" s="145" t="inlineStr">
        <is>
          <t>Not disclosed</t>
        </is>
      </c>
      <c r="BO171" s="149" t="inlineStr">
        <is>
          <t>Market: Hospitality, kitchens, service, hospitality, tourism (museum tours), healthcare / medical assistance, public services, institutional deployments (not consumer). · Manipulation 2/4 · Navigation 3/4 · AI: Bailing LLM · Actuation: 48 V DC geared motors with encoders · Peak 5.4 km/h · Walk 5.4 km/h</t>
        </is>
      </c>
      <c r="BP171" s="145" t="n"/>
      <c r="BQ171" s="149" t="inlineStr">
        <is>
          <t>Hospitality, kitchens, service, hospitality, tourism (museum tours), healthcare / medical assistance, public services, institutional deployments (not consumer).</t>
        </is>
      </c>
      <c r="BR171" s="149" t="inlineStr">
        <is>
          <t>In production</t>
        </is>
      </c>
      <c r="BS171" s="149" t="inlineStr">
        <is>
          <t>In production</t>
        </is>
      </c>
      <c r="BT171" s="145" t="inlineStr">
        <is>
          <t>Silver; White</t>
        </is>
      </c>
      <c r="BU171" s="145" t="inlineStr">
        <is>
          <t>Not verified</t>
        </is>
      </c>
      <c r="BV171" s="149" t="n"/>
      <c r="BW171" s="149" t="inlineStr">
        <is>
          <t>Origin &amp; status — China · In production · 2026 | Manipulation — Payload 13.2 lb | Sensing &amp; software — Uses multimodal perception camera · Bailing LLM | Buying notes — From $55,000 · 12 months manufacturer standard (typical research/commercial humanoid) · Best fit: Hospitality, kitchens, service, hospitality, tourism (museum tou…</t>
        </is>
      </c>
      <c r="BX171" s="149" t="inlineStr">
        <is>
          <t>as_shipped|Robbyant R1|55000|As shipped</t>
        </is>
      </c>
      <c r="BY171" s="145" t="inlineStr">
        <is>
          <t>silver|Silver|#e2e8f0|0 || white|White|#1e293b|0</t>
        </is>
      </c>
      <c r="BZ171" s="145" t="inlineStr"/>
      <c r="CA171" s="149" t="n"/>
      <c r="CB171" s="149" t="inlineStr">
        <is>
          <t>12 months manufacturer standard (typical research/commercial humanoid)</t>
        </is>
      </c>
      <c r="CC171" s="147" t="n">
        <v>12</v>
      </c>
      <c r="CD171" s="149" t="inlineStr">
        <is>
          <t>+3 Year Extended ≈24% of configuration (default in configurator)</t>
        </is>
      </c>
      <c r="CE171" s="145" t="inlineStr">
        <is>
          <t>Humanoid category norm 2025–2026</t>
        </is>
      </c>
      <c r="CF171" s="145" t="inlineStr">
        <is>
          <t>Estimated</t>
        </is>
      </c>
      <c r="CG171" s="149" t="inlineStr">
        <is>
          <t>Confirm on formal OEM quote. EDU or enterprise packages may differ.</t>
        </is>
      </c>
      <c r="CH171" s="145" t="inlineStr">
        <is>
          <t>10%</t>
        </is>
      </c>
      <c r="CI171" s="145" t="inlineStr">
        <is>
          <t>17%</t>
        </is>
      </c>
      <c r="CJ171" s="145" t="inlineStr">
        <is>
          <t>24%</t>
        </is>
      </c>
      <c r="CK171" s="149" t="inlineStr">
        <is>
          <t>+1yr ≈10% | +2yr ≈17% | +3yr ≈24% of selected configuration price (parts &amp; labor beyond manufacturer standard).</t>
        </is>
      </c>
      <c r="CL17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71" s="145" t="inlineStr">
        <is>
          <t>12 months manufacturer standard (typical research/commercial humanoid)</t>
        </is>
      </c>
      <c r="CQ171" s="101" t="inlineStr">
        <is>
          <t>Height: 5 ft 3 in | Weight: 242.5 | Degrees of Freedom: 34 | Payload: 13.2 | Max Speed: 3.36 | Battery / Runtime: Not disclosed</t>
        </is>
      </c>
    </row>
    <row r="172" ht="31.5" customHeight="1" s="102">
      <c r="A172" s="152" t="inlineStr">
        <is>
          <t>robo_robotics_inc_robo_t1</t>
        </is>
      </c>
      <c r="B172" s="153" t="inlineStr">
        <is>
          <t>Humanoid.guide</t>
        </is>
      </c>
      <c r="C172" s="152" t="inlineStr">
        <is>
          <t>Robo Robotics Inc.</t>
        </is>
      </c>
      <c r="D172" s="152" t="inlineStr">
        <is>
          <t>ROBO-T1</t>
        </is>
      </c>
      <c r="E172" s="152" t="inlineStr">
        <is>
          <t>[Robo Robotics Inc.] ROBO-T1 (2026)</t>
        </is>
      </c>
      <c r="F172" s="146" t="inlineStr">
        <is>
          <t>humanoid</t>
        </is>
      </c>
      <c r="G172" s="152" t="inlineStr">
        <is>
          <t>USA</t>
        </is>
      </c>
      <c r="H172" s="152" t="n"/>
      <c r="I172" s="155" t="n">
        <v>12000</v>
      </c>
      <c r="J172" s="152" t="inlineStr">
        <is>
          <t>Humanoid.guide list</t>
        </is>
      </c>
      <c r="K172" s="156" t="inlineStr">
        <is>
          <t>ROBO-T1 is a teachable bimanual humanoid with dual 6-DOF arms designed for industrial automation, deployable across manufacturing, logistics, healthcare, and food production with remote operator support and continuous learning capabilities.</t>
        </is>
      </c>
      <c r="L172" s="101" t="inlineStr">
        <is>
          <t>ROBO-T1 is a teachable bimanual humanoid with dual 6-DOF arms designed for industrial automation, deployable across manufacturing, logistics, healthcare, and food production with remote operator support and continuous learning capabilities.</t>
        </is>
      </c>
      <c r="M172" s="101" t="inlineStr">
        <is>
          <t>ROBO-T1 is a teachable bimanual humanoid with dual 6-DOF arms designed for industrial automation, deployable across manufacturing, logistics, healthcare, and food production with remote operator support and continuous learning capabilities. Public status is listed as in production, and it is positioned for industrial automation; Manufacturing.</t>
        </is>
      </c>
      <c r="N172" s="157" t="inlineStr">
        <is>
          <t>https://humanoid.guide/product/robo-t1/</t>
        </is>
      </c>
      <c r="O172" s="152" t="inlineStr">
        <is>
          <t>https://www.roborobotics.com</t>
        </is>
      </c>
      <c r="P172" s="152" t="inlineStr">
        <is>
          <t>4 ft 3 in</t>
        </is>
      </c>
      <c r="Q172" s="152" t="n">
        <v>130</v>
      </c>
      <c r="R172" s="152" t="n">
        <v>110.2</v>
      </c>
      <c r="S172" s="152" t="n">
        <v>50</v>
      </c>
      <c r="T172" s="156" t="inlineStr">
        <is>
          <t>Not disclosed</t>
        </is>
      </c>
      <c r="U172" s="152" t="n"/>
      <c r="V172" s="152" t="inlineStr">
        <is>
          <t>12</t>
        </is>
      </c>
      <c r="W172" s="156" t="inlineStr">
        <is>
          <t>6</t>
        </is>
      </c>
      <c r="X172" s="152" t="n">
        <v>11</v>
      </c>
      <c r="Y172" s="152" t="n">
        <v>5</v>
      </c>
      <c r="Z172" s="152" t="n">
        <v>1.24</v>
      </c>
      <c r="AA172" s="152" t="n">
        <v>2</v>
      </c>
      <c r="AB172" s="152" t="n"/>
      <c r="AC172" s="156" t="inlineStr">
        <is>
          <t>≈ 4 hours</t>
        </is>
      </c>
      <c r="AD172" s="156" t="inlineStr">
        <is>
          <t>4</t>
        </is>
      </c>
      <c r="AE172" s="152" t="n"/>
      <c r="AF172" s="152" t="inlineStr">
        <is>
          <t>Not disclosed</t>
        </is>
      </c>
      <c r="AG172" s="156" t="inlineStr">
        <is>
          <t>2-finger gripping claws</t>
        </is>
      </c>
      <c r="AH172" s="152" t="inlineStr">
        <is>
          <t>2-finger gripping claws</t>
        </is>
      </c>
      <c r="AI172" s="152" t="n"/>
      <c r="AJ172" s="156" t="inlineStr">
        <is>
          <t>Not disclosed</t>
        </is>
      </c>
      <c r="AK172" s="156" t="n"/>
      <c r="AL172" s="152" t="inlineStr">
        <is>
          <t>Not disclosed</t>
        </is>
      </c>
      <c r="AM172" s="152" t="n"/>
      <c r="AN172" s="152" t="inlineStr">
        <is>
          <t>Not disclosed</t>
        </is>
      </c>
      <c r="AO172" s="152" t="inlineStr">
        <is>
          <t>Not disclosed</t>
        </is>
      </c>
      <c r="AP172" s="152" t="inlineStr">
        <is>
          <t>Not disclosed</t>
        </is>
      </c>
      <c r="AQ172" s="152" t="inlineStr">
        <is>
          <t>Not disclosed</t>
        </is>
      </c>
      <c r="AR172" s="152" t="n"/>
      <c r="AS172" s="152" t="n"/>
      <c r="AT172" s="156" t="inlineStr">
        <is>
          <t>Not disclosed</t>
        </is>
      </c>
      <c r="AU172" s="156" t="inlineStr">
        <is>
          <t>Ethernet; Wi-Fi</t>
        </is>
      </c>
      <c r="AV172" s="152" t="inlineStr">
        <is>
          <t>Not disclosed</t>
        </is>
      </c>
      <c r="AW172" s="156" t="inlineStr">
        <is>
          <t>Not disclosed</t>
        </is>
      </c>
      <c r="AX172" s="152" t="n"/>
      <c r="AY172" s="156" t="inlineStr">
        <is>
          <t>Not disclosed</t>
        </is>
      </c>
      <c r="AZ172" s="156" t="inlineStr">
        <is>
          <t>Behavior learning from demonstrations</t>
        </is>
      </c>
      <c r="BA172" s="156" t="n"/>
      <c r="BB172" s="156" t="inlineStr">
        <is>
          <t>Electric servo motors</t>
        </is>
      </c>
      <c r="BC172" s="156" t="inlineStr">
        <is>
          <t>Harmonic drives</t>
        </is>
      </c>
      <c r="BD172" s="152" t="inlineStr">
        <is>
          <t>Aluminum + composites</t>
        </is>
      </c>
      <c r="BE172" s="152" t="inlineStr">
        <is>
          <t>Not disclosed</t>
        </is>
      </c>
      <c r="BF172" s="152" t="n"/>
      <c r="BG172" s="152" t="n"/>
      <c r="BH172" s="152" t="n"/>
      <c r="BI172" s="152" t="n"/>
      <c r="BJ172" s="152" t="n"/>
      <c r="BK172" s="152" t="n"/>
      <c r="BL172" s="152" t="n"/>
      <c r="BM172" s="152" t="inlineStr">
        <is>
          <t>Yes</t>
        </is>
      </c>
      <c r="BN172" s="152" t="inlineStr">
        <is>
          <t>Not disclosed</t>
        </is>
      </c>
      <c r="BO172" s="156" t="inlineStr">
        <is>
          <t>Market: Industrial automation; Manufacturing · Human-safe: Yes · AI: Behavior learning from demonstrations · Actuation: Electric servo motors · Peak 2 km/h · Runtime 4</t>
        </is>
      </c>
      <c r="BP172" s="152" t="n"/>
      <c r="BQ172" s="156" t="inlineStr">
        <is>
          <t>Industrial automation; Manufacturing</t>
        </is>
      </c>
      <c r="BR172" s="156" t="inlineStr">
        <is>
          <t>In production</t>
        </is>
      </c>
      <c r="BS172" s="156" t="inlineStr">
        <is>
          <t>In production</t>
        </is>
      </c>
      <c r="BT172" s="152" t="n"/>
      <c r="BU172" s="152" t="inlineStr">
        <is>
          <t>Not verified</t>
        </is>
      </c>
      <c r="BV172" s="156" t="n"/>
      <c r="BW172" s="156" t="inlineStr">
        <is>
          <t>Origin &amp; status — USA · In production · 2026 | Manipulation — 2-finger gripping claws · Hand DOF 6 · Payload 11 lb | Sensing &amp; software — Behavior learning from demonstrations | Buying notes — From $12,000 · 12 months manufacturer standard (typical research/commercial humanoid) · Best fit: Industrial automation</t>
        </is>
      </c>
      <c r="BX172" s="156" t="inlineStr">
        <is>
          <t>as_shipped|ROBO-T1|12000|As shipped</t>
        </is>
      </c>
      <c r="BY172" s="152" t="inlineStr">
        <is>
          <t>robo_t1|Manufacturer finish|#e2e8f0|0</t>
        </is>
      </c>
      <c r="BZ172" s="152" t="inlineStr"/>
      <c r="CA172" s="156" t="n"/>
      <c r="CB172" s="156" t="inlineStr">
        <is>
          <t>12 months manufacturer standard (typical research/commercial humanoid)</t>
        </is>
      </c>
      <c r="CC172" s="154" t="n">
        <v>12</v>
      </c>
      <c r="CD172" s="156" t="inlineStr">
        <is>
          <t>+3 Year Extended ≈24% of configuration (default in configurator)</t>
        </is>
      </c>
      <c r="CE172" s="152" t="inlineStr">
        <is>
          <t>Humanoid category norm 2025–2026</t>
        </is>
      </c>
      <c r="CF172" s="152" t="inlineStr">
        <is>
          <t>Estimated</t>
        </is>
      </c>
      <c r="CG172" s="156" t="inlineStr">
        <is>
          <t>Confirm on formal OEM quote. EDU or enterprise packages may differ.</t>
        </is>
      </c>
      <c r="CH172" s="152" t="inlineStr">
        <is>
          <t>10%</t>
        </is>
      </c>
      <c r="CI172" s="152" t="inlineStr">
        <is>
          <t>17%</t>
        </is>
      </c>
      <c r="CJ172" s="152" t="inlineStr">
        <is>
          <t>24%</t>
        </is>
      </c>
      <c r="CK172" s="156" t="inlineStr">
        <is>
          <t>+1yr ≈10% | +2yr ≈17% | +3yr ≈24% of selected configuration price (parts &amp; labor beyond manufacturer standard).</t>
        </is>
      </c>
      <c r="CL172"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72" s="152" t="inlineStr">
        <is>
          <t>12 months manufacturer standard (typical research/commercial humanoid)</t>
        </is>
      </c>
      <c r="CQ172" s="101" t="inlineStr">
        <is>
          <t>Height: 4 ft 3 in | Weight: 110.2 | Degrees of Freedom: 12 | Payload: 11 | Max Speed: 1.24 | Battery / Runtime: ≈ 4 hours</t>
        </is>
      </c>
    </row>
    <row r="173" ht="31.5" customHeight="1" s="102">
      <c r="A173" s="145" t="inlineStr">
        <is>
          <t>roboforce_titan</t>
        </is>
      </c>
      <c r="B173" s="153" t="inlineStr">
        <is>
          <t>Humanoid.guide</t>
        </is>
      </c>
      <c r="C173" s="145" t="inlineStr">
        <is>
          <t>RoboForce</t>
        </is>
      </c>
      <c r="D173" s="145" t="inlineStr">
        <is>
          <t>TITAN</t>
        </is>
      </c>
      <c r="E173" s="145" t="inlineStr">
        <is>
          <t>[RoboForce] TITAN (2026)</t>
        </is>
      </c>
      <c r="F173" s="146" t="inlineStr">
        <is>
          <t>humanoid</t>
        </is>
      </c>
      <c r="G173" s="145" t="inlineStr">
        <is>
          <t>USA</t>
        </is>
      </c>
      <c r="H173" s="145" t="n"/>
      <c r="I173" s="148" t="n">
        <v>100000</v>
      </c>
      <c r="J173" s="145" t="inlineStr">
        <is>
          <t>Humanoid.guide list</t>
        </is>
      </c>
      <c r="K173" s="149" t="inlineStr">
        <is>
          <t>TITAN by RoboForce is a rugged, AI-powered industrial humanoid robot with dual-arm manipulation, 1 mm precision and 40 kg payload, built to automate harsh outdoor and heavy-duty jobs.</t>
        </is>
      </c>
      <c r="L173" s="101" t="inlineStr">
        <is>
          <t>TITAN by RoboForce is a rugged, AI-powered industrial humanoid robot with dual-arm manipulation, 1 mm precision and 40 kg payload, built to automate harsh outdoor and heavy-duty jobs.</t>
        </is>
      </c>
      <c r="M173" s="101" t="inlineStr">
        <is>
          <t>TITAN by RoboForce is a rugged, AI-powered industrial humanoid robot with dual-arm manipulation, 1 mm precision and 40 kg payload, built to automate harsh outdoor and heavy-duty jobs. Public status is listed as prototype, and it is positioned for data Center; Manufacturing; Mining; Shipping; Solar; Space.</t>
        </is>
      </c>
      <c r="N173" s="150" t="inlineStr">
        <is>
          <t>https://humanoid.guide/product/titan/</t>
        </is>
      </c>
      <c r="O173" s="150" t="inlineStr">
        <is>
          <t>http://www.roboforce.ai</t>
        </is>
      </c>
      <c r="P173" s="145" t="inlineStr">
        <is>
          <t>6 ft 11 in</t>
        </is>
      </c>
      <c r="Q173" s="145" t="n">
        <v>210</v>
      </c>
      <c r="R173" s="145" t="n"/>
      <c r="S173" s="145" t="n"/>
      <c r="T173" s="149" t="inlineStr">
        <is>
          <t>Not disclosed</t>
        </is>
      </c>
      <c r="U173" s="145" t="n"/>
      <c r="V173" s="145" t="inlineStr">
        <is>
          <t>Not disclosed</t>
        </is>
      </c>
      <c r="W173" s="149" t="inlineStr">
        <is>
          <t>Not disclosed</t>
        </is>
      </c>
      <c r="X173" s="145" t="n">
        <v>88.2</v>
      </c>
      <c r="Y173" s="145" t="n">
        <v>40</v>
      </c>
      <c r="Z173" s="145" t="n">
        <v>5.59</v>
      </c>
      <c r="AA173" s="145" t="n">
        <v>9</v>
      </c>
      <c r="AB173" s="145" t="n">
        <v>9</v>
      </c>
      <c r="AC173" s="149" t="inlineStr">
        <is>
          <t>≈ 8 hours</t>
        </is>
      </c>
      <c r="AD173" s="149" t="inlineStr">
        <is>
          <t>8</t>
        </is>
      </c>
      <c r="AE173" s="145" t="n"/>
      <c r="AF173" s="145" t="inlineStr">
        <is>
          <t>Not disclosed</t>
        </is>
      </c>
      <c r="AG173" s="149" t="inlineStr">
        <is>
          <t>4</t>
        </is>
      </c>
      <c r="AH173" s="145" t="inlineStr">
        <is>
          <t>4</t>
        </is>
      </c>
      <c r="AI173" s="158" t="n">
        <v>2</v>
      </c>
      <c r="AJ173" s="149" t="inlineStr">
        <is>
          <t>Not disclosed</t>
        </is>
      </c>
      <c r="AK173" s="149" t="inlineStr">
        <is>
          <t>Not specified</t>
        </is>
      </c>
      <c r="AL173" s="145" t="inlineStr">
        <is>
          <t>Not disclosed</t>
        </is>
      </c>
      <c r="AM173" s="145" t="n"/>
      <c r="AN173" s="145" t="inlineStr">
        <is>
          <t>Not disclosed</t>
        </is>
      </c>
      <c r="AO173" s="145" t="inlineStr">
        <is>
          <t>Not disclosed</t>
        </is>
      </c>
      <c r="AP173" s="145" t="inlineStr">
        <is>
          <t>Not disclosed</t>
        </is>
      </c>
      <c r="AQ173" s="145" t="inlineStr">
        <is>
          <t>Not disclosed</t>
        </is>
      </c>
      <c r="AR173" s="145" t="n"/>
      <c r="AS173" s="145" t="n"/>
      <c r="AT173" s="149" t="inlineStr">
        <is>
          <t>Not disclosed</t>
        </is>
      </c>
      <c r="AU173" s="149" t="inlineStr">
        <is>
          <t>Not disclosed</t>
        </is>
      </c>
      <c r="AV173" s="145" t="inlineStr">
        <is>
          <t>Not disclosed</t>
        </is>
      </c>
      <c r="AW173" s="149" t="inlineStr">
        <is>
          <t>Not disclosed</t>
        </is>
      </c>
      <c r="AX173" s="158" t="n">
        <v>2</v>
      </c>
      <c r="AY173" s="149" t="inlineStr">
        <is>
          <t>Not disclosed</t>
        </is>
      </c>
      <c r="AZ173" s="149" t="inlineStr">
        <is>
          <t>Not disclosed</t>
        </is>
      </c>
      <c r="BA173" s="149" t="inlineStr">
        <is>
          <t>Not specified</t>
        </is>
      </c>
      <c r="BB173" s="149" t="inlineStr">
        <is>
          <t>Not disclosed</t>
        </is>
      </c>
      <c r="BC173" s="149" t="inlineStr">
        <is>
          <t>Not disclosed</t>
        </is>
      </c>
      <c r="BD173" s="145" t="inlineStr">
        <is>
          <t>Not disclosed</t>
        </is>
      </c>
      <c r="BE173" s="145" t="inlineStr">
        <is>
          <t>Not disclosed</t>
        </is>
      </c>
      <c r="BF173" s="145" t="inlineStr">
        <is>
          <t>Not specified</t>
        </is>
      </c>
      <c r="BG173" s="145" t="n"/>
      <c r="BH173" s="145" t="n"/>
      <c r="BI173" s="145" t="n"/>
      <c r="BJ173" s="145" t="n"/>
      <c r="BK173" s="145" t="n"/>
      <c r="BL173" s="145" t="n"/>
      <c r="BM173" s="145" t="inlineStr">
        <is>
          <t>Yes</t>
        </is>
      </c>
      <c r="BN173" s="145" t="inlineStr">
        <is>
          <t>Not disclosed</t>
        </is>
      </c>
      <c r="BO173" s="149" t="inlineStr">
        <is>
          <t>Market: Data Center; Manufacturing; Mining; Shipping; Solar; Space · Manipulation 2/4 · Navigation 2/4 · Human-safe: Yes · AI: Not specified · Actuation: Not specified · Peak 9 km/h · Walk 9 km/h · Runtime 8</t>
        </is>
      </c>
      <c r="BP173" s="145" t="n"/>
      <c r="BQ173" s="149" t="inlineStr">
        <is>
          <t>Data Center; Manufacturing; Mining; Shipping; Solar; Space</t>
        </is>
      </c>
      <c r="BR173" s="149" t="inlineStr">
        <is>
          <t>Prototype</t>
        </is>
      </c>
      <c r="BS173" s="149" t="inlineStr">
        <is>
          <t>Prototype</t>
        </is>
      </c>
      <c r="BT173" s="145" t="n"/>
      <c r="BU173" s="145" t="inlineStr">
        <is>
          <t>Not verified</t>
        </is>
      </c>
      <c r="BV173" s="149" t="n"/>
      <c r="BW173" s="149" t="inlineStr">
        <is>
          <t>Origin &amp; status — USA · Prototype · 2026 | Manipulation — 4 · 4 fingers · Payload 88.2 lb | Sensing &amp; software — Sensor and compute package confirmed on formal quote | Buying notes — From $100,000 · 12 months manufacturer standard (typical research/commercial humanoid) · Best fit: Data Center</t>
        </is>
      </c>
      <c r="BX173" s="149" t="inlineStr">
        <is>
          <t>as_shipped|TITAN|100000|As shipped</t>
        </is>
      </c>
      <c r="BY173" s="145" t="inlineStr">
        <is>
          <t>titan|Manufacturer finish|#e2e8f0|0</t>
        </is>
      </c>
      <c r="BZ173" s="145" t="inlineStr"/>
      <c r="CA173" s="149" t="n"/>
      <c r="CB173" s="149" t="inlineStr">
        <is>
          <t>12 months manufacturer standard (typical research/commercial humanoid)</t>
        </is>
      </c>
      <c r="CC173" s="147" t="n">
        <v>12</v>
      </c>
      <c r="CD173" s="149" t="inlineStr">
        <is>
          <t>+3 Year Extended ≈24% of configuration (default in configurator)</t>
        </is>
      </c>
      <c r="CE173" s="145" t="inlineStr">
        <is>
          <t>Humanoid category norm 2025–2026</t>
        </is>
      </c>
      <c r="CF173" s="145" t="inlineStr">
        <is>
          <t>Estimated</t>
        </is>
      </c>
      <c r="CG173" s="149" t="inlineStr">
        <is>
          <t>Confirm on formal OEM quote. EDU or enterprise packages may differ.</t>
        </is>
      </c>
      <c r="CH173" s="145" t="inlineStr">
        <is>
          <t>10%</t>
        </is>
      </c>
      <c r="CI173" s="145" t="inlineStr">
        <is>
          <t>17%</t>
        </is>
      </c>
      <c r="CJ173" s="145" t="inlineStr">
        <is>
          <t>24%</t>
        </is>
      </c>
      <c r="CK173" s="149" t="inlineStr">
        <is>
          <t>+1yr ≈10% | +2yr ≈17% | +3yr ≈24% of selected configuration price (parts &amp; labor beyond manufacturer standard).</t>
        </is>
      </c>
      <c r="CL173"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73" s="145" t="inlineStr">
        <is>
          <t>12 months manufacturer standard (typical research/commercial humanoid)</t>
        </is>
      </c>
      <c r="CQ173" s="101" t="inlineStr">
        <is>
          <t>Height: 6 ft 11 in | Weight: Not disclosed | Degrees of Freedom: Not disclosed | Payload: 88.2 | Max Speed: 5.59 | Battery / Runtime: ≈ 8 hours</t>
        </is>
      </c>
    </row>
    <row r="174" ht="31.5" customHeight="1" s="102">
      <c r="A174" s="152" t="inlineStr">
        <is>
          <t>roboligent_inc_robin</t>
        </is>
      </c>
      <c r="B174" s="153" t="inlineStr">
        <is>
          <t>Humanoid.guide</t>
        </is>
      </c>
      <c r="C174" s="152" t="inlineStr">
        <is>
          <t>Roboligent Inc.</t>
        </is>
      </c>
      <c r="D174" s="152" t="inlineStr">
        <is>
          <t>Robin</t>
        </is>
      </c>
      <c r="E174" s="152" t="inlineStr">
        <is>
          <t>[Roboligent Inc.] Robin (2026)</t>
        </is>
      </c>
      <c r="F174" s="146" t="inlineStr">
        <is>
          <t>humanoid</t>
        </is>
      </c>
      <c r="G174" s="152" t="inlineStr">
        <is>
          <t>USA</t>
        </is>
      </c>
      <c r="H174" s="152" t="n"/>
      <c r="I174" s="155" t="n">
        <v>85000</v>
      </c>
      <c r="J174" s="152" t="inlineStr">
        <is>
          <t>Humanoid.guide list</t>
        </is>
      </c>
      <c r="K174" s="156" t="inlineStr">
        <is>
          <t>ROBIN is a mobile dual‑arm robot from Roboligent that blends compliant manipulators, AI-based imitation learning, and navigation to automate material handling, machine tending, and logistics in smart factories.</t>
        </is>
      </c>
      <c r="L174" s="101" t="inlineStr">
        <is>
          <t>ROBIN is a mobile dual‑arm robot from Roboligent that blends compliant manipulators, AI-based imitation learning, and navigation to automate material handling, machine tending, and logistics in smart factories.</t>
        </is>
      </c>
      <c r="M174" s="101" t="inlineStr">
        <is>
          <t>ROBIN is a mobile dual‑arm robot from Roboligent that blends compliant manipulators, AI-based imitation learning, and navigation to automate material handling, machine tending, and logistics in smart factories. Public status is listed as in production, and it is positioned for factory automation; logistics; Manufacturing; Warehouse.</t>
        </is>
      </c>
      <c r="N174" s="157" t="inlineStr">
        <is>
          <t>https://humanoid.guide/product/robin/</t>
        </is>
      </c>
      <c r="O174" s="157" t="inlineStr">
        <is>
          <t>https://www.roboligent.com/</t>
        </is>
      </c>
      <c r="P174" s="152" t="inlineStr">
        <is>
          <t>4 ft 11 in</t>
        </is>
      </c>
      <c r="Q174" s="152" t="n">
        <v>150</v>
      </c>
      <c r="R174" s="152" t="n">
        <v>176.4</v>
      </c>
      <c r="S174" s="152" t="n">
        <v>80</v>
      </c>
      <c r="T174" s="156" t="inlineStr">
        <is>
          <t>Not disclosed</t>
        </is>
      </c>
      <c r="U174" s="152" t="n"/>
      <c r="V174" s="152" t="inlineStr">
        <is>
          <t>14</t>
        </is>
      </c>
      <c r="W174" s="156" t="inlineStr">
        <is>
          <t>Not disclosed</t>
        </is>
      </c>
      <c r="X174" s="152" t="n">
        <v>22</v>
      </c>
      <c r="Y174" s="152" t="n">
        <v>10</v>
      </c>
      <c r="Z174" s="152" t="n">
        <v>2.8</v>
      </c>
      <c r="AA174" s="152" t="n">
        <v>4.5</v>
      </c>
      <c r="AB174" s="152" t="n"/>
      <c r="AC174" s="156" t="inlineStr">
        <is>
          <t>≈ 8 hours</t>
        </is>
      </c>
      <c r="AD174" s="156" t="inlineStr">
        <is>
          <t>8</t>
        </is>
      </c>
      <c r="AE174" s="152" t="n"/>
      <c r="AF174" s="152" t="inlineStr">
        <is>
          <t>Not disclosed</t>
        </is>
      </c>
      <c r="AG174" s="156" t="inlineStr">
        <is>
          <t>2–5 per hand</t>
        </is>
      </c>
      <c r="AH174" s="152" t="inlineStr">
        <is>
          <t>2–5 per hand</t>
        </is>
      </c>
      <c r="AI174" s="161" t="n">
        <v>4</v>
      </c>
      <c r="AJ174" s="156" t="inlineStr">
        <is>
          <t>Not disclosed</t>
        </is>
      </c>
      <c r="AK174" s="156" t="n"/>
      <c r="AL174" s="152" t="inlineStr">
        <is>
          <t>Not disclosed</t>
        </is>
      </c>
      <c r="AM174" s="152" t="n"/>
      <c r="AN174" s="152" t="inlineStr">
        <is>
          <t>Not disclosed</t>
        </is>
      </c>
      <c r="AO174" s="152" t="inlineStr">
        <is>
          <t>Not disclosed</t>
        </is>
      </c>
      <c r="AP174" s="152" t="inlineStr">
        <is>
          <t>Not disclosed</t>
        </is>
      </c>
      <c r="AQ174" s="152" t="inlineStr">
        <is>
          <t>Not disclosed</t>
        </is>
      </c>
      <c r="AR174" s="152" t="n"/>
      <c r="AS174" s="152" t="n"/>
      <c r="AT174" s="156" t="inlineStr">
        <is>
          <t>Not disclosed</t>
        </is>
      </c>
      <c r="AU174" s="156" t="inlineStr">
        <is>
          <t>Ethernet; Wi‑Fi</t>
        </is>
      </c>
      <c r="AV174" s="152" t="inlineStr">
        <is>
          <t>Not disclosed</t>
        </is>
      </c>
      <c r="AW174" s="156" t="inlineStr">
        <is>
          <t>Not disclosed</t>
        </is>
      </c>
      <c r="AX174" s="151" t="n">
        <v>3</v>
      </c>
      <c r="AY174" s="156" t="inlineStr">
        <is>
          <t>Not disclosed</t>
        </is>
      </c>
      <c r="AZ174" s="156" t="inlineStr">
        <is>
          <t>Not disclosed</t>
        </is>
      </c>
      <c r="BA174" s="156" t="n"/>
      <c r="BB174" s="156" t="inlineStr">
        <is>
          <t>Compliant “soft‑robot” arms with force‑control actuators; base likely uses standard electric motors/wheel drive</t>
        </is>
      </c>
      <c r="BC174" s="156" t="inlineStr">
        <is>
          <t>Not disclosed</t>
        </is>
      </c>
      <c r="BD174" s="152" t="inlineStr">
        <is>
          <t>Not disclosed</t>
        </is>
      </c>
      <c r="BE174" s="152" t="inlineStr">
        <is>
          <t>IP20</t>
        </is>
      </c>
      <c r="BF174" s="152" t="inlineStr">
        <is>
          <t>IP20</t>
        </is>
      </c>
      <c r="BG174" s="152" t="n"/>
      <c r="BH174" s="152" t="n"/>
      <c r="BI174" s="152" t="n"/>
      <c r="BJ174" s="152" t="n"/>
      <c r="BK174" s="152" t="n"/>
      <c r="BL174" s="152" t="n"/>
      <c r="BM174" s="152" t="inlineStr">
        <is>
          <t>Yes</t>
        </is>
      </c>
      <c r="BN174" s="152" t="inlineStr">
        <is>
          <t>Not disclosed</t>
        </is>
      </c>
      <c r="BO174" s="156" t="inlineStr">
        <is>
          <t>Market: factory automation; logistics; Manufacturing; Warehouse · Manipulation 4/4 · Navigation 3/4 · Human-safe: Yes · AI: Not specified · Actuation: Compliant “soft‑robot” arms with force‑control actuators; base likely uses standard electric motors/wheel d… · Peak 4.5 km/h · Runtime 8</t>
        </is>
      </c>
      <c r="BP174" s="152" t="n"/>
      <c r="BQ174" s="156" t="inlineStr">
        <is>
          <t>factory automation; logistics; Manufacturing; Warehouse</t>
        </is>
      </c>
      <c r="BR174" s="156" t="inlineStr">
        <is>
          <t>In production</t>
        </is>
      </c>
      <c r="BS174" s="156" t="inlineStr">
        <is>
          <t>In production</t>
        </is>
      </c>
      <c r="BT174" s="152" t="inlineStr">
        <is>
          <t>Black; White</t>
        </is>
      </c>
      <c r="BU174" s="152" t="inlineStr">
        <is>
          <t>Not verified</t>
        </is>
      </c>
      <c r="BV174" s="156" t="n"/>
      <c r="BW174" s="156" t="inlineStr">
        <is>
          <t>Origin &amp; status — USA · In production · 2026 | Manipulation — 2–5 per hand · 2–5 per hand fingers · Payload 22 lb | Sensing &amp; software — Sensor and compute package confirmed on formal quote | Buying notes — From $85,000 · 12 months manufacturer standard (typical research/commercial humanoid) · Best fit: factory automation</t>
        </is>
      </c>
      <c r="BX174" s="156" t="inlineStr">
        <is>
          <t>as_shipped|Robin|85000|As shipped</t>
        </is>
      </c>
      <c r="BY174" s="152" t="inlineStr">
        <is>
          <t>black|Black|#e2e8f0|0 || white|White|#1e293b|0</t>
        </is>
      </c>
      <c r="BZ174" s="152" t="inlineStr"/>
      <c r="CA174" s="156" t="n"/>
      <c r="CB174" s="156" t="inlineStr">
        <is>
          <t>12 months manufacturer standard (typical research/commercial humanoid)</t>
        </is>
      </c>
      <c r="CC174" s="154" t="n">
        <v>12</v>
      </c>
      <c r="CD174" s="156" t="inlineStr">
        <is>
          <t>+3 Year Extended ≈24% of configuration (default in configurator)</t>
        </is>
      </c>
      <c r="CE174" s="152" t="inlineStr">
        <is>
          <t>Humanoid category norm 2025–2026</t>
        </is>
      </c>
      <c r="CF174" s="152" t="inlineStr">
        <is>
          <t>Estimated</t>
        </is>
      </c>
      <c r="CG174" s="156" t="inlineStr">
        <is>
          <t>Confirm on formal OEM quote. EDU or enterprise packages may differ.</t>
        </is>
      </c>
      <c r="CH174" s="152" t="inlineStr">
        <is>
          <t>10%</t>
        </is>
      </c>
      <c r="CI174" s="152" t="inlineStr">
        <is>
          <t>17%</t>
        </is>
      </c>
      <c r="CJ174" s="152" t="inlineStr">
        <is>
          <t>24%</t>
        </is>
      </c>
      <c r="CK174" s="156" t="inlineStr">
        <is>
          <t>+1yr ≈10% | +2yr ≈17% | +3yr ≈24% of selected configuration price (parts &amp; labor beyond manufacturer standard).</t>
        </is>
      </c>
      <c r="CL174"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74" s="152" t="inlineStr">
        <is>
          <t>12 months manufacturer standard (typical research/commercial humanoid)</t>
        </is>
      </c>
      <c r="CQ174" s="101" t="inlineStr">
        <is>
          <t>Height: 4 ft 11 in | Weight: 176.4 | Degrees of Freedom: 14 | Payload: 22 | Max Speed: 2.8 | Battery / Runtime: ≈ 8 hours</t>
        </is>
      </c>
    </row>
    <row r="175" ht="31.5" customHeight="1" s="102">
      <c r="A175" s="145" t="inlineStr">
        <is>
          <t>robot_com_rnoid</t>
        </is>
      </c>
      <c r="B175" s="153" t="inlineStr">
        <is>
          <t>Humanoid.guide</t>
        </is>
      </c>
      <c r="C175" s="145" t="inlineStr">
        <is>
          <t>Robot.com</t>
        </is>
      </c>
      <c r="D175" s="145" t="inlineStr">
        <is>
          <t>RNoid</t>
        </is>
      </c>
      <c r="E175" s="145" t="inlineStr">
        <is>
          <t>[Robot.com] RNoid (2026)</t>
        </is>
      </c>
      <c r="F175" s="146" t="inlineStr">
        <is>
          <t>humanoid</t>
        </is>
      </c>
      <c r="G175" s="145" t="inlineStr">
        <is>
          <t>USA</t>
        </is>
      </c>
      <c r="H175" s="145" t="n"/>
      <c r="I175" s="148" t="n">
        <v>19000</v>
      </c>
      <c r="J175" s="145" t="inlineStr">
        <is>
          <t>Humanoid.guide list</t>
        </is>
      </c>
      <c r="K175" s="149" t="inlineStr">
        <is>
          <t>RNoid is a friendly, service-focused humanoid robot designed for indoor customer support and front-desk assistance.</t>
        </is>
      </c>
      <c r="L175" s="101" t="inlineStr">
        <is>
          <t>RNoid is a friendly, service-focused humanoid robot designed for indoor customer support and front-desk assistance.</t>
        </is>
      </c>
      <c r="M175" s="101" t="inlineStr">
        <is>
          <t>RNoid is a friendly, service-focused humanoid robot designed for indoor customer support and front-desk assistance. Public status is listed as production-ready prototype / early commercial units, and it is positioned for hospitality; reception; Workplace assistance, light logistics, education.</t>
        </is>
      </c>
      <c r="N175" s="150" t="inlineStr">
        <is>
          <t>https://humanoid.guide/product/r-noid/</t>
        </is>
      </c>
      <c r="O175" s="150" t="inlineStr">
        <is>
          <t>https://www.robot.com/</t>
        </is>
      </c>
      <c r="P175" s="145" t="inlineStr">
        <is>
          <t>5 ft 3 in</t>
        </is>
      </c>
      <c r="Q175" s="145" t="n">
        <v>160</v>
      </c>
      <c r="R175" s="145" t="n">
        <v>110.2</v>
      </c>
      <c r="S175" s="145" t="n">
        <v>50</v>
      </c>
      <c r="T175" s="149" t="inlineStr">
        <is>
          <t>Not disclosed</t>
        </is>
      </c>
      <c r="U175" s="145" t="inlineStr">
        <is>
          <t>95 × 70 × 170 cm</t>
        </is>
      </c>
      <c r="V175" s="145" t="inlineStr">
        <is>
          <t>22</t>
        </is>
      </c>
      <c r="W175" s="149" t="inlineStr">
        <is>
          <t>10</t>
        </is>
      </c>
      <c r="X175" s="145" t="n">
        <v>19.8</v>
      </c>
      <c r="Y175" s="145" t="n">
        <v>9</v>
      </c>
      <c r="Z175" s="145" t="n">
        <v>3.73</v>
      </c>
      <c r="AA175" s="145" t="n">
        <v>6</v>
      </c>
      <c r="AB175" s="145" t="n">
        <v>6</v>
      </c>
      <c r="AC175" s="149" t="inlineStr">
        <is>
          <t>≈ 6 hours</t>
        </is>
      </c>
      <c r="AD175" s="149" t="inlineStr">
        <is>
          <t>6</t>
        </is>
      </c>
      <c r="AE175" s="145" t="n"/>
      <c r="AF175" s="145" t="inlineStr">
        <is>
          <t>Not disclosed</t>
        </is>
      </c>
      <c r="AG175" s="149" t="inlineStr">
        <is>
          <t>5 per hand</t>
        </is>
      </c>
      <c r="AH175" s="145" t="inlineStr">
        <is>
          <t>5 per hand</t>
        </is>
      </c>
      <c r="AI175" s="158" t="n">
        <v>2</v>
      </c>
      <c r="AJ175" s="149" t="inlineStr">
        <is>
          <t>1080p</t>
        </is>
      </c>
      <c r="AK175" s="149" t="inlineStr">
        <is>
          <t>1080p</t>
        </is>
      </c>
      <c r="AL175" s="145" t="inlineStr">
        <is>
          <t>Not disclosed</t>
        </is>
      </c>
      <c r="AM175" s="145" t="n"/>
      <c r="AN175" s="145" t="inlineStr">
        <is>
          <t>Not disclosed</t>
        </is>
      </c>
      <c r="AO175" s="145" t="inlineStr">
        <is>
          <t>Not disclosed</t>
        </is>
      </c>
      <c r="AP175" s="145" t="inlineStr">
        <is>
          <t>Not disclosed</t>
        </is>
      </c>
      <c r="AQ175" s="145" t="inlineStr">
        <is>
          <t>Not disclosed</t>
        </is>
      </c>
      <c r="AR175" s="145" t="n"/>
      <c r="AS175" s="145" t="n"/>
      <c r="AT175" s="149" t="inlineStr">
        <is>
          <t>ARM-based CPU + embedded AI accelerator (assumed)</t>
        </is>
      </c>
      <c r="AU175" s="149" t="inlineStr">
        <is>
          <t>Wi-Fi, Bluetooth, 5G</t>
        </is>
      </c>
      <c r="AV175" s="145" t="inlineStr">
        <is>
          <t>Not disclosed</t>
        </is>
      </c>
      <c r="AW175" s="149" t="inlineStr">
        <is>
          <t>Not disclosed</t>
        </is>
      </c>
      <c r="AX175" s="151" t="n">
        <v>3</v>
      </c>
      <c r="AY175" s="149" t="inlineStr">
        <is>
          <t>Linux + robot.com service OS layer</t>
        </is>
      </c>
      <c r="AZ175" s="149" t="inlineStr">
        <is>
          <t>Cloud-based LLM dialogue support</t>
        </is>
      </c>
      <c r="BA175" s="149" t="inlineStr">
        <is>
          <t>250–450 ms</t>
        </is>
      </c>
      <c r="BB175" s="149" t="inlineStr">
        <is>
          <t>Brushless Motor</t>
        </is>
      </c>
      <c r="BC175" s="149" t="inlineStr">
        <is>
          <t>Harmonic drive for arms, planetary gears in joints</t>
        </is>
      </c>
      <c r="BD175" s="145" t="inlineStr">
        <is>
          <t>Aluminum alloy + ABS composite shells</t>
        </is>
      </c>
      <c r="BE175" s="145" t="inlineStr">
        <is>
          <t>IP32</t>
        </is>
      </c>
      <c r="BF175" s="145" t="inlineStr">
        <is>
          <t>IP32</t>
        </is>
      </c>
      <c r="BG175" s="145" t="n"/>
      <c r="BH175" s="145" t="n"/>
      <c r="BI175" s="145" t="n"/>
      <c r="BJ175" s="145" t="n"/>
      <c r="BK175" s="145" t="n"/>
      <c r="BL175" s="145" t="n"/>
      <c r="BM175" s="145" t="inlineStr">
        <is>
          <t>Yes</t>
        </is>
      </c>
      <c r="BN175" s="145" t="inlineStr">
        <is>
          <t>Not disclosed</t>
        </is>
      </c>
      <c r="BO175" s="149" t="inlineStr">
        <is>
          <t>Market: Hospitality; reception; Workplace assistance, light logistics, education · Manipulation 2/4 · Navigation 3/4 · Human-safe: Yes · AI: Cloud-based LLM dialogue support · Actuation: Brushless Motor · Peak 6 km/h · Walk 6 km/h · Runtime 6</t>
        </is>
      </c>
      <c r="BP175" s="145" t="n"/>
      <c r="BQ175" s="149" t="inlineStr">
        <is>
          <t>Hospitality; reception; Workplace assistance, light logistics, education</t>
        </is>
      </c>
      <c r="BR175" s="149" t="inlineStr">
        <is>
          <t>Production-ready prototype / early commercial units</t>
        </is>
      </c>
      <c r="BS175" s="149" t="inlineStr">
        <is>
          <t>Production-ready prototype / early commercial units</t>
        </is>
      </c>
      <c r="BT175" s="145" t="inlineStr">
        <is>
          <t>White</t>
        </is>
      </c>
      <c r="BU175" s="145" t="inlineStr">
        <is>
          <t>Not verified</t>
        </is>
      </c>
      <c r="BV175" s="149" t="n"/>
      <c r="BW175" s="149" t="inlineStr">
        <is>
          <t>Origin &amp; status — USA · Production-ready prototype / early commercial units · 2026 | Manipulation — 5 per hand · 5 per hand fingers · Hand DOF 10 · Payload 19.8 lb | Sensing &amp; software — 1080p · Cloud-based LLM dialogue support · Linux + robot.com service OS layer | Buying notes — From $19,000 · 12 months manufacturer standard (typical research/commercial humanoid) · Best fit: Hospitality</t>
        </is>
      </c>
      <c r="BX175" s="149" t="inlineStr">
        <is>
          <t>as_shipped|RNoid|19000|As shipped</t>
        </is>
      </c>
      <c r="BY175" s="145" t="inlineStr">
        <is>
          <t>white|White|#e2e8f0|0</t>
        </is>
      </c>
      <c r="BZ175" s="145" t="inlineStr"/>
      <c r="CA175" s="149" t="n"/>
      <c r="CB175" s="149" t="inlineStr">
        <is>
          <t>12 months manufacturer standard (typical research/commercial humanoid)</t>
        </is>
      </c>
      <c r="CC175" s="147" t="n">
        <v>12</v>
      </c>
      <c r="CD175" s="149" t="inlineStr">
        <is>
          <t>+3 Year Extended ≈24% of configuration (default in configurator)</t>
        </is>
      </c>
      <c r="CE175" s="145" t="inlineStr">
        <is>
          <t>Humanoid category norm 2025–2026</t>
        </is>
      </c>
      <c r="CF175" s="145" t="inlineStr">
        <is>
          <t>Estimated</t>
        </is>
      </c>
      <c r="CG175" s="149" t="inlineStr">
        <is>
          <t>Confirm on formal OEM quote. EDU or enterprise packages may differ.</t>
        </is>
      </c>
      <c r="CH175" s="145" t="inlineStr">
        <is>
          <t>10%</t>
        </is>
      </c>
      <c r="CI175" s="145" t="inlineStr">
        <is>
          <t>17%</t>
        </is>
      </c>
      <c r="CJ175" s="145" t="inlineStr">
        <is>
          <t>24%</t>
        </is>
      </c>
      <c r="CK175" s="149" t="inlineStr">
        <is>
          <t>+1yr ≈10% | +2yr ≈17% | +3yr ≈24% of selected configuration price (parts &amp; labor beyond manufacturer standard).</t>
        </is>
      </c>
      <c r="CL17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75" s="145" t="inlineStr">
        <is>
          <t>12 months manufacturer standard (typical research/commercial humanoid)</t>
        </is>
      </c>
      <c r="CQ175" s="101" t="inlineStr">
        <is>
          <t>Height: 5 ft 3 in | Weight: 110.2 | Degrees of Freedom: 22 | Payload: 19.8 | Max Speed: 3.73 | Battery / Runtime: ≈ 6 hours</t>
        </is>
      </c>
    </row>
    <row r="176" ht="31.5" customHeight="1" s="102">
      <c r="A176" s="159" t="inlineStr">
        <is>
          <t>robotera_l7</t>
        </is>
      </c>
      <c r="B176" s="144" t="inlineStr">
        <is>
          <t>Both</t>
        </is>
      </c>
      <c r="C176" s="152" t="inlineStr">
        <is>
          <t>RobotEra</t>
        </is>
      </c>
      <c r="D176" s="152" t="inlineStr">
        <is>
          <t>Robotera L7</t>
        </is>
      </c>
      <c r="E176" s="152" t="inlineStr">
        <is>
          <t>[RobotEra] L7 (2025)</t>
        </is>
      </c>
      <c r="F176" s="146" t="inlineStr">
        <is>
          <t>humanoid</t>
        </is>
      </c>
      <c r="G176" s="152" t="inlineStr">
        <is>
          <t>China</t>
        </is>
      </c>
      <c r="H176" s="154" t="n">
        <v>2025</v>
      </c>
      <c r="I176" s="155" t="n">
        <v>50000</v>
      </c>
      <c r="J176" s="152" t="inlineStr">
        <is>
          <t>Website store</t>
        </is>
      </c>
      <c r="K176" s="156" t="inlineStr">
        <is>
          <t>RobotEra L7 is a 171 cm‑tall, 65 kg Chinese humanoid that reaches 4 m/s and wields 12‑DoF dexterous hands, aiming to blend flashy agility with factory‑grade manipulation for logistics and service deployments.</t>
        </is>
      </c>
      <c r="L176" s="101" t="inlineStr">
        <is>
          <t>RobotEra L7 is a 171 cm‑tall, 65 kg Chinese humanoid that reaches 4 m/s and wields 12‑DoF dexterous hands, aiming to blend flashy agility with factory‑grade manipulation for logistics and service deployments.</t>
        </is>
      </c>
      <c r="M176" s="101" t="inlineStr">
        <is>
          <t>RobotEra L7 is a 171 cm‑tall, 65 kg Chinese humanoid that reaches 4 m/s and wields 12‑DoF dexterous hands, aiming to blend flashy agility with factory‑grade manipulation for logistics and service deployments. Public status is listed as mass deployment (thousands in Chinese logistics centers 2026), and it is positioned for logistics / Industrial / Athletic.</t>
        </is>
      </c>
      <c r="N176" s="157" t="inlineStr">
        <is>
          <t>https://humanoid.guide/product/robotera-l7/</t>
        </is>
      </c>
      <c r="O176" s="157" t="inlineStr">
        <is>
          <t>https://www.robotera.com</t>
        </is>
      </c>
      <c r="P176" s="152" t="inlineStr">
        <is>
          <t>5 ft 7 in – 5 ft 9 in</t>
        </is>
      </c>
      <c r="Q176" s="152" t="n">
        <v>171</v>
      </c>
      <c r="R176" s="152" t="n">
        <v>143.3</v>
      </c>
      <c r="S176" s="152" t="n">
        <v>65</v>
      </c>
      <c r="T176" s="156" t="inlineStr">
        <is>
          <t>Not disclosed</t>
        </is>
      </c>
      <c r="U176" s="152" t="n"/>
      <c r="V176" s="152" t="inlineStr">
        <is>
          <t>55</t>
        </is>
      </c>
      <c r="W176" s="156" t="inlineStr">
        <is>
          <t>12</t>
        </is>
      </c>
      <c r="X176" s="152" t="inlineStr">
        <is>
          <t>20 lb</t>
        </is>
      </c>
      <c r="Y176" s="152" t="n">
        <v>20</v>
      </c>
      <c r="Z176" s="152" t="n">
        <v>8.949999999999999</v>
      </c>
      <c r="AA176" s="152" t="n">
        <v>14.4</v>
      </c>
      <c r="AB176" s="152" t="n"/>
      <c r="AC176" s="156" t="inlineStr">
        <is>
          <t>Not disclosed</t>
        </is>
      </c>
      <c r="AD176" s="156" t="inlineStr">
        <is>
          <t>Not specified</t>
        </is>
      </c>
      <c r="AE176" s="152" t="n"/>
      <c r="AF176" s="152" t="inlineStr">
        <is>
          <t>Not disclosed</t>
        </is>
      </c>
      <c r="AG176" s="156" t="inlineStr">
        <is>
          <t>Grippers or dexterous hands depending on configuration</t>
        </is>
      </c>
      <c r="AH176" s="152" t="inlineStr">
        <is>
          <t>10</t>
        </is>
      </c>
      <c r="AI176" s="158" t="n">
        <v>2</v>
      </c>
      <c r="AJ176" s="156" t="inlineStr">
        <is>
          <t>RGB and/or depth cameras for navigation and manipulation (configuration specific)</t>
        </is>
      </c>
      <c r="AK176" s="156" t="inlineStr">
        <is>
          <t>Multi‑sensor head (stereo RGB‑D + LiDAR)</t>
        </is>
      </c>
      <c r="AL176" s="152" t="inlineStr">
        <is>
          <t>Onboard streams for teleoperation and logging when equipped</t>
        </is>
      </c>
      <c r="AM176" s="152" t="n"/>
      <c r="AN176" s="152" t="inlineStr">
        <is>
          <t>Not disclosed</t>
        </is>
      </c>
      <c r="AO176" s="152" t="inlineStr">
        <is>
          <t>Microphone array on interaction-oriented builds</t>
        </is>
      </c>
      <c r="AP176" s="152" t="inlineStr">
        <is>
          <t>Not disclosed</t>
        </is>
      </c>
      <c r="AQ176" s="152" t="inlineStr">
        <is>
          <t>Not disclosed</t>
        </is>
      </c>
      <c r="AR176" s="152" t="n"/>
      <c r="AS176" s="152" t="n"/>
      <c r="AT176" s="156" t="inlineStr">
        <is>
          <t>“ERA‑42” on‑board embodied‑AI computer</t>
        </is>
      </c>
      <c r="AU176" s="156" t="inlineStr">
        <is>
          <t>Not disclosed</t>
        </is>
      </c>
      <c r="AV176" s="152" t="inlineStr">
        <is>
          <t>Manufacturer app and/or SDK</t>
        </is>
      </c>
      <c r="AW176" s="156" t="inlineStr">
        <is>
          <t>Bipedal balance and walking controllers</t>
        </is>
      </c>
      <c r="AX176" s="158" t="n">
        <v>2</v>
      </c>
      <c r="AY176" s="156" t="inlineStr">
        <is>
          <t>Not disclosed</t>
        </is>
      </c>
      <c r="AZ176" s="156" t="inlineStr">
        <is>
          <t>ERA‑42 large multimodal model for vision &amp; language</t>
        </is>
      </c>
      <c r="BA176" s="156" t="inlineStr">
        <is>
          <t>Not specified</t>
        </is>
      </c>
      <c r="BB176" s="156" t="inlineStr">
        <is>
          <t>Direct‑drive, high‑torque servo modules</t>
        </is>
      </c>
      <c r="BC176" s="156" t="inlineStr">
        <is>
          <t>Not disclosed</t>
        </is>
      </c>
      <c r="BD176" s="152" t="inlineStr">
        <is>
          <t>photos suggest alloy frame + polymer shells</t>
        </is>
      </c>
      <c r="BE176" s="152" t="inlineStr">
        <is>
          <t>Not disclosed</t>
        </is>
      </c>
      <c r="BF176" s="152" t="inlineStr">
        <is>
          <t>Not disclosed</t>
        </is>
      </c>
      <c r="BG176" s="152" t="n"/>
      <c r="BH176" s="152" t="n"/>
      <c r="BI176" s="152" t="n"/>
      <c r="BJ176" s="152" t="n"/>
      <c r="BK176" s="152" t="n"/>
      <c r="BL176" s="152" t="n"/>
      <c r="BM176" s="152" t="inlineStr">
        <is>
          <t>No formal safety rating</t>
        </is>
      </c>
      <c r="BN176" s="152" t="inlineStr">
        <is>
          <t>Not disclosed</t>
        </is>
      </c>
      <c r="BO176" s="156" t="inlineStr">
        <is>
          <t>Market: Logistics / Industrial / Athletic · Manipulation 2/4 · Navigation 2/4 · Human-safe: No formal safety rating · AI: ERA‑42 large multimodal model for vision &amp; language · Actuation: Direct‑drive, high‑torque servo modules · Peak 14.4 km/h · Runtime Not specified</t>
        </is>
      </c>
      <c r="BP176" s="152" t="n"/>
      <c r="BQ176" s="156" t="inlineStr">
        <is>
          <t>Logistics / Industrial / Athletic</t>
        </is>
      </c>
      <c r="BR176" s="156" t="inlineStr">
        <is>
          <t>Mass deployment (thousands in Chinese logistics centers 2026)</t>
        </is>
      </c>
      <c r="BS176" s="156" t="inlineStr">
        <is>
          <t>Prototype</t>
        </is>
      </c>
      <c r="BT176" s="152" t="n"/>
      <c r="BU176" s="152" t="inlineStr">
        <is>
          <t>Not verified</t>
        </is>
      </c>
      <c r="BV176" s="156" t="inlineStr">
        <is>
          <t>Successor to STAR1; up to 8.9 mph (14.4 km/h) claims; high-efficiency package sorting reported Humanoid.guide listed price $120,000.</t>
        </is>
      </c>
      <c r="BW176" s="156" t="inlineStr">
        <is>
          <t>Origin &amp; status — China · Mass deployment (thousands in Chinese logistics centers 2026) · 2025 | Manipulation — Grippers or dexterous hands depending on configuration · 10 fingers · Hand DOF 12 · Payload 20 lb | Sensing &amp; software — RGB and/or depth cameras for navigation and manipulation (configuration specific) · ERA‑42 large multimodal model for vision &amp; language · Manufacturer app a… | Buying notes — From $50,000 · 12 months manufacturer standard (typical research/commercial humanoid) · Best fit: Logistics</t>
        </is>
      </c>
      <c r="BX176" s="156" t="inlineStr">
        <is>
          <t>as_shipped|L7|50000|As shipped</t>
        </is>
      </c>
      <c r="BY176" s="152" t="inlineStr">
        <is>
          <t>l7|Manufacturer finish|#e2e8f0|0</t>
        </is>
      </c>
      <c r="BZ176" s="152" t="inlineStr"/>
      <c r="CA176" s="156" t="inlineStr">
        <is>
          <t>Add-ons: case; 2 color options; Multi-year extended warranty available</t>
        </is>
      </c>
      <c r="CB176" s="156" t="inlineStr">
        <is>
          <t>12 months manufacturer standard (typical research/commercial humanoid)</t>
        </is>
      </c>
      <c r="CC176" s="154" t="n">
        <v>12</v>
      </c>
      <c r="CD176" s="156" t="inlineStr">
        <is>
          <t>+3 Year Extended ≈24% of configuration (default in configurator)</t>
        </is>
      </c>
      <c r="CE176" s="152" t="inlineStr">
        <is>
          <t>Humanoid category norm 2025–2026</t>
        </is>
      </c>
      <c r="CF176" s="152" t="inlineStr">
        <is>
          <t>Estimated</t>
        </is>
      </c>
      <c r="CG176" s="156" t="inlineStr">
        <is>
          <t>EDU or enterprise packages may differ; confirm on formal quote.</t>
        </is>
      </c>
      <c r="CH176" s="152" t="inlineStr">
        <is>
          <t>10%</t>
        </is>
      </c>
      <c r="CI176" s="152" t="inlineStr">
        <is>
          <t>17%</t>
        </is>
      </c>
      <c r="CJ176" s="152" t="inlineStr">
        <is>
          <t>24%</t>
        </is>
      </c>
      <c r="CK176"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176"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76" s="152" t="inlineStr">
        <is>
          <t>12 months manufacturer standard (typical research/commercial humanoid)</t>
        </is>
      </c>
      <c r="CQ176" s="101" t="inlineStr">
        <is>
          <t>Height: 5 ft 7 in – 5 ft 9 in | Weight: 143.3 | Degrees of Freedom: 55 | Payload: 20 lb | Max Speed: 8.95 | Battery / Runtime: Not disclosed</t>
        </is>
      </c>
    </row>
    <row r="177" ht="31.5" customHeight="1" s="102">
      <c r="A177" s="145" t="inlineStr">
        <is>
          <t>robotera_robotera_m7</t>
        </is>
      </c>
      <c r="B177" s="153" t="inlineStr">
        <is>
          <t>Humanoid.guide</t>
        </is>
      </c>
      <c r="C177" s="145" t="inlineStr">
        <is>
          <t>Robotera</t>
        </is>
      </c>
      <c r="D177" s="145" t="inlineStr">
        <is>
          <t>Robotera M7</t>
        </is>
      </c>
      <c r="E177" s="145" t="inlineStr">
        <is>
          <t>[Robotera] Robotera M7 (2026)</t>
        </is>
      </c>
      <c r="F177" s="146" t="inlineStr">
        <is>
          <t>humanoid</t>
        </is>
      </c>
      <c r="G177" s="145" t="inlineStr">
        <is>
          <t>China</t>
        </is>
      </c>
      <c r="H177" s="145" t="n"/>
      <c r="I177" s="148" t="n">
        <v>100000</v>
      </c>
      <c r="J177" s="145" t="inlineStr">
        <is>
          <t>Humanoid.guide list</t>
        </is>
      </c>
      <c r="K177" s="149" t="inlineStr">
        <is>
          <t>Robotera M7 is an upper-body humanoid robot built for embodied AI research, teleoperation, and dexterous manipulation.</t>
        </is>
      </c>
      <c r="L177" s="101" t="inlineStr">
        <is>
          <t>Robotera M7 is an upper-body humanoid robot built for embodied AI research, teleoperation, and dexterous manipulation.</t>
        </is>
      </c>
      <c r="M177" s="101" t="inlineStr">
        <is>
          <t>Robotera M7 is an upper-body humanoid robot built for embodied AI research, teleoperation, and dexterous manipulation. Public status is listed as in production, and it is positioned for aI development; logistics; Manufacturing; Research.</t>
        </is>
      </c>
      <c r="N177" s="150" t="inlineStr">
        <is>
          <t>https://humanoid.guide/product/robotera-m7/</t>
        </is>
      </c>
      <c r="O177" s="150" t="inlineStr">
        <is>
          <t>https://www.robotera.com</t>
        </is>
      </c>
      <c r="P177" s="145" t="inlineStr">
        <is>
          <t>3 ft 11 in</t>
        </is>
      </c>
      <c r="Q177" s="145" t="n">
        <v>119</v>
      </c>
      <c r="R177" s="145" t="n">
        <v>94.8</v>
      </c>
      <c r="S177" s="145" t="n">
        <v>43</v>
      </c>
      <c r="T177" s="149" t="inlineStr">
        <is>
          <t>Not disclosed</t>
        </is>
      </c>
      <c r="U177" s="145" t="n"/>
      <c r="V177" s="145" t="inlineStr">
        <is>
          <t>43</t>
        </is>
      </c>
      <c r="W177" s="149" t="inlineStr">
        <is>
          <t>24</t>
        </is>
      </c>
      <c r="X177" s="145" t="n">
        <v>44.1</v>
      </c>
      <c r="Y177" s="145" t="n">
        <v>20</v>
      </c>
      <c r="Z177" s="145" t="n"/>
      <c r="AA177" s="145" t="n"/>
      <c r="AB177" s="145" t="n"/>
      <c r="AC177" s="149" t="inlineStr">
        <is>
          <t>Not disclosed</t>
        </is>
      </c>
      <c r="AD177" s="149" t="n"/>
      <c r="AE177" s="145" t="n"/>
      <c r="AF177" s="145" t="inlineStr">
        <is>
          <t>Not disclosed</t>
        </is>
      </c>
      <c r="AG177" s="149" t="inlineStr">
        <is>
          <t>10 (5 per hand)</t>
        </is>
      </c>
      <c r="AH177" s="145" t="inlineStr">
        <is>
          <t>10 (5 per hand)</t>
        </is>
      </c>
      <c r="AI177" s="145" t="n"/>
      <c r="AJ177" s="149" t="inlineStr">
        <is>
          <t>Stereo RGB vision</t>
        </is>
      </c>
      <c r="AK177" s="149" t="inlineStr">
        <is>
          <t>Stereo RGB vision</t>
        </is>
      </c>
      <c r="AL177" s="145" t="inlineStr">
        <is>
          <t>Not disclosed</t>
        </is>
      </c>
      <c r="AM177" s="145" t="n"/>
      <c r="AN177" s="145" t="inlineStr">
        <is>
          <t>Not disclosed</t>
        </is>
      </c>
      <c r="AO177" s="145" t="inlineStr">
        <is>
          <t>Not disclosed</t>
        </is>
      </c>
      <c r="AP177" s="145" t="inlineStr">
        <is>
          <t>Not disclosed</t>
        </is>
      </c>
      <c r="AQ177" s="145" t="inlineStr">
        <is>
          <t>Not disclosed</t>
        </is>
      </c>
      <c r="AR177" s="145" t="n"/>
      <c r="AS177" s="145" t="n"/>
      <c r="AT177" s="149" t="inlineStr">
        <is>
          <t>Not disclosed</t>
        </is>
      </c>
      <c r="AU177" s="149" t="inlineStr">
        <is>
          <t>Ethernet; USB; Wi-Fi</t>
        </is>
      </c>
      <c r="AV177" s="145" t="inlineStr">
        <is>
          <t>Not disclosed</t>
        </is>
      </c>
      <c r="AW177" s="149" t="inlineStr">
        <is>
          <t>Not disclosed</t>
        </is>
      </c>
      <c r="AX177" s="145" t="n"/>
      <c r="AY177" s="149" t="inlineStr">
        <is>
          <t>Robotera software stack based on Linux/ROS ecosystem</t>
        </is>
      </c>
      <c r="AZ177" s="149" t="inlineStr">
        <is>
          <t>Yes, compatible with Robotera’s embodied AI/VLA models</t>
        </is>
      </c>
      <c r="BA177" s="149" t="n"/>
      <c r="BB177" s="149" t="inlineStr">
        <is>
          <t>Electric servo actuators</t>
        </is>
      </c>
      <c r="BC177" s="149" t="inlineStr">
        <is>
          <t>Harmonic reducers and precision robotic joints</t>
        </is>
      </c>
      <c r="BD177" s="145" t="inlineStr">
        <is>
          <t>Aluminum alloy and engineering composites</t>
        </is>
      </c>
      <c r="BE177" s="145" t="inlineStr">
        <is>
          <t>Not disclosed</t>
        </is>
      </c>
      <c r="BF177" s="145" t="inlineStr">
        <is>
          <t>Not disclosed</t>
        </is>
      </c>
      <c r="BG177" s="145" t="n"/>
      <c r="BH177" s="145" t="n"/>
      <c r="BI177" s="145" t="n"/>
      <c r="BJ177" s="145" t="n"/>
      <c r="BK177" s="145" t="n"/>
      <c r="BL177" s="145" t="n"/>
      <c r="BM177" s="145" t="inlineStr">
        <is>
          <t>Yes</t>
        </is>
      </c>
      <c r="BN177" s="145" t="inlineStr">
        <is>
          <t>Not disclosed</t>
        </is>
      </c>
      <c r="BO177" s="149" t="inlineStr">
        <is>
          <t>Market: AI development; logistics; Manufacturing; Research · Human-safe: Yes · AI: Yes, compatible with Robotera’s embodied AI/VLA models · Actuation: Electric servo actuators</t>
        </is>
      </c>
      <c r="BP177" s="145" t="n"/>
      <c r="BQ177" s="149" t="inlineStr">
        <is>
          <t>AI development; logistics; Manufacturing; Research</t>
        </is>
      </c>
      <c r="BR177" s="149" t="inlineStr">
        <is>
          <t>In production</t>
        </is>
      </c>
      <c r="BS177" s="149" t="inlineStr">
        <is>
          <t>In production</t>
        </is>
      </c>
      <c r="BT177" s="145" t="inlineStr">
        <is>
          <t>White and Black</t>
        </is>
      </c>
      <c r="BU177" s="145" t="n"/>
      <c r="BV177" s="149" t="n"/>
      <c r="BW177" s="149" t="inlineStr">
        <is>
          <t>Origin &amp; status — China · In production · 2026 | Manipulation — 10 (5 per hand) · 10 (5 per hand) fingers · Hand DOF 24 · Payload 44.1 lb | Sensing &amp; software — Stereo RGB vision · Yes, compatible with Robotera’s embodied AI/VLA models · Robotera software stack based on Linux/ROS ecosystem | Buying notes — From $100,000 · 12 months manufacturer standard (typical research/commercial humanoid) · Best fit: AI development</t>
        </is>
      </c>
      <c r="BX177" s="149" t="inlineStr">
        <is>
          <t>as_shipped|Robotera M7|100000|As shipped</t>
        </is>
      </c>
      <c r="BY177" s="145" t="inlineStr">
        <is>
          <t>white_and_black|White and Black|#e2e8f0|0</t>
        </is>
      </c>
      <c r="BZ177" s="145" t="inlineStr"/>
      <c r="CA177" s="149" t="n"/>
      <c r="CB177" s="149" t="inlineStr">
        <is>
          <t>12 months manufacturer standard (typical research/commercial humanoid)</t>
        </is>
      </c>
      <c r="CC177" s="147" t="n">
        <v>12</v>
      </c>
      <c r="CD177" s="149" t="inlineStr">
        <is>
          <t>+3 Year Extended ≈24% of configuration (default in configurator)</t>
        </is>
      </c>
      <c r="CE177" s="145" t="inlineStr">
        <is>
          <t>Humanoid category norm 2025–2026</t>
        </is>
      </c>
      <c r="CF177" s="145" t="inlineStr">
        <is>
          <t>Estimated</t>
        </is>
      </c>
      <c r="CG177" s="149" t="inlineStr">
        <is>
          <t>Confirm on formal OEM quote. EDU or enterprise packages may differ.</t>
        </is>
      </c>
      <c r="CH177" s="145" t="inlineStr">
        <is>
          <t>10%</t>
        </is>
      </c>
      <c r="CI177" s="145" t="inlineStr">
        <is>
          <t>17%</t>
        </is>
      </c>
      <c r="CJ177" s="145" t="inlineStr">
        <is>
          <t>24%</t>
        </is>
      </c>
      <c r="CK177" s="149" t="inlineStr">
        <is>
          <t>+1yr ≈10% | +2yr ≈17% | +3yr ≈24% of selected configuration price (parts &amp; labor beyond manufacturer standard).</t>
        </is>
      </c>
      <c r="CL177"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77" s="145" t="inlineStr">
        <is>
          <t>12 months manufacturer standard (typical research/commercial humanoid)</t>
        </is>
      </c>
      <c r="CQ177" s="101" t="inlineStr">
        <is>
          <t>Height: 3 ft 11 in | Weight: 94.8 | Degrees of Freedom: 43 | Payload: 44.1 | Max Speed: Not disclosed | Battery / Runtime: Not disclosed</t>
        </is>
      </c>
    </row>
    <row r="178" ht="31.5" customHeight="1" s="102">
      <c r="A178" s="152" t="inlineStr">
        <is>
          <t>robotera_robotera_q5</t>
        </is>
      </c>
      <c r="B178" s="153" t="inlineStr">
        <is>
          <t>Humanoid.guide</t>
        </is>
      </c>
      <c r="C178" s="152" t="inlineStr">
        <is>
          <t>Robotera</t>
        </is>
      </c>
      <c r="D178" s="152" t="inlineStr">
        <is>
          <t>ROBOTERA Q5</t>
        </is>
      </c>
      <c r="E178" s="152" t="inlineStr">
        <is>
          <t>[Robotera] ROBOTERA Q5 (2026)</t>
        </is>
      </c>
      <c r="F178" s="146" t="inlineStr">
        <is>
          <t>humanoid</t>
        </is>
      </c>
      <c r="G178" s="152" t="inlineStr">
        <is>
          <t>China</t>
        </is>
      </c>
      <c r="H178" s="152" t="n"/>
      <c r="I178" s="155" t="n">
        <v>70000</v>
      </c>
      <c r="J178" s="152" t="inlineStr">
        <is>
          <t>Humanoid.guide list</t>
        </is>
      </c>
      <c r="K178" s="156" t="inlineStr">
        <is>
          <t>ROBOTERA Q5 is a wheeled humanoid service robot with a slim, human-like build, natural voice interaction in 37+ languages, and dexterous hands for light physical tasks in hotels, retail, and healthcare settings.</t>
        </is>
      </c>
      <c r="L178" s="101" t="inlineStr">
        <is>
          <t>ROBOTERA Q5 is a wheeled humanoid service robot with a slim, human-like build, natural voice interaction in 37+ languages, and dexterous hands for light physical tasks in hotels, retail, and healthcare settings.</t>
        </is>
      </c>
      <c r="M178" s="101" t="inlineStr">
        <is>
          <t>ROBOTERA Q5 is a wheeled humanoid service robot with a slim, human-like build, natural voice interaction in 37+ languages, and dexterous hands for light physical tasks in hotels, retail, and healthcare settings. Public status is listed as in production, and it is positioned for education; healthcare; Hospitality; retail; tourism.</t>
        </is>
      </c>
      <c r="N178" s="157" t="inlineStr">
        <is>
          <t>https://humanoid.guide/product/robotera-q5/</t>
        </is>
      </c>
      <c r="O178" s="157" t="inlineStr">
        <is>
          <t>https://www.robotera.com</t>
        </is>
      </c>
      <c r="P178" s="152" t="inlineStr">
        <is>
          <t>5 ft 5 in</t>
        </is>
      </c>
      <c r="Q178" s="152" t="n">
        <v>165</v>
      </c>
      <c r="R178" s="152" t="n">
        <v>154.3</v>
      </c>
      <c r="S178" s="152" t="n">
        <v>70</v>
      </c>
      <c r="T178" s="156" t="inlineStr">
        <is>
          <t>Not disclosed</t>
        </is>
      </c>
      <c r="U178" s="152" t="n"/>
      <c r="V178" s="152" t="inlineStr">
        <is>
          <t>44</t>
        </is>
      </c>
      <c r="W178" s="156" t="inlineStr">
        <is>
          <t>22</t>
        </is>
      </c>
      <c r="X178" s="152" t="n">
        <v>22</v>
      </c>
      <c r="Y178" s="152" t="n">
        <v>10</v>
      </c>
      <c r="Z178" s="152" t="n">
        <v>3.73</v>
      </c>
      <c r="AA178" s="152" t="n">
        <v>6</v>
      </c>
      <c r="AB178" s="152" t="n"/>
      <c r="AC178" s="156" t="inlineStr">
        <is>
          <t>≈ 4 hours</t>
        </is>
      </c>
      <c r="AD178" s="156" t="inlineStr">
        <is>
          <t>4</t>
        </is>
      </c>
      <c r="AE178" s="152" t="n"/>
      <c r="AF178" s="152" t="inlineStr">
        <is>
          <t>Not disclosed</t>
        </is>
      </c>
      <c r="AG178" s="156" t="inlineStr">
        <is>
          <t>10 (5 per hand)</t>
        </is>
      </c>
      <c r="AH178" s="152" t="inlineStr">
        <is>
          <t>10 (5 per hand)</t>
        </is>
      </c>
      <c r="AI178" s="152" t="n"/>
      <c r="AJ178" s="156" t="inlineStr">
        <is>
          <t>Stereo RGB cameras + Mid-360 LiDAR</t>
        </is>
      </c>
      <c r="AK178" s="156" t="inlineStr">
        <is>
          <t>Stereo RGB cameras + Mid-360 LiDAR</t>
        </is>
      </c>
      <c r="AL178" s="152" t="inlineStr">
        <is>
          <t>Not disclosed</t>
        </is>
      </c>
      <c r="AM178" s="152" t="n"/>
      <c r="AN178" s="152" t="inlineStr">
        <is>
          <t>Not disclosed</t>
        </is>
      </c>
      <c r="AO178" s="152" t="inlineStr">
        <is>
          <t>Not disclosed</t>
        </is>
      </c>
      <c r="AP178" s="152" t="inlineStr">
        <is>
          <t>Not disclosed</t>
        </is>
      </c>
      <c r="AQ178" s="152" t="inlineStr">
        <is>
          <t>Not disclosed</t>
        </is>
      </c>
      <c r="AR178" s="152" t="n"/>
      <c r="AS178" s="152" t="n"/>
      <c r="AT178" s="156" t="inlineStr">
        <is>
          <t>Not disclosed</t>
        </is>
      </c>
      <c r="AU178" s="156" t="inlineStr">
        <is>
          <t>Ethernet; USB; Wi-Fi</t>
        </is>
      </c>
      <c r="AV178" s="152" t="inlineStr">
        <is>
          <t>Not disclosed</t>
        </is>
      </c>
      <c r="AW178" s="156" t="inlineStr">
        <is>
          <t>Not disclosed</t>
        </is>
      </c>
      <c r="AX178" s="152" t="n"/>
      <c r="AY178" s="156" t="inlineStr">
        <is>
          <t>Proprietary EraAI platform (ROS-compatible, SDK available)</t>
        </is>
      </c>
      <c r="AZ178" s="156" t="inlineStr">
        <is>
          <t>Yes — preloaded with DeepSeek LLM, supports custom RAG knowledge bases</t>
        </is>
      </c>
      <c r="BA178" s="156" t="n"/>
      <c r="BB178" s="156" t="inlineStr">
        <is>
          <t>High-precision bionic 7-axis joints; direct-drive actuation in hands</t>
        </is>
      </c>
      <c r="BC178" s="156" t="inlineStr">
        <is>
          <t>Harmonic drive actuators</t>
        </is>
      </c>
      <c r="BD178" s="152" t="inlineStr">
        <is>
          <t>Aluminum and polymer composites</t>
        </is>
      </c>
      <c r="BE178" s="152" t="inlineStr">
        <is>
          <t>Not disclosed</t>
        </is>
      </c>
      <c r="BF178" s="152" t="n"/>
      <c r="BG178" s="152" t="n"/>
      <c r="BH178" s="152" t="n"/>
      <c r="BI178" s="152" t="n"/>
      <c r="BJ178" s="152" t="n"/>
      <c r="BK178" s="152" t="n"/>
      <c r="BL178" s="152" t="n"/>
      <c r="BM178" s="152" t="inlineStr">
        <is>
          <t>Yes</t>
        </is>
      </c>
      <c r="BN178" s="152" t="inlineStr">
        <is>
          <t>Not disclosed</t>
        </is>
      </c>
      <c r="BO178" s="156" t="inlineStr">
        <is>
          <t>Market: education; healthcare; Hospitality; retail; tourism · Human-safe: Yes · AI: Yes — preloaded with DeepSeek LLM, supports custom RAG knowledge bases · Actuation: High-precision bionic 7-axis joints; direct-drive actuation in hands · Peak 6 km/h · Runtime 4</t>
        </is>
      </c>
      <c r="BP178" s="152" t="n"/>
      <c r="BQ178" s="156" t="inlineStr">
        <is>
          <t>education; healthcare; Hospitality; retail; tourism</t>
        </is>
      </c>
      <c r="BR178" s="156" t="inlineStr">
        <is>
          <t>In production</t>
        </is>
      </c>
      <c r="BS178" s="156" t="inlineStr">
        <is>
          <t>In production</t>
        </is>
      </c>
      <c r="BT178" s="152" t="inlineStr">
        <is>
          <t>White and Black</t>
        </is>
      </c>
      <c r="BU178" s="152" t="n"/>
      <c r="BV178" s="156" t="n"/>
      <c r="BW178" s="156" t="inlineStr">
        <is>
          <t>Origin &amp; status — China · In production · 2026 | Manipulation — 10 (5 per hand) · 10 (5 per hand) fingers · Hand DOF 22 · Payload 22 lb | Sensing &amp; software — Stereo RGB cameras + Mid-360 LiDAR · Yes — preloaded with DeepSeek LLM, supports custom RAG knowledge bases · Proprietary EraAI platform (ROS-compatible, SD… | Buying notes — From $70,000 · 12 months manufacturer standard (typical research/commercial humanoid) · Best fit: education</t>
        </is>
      </c>
      <c r="BX178" s="156" t="inlineStr">
        <is>
          <t>as_shipped|ROBOTERA Q5|70000|As shipped</t>
        </is>
      </c>
      <c r="BY178" s="152" t="inlineStr">
        <is>
          <t>white_and_black|White and Black|#e2e8f0|0</t>
        </is>
      </c>
      <c r="BZ178" s="152" t="inlineStr"/>
      <c r="CA178" s="156" t="n"/>
      <c r="CB178" s="156" t="inlineStr">
        <is>
          <t>12 months manufacturer standard (typical research/commercial humanoid)</t>
        </is>
      </c>
      <c r="CC178" s="154" t="n">
        <v>12</v>
      </c>
      <c r="CD178" s="156" t="inlineStr">
        <is>
          <t>+3 Year Extended ≈24% of configuration (default in configurator)</t>
        </is>
      </c>
      <c r="CE178" s="152" t="inlineStr">
        <is>
          <t>Humanoid category norm 2025–2026</t>
        </is>
      </c>
      <c r="CF178" s="152" t="inlineStr">
        <is>
          <t>Estimated</t>
        </is>
      </c>
      <c r="CG178" s="156" t="inlineStr">
        <is>
          <t>Confirm on formal OEM quote. EDU or enterprise packages may differ.</t>
        </is>
      </c>
      <c r="CH178" s="152" t="inlineStr">
        <is>
          <t>10%</t>
        </is>
      </c>
      <c r="CI178" s="152" t="inlineStr">
        <is>
          <t>17%</t>
        </is>
      </c>
      <c r="CJ178" s="152" t="inlineStr">
        <is>
          <t>24%</t>
        </is>
      </c>
      <c r="CK178" s="156" t="inlineStr">
        <is>
          <t>+1yr ≈10% | +2yr ≈17% | +3yr ≈24% of selected configuration price (parts &amp; labor beyond manufacturer standard).</t>
        </is>
      </c>
      <c r="CL178"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78" s="152" t="inlineStr">
        <is>
          <t>12 months manufacturer standard (typical research/commercial humanoid)</t>
        </is>
      </c>
      <c r="CQ178" s="101" t="inlineStr">
        <is>
          <t>Height: 5 ft 5 in | Weight: 154.3 | Degrees of Freedom: 44 | Payload: 22 | Max Speed: 3.73 | Battery / Runtime: ≈ 4 hours</t>
        </is>
      </c>
    </row>
    <row r="179" ht="31.5" customHeight="1" s="102">
      <c r="A179" s="143" t="inlineStr">
        <is>
          <t>robotera_star1</t>
        </is>
      </c>
      <c r="B179" s="144" t="inlineStr">
        <is>
          <t>Both</t>
        </is>
      </c>
      <c r="C179" s="145" t="inlineStr">
        <is>
          <t>RobotEra</t>
        </is>
      </c>
      <c r="D179" s="145" t="inlineStr">
        <is>
          <t>Star1</t>
        </is>
      </c>
      <c r="E179" s="145" t="inlineStr">
        <is>
          <t>[RobotEra] STAR1 (2024)</t>
        </is>
      </c>
      <c r="F179" s="146" t="inlineStr">
        <is>
          <t>humanoid</t>
        </is>
      </c>
      <c r="G179" s="145" t="inlineStr">
        <is>
          <t>China</t>
        </is>
      </c>
      <c r="H179" s="147" t="n">
        <v>2024</v>
      </c>
      <c r="I179" s="148" t="n">
        <v>96000</v>
      </c>
      <c r="J179" s="145" t="inlineStr">
        <is>
          <t>Website store</t>
        </is>
      </c>
      <c r="K179" s="149" t="inlineStr">
        <is>
          <t>ROBOTERA STAR1 is a next-generation, high-performance humanoid robot designed for exceptional mobility and dexterity.</t>
        </is>
      </c>
      <c r="L179" s="101" t="inlineStr">
        <is>
          <t>ROBOTERA STAR1 is a next-generation, high-performance humanoid robot designed for exceptional mobility and dexterity.</t>
        </is>
      </c>
      <c r="M179" s="101" t="inlineStr">
        <is>
          <t>STAR1 is RobotEra's humanoid, introduced around 2024 in China. ROBOTERA STAR1 is a next-generation, high-performance humanoid robot designed for exceptional mobility and dexterity. Public status is listed as production / Deploying, and it is positioned for research / Demo / Industrial.</t>
        </is>
      </c>
      <c r="N179" s="150" t="inlineStr">
        <is>
          <t>https://humanoid.guide/product/star1/</t>
        </is>
      </c>
      <c r="O179" s="150" t="inlineStr">
        <is>
          <t>https://www.robotera.com</t>
        </is>
      </c>
      <c r="P179" s="145" t="inlineStr">
        <is>
          <t>5 ft 7 in</t>
        </is>
      </c>
      <c r="Q179" s="145" t="n">
        <v>171</v>
      </c>
      <c r="R179" s="145" t="n">
        <v>138.9</v>
      </c>
      <c r="S179" s="145" t="n">
        <v>63</v>
      </c>
      <c r="T179" s="149" t="inlineStr">
        <is>
          <t>Not disclosed</t>
        </is>
      </c>
      <c r="U179" s="145" t="n"/>
      <c r="V179" s="145" t="inlineStr">
        <is>
          <t>55</t>
        </is>
      </c>
      <c r="W179" s="149" t="inlineStr">
        <is>
          <t>Not disclosed</t>
        </is>
      </c>
      <c r="X179" s="145" t="inlineStr">
        <is>
          <t>20 lb</t>
        </is>
      </c>
      <c r="Y179" s="145" t="n">
        <v>20</v>
      </c>
      <c r="Z179" s="145" t="n">
        <v>8.02</v>
      </c>
      <c r="AA179" s="145" t="n">
        <v>12.9</v>
      </c>
      <c r="AB179" s="145" t="n"/>
      <c r="AC179" s="149" t="inlineStr">
        <is>
          <t>≈ 4 hours</t>
        </is>
      </c>
      <c r="AD179" s="149" t="inlineStr">
        <is>
          <t>4</t>
        </is>
      </c>
      <c r="AE179" s="145" t="n"/>
      <c r="AF179" s="145" t="inlineStr">
        <is>
          <t>Not disclosed</t>
        </is>
      </c>
      <c r="AG179" s="149" t="inlineStr">
        <is>
          <t>Dexterous manipulation options</t>
        </is>
      </c>
      <c r="AH179" s="145" t="inlineStr">
        <is>
          <t>Not disclosed</t>
        </is>
      </c>
      <c r="AI179" s="158" t="n">
        <v>2</v>
      </c>
      <c r="AJ179" s="149" t="inlineStr">
        <is>
          <t>Research humanoid vision</t>
        </is>
      </c>
      <c r="AK179" s="149" t="n"/>
      <c r="AL179" s="145" t="inlineStr">
        <is>
          <t>Not disclosed</t>
        </is>
      </c>
      <c r="AM179" s="145" t="n"/>
      <c r="AN179" s="145" t="inlineStr">
        <is>
          <t>Not disclosed</t>
        </is>
      </c>
      <c r="AO179" s="145" t="inlineStr">
        <is>
          <t>Not disclosed</t>
        </is>
      </c>
      <c r="AP179" s="145" t="inlineStr">
        <is>
          <t>Not disclosed</t>
        </is>
      </c>
      <c r="AQ179" s="145" t="inlineStr">
        <is>
          <t>Not disclosed</t>
        </is>
      </c>
      <c r="AR179" s="145" t="n"/>
      <c r="AS179" s="145" t="n"/>
      <c r="AT179" s="149" t="inlineStr">
        <is>
          <t>Not disclosed</t>
        </is>
      </c>
      <c r="AU179" s="149" t="inlineStr">
        <is>
          <t>Not disclosed</t>
        </is>
      </c>
      <c r="AV179" s="145" t="inlineStr">
        <is>
          <t>RobotEra research stack</t>
        </is>
      </c>
      <c r="AW179" s="149" t="inlineStr">
        <is>
          <t>Not disclosed</t>
        </is>
      </c>
      <c r="AX179" s="158" t="n">
        <v>2</v>
      </c>
      <c r="AY179" s="149" t="inlineStr">
        <is>
          <t>Not disclosed</t>
        </is>
      </c>
      <c r="AZ179" s="149" t="inlineStr">
        <is>
          <t>Not disclosed</t>
        </is>
      </c>
      <c r="BA179" s="149" t="n"/>
      <c r="BB179" s="149" t="inlineStr">
        <is>
          <t>Not disclosed</t>
        </is>
      </c>
      <c r="BC179" s="149" t="inlineStr">
        <is>
          <t>Not disclosed</t>
        </is>
      </c>
      <c r="BD179" s="145" t="inlineStr">
        <is>
          <t>Not disclosed</t>
        </is>
      </c>
      <c r="BE179" s="145" t="inlineStr">
        <is>
          <t>Not disclosed</t>
        </is>
      </c>
      <c r="BF179" s="145" t="n"/>
      <c r="BG179" s="145" t="n"/>
      <c r="BH179" s="145" t="n"/>
      <c r="BI179" s="145" t="n"/>
      <c r="BJ179" s="145" t="n"/>
      <c r="BK179" s="145" t="n"/>
      <c r="BL179" s="145" t="n"/>
      <c r="BM179" s="145" t="inlineStr">
        <is>
          <t>Not disclosed</t>
        </is>
      </c>
      <c r="BN179" s="145" t="inlineStr">
        <is>
          <t>Not disclosed</t>
        </is>
      </c>
      <c r="BO179" s="149" t="inlineStr">
        <is>
          <t>Market: Research / Demo / Industrial · Manipulation 2/4 · Navigation 2/4 · Peak 12.9 km/h · Runtime 4</t>
        </is>
      </c>
      <c r="BP179" s="145" t="n"/>
      <c r="BQ179" s="149" t="inlineStr">
        <is>
          <t>Research / Demo / Industrial</t>
        </is>
      </c>
      <c r="BR179" s="149" t="inlineStr">
        <is>
          <t>Production / Deploying</t>
        </is>
      </c>
      <c r="BS179" s="149" t="inlineStr">
        <is>
          <t>Prototype</t>
        </is>
      </c>
      <c r="BT179" s="145" t="n"/>
      <c r="BU179" s="145" t="inlineStr">
        <is>
          <t>Not verified</t>
        </is>
      </c>
      <c r="BV179" s="149" t="inlineStr">
        <is>
          <t>Former world-record speed (8.1 mph sustained); XHAND1 12-DOF direct-drive hands; Tsinghua spin-out; ERA-42 VLA Humanoid.guide listed price $120,000.</t>
        </is>
      </c>
      <c r="BW179" s="149" t="inlineStr">
        <is>
          <t>Origin &amp; status — China · Production / Deploying · 2024 | Manipulation — Dexterous manipulation options · Payload 20 lb | Sensing &amp; software — Research humanoid vision · RobotEra research stack | Buying notes — From $96,000 · 12 months manufacturer standard (typical research/commercial humanoid) · Best fit: Research</t>
        </is>
      </c>
      <c r="BX179" s="149" t="inlineStr">
        <is>
          <t>as_shipped|STAR1|96000|As shipped</t>
        </is>
      </c>
      <c r="BY179" s="145" t="inlineStr">
        <is>
          <t>star1|Manufacturer finish|#e2e8f0|0</t>
        </is>
      </c>
      <c r="BZ179" s="145" t="inlineStr"/>
      <c r="CA179" s="149" t="inlineStr">
        <is>
          <t>Add-ons: case; 2 color options; Multi-year extended warranty available</t>
        </is>
      </c>
      <c r="CB179" s="149" t="inlineStr">
        <is>
          <t>12 months manufacturer standard (typical research/commercial humanoid)</t>
        </is>
      </c>
      <c r="CC179" s="147" t="n">
        <v>12</v>
      </c>
      <c r="CD179" s="149" t="inlineStr">
        <is>
          <t>+3 Year Extended ≈24% of configuration (default in configurator)</t>
        </is>
      </c>
      <c r="CE179" s="145" t="inlineStr">
        <is>
          <t>Humanoid category norm 2025–2026</t>
        </is>
      </c>
      <c r="CF179" s="145" t="inlineStr">
        <is>
          <t>Estimated</t>
        </is>
      </c>
      <c r="CG179" s="149" t="inlineStr">
        <is>
          <t>EDU or enterprise packages may differ; confirm on formal quote.</t>
        </is>
      </c>
      <c r="CH179" s="145" t="inlineStr">
        <is>
          <t>10%</t>
        </is>
      </c>
      <c r="CI179" s="145" t="inlineStr">
        <is>
          <t>17%</t>
        </is>
      </c>
      <c r="CJ179" s="145" t="inlineStr">
        <is>
          <t>24%</t>
        </is>
      </c>
      <c r="CK17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17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79" s="145" t="inlineStr">
        <is>
          <t>12 months manufacturer standard (typical research/commercial humanoid)</t>
        </is>
      </c>
      <c r="CQ179" s="101" t="inlineStr">
        <is>
          <t>Height: 5 ft 7 in | Weight: 138.9 | Degrees of Freedom: 55 | Payload: 20 lb | Max Speed: 8.02 | Battery / Runtime: ≈ 4 hours</t>
        </is>
      </c>
    </row>
    <row r="180" ht="31.5" customHeight="1" s="102">
      <c r="A180" s="152" t="inlineStr">
        <is>
          <t>robotis_ai_sapiens_k1</t>
        </is>
      </c>
      <c r="B180" s="153" t="inlineStr">
        <is>
          <t>Humanoid.guide</t>
        </is>
      </c>
      <c r="C180" s="152" t="inlineStr">
        <is>
          <t>Robotis</t>
        </is>
      </c>
      <c r="D180" s="152" t="inlineStr">
        <is>
          <t>AI Sapiens K1</t>
        </is>
      </c>
      <c r="E180" s="152" t="inlineStr">
        <is>
          <t>[Robotis] AI Sapiens K1 (2026)</t>
        </is>
      </c>
      <c r="F180" s="146" t="inlineStr">
        <is>
          <t>humanoid</t>
        </is>
      </c>
      <c r="G180" s="152" t="inlineStr">
        <is>
          <t>South Korea</t>
        </is>
      </c>
      <c r="H180" s="152" t="n"/>
      <c r="I180" s="155" t="n">
        <v>8000</v>
      </c>
      <c r="J180" s="152" t="inlineStr">
        <is>
          <t>Humanoid.guide list</t>
        </is>
      </c>
      <c r="K180" s="156" t="inlineStr">
        <is>
          <t>AI Sapiens K1 is Robotis's humanoid — 4 ft 5 in class, 23 DOF, 8.8 lb payload. 5 per hand; aimed at education.</t>
        </is>
      </c>
      <c r="L180" s="101" t="inlineStr">
        <is>
          <t>AI Sapiens K1 is Robotis's humanoid — 4 ft 5 in class, 23 DOF, 8.8 lb payload. 5 per hand; aimed at education.</t>
        </is>
      </c>
      <c r="M180" s="101" t="inlineStr">
        <is>
          <t>AI Sapiens K1 is Robotis's humanoid — 4 ft 5 in class, 23 DOF, 8.8 lb payload. 5 per hand; aimed at education. Public status is listed as in production, and it is positioned for education; Research; robotics development.</t>
        </is>
      </c>
      <c r="N180" s="157" t="inlineStr">
        <is>
          <t>https://humanoid.guide/product/ai-sapiens-k1/</t>
        </is>
      </c>
      <c r="O180" s="157" t="inlineStr">
        <is>
          <t>https://www.robotis.com</t>
        </is>
      </c>
      <c r="P180" s="152" t="inlineStr">
        <is>
          <t>4 ft 5 in</t>
        </is>
      </c>
      <c r="Q180" s="152" t="n">
        <v>135.5</v>
      </c>
      <c r="R180" s="152" t="n">
        <v>77.2</v>
      </c>
      <c r="S180" s="152" t="n">
        <v>35</v>
      </c>
      <c r="T180" s="156" t="inlineStr">
        <is>
          <t>Not disclosed</t>
        </is>
      </c>
      <c r="U180" s="152" t="n"/>
      <c r="V180" s="152" t="inlineStr">
        <is>
          <t>23</t>
        </is>
      </c>
      <c r="W180" s="156" t="inlineStr">
        <is>
          <t>10</t>
        </is>
      </c>
      <c r="X180" s="152" t="n">
        <v>8.800000000000001</v>
      </c>
      <c r="Y180" s="152" t="n">
        <v>4</v>
      </c>
      <c r="Z180" s="152" t="n">
        <v>2.67</v>
      </c>
      <c r="AA180" s="152" t="n">
        <v>4.3</v>
      </c>
      <c r="AB180" s="152" t="n"/>
      <c r="AC180" s="156" t="inlineStr">
        <is>
          <t>≈ 2 hours</t>
        </is>
      </c>
      <c r="AD180" s="156" t="inlineStr">
        <is>
          <t>2</t>
        </is>
      </c>
      <c r="AE180" s="152" t="n"/>
      <c r="AF180" s="152" t="inlineStr">
        <is>
          <t>Not disclosed</t>
        </is>
      </c>
      <c r="AG180" s="156" t="inlineStr">
        <is>
          <t>5 per hand</t>
        </is>
      </c>
      <c r="AH180" s="152" t="inlineStr">
        <is>
          <t>5 per hand</t>
        </is>
      </c>
      <c r="AI180" s="152" t="n"/>
      <c r="AJ180" s="156" t="inlineStr">
        <is>
          <t>Not disclosed</t>
        </is>
      </c>
      <c r="AK180" s="156" t="n"/>
      <c r="AL180" s="152" t="inlineStr">
        <is>
          <t>Not disclosed</t>
        </is>
      </c>
      <c r="AM180" s="152" t="n"/>
      <c r="AN180" s="152" t="inlineStr">
        <is>
          <t>Not disclosed</t>
        </is>
      </c>
      <c r="AO180" s="152" t="inlineStr">
        <is>
          <t>Not disclosed</t>
        </is>
      </c>
      <c r="AP180" s="152" t="inlineStr">
        <is>
          <t>Not disclosed</t>
        </is>
      </c>
      <c r="AQ180" s="152" t="inlineStr">
        <is>
          <t>Not disclosed</t>
        </is>
      </c>
      <c r="AR180" s="152" t="n"/>
      <c r="AS180" s="152" t="n"/>
      <c r="AT180" s="156" t="inlineStr">
        <is>
          <t>NVIDIA Jetson Orin NX 16GB — 8-core Arm Cortex-A78AE, 1024-core Ampere GPU, 32 Tensor Cores, 157 TOPS, 256 GB SSD</t>
        </is>
      </c>
      <c r="AU180" s="156" t="inlineStr">
        <is>
          <t>2.5 GbE ×1; Bluetooth; USB-A 3.2 Gen 2 ×3; Wi-Fi</t>
        </is>
      </c>
      <c r="AV180" s="152" t="inlineStr">
        <is>
          <t>Not disclosed</t>
        </is>
      </c>
      <c r="AW180" s="156" t="inlineStr">
        <is>
          <t>Not disclosed</t>
        </is>
      </c>
      <c r="AX180" s="152" t="n"/>
      <c r="AY180" s="156" t="inlineStr">
        <is>
          <t>Cyclo OS (Yocto-based) · ROS 2 Jazzy</t>
        </is>
      </c>
      <c r="AZ180" s="156" t="inlineStr">
        <is>
          <t>Not native — open ROS 2 stack permits it</t>
        </is>
      </c>
      <c r="BA180" s="156" t="n"/>
      <c r="BB180" s="156" t="inlineStr">
        <is>
          <t>DYNAMIXEL-Q QDD, low-inertia inner-rotor PMSM, 48 V</t>
        </is>
      </c>
      <c r="BC180" s="156" t="inlineStr">
        <is>
          <t>20:1 single-stage quasi-direct drive, 10 arcmin backlash</t>
        </is>
      </c>
      <c r="BD180" s="152" t="inlineStr">
        <is>
          <t>Aluminium alloy frame with polymer covers</t>
        </is>
      </c>
      <c r="BE180" s="152" t="inlineStr">
        <is>
          <t>Not disclosed</t>
        </is>
      </c>
      <c r="BF180" s="152" t="n"/>
      <c r="BG180" s="152" t="n"/>
      <c r="BH180" s="152" t="n"/>
      <c r="BI180" s="152" t="n"/>
      <c r="BJ180" s="152" t="n"/>
      <c r="BK180" s="152" t="n"/>
      <c r="BL180" s="152" t="n"/>
      <c r="BM180" s="152" t="inlineStr">
        <is>
          <t>Yes</t>
        </is>
      </c>
      <c r="BN180" s="152" t="inlineStr">
        <is>
          <t>Not disclosed</t>
        </is>
      </c>
      <c r="BO180" s="156" t="inlineStr">
        <is>
          <t>Market: education; Research; robotics development · Human-safe: Yes · AI: Not native — open ROS 2 stack permits it · Actuation: DYNAMIXEL-Q QDD, low-inertia inner-rotor PMSM, 48 V · Peak 4.3 km/h · Runtime 2</t>
        </is>
      </c>
      <c r="BP180" s="152" t="n"/>
      <c r="BQ180" s="156" t="inlineStr">
        <is>
          <t>education; Research; robotics development</t>
        </is>
      </c>
      <c r="BR180" s="156" t="inlineStr">
        <is>
          <t>In production</t>
        </is>
      </c>
      <c r="BS180" s="156" t="inlineStr">
        <is>
          <t>In production</t>
        </is>
      </c>
      <c r="BT180" s="152" t="n"/>
      <c r="BU180" s="152" t="n"/>
      <c r="BV180" s="156" t="n"/>
      <c r="BW180" s="156" t="inlineStr">
        <is>
          <t>Origin &amp; status — South Korea · In production · 2026 | Manipulation — 5 per hand · 5 per hand fingers · Hand DOF 10 · Payload 8.8 lb | Sensing &amp; software — Not native — open ROS 2 stack permits it · Cyclo OS (Yocto-based) · ROS 2 Jazzy | Buying notes — From $8,000 · 12 months manufacturer standard (typical research/commercial humanoid) · Best fit: education</t>
        </is>
      </c>
      <c r="BX180" s="156" t="inlineStr">
        <is>
          <t>as_shipped|AI Sapiens K1|8000|As shipped</t>
        </is>
      </c>
      <c r="BY180" s="152" t="inlineStr">
        <is>
          <t>ai_sapiens_k1|Manufacturer finish|#e2e8f0|0</t>
        </is>
      </c>
      <c r="BZ180" s="152" t="inlineStr"/>
      <c r="CA180" s="156" t="n"/>
      <c r="CB180" s="156" t="inlineStr">
        <is>
          <t>12 months manufacturer standard (typical research/commercial humanoid)</t>
        </is>
      </c>
      <c r="CC180" s="154" t="n">
        <v>12</v>
      </c>
      <c r="CD180" s="156" t="inlineStr">
        <is>
          <t>+3 Year Extended ≈24% of configuration (default in configurator)</t>
        </is>
      </c>
      <c r="CE180" s="152" t="inlineStr">
        <is>
          <t>Humanoid category norm 2025–2026</t>
        </is>
      </c>
      <c r="CF180" s="152" t="inlineStr">
        <is>
          <t>Estimated</t>
        </is>
      </c>
      <c r="CG180" s="156" t="inlineStr">
        <is>
          <t>Confirm on formal OEM quote. EDU or enterprise packages may differ.</t>
        </is>
      </c>
      <c r="CH180" s="152" t="inlineStr">
        <is>
          <t>10%</t>
        </is>
      </c>
      <c r="CI180" s="152" t="inlineStr">
        <is>
          <t>17%</t>
        </is>
      </c>
      <c r="CJ180" s="152" t="inlineStr">
        <is>
          <t>24%</t>
        </is>
      </c>
      <c r="CK180" s="156" t="inlineStr">
        <is>
          <t>+1yr ≈10% | +2yr ≈17% | +3yr ≈24% of selected configuration price (parts &amp; labor beyond manufacturer standard).</t>
        </is>
      </c>
      <c r="CL180"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80" s="152" t="inlineStr">
        <is>
          <t>12 months manufacturer standard (typical research/commercial humanoid)</t>
        </is>
      </c>
      <c r="CQ180" s="101" t="inlineStr">
        <is>
          <t>Height: 4 ft 5 in | Weight: 77.2 | Degrees of Freedom: 23 | Payload: 8.8 | Max Speed: 2.67 | Battery / Runtime: ≈ 2 hours</t>
        </is>
      </c>
    </row>
    <row r="181" ht="31.5" customHeight="1" s="102">
      <c r="A181" s="145" t="inlineStr">
        <is>
          <t>robotis_ai_worker</t>
        </is>
      </c>
      <c r="B181" s="153" t="inlineStr">
        <is>
          <t>Humanoid.guide</t>
        </is>
      </c>
      <c r="C181" s="145" t="inlineStr">
        <is>
          <t>Robotis</t>
        </is>
      </c>
      <c r="D181" s="145" t="inlineStr">
        <is>
          <t>AI Worker</t>
        </is>
      </c>
      <c r="E181" s="145" t="inlineStr">
        <is>
          <t>[Robotis] AI Worker (2026)</t>
        </is>
      </c>
      <c r="F181" s="146" t="inlineStr">
        <is>
          <t>humanoid</t>
        </is>
      </c>
      <c r="G181" s="145" t="inlineStr">
        <is>
          <t>South Korea</t>
        </is>
      </c>
      <c r="H181" s="145" t="n"/>
      <c r="I181" s="148" t="n">
        <v>60000</v>
      </c>
      <c r="J181" s="145" t="inlineStr">
        <is>
          <t>Humanoid.guide list</t>
        </is>
      </c>
      <c r="K181" s="149" t="inlineStr">
        <is>
          <t>Semi‑humanoid robot that learns from human demos to automate complex industrial tasks, increasing productivity and relieving labor shortages.</t>
        </is>
      </c>
      <c r="L181" s="101" t="inlineStr">
        <is>
          <t>Semi‑humanoid robot that learns from human demos to automate complex industrial tasks, increasing productivity and relieving labor shortages.</t>
        </is>
      </c>
      <c r="M181" s="101" t="inlineStr">
        <is>
          <t>AI Worker is Robotis's humanoid, introduced around 2026 in South Korea. Semi‑humanoid robot that learns from human demos to automate complex industrial tasks, increasing productivity and relieving labor shortages. Public status is listed as in production, and it is positioned for logistics; Manufacturing; R&amp;D.</t>
        </is>
      </c>
      <c r="N181" s="150" t="inlineStr">
        <is>
          <t>https://humanoid.guide/product/ai-worker/</t>
        </is>
      </c>
      <c r="O181" s="150" t="inlineStr">
        <is>
          <t>https://www.robotis.com</t>
        </is>
      </c>
      <c r="P181" s="145" t="inlineStr">
        <is>
          <t>5 ft 4 in</t>
        </is>
      </c>
      <c r="Q181" s="145" t="n">
        <v>162</v>
      </c>
      <c r="R181" s="145" t="n">
        <v>198.4</v>
      </c>
      <c r="S181" s="145" t="n">
        <v>90</v>
      </c>
      <c r="T181" s="149" t="inlineStr">
        <is>
          <t>Not disclosed</t>
        </is>
      </c>
      <c r="U181" s="145" t="n"/>
      <c r="V181" s="145" t="inlineStr">
        <is>
          <t>25</t>
        </is>
      </c>
      <c r="W181" s="149" t="inlineStr">
        <is>
          <t>7</t>
        </is>
      </c>
      <c r="X181" s="145" t="n">
        <v>13.2</v>
      </c>
      <c r="Y181" s="145" t="n">
        <v>6</v>
      </c>
      <c r="Z181" s="145" t="n">
        <v>3.36</v>
      </c>
      <c r="AA181" s="145" t="n">
        <v>5.4</v>
      </c>
      <c r="AB181" s="145" t="n"/>
      <c r="AC181" s="149" t="inlineStr">
        <is>
          <t>≈ 4 hours</t>
        </is>
      </c>
      <c r="AD181" s="149" t="inlineStr">
        <is>
          <t>4</t>
        </is>
      </c>
      <c r="AE181" s="145" t="n"/>
      <c r="AF181" s="145" t="inlineStr">
        <is>
          <t>Not disclosed</t>
        </is>
      </c>
      <c r="AG181" s="149" t="inlineStr">
        <is>
          <t>4</t>
        </is>
      </c>
      <c r="AH181" s="145" t="inlineStr">
        <is>
          <t>4</t>
        </is>
      </c>
      <c r="AI181" s="158" t="n">
        <v>2</v>
      </c>
      <c r="AJ181" s="149" t="inlineStr">
        <is>
          <t>Not disclosed</t>
        </is>
      </c>
      <c r="AK181" s="149" t="inlineStr">
        <is>
          <t>Not specified</t>
        </is>
      </c>
      <c r="AL181" s="145" t="inlineStr">
        <is>
          <t>Not disclosed</t>
        </is>
      </c>
      <c r="AM181" s="145" t="n"/>
      <c r="AN181" s="145" t="inlineStr">
        <is>
          <t>Not disclosed</t>
        </is>
      </c>
      <c r="AO181" s="145" t="inlineStr">
        <is>
          <t>Not disclosed</t>
        </is>
      </c>
      <c r="AP181" s="145" t="inlineStr">
        <is>
          <t>Not disclosed</t>
        </is>
      </c>
      <c r="AQ181" s="145" t="inlineStr">
        <is>
          <t>Not disclosed</t>
        </is>
      </c>
      <c r="AR181" s="145" t="n"/>
      <c r="AS181" s="145" t="n"/>
      <c r="AT181" s="149" t="inlineStr">
        <is>
          <t>AGX Orin; Nvidia Jetson</t>
        </is>
      </c>
      <c r="AU181" s="149" t="inlineStr">
        <is>
          <t>Wi‑Fi</t>
        </is>
      </c>
      <c r="AV181" s="145" t="inlineStr">
        <is>
          <t>Not disclosed</t>
        </is>
      </c>
      <c r="AW181" s="149" t="inlineStr">
        <is>
          <t>Not disclosed</t>
        </is>
      </c>
      <c r="AX181" s="158" t="n">
        <v>2</v>
      </c>
      <c r="AY181" s="149" t="inlineStr">
        <is>
          <t>Linux; ROS 2</t>
        </is>
      </c>
      <c r="AZ181" s="149" t="inlineStr">
        <is>
          <t>ACT; GR00T; PI</t>
        </is>
      </c>
      <c r="BA181" s="149" t="inlineStr">
        <is>
          <t>Not specified</t>
        </is>
      </c>
      <c r="BB181" s="149" t="inlineStr">
        <is>
          <t>DYNAMIXEL</t>
        </is>
      </c>
      <c r="BC181" s="149" t="inlineStr">
        <is>
          <t>DYNAMIXEL DRIVE (DYD)</t>
        </is>
      </c>
      <c r="BD181" s="145" t="inlineStr">
        <is>
          <t>Aluminium; Plastic</t>
        </is>
      </c>
      <c r="BE181" s="145" t="inlineStr">
        <is>
          <t>Not disclosed</t>
        </is>
      </c>
      <c r="BF181" s="145" t="inlineStr">
        <is>
          <t>Not specified</t>
        </is>
      </c>
      <c r="BG181" s="145" t="n"/>
      <c r="BH181" s="145" t="n"/>
      <c r="BI181" s="145" t="n"/>
      <c r="BJ181" s="145" t="n"/>
      <c r="BK181" s="145" t="n"/>
      <c r="BL181" s="145" t="n"/>
      <c r="BM181" s="145" t="inlineStr">
        <is>
          <t>Yes</t>
        </is>
      </c>
      <c r="BN181" s="145" t="inlineStr">
        <is>
          <t>Not disclosed</t>
        </is>
      </c>
      <c r="BO181" s="149" t="inlineStr">
        <is>
          <t>Market: logistics; Manufacturing; R&amp;D · Manipulation 2/4 · Navigation 2/4 · Human-safe: Yes · AI: ACT; GR00T; PI · Actuation: DYNAMIXEL · Peak 5.4 km/h · Runtime 4</t>
        </is>
      </c>
      <c r="BP181" s="145" t="n"/>
      <c r="BQ181" s="149" t="inlineStr">
        <is>
          <t>logistics; Manufacturing; R&amp;D</t>
        </is>
      </c>
      <c r="BR181" s="149" t="inlineStr">
        <is>
          <t>In production</t>
        </is>
      </c>
      <c r="BS181" s="149" t="inlineStr">
        <is>
          <t>In production</t>
        </is>
      </c>
      <c r="BT181" s="145" t="n"/>
      <c r="BU181" s="145" t="inlineStr">
        <is>
          <t>Not verified</t>
        </is>
      </c>
      <c r="BV181" s="149" t="n"/>
      <c r="BW181" s="149" t="inlineStr">
        <is>
          <t>Origin &amp; status — South Korea · In production · 2026 | Manipulation — 4 · 4 fingers · Hand DOF 7 · Payload 13.2 lb | Sensing &amp; software — ACT; GR00T; PI · Linux; ROS 2 | Buying notes — From $60,000 · 12 months manufacturer standard (typical research/commercial humanoid) · Best fit: logistics</t>
        </is>
      </c>
      <c r="BX181" s="149" t="inlineStr">
        <is>
          <t>as_shipped|AI Worker|60000|As shipped</t>
        </is>
      </c>
      <c r="BY181" s="145" t="inlineStr">
        <is>
          <t>ai_worker|Manufacturer finish|#e2e8f0|0</t>
        </is>
      </c>
      <c r="BZ181" s="145" t="inlineStr"/>
      <c r="CA181" s="149" t="n"/>
      <c r="CB181" s="149" t="inlineStr">
        <is>
          <t>12 months manufacturer standard (typical research/commercial humanoid)</t>
        </is>
      </c>
      <c r="CC181" s="147" t="n">
        <v>12</v>
      </c>
      <c r="CD181" s="149" t="inlineStr">
        <is>
          <t>+3 Year Extended ≈24% of configuration (default in configurator)</t>
        </is>
      </c>
      <c r="CE181" s="145" t="inlineStr">
        <is>
          <t>Humanoid category norm 2025–2026</t>
        </is>
      </c>
      <c r="CF181" s="145" t="inlineStr">
        <is>
          <t>Estimated</t>
        </is>
      </c>
      <c r="CG181" s="149" t="inlineStr">
        <is>
          <t>Confirm on formal OEM quote. EDU or enterprise packages may differ.</t>
        </is>
      </c>
      <c r="CH181" s="145" t="inlineStr">
        <is>
          <t>10%</t>
        </is>
      </c>
      <c r="CI181" s="145" t="inlineStr">
        <is>
          <t>17%</t>
        </is>
      </c>
      <c r="CJ181" s="145" t="inlineStr">
        <is>
          <t>24%</t>
        </is>
      </c>
      <c r="CK181" s="149" t="inlineStr">
        <is>
          <t>+1yr ≈10% | +2yr ≈17% | +3yr ≈24% of selected configuration price (parts &amp; labor beyond manufacturer standard).</t>
        </is>
      </c>
      <c r="CL18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81" s="145" t="inlineStr">
        <is>
          <t>12 months manufacturer standard (typical research/commercial humanoid)</t>
        </is>
      </c>
      <c r="CQ181" s="101" t="inlineStr">
        <is>
          <t>Height: 5 ft 4 in | Weight: 198.4 | Degrees of Freedom: 25 | Payload: 13.2 | Max Speed: 3.36 | Battery / Runtime: ≈ 4 hours</t>
        </is>
      </c>
    </row>
    <row r="182" ht="31.5" customHeight="1" s="102">
      <c r="A182" s="152" t="inlineStr">
        <is>
          <t>robotis_k0</t>
        </is>
      </c>
      <c r="B182" s="153" t="inlineStr">
        <is>
          <t>Humanoid.guide</t>
        </is>
      </c>
      <c r="C182" s="152" t="inlineStr">
        <is>
          <t>Robotis</t>
        </is>
      </c>
      <c r="D182" s="152" t="inlineStr">
        <is>
          <t>K0</t>
        </is>
      </c>
      <c r="E182" s="152" t="inlineStr">
        <is>
          <t>[Robotis] K0 (2026)</t>
        </is>
      </c>
      <c r="F182" s="146" t="inlineStr">
        <is>
          <t>humanoid</t>
        </is>
      </c>
      <c r="G182" s="152" t="inlineStr">
        <is>
          <t>South Korea</t>
        </is>
      </c>
      <c r="H182" s="152" t="n"/>
      <c r="I182" s="155" t="n">
        <v>15000</v>
      </c>
      <c r="J182" s="152" t="inlineStr">
        <is>
          <t>Humanoid.guide list</t>
        </is>
      </c>
      <c r="K182" s="156" t="inlineStr">
        <is>
          <t>K0 by ROBOTIS is an open-source humanoid robot designed for research, education, and AI development, offering full hardware and software transparency for customization and experimentation.</t>
        </is>
      </c>
      <c r="L182" s="101" t="inlineStr">
        <is>
          <t>K0 by ROBOTIS is an open-source humanoid robot designed for research, education, and AI development, offering full hardware and software transparency for customization and experimentation.</t>
        </is>
      </c>
      <c r="M182" s="101" t="inlineStr">
        <is>
          <t>K0 by ROBOTIS is an open-source humanoid robot designed for research, education, and AI development, offering full hardware and software transparency for customization and experimentation. Public status is listed as prototype, and it is positioned for research &amp; education.</t>
        </is>
      </c>
      <c r="N182" s="157" t="inlineStr">
        <is>
          <t>https://humanoid.guide/product/k0-by-robotis/</t>
        </is>
      </c>
      <c r="O182" s="157" t="inlineStr">
        <is>
          <t>https://www.robotis.com</t>
        </is>
      </c>
      <c r="P182" s="152" t="inlineStr">
        <is>
          <t>4 ft 3 in</t>
        </is>
      </c>
      <c r="Q182" s="152" t="n">
        <v>130</v>
      </c>
      <c r="R182" s="152" t="n">
        <v>75</v>
      </c>
      <c r="S182" s="152" t="n">
        <v>34</v>
      </c>
      <c r="T182" s="156" t="inlineStr">
        <is>
          <t>Not disclosed</t>
        </is>
      </c>
      <c r="U182" s="152" t="n"/>
      <c r="V182" s="152" t="inlineStr">
        <is>
          <t>23</t>
        </is>
      </c>
      <c r="W182" s="156" t="inlineStr">
        <is>
          <t>0</t>
        </is>
      </c>
      <c r="X182" s="152" t="n">
        <v>11</v>
      </c>
      <c r="Y182" s="152" t="n">
        <v>5</v>
      </c>
      <c r="Z182" s="152" t="n">
        <v>2.49</v>
      </c>
      <c r="AA182" s="152" t="n">
        <v>4</v>
      </c>
      <c r="AB182" s="152" t="n"/>
      <c r="AC182" s="156" t="inlineStr">
        <is>
          <t>≈ 1 hours</t>
        </is>
      </c>
      <c r="AD182" s="156" t="inlineStr">
        <is>
          <t>1</t>
        </is>
      </c>
      <c r="AE182" s="152" t="n"/>
      <c r="AF182" s="152" t="inlineStr">
        <is>
          <t>Not disclosed</t>
        </is>
      </c>
      <c r="AG182" s="156" t="inlineStr">
        <is>
          <t>0</t>
        </is>
      </c>
      <c r="AH182" s="152" t="inlineStr">
        <is>
          <t>0</t>
        </is>
      </c>
      <c r="AI182" s="152" t="n"/>
      <c r="AJ182" s="156" t="inlineStr">
        <is>
          <t>Not disclosed</t>
        </is>
      </c>
      <c r="AK182" s="156" t="n"/>
      <c r="AL182" s="152" t="inlineStr">
        <is>
          <t>Not disclosed</t>
        </is>
      </c>
      <c r="AM182" s="152" t="n"/>
      <c r="AN182" s="152" t="inlineStr">
        <is>
          <t>Not disclosed</t>
        </is>
      </c>
      <c r="AO182" s="152" t="inlineStr">
        <is>
          <t>Not disclosed</t>
        </is>
      </c>
      <c r="AP182" s="152" t="inlineStr">
        <is>
          <t>Not disclosed</t>
        </is>
      </c>
      <c r="AQ182" s="152" t="inlineStr">
        <is>
          <t>Not disclosed</t>
        </is>
      </c>
      <c r="AR182" s="152" t="n"/>
      <c r="AS182" s="152" t="n"/>
      <c r="AT182" s="156" t="inlineStr">
        <is>
          <t>Cortex-A76 ×4 + Cortex-A55 ×4; Mali-G610</t>
        </is>
      </c>
      <c r="AU182" s="156" t="inlineStr">
        <is>
          <t>Wi-Fi 5, Bluetooth 5.0, Ethernet ×2, USB 2.0/3.0</t>
        </is>
      </c>
      <c r="AV182" s="152" t="inlineStr">
        <is>
          <t>Not disclosed</t>
        </is>
      </c>
      <c r="AW182" s="156" t="inlineStr">
        <is>
          <t>Not disclosed</t>
        </is>
      </c>
      <c r="AX182" s="152" t="n"/>
      <c r="AY182" s="156" t="inlineStr">
        <is>
          <t>Not disclosed</t>
        </is>
      </c>
      <c r="AZ182" s="156" t="inlineStr">
        <is>
          <t>Possible via external compute (not native)</t>
        </is>
      </c>
      <c r="BA182" s="156" t="n"/>
      <c r="BB182" s="156" t="inlineStr">
        <is>
          <t>Dynamixel Q actuators</t>
        </is>
      </c>
      <c r="BC182" s="156" t="inlineStr">
        <is>
          <t>Integrated precision servo gear systems</t>
        </is>
      </c>
      <c r="BD182" s="152" t="inlineStr">
        <is>
          <t>Aluminum alloy + engineered plastics</t>
        </is>
      </c>
      <c r="BE182" s="152" t="inlineStr">
        <is>
          <t>Not disclosed</t>
        </is>
      </c>
      <c r="BF182" s="152" t="n"/>
      <c r="BG182" s="152" t="n"/>
      <c r="BH182" s="152" t="n"/>
      <c r="BI182" s="152" t="n"/>
      <c r="BJ182" s="152" t="n"/>
      <c r="BK182" s="152" t="n"/>
      <c r="BL182" s="152" t="n"/>
      <c r="BM182" s="152" t="inlineStr">
        <is>
          <t>Yes</t>
        </is>
      </c>
      <c r="BN182" s="152" t="inlineStr">
        <is>
          <t>Not disclosed</t>
        </is>
      </c>
      <c r="BO182" s="156" t="inlineStr">
        <is>
          <t>Market: Research &amp; education · Human-safe: Yes · AI: Possible via external compute (not native) · Actuation: Dynamixel Q actuators · Peak 4 km/h · Runtime 1</t>
        </is>
      </c>
      <c r="BP182" s="152" t="n"/>
      <c r="BQ182" s="156" t="inlineStr">
        <is>
          <t>Research &amp; education</t>
        </is>
      </c>
      <c r="BR182" s="156" t="inlineStr">
        <is>
          <t>Prototype</t>
        </is>
      </c>
      <c r="BS182" s="156" t="inlineStr">
        <is>
          <t>Prototype</t>
        </is>
      </c>
      <c r="BT182" s="152" t="n"/>
      <c r="BU182" s="152" t="n"/>
      <c r="BV182" s="156" t="n"/>
      <c r="BW182" s="156" t="inlineStr">
        <is>
          <t>Origin &amp; status — South Korea · Prototype · 2026 | Manipulation — 0 · 0 fingers · Hand DOF 0 · Payload 11 lb | Sensing &amp; software — Possible via external compute (not native) | Buying notes — From $15,000 · 12 months manufacturer standard (typical research/commercial humanoid) · Best fit: Research &amp; education</t>
        </is>
      </c>
      <c r="BX182" s="156" t="inlineStr">
        <is>
          <t>as_shipped|K0|15000|As shipped</t>
        </is>
      </c>
      <c r="BY182" s="152" t="inlineStr">
        <is>
          <t>k0|Manufacturer finish|#e2e8f0|0</t>
        </is>
      </c>
      <c r="BZ182" s="152" t="inlineStr"/>
      <c r="CA182" s="156" t="n"/>
      <c r="CB182" s="156" t="inlineStr">
        <is>
          <t>12 months manufacturer standard (typical research/commercial humanoid)</t>
        </is>
      </c>
      <c r="CC182" s="154" t="n">
        <v>12</v>
      </c>
      <c r="CD182" s="156" t="inlineStr">
        <is>
          <t>+3 Year Extended ≈24% of configuration (default in configurator)</t>
        </is>
      </c>
      <c r="CE182" s="152" t="inlineStr">
        <is>
          <t>Humanoid category norm 2025–2026</t>
        </is>
      </c>
      <c r="CF182" s="152" t="inlineStr">
        <is>
          <t>Estimated</t>
        </is>
      </c>
      <c r="CG182" s="156" t="inlineStr">
        <is>
          <t>Confirm on formal OEM quote. EDU or enterprise packages may differ.</t>
        </is>
      </c>
      <c r="CH182" s="152" t="inlineStr">
        <is>
          <t>10%</t>
        </is>
      </c>
      <c r="CI182" s="152" t="inlineStr">
        <is>
          <t>17%</t>
        </is>
      </c>
      <c r="CJ182" s="152" t="inlineStr">
        <is>
          <t>24%</t>
        </is>
      </c>
      <c r="CK182" s="156" t="inlineStr">
        <is>
          <t>+1yr ≈10% | +2yr ≈17% | +3yr ≈24% of selected configuration price (parts &amp; labor beyond manufacturer standard).</t>
        </is>
      </c>
      <c r="CL182"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82" s="152" t="inlineStr">
        <is>
          <t>12 months manufacturer standard (typical research/commercial humanoid)</t>
        </is>
      </c>
      <c r="CQ182" s="101" t="inlineStr">
        <is>
          <t>Height: 4 ft 3 in | Weight: 75 | Degrees of Freedom: 23 | Payload: 11 | Max Speed: 2.49 | Battery / Runtime: ≈ 1 hours</t>
        </is>
      </c>
    </row>
    <row r="183" ht="31.5" customHeight="1" s="102">
      <c r="A183" s="145" t="inlineStr">
        <is>
          <t>robros_igris_c</t>
        </is>
      </c>
      <c r="B183" s="153" t="inlineStr">
        <is>
          <t>Humanoid.guide</t>
        </is>
      </c>
      <c r="C183" s="145" t="inlineStr">
        <is>
          <t>ROBROS</t>
        </is>
      </c>
      <c r="D183" s="145" t="inlineStr">
        <is>
          <t>IGRIS-C</t>
        </is>
      </c>
      <c r="E183" s="145" t="inlineStr">
        <is>
          <t>[ROBROS] IGRIS-C (2026)</t>
        </is>
      </c>
      <c r="F183" s="146" t="inlineStr">
        <is>
          <t>humanoid</t>
        </is>
      </c>
      <c r="G183" s="145" t="inlineStr">
        <is>
          <t>South Korea</t>
        </is>
      </c>
      <c r="H183" s="145" t="n"/>
      <c r="I183" s="148" t="n">
        <v>100000</v>
      </c>
      <c r="J183" s="145" t="inlineStr">
        <is>
          <t>Humanoid.guide list</t>
        </is>
      </c>
      <c r="K183" s="149" t="inlineStr">
        <is>
          <t>IGRIS-C is a production-ready humanoid robot developed by Robros to connect advanced AI research with real-world industrial deployment.</t>
        </is>
      </c>
      <c r="L183" s="101" t="inlineStr">
        <is>
          <t>IGRIS-C is a production-ready humanoid robot developed by Robros to connect advanced AI research with real-world industrial deployment.</t>
        </is>
      </c>
      <c r="M183" s="101" t="inlineStr">
        <is>
          <t>IGRIS-C is a production-ready humanoid robot developed by Robros to connect advanced AI research with real-world industrial deployment. It is positioned for industrial Manufacturing.</t>
        </is>
      </c>
      <c r="N183" s="150" t="inlineStr">
        <is>
          <t>https://humanoid.guide/product/igris-c/</t>
        </is>
      </c>
      <c r="O183" s="150" t="inlineStr">
        <is>
          <t>https://www.robros.co.kr/en</t>
        </is>
      </c>
      <c r="P183" s="145" t="inlineStr">
        <is>
          <t>5 ft 1 in</t>
        </is>
      </c>
      <c r="Q183" s="145" t="n">
        <v>154</v>
      </c>
      <c r="R183" s="145" t="n">
        <v>123.5</v>
      </c>
      <c r="S183" s="145" t="n">
        <v>56</v>
      </c>
      <c r="T183" s="149" t="inlineStr">
        <is>
          <t>Not disclosed</t>
        </is>
      </c>
      <c r="U183" s="145" t="n"/>
      <c r="V183" s="145" t="inlineStr">
        <is>
          <t>43</t>
        </is>
      </c>
      <c r="W183" s="149" t="inlineStr">
        <is>
          <t>12</t>
        </is>
      </c>
      <c r="X183" s="145" t="n">
        <v>13.2</v>
      </c>
      <c r="Y183" s="145" t="n">
        <v>6</v>
      </c>
      <c r="Z183" s="145" t="n">
        <v>6.21</v>
      </c>
      <c r="AA183" s="145" t="n">
        <v>10</v>
      </c>
      <c r="AB183" s="145" t="n">
        <v>2.1</v>
      </c>
      <c r="AC183" s="149" t="inlineStr">
        <is>
          <t>≈ 3 hours</t>
        </is>
      </c>
      <c r="AD183" s="149" t="inlineStr">
        <is>
          <t>3</t>
        </is>
      </c>
      <c r="AE183" s="145" t="n"/>
      <c r="AF183" s="145" t="inlineStr">
        <is>
          <t>Not disclosed</t>
        </is>
      </c>
      <c r="AG183" s="149" t="inlineStr">
        <is>
          <t>5</t>
        </is>
      </c>
      <c r="AH183" s="145" t="inlineStr">
        <is>
          <t>5</t>
        </is>
      </c>
      <c r="AI183" s="145" t="n"/>
      <c r="AJ183" s="149" t="inlineStr">
        <is>
          <t>Not disclosed</t>
        </is>
      </c>
      <c r="AK183" s="149" t="n"/>
      <c r="AL183" s="145" t="inlineStr">
        <is>
          <t>Not disclosed</t>
        </is>
      </c>
      <c r="AM183" s="145" t="n"/>
      <c r="AN183" s="145" t="inlineStr">
        <is>
          <t>Not disclosed</t>
        </is>
      </c>
      <c r="AO183" s="145" t="inlineStr">
        <is>
          <t>Not disclosed</t>
        </is>
      </c>
      <c r="AP183" s="145" t="inlineStr">
        <is>
          <t>Not disclosed</t>
        </is>
      </c>
      <c r="AQ183" s="145" t="inlineStr">
        <is>
          <t>Not disclosed</t>
        </is>
      </c>
      <c r="AR183" s="145" t="n"/>
      <c r="AS183" s="145" t="n"/>
      <c r="AT183" s="149" t="inlineStr">
        <is>
          <t>NUC i7</t>
        </is>
      </c>
      <c r="AU183" s="149" t="inlineStr">
        <is>
          <t>Not disclosed</t>
        </is>
      </c>
      <c r="AV183" s="145" t="inlineStr">
        <is>
          <t>Not disclosed</t>
        </is>
      </c>
      <c r="AW183" s="149" t="inlineStr">
        <is>
          <t>Not disclosed</t>
        </is>
      </c>
      <c r="AX183" s="145" t="n"/>
      <c r="AY183" s="149" t="inlineStr">
        <is>
          <t>Linux</t>
        </is>
      </c>
      <c r="AZ183" s="149" t="inlineStr">
        <is>
          <t>Not disclosed</t>
        </is>
      </c>
      <c r="BA183" s="149" t="n"/>
      <c r="BB183" s="149" t="inlineStr">
        <is>
          <t>Not disclosed</t>
        </is>
      </c>
      <c r="BC183" s="149" t="inlineStr">
        <is>
          <t>Not disclosed</t>
        </is>
      </c>
      <c r="BD183" s="145" t="inlineStr">
        <is>
          <t>Aluminium</t>
        </is>
      </c>
      <c r="BE183" s="145" t="inlineStr">
        <is>
          <t>Not disclosed</t>
        </is>
      </c>
      <c r="BF183" s="145" t="n"/>
      <c r="BG183" s="145" t="n"/>
      <c r="BH183" s="145" t="n"/>
      <c r="BI183" s="145" t="n"/>
      <c r="BJ183" s="145" t="n"/>
      <c r="BK183" s="145" t="n"/>
      <c r="BL183" s="145" t="n"/>
      <c r="BM183" s="145" t="inlineStr">
        <is>
          <t>Yes</t>
        </is>
      </c>
      <c r="BN183" s="145" t="inlineStr">
        <is>
          <t>Not disclosed</t>
        </is>
      </c>
      <c r="BO183" s="149" t="inlineStr">
        <is>
          <t>Market: Industrial Manufacturing · Human-safe: Yes · Peak 10 km/h · Walk 2.1 km/h · Runtime 3</t>
        </is>
      </c>
      <c r="BP183" s="145" t="n"/>
      <c r="BQ183" s="149" t="inlineStr">
        <is>
          <t>Industrial Manufacturing</t>
        </is>
      </c>
      <c r="BR183" s="149" t="inlineStr">
        <is>
          <t>Production</t>
        </is>
      </c>
      <c r="BS183" s="149" t="inlineStr">
        <is>
          <t>Production</t>
        </is>
      </c>
      <c r="BT183" s="145" t="n"/>
      <c r="BU183" s="145" t="inlineStr">
        <is>
          <t>Verified</t>
        </is>
      </c>
      <c r="BV183" s="149" t="n"/>
      <c r="BW183" s="149" t="inlineStr">
        <is>
          <t>Origin &amp; status — South Korea · Production · 2026 | Manipulation — 5 · 5 fingers · Hand DOF 12 · Payload 13.2 lb | Sensing &amp; software — Linux | Buying notes — From $100,000 · 12 months manufacturer standard (typical research/commercial humanoid) · Best fit: Industrial Manufacturing</t>
        </is>
      </c>
      <c r="BX183" s="149" t="inlineStr">
        <is>
          <t>as_shipped|IGRIS-C|100000|As shipped</t>
        </is>
      </c>
      <c r="BY183" s="145" t="inlineStr">
        <is>
          <t>igris_c|Manufacturer finish|#e2e8f0|0</t>
        </is>
      </c>
      <c r="BZ183" s="145" t="inlineStr"/>
      <c r="CA183" s="149" t="n"/>
      <c r="CB183" s="149" t="inlineStr">
        <is>
          <t>12 months manufacturer standard (typical research/commercial humanoid)</t>
        </is>
      </c>
      <c r="CC183" s="147" t="n">
        <v>12</v>
      </c>
      <c r="CD183" s="149" t="inlineStr">
        <is>
          <t>+3 Year Extended ≈24% of configuration (default in configurator)</t>
        </is>
      </c>
      <c r="CE183" s="145" t="inlineStr">
        <is>
          <t>Humanoid category norm 2025–2026</t>
        </is>
      </c>
      <c r="CF183" s="145" t="inlineStr">
        <is>
          <t>Estimated</t>
        </is>
      </c>
      <c r="CG183" s="149" t="inlineStr">
        <is>
          <t>Confirm on formal OEM quote. EDU or enterprise packages may differ.</t>
        </is>
      </c>
      <c r="CH183" s="145" t="inlineStr">
        <is>
          <t>10%</t>
        </is>
      </c>
      <c r="CI183" s="145" t="inlineStr">
        <is>
          <t>17%</t>
        </is>
      </c>
      <c r="CJ183" s="145" t="inlineStr">
        <is>
          <t>24%</t>
        </is>
      </c>
      <c r="CK183" s="149" t="inlineStr">
        <is>
          <t>+1yr ≈10% | +2yr ≈17% | +3yr ≈24% of selected configuration price (parts &amp; labor beyond manufacturer standard).</t>
        </is>
      </c>
      <c r="CL183"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83" s="145" t="inlineStr">
        <is>
          <t>12 months manufacturer standard (typical research/commercial humanoid)</t>
        </is>
      </c>
      <c r="CQ183" s="101" t="inlineStr">
        <is>
          <t>Height: 5 ft 1 in | Weight: 123.5 | Degrees of Freedom: 43 | Payload: 13.2 | Max Speed: 6.21 | Battery / Runtime: ≈ 3 hours</t>
        </is>
      </c>
    </row>
    <row r="184" ht="31.5" customHeight="1" s="102">
      <c r="A184" s="159" t="inlineStr">
        <is>
          <t>sanctuary_ai_phoenix_gen_7_8</t>
        </is>
      </c>
      <c r="B184" s="144" t="inlineStr">
        <is>
          <t>Both</t>
        </is>
      </c>
      <c r="C184" s="152" t="inlineStr">
        <is>
          <t>Sanctuary AI</t>
        </is>
      </c>
      <c r="D184" s="152" t="inlineStr">
        <is>
          <t>Phoenix</t>
        </is>
      </c>
      <c r="E184" s="152" t="inlineStr">
        <is>
          <t>[Sanctuary AI] Phoenix (2023)</t>
        </is>
      </c>
      <c r="F184" s="146" t="inlineStr">
        <is>
          <t>humanoid</t>
        </is>
      </c>
      <c r="G184" s="152" t="inlineStr">
        <is>
          <t>Canada</t>
        </is>
      </c>
      <c r="H184" s="154" t="n">
        <v>2023</v>
      </c>
      <c r="I184" s="155" t="n">
        <v>50000</v>
      </c>
      <c r="J184" s="152" t="inlineStr">
        <is>
          <t>Website store</t>
        </is>
      </c>
      <c r="K184" s="156" t="inlineStr">
        <is>
          <t>Phoenix is an advanced humanoid general-purpose robot developed by Sanctuary AI, a Canadian company at the forefront of robotics and artificial intelligence.</t>
        </is>
      </c>
      <c r="L184" s="101" t="inlineStr">
        <is>
          <t>Phoenix is an advanced humanoid general-purpose robot developed by Sanctuary AI, a Canadian company at the forefront of robotics and artificial intelligence.</t>
        </is>
      </c>
      <c r="M184" s="101" t="inlineStr">
        <is>
          <t>Phoenix is an advanced humanoid general-purpose robot developed by Sanctuary AI, a Canadian company at the forefront of robotics and artificial intelligence. Public status is listed as pilot deployments (Canadian Tire etc.); Carbon AI, and it is positioned for general-purpose / Retail / Light mfg.</t>
        </is>
      </c>
      <c r="N184" s="157" t="inlineStr">
        <is>
          <t>https://humanoid.guide/product/phoenix/</t>
        </is>
      </c>
      <c r="O184" s="157" t="inlineStr">
        <is>
          <t>https://sanctuary.ai</t>
        </is>
      </c>
      <c r="P184" s="152" t="inlineStr">
        <is>
          <t>5 ft 7 in</t>
        </is>
      </c>
      <c r="Q184" s="152" t="n">
        <v>170</v>
      </c>
      <c r="R184" s="152" t="n">
        <v>154.3</v>
      </c>
      <c r="S184" s="152" t="n">
        <v>70</v>
      </c>
      <c r="T184" s="156" t="inlineStr">
        <is>
          <t>Not disclosed</t>
        </is>
      </c>
      <c r="U184" s="152" t="n"/>
      <c r="V184" s="152" t="inlineStr">
        <is>
          <t>40–75 (hands 20+)</t>
        </is>
      </c>
      <c r="W184" s="156" t="inlineStr">
        <is>
          <t>Not disclosed</t>
        </is>
      </c>
      <c r="X184" s="152" t="inlineStr">
        <is>
          <t>25 lb</t>
        </is>
      </c>
      <c r="Y184" s="152" t="n">
        <v>25</v>
      </c>
      <c r="Z184" s="152" t="n">
        <v>3.11</v>
      </c>
      <c r="AA184" s="152" t="n">
        <v>5</v>
      </c>
      <c r="AB184" s="152" t="n">
        <v>4</v>
      </c>
      <c r="AC184" s="156" t="inlineStr">
        <is>
          <t>≈ 4 h class</t>
        </is>
      </c>
      <c r="AD184" s="156" t="inlineStr">
        <is>
          <t>8</t>
        </is>
      </c>
      <c r="AE184" s="152" t="n"/>
      <c r="AF184" s="152" t="inlineStr">
        <is>
          <t>Not disclosed</t>
        </is>
      </c>
      <c r="AG184" s="156" t="inlineStr">
        <is>
          <t>High-DOF Carbon hand systems (20+ DOF class hands)</t>
        </is>
      </c>
      <c r="AH184" s="152" t="inlineStr">
        <is>
          <t>Not disclosed</t>
        </is>
      </c>
      <c r="AI184" s="158" t="n">
        <v>2</v>
      </c>
      <c r="AJ184" s="156" t="inlineStr">
        <is>
          <t>Vision suite for general-purpose manipulation</t>
        </is>
      </c>
      <c r="AK184" s="156" t="n"/>
      <c r="AL184" s="152" t="inlineStr">
        <is>
          <t>Not disclosed</t>
        </is>
      </c>
      <c r="AM184" s="152" t="n"/>
      <c r="AN184" s="152" t="inlineStr">
        <is>
          <t>Not disclosed</t>
        </is>
      </c>
      <c r="AO184" s="152" t="inlineStr">
        <is>
          <t>Not disclosed</t>
        </is>
      </c>
      <c r="AP184" s="152" t="inlineStr">
        <is>
          <t>Not disclosed</t>
        </is>
      </c>
      <c r="AQ184" s="152" t="inlineStr">
        <is>
          <t>Not disclosed</t>
        </is>
      </c>
      <c r="AR184" s="152" t="n"/>
      <c r="AS184" s="152" t="n"/>
      <c r="AT184" s="156" t="inlineStr">
        <is>
          <t>Not disclosed</t>
        </is>
      </c>
      <c r="AU184" s="156" t="inlineStr">
        <is>
          <t>Not disclosed</t>
        </is>
      </c>
      <c r="AV184" s="152" t="inlineStr">
        <is>
          <t>Sanctuary AI Carbon / pilot deployment software</t>
        </is>
      </c>
      <c r="AW184" s="156" t="inlineStr">
        <is>
          <t>Bipedal mobility for retail and light manufacturing pilots</t>
        </is>
      </c>
      <c r="AX184" s="158" t="n">
        <v>2</v>
      </c>
      <c r="AY184" s="156" t="inlineStr">
        <is>
          <t>Not disclosed</t>
        </is>
      </c>
      <c r="AZ184" s="156" t="inlineStr">
        <is>
          <t>Not disclosed</t>
        </is>
      </c>
      <c r="BA184" s="156" t="n"/>
      <c r="BB184" s="156" t="inlineStr">
        <is>
          <t>Not disclosed</t>
        </is>
      </c>
      <c r="BC184" s="156" t="inlineStr">
        <is>
          <t>Not disclosed</t>
        </is>
      </c>
      <c r="BD184" s="152" t="inlineStr">
        <is>
          <t>Not disclosed</t>
        </is>
      </c>
      <c r="BE184" s="152" t="inlineStr">
        <is>
          <t>Not disclosed</t>
        </is>
      </c>
      <c r="BF184" s="152" t="n"/>
      <c r="BG184" s="152" t="n"/>
      <c r="BH184" s="152" t="n"/>
      <c r="BI184" s="152" t="n"/>
      <c r="BJ184" s="152" t="n"/>
      <c r="BK184" s="152" t="n"/>
      <c r="BL184" s="152" t="n"/>
      <c r="BM184" s="152" t="inlineStr">
        <is>
          <t>Not disclosed</t>
        </is>
      </c>
      <c r="BN184" s="152" t="inlineStr">
        <is>
          <t>Not disclosed</t>
        </is>
      </c>
      <c r="BO184" s="156" t="inlineStr">
        <is>
          <t>Market: General-purpose / Retail / Light mfg · Manipulation 2/4 · Navigation 2/4 · Peak 5 km/h · Walk 4 km/h · Runtime 8</t>
        </is>
      </c>
      <c r="BP184" s="152" t="n"/>
      <c r="BQ184" s="156" t="inlineStr">
        <is>
          <t>General-purpose / Retail / Light mfg</t>
        </is>
      </c>
      <c r="BR184" s="156" t="inlineStr">
        <is>
          <t>Pilot deployments (Canadian Tire etc.); Carbon AI</t>
        </is>
      </c>
      <c r="BS184" s="156" t="inlineStr">
        <is>
          <t>Prototype</t>
        </is>
      </c>
      <c r="BT184" s="152" t="n"/>
      <c r="BU184" s="152" t="inlineStr">
        <is>
          <t>Not verified</t>
        </is>
      </c>
      <c r="BV184" s="156" t="inlineStr">
        <is>
          <t>Industry-leading hand dexterity claims Humanoid.guide listed price $40,000.</t>
        </is>
      </c>
      <c r="BW184" s="156" t="inlineStr">
        <is>
          <t>Origin &amp; status — Canada · Pilot deployments (Canadian Tire etc.); Carbon AI · 2023 | Manipulation — High-DOF Carbon hand systems (20+ DOF class hands) · Payload 25 lb | Sensing &amp; software — Vision suite for general-purpose manipulation · Sanctuary AI Carbon / pilot deployment software | Buying notes — From $50,000 · 12 months manufacturer standard (typical research/commercial humanoid) · Best fit: General-purpose</t>
        </is>
      </c>
      <c r="BX184" s="156" t="inlineStr">
        <is>
          <t>as_shipped|Phoenix|50000|As shipped</t>
        </is>
      </c>
      <c r="BY184" s="152" t="inlineStr">
        <is>
          <t>phoenix|Manufacturer finish|#e2e8f0|0</t>
        </is>
      </c>
      <c r="BZ184" s="152" t="inlineStr"/>
      <c r="CA184" s="156" t="inlineStr">
        <is>
          <t>Add-ons: case; 2 color options; Multi-year extended warranty available</t>
        </is>
      </c>
      <c r="CB184" s="156" t="inlineStr">
        <is>
          <t>12 months manufacturer standard (typical research/commercial humanoid)</t>
        </is>
      </c>
      <c r="CC184" s="154" t="n">
        <v>12</v>
      </c>
      <c r="CD184" s="156" t="inlineStr">
        <is>
          <t>+3 Year Extended ≈24% of configuration (default in configurator)</t>
        </is>
      </c>
      <c r="CE184" s="152" t="inlineStr">
        <is>
          <t>Humanoid category norm 2025–2026</t>
        </is>
      </c>
      <c r="CF184" s="152" t="inlineStr">
        <is>
          <t>Estimated</t>
        </is>
      </c>
      <c r="CG184" s="156" t="inlineStr">
        <is>
          <t>EDU or enterprise packages may differ; confirm on formal quote.</t>
        </is>
      </c>
      <c r="CH184" s="152" t="inlineStr">
        <is>
          <t>10%</t>
        </is>
      </c>
      <c r="CI184" s="152" t="inlineStr">
        <is>
          <t>17%</t>
        </is>
      </c>
      <c r="CJ184" s="152" t="inlineStr">
        <is>
          <t>24%</t>
        </is>
      </c>
      <c r="CK184"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184"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84" s="152" t="inlineStr">
        <is>
          <t>12 months manufacturer standard (typical research/commercial humanoid)</t>
        </is>
      </c>
      <c r="CQ184" s="101" t="inlineStr">
        <is>
          <t>Height: 5 ft 7 in | Weight: 154.3 | Degrees of Freedom: 40–75 (hands 20+) | Payload: 25 lb | Max Speed: 3.11 | Battery / Runtime: ≈ 4 h class</t>
        </is>
      </c>
    </row>
    <row r="185" ht="31.5" customHeight="1" s="102">
      <c r="A185" s="145" t="inlineStr">
        <is>
          <t>shanghai_roboparty_technology_co_ltd_roboto_orig</t>
        </is>
      </c>
      <c r="B185" s="153" t="inlineStr">
        <is>
          <t>Humanoid.guide</t>
        </is>
      </c>
      <c r="C185" s="145" t="inlineStr">
        <is>
          <t>Shanghai RoboParty Technology Co., Ltd.</t>
        </is>
      </c>
      <c r="D185" s="145" t="inlineStr">
        <is>
          <t>Roboto Origin</t>
        </is>
      </c>
      <c r="E185" s="145" t="inlineStr">
        <is>
          <t>[Shanghai RoboParty Technology Co., Ltd.] Roboto Origin (2026)</t>
        </is>
      </c>
      <c r="F185" s="146" t="inlineStr">
        <is>
          <t>humanoid</t>
        </is>
      </c>
      <c r="G185" s="145" t="inlineStr">
        <is>
          <t>China</t>
        </is>
      </c>
      <c r="H185" s="145" t="n"/>
      <c r="I185" s="148" t="n">
        <v>4900</v>
      </c>
      <c r="J185" s="145" t="inlineStr">
        <is>
          <t>Humanoid.guide list</t>
        </is>
      </c>
      <c r="K185" s="149" t="inlineStr">
        <is>
          <t>Roboto Origin is a full-stack open-source humanoid robot designed for robotics research, education, and hands-on development.</t>
        </is>
      </c>
      <c r="L185" s="101" t="inlineStr">
        <is>
          <t>Roboto Origin is a full-stack open-source humanoid robot designed for robotics research, education, and hands-on development.</t>
        </is>
      </c>
      <c r="M185" s="101" t="inlineStr">
        <is>
          <t>Roboto Origin is a full-stack open-source humanoid robot designed for robotics research, education, and hands-on development. Public status is listed as prototype, and it is positioned for education; makers; Research; robotics development.</t>
        </is>
      </c>
      <c r="N185" s="150" t="inlineStr">
        <is>
          <t>https://humanoid.guide/product/roboto-origin/</t>
        </is>
      </c>
      <c r="O185" s="150" t="inlineStr">
        <is>
          <t>https://www.roboparty.com/</t>
        </is>
      </c>
      <c r="P185" s="145" t="inlineStr">
        <is>
          <t>4 ft 1 in</t>
        </is>
      </c>
      <c r="Q185" s="145" t="n">
        <v>125</v>
      </c>
      <c r="R185" s="145" t="n">
        <v>75</v>
      </c>
      <c r="S185" s="145" t="n">
        <v>34</v>
      </c>
      <c r="T185" s="149" t="inlineStr">
        <is>
          <t>Not disclosed</t>
        </is>
      </c>
      <c r="U185" s="145" t="n"/>
      <c r="V185" s="145" t="inlineStr">
        <is>
          <t>23</t>
        </is>
      </c>
      <c r="W185" s="149" t="inlineStr">
        <is>
          <t>0</t>
        </is>
      </c>
      <c r="X185" s="145" t="n">
        <v>11</v>
      </c>
      <c r="Y185" s="145" t="n">
        <v>5</v>
      </c>
      <c r="Z185" s="145" t="n">
        <v>6.21</v>
      </c>
      <c r="AA185" s="145" t="n">
        <v>10</v>
      </c>
      <c r="AB185" s="145" t="n"/>
      <c r="AC185" s="149" t="inlineStr">
        <is>
          <t>≈ 2 hours</t>
        </is>
      </c>
      <c r="AD185" s="149" t="inlineStr">
        <is>
          <t>2</t>
        </is>
      </c>
      <c r="AE185" s="145" t="n"/>
      <c r="AF185" s="145" t="inlineStr">
        <is>
          <t>Not disclosed</t>
        </is>
      </c>
      <c r="AG185" s="149" t="inlineStr">
        <is>
          <t>0</t>
        </is>
      </c>
      <c r="AH185" s="145" t="inlineStr">
        <is>
          <t>0</t>
        </is>
      </c>
      <c r="AI185" s="145" t="n"/>
      <c r="AJ185" s="149" t="inlineStr">
        <is>
          <t>Optional Intel RealSense D435i; exact resolution not specified by RoboParty</t>
        </is>
      </c>
      <c r="AK185" s="149" t="inlineStr">
        <is>
          <t>Optional Intel RealSense D435i; exact resolution not specified by RoboParty</t>
        </is>
      </c>
      <c r="AL185" s="145" t="inlineStr">
        <is>
          <t>Not disclosed</t>
        </is>
      </c>
      <c r="AM185" s="145" t="n"/>
      <c r="AN185" s="145" t="inlineStr">
        <is>
          <t>Not disclosed</t>
        </is>
      </c>
      <c r="AO185" s="145" t="inlineStr">
        <is>
          <t>Not disclosed</t>
        </is>
      </c>
      <c r="AP185" s="145" t="inlineStr">
        <is>
          <t>Not disclosed</t>
        </is>
      </c>
      <c r="AQ185" s="145" t="inlineStr">
        <is>
          <t>Not disclosed</t>
        </is>
      </c>
      <c r="AR185" s="145" t="n"/>
      <c r="AS185" s="145" t="n"/>
      <c r="AT185" s="149" t="inlineStr">
        <is>
          <t>D-Robotics RDK X5: 8× Cortex-A55 @ 1.5 GHz, 10 TOPS BPU, 32 GFLOPS GPU</t>
        </is>
      </c>
      <c r="AU185" s="149" t="inlineStr">
        <is>
          <t>Bluetooth 5.4; CAN FD; RDK X5 also supports Gigabit Ethernet; USB-to-CAN; Wi-Fi 6</t>
        </is>
      </c>
      <c r="AV185" s="145" t="inlineStr">
        <is>
          <t>Not disclosed</t>
        </is>
      </c>
      <c r="AW185" s="149" t="inlineStr">
        <is>
          <t>Not disclosed</t>
        </is>
      </c>
      <c r="AX185" s="145" t="n"/>
      <c r="AY185" s="149" t="inlineStr">
        <is>
          <t>Ubuntu 22.04 / Linux; ROS 2 software stack</t>
        </is>
      </c>
      <c r="AZ185" s="149" t="inlineStr">
        <is>
          <t>Not disclosed</t>
        </is>
      </c>
      <c r="BA185" s="149" t="n"/>
      <c r="BB185" s="149" t="inlineStr">
        <is>
          <t>DAMIAO servo motors</t>
        </is>
      </c>
      <c r="BC185" s="149" t="inlineStr">
        <is>
          <t>High-torque joints use 10:1 gearing; compact joints use 40:1 gearing</t>
        </is>
      </c>
      <c r="BD185" s="145" t="inlineStr">
        <is>
          <t>CNC-machined aluminum</t>
        </is>
      </c>
      <c r="BE185" s="145" t="inlineStr">
        <is>
          <t>Not disclosed</t>
        </is>
      </c>
      <c r="BF185" s="145" t="n"/>
      <c r="BG185" s="145" t="n"/>
      <c r="BH185" s="145" t="n"/>
      <c r="BI185" s="145" t="n"/>
      <c r="BJ185" s="145" t="n"/>
      <c r="BK185" s="145" t="n"/>
      <c r="BL185" s="145" t="n"/>
      <c r="BM185" s="145" t="inlineStr">
        <is>
          <t>Yes</t>
        </is>
      </c>
      <c r="BN185" s="145" t="inlineStr">
        <is>
          <t>Not disclosed</t>
        </is>
      </c>
      <c r="BO185" s="149" t="inlineStr">
        <is>
          <t>Market: education; makers; Research; robotics development · Human-safe: Yes · Actuation: DAMIAO servo motors · Peak 10 km/h · Runtime 2</t>
        </is>
      </c>
      <c r="BP185" s="145" t="n"/>
      <c r="BQ185" s="149" t="inlineStr">
        <is>
          <t>education; makers; Research; robotics development</t>
        </is>
      </c>
      <c r="BR185" s="149" t="inlineStr">
        <is>
          <t>Prototype</t>
        </is>
      </c>
      <c r="BS185" s="149" t="inlineStr">
        <is>
          <t>Prototype</t>
        </is>
      </c>
      <c r="BT185" s="145" t="n"/>
      <c r="BU185" s="145" t="n"/>
      <c r="BV185" s="149" t="n"/>
      <c r="BW185" s="149" t="inlineStr">
        <is>
          <t>Origin &amp; status — China · Prototype · 2026 | Manipulation — 0 · 0 fingers · Hand DOF 0 · Payload 11 lb | Sensing &amp; software — Optional Intel RealSense D435i; exact resolution not specified by RoboParty · Ubuntu 22.04 / Linux; ROS 2 software stack | Buying notes — From $4,900 · 12 months manufacturer standard (typical research/commercial humanoid) · Best fit: education</t>
        </is>
      </c>
      <c r="BX185" s="149" t="inlineStr">
        <is>
          <t>as_shipped|Roboto Origin|4900|As shipped</t>
        </is>
      </c>
      <c r="BY185" s="145" t="inlineStr">
        <is>
          <t>roboto_origin|Manufacturer finish|#e2e8f0|0</t>
        </is>
      </c>
      <c r="BZ185" s="145" t="inlineStr"/>
      <c r="CA185" s="149" t="n"/>
      <c r="CB185" s="149" t="inlineStr">
        <is>
          <t>12 months manufacturer standard (typical research/commercial humanoid)</t>
        </is>
      </c>
      <c r="CC185" s="147" t="n">
        <v>12</v>
      </c>
      <c r="CD185" s="149" t="inlineStr">
        <is>
          <t>+3 Year Extended ≈24% of configuration (default in configurator)</t>
        </is>
      </c>
      <c r="CE185" s="145" t="inlineStr">
        <is>
          <t>Humanoid category norm 2025–2026</t>
        </is>
      </c>
      <c r="CF185" s="145" t="inlineStr">
        <is>
          <t>Estimated</t>
        </is>
      </c>
      <c r="CG185" s="149" t="inlineStr">
        <is>
          <t>Confirm on formal OEM quote. EDU or enterprise packages may differ.</t>
        </is>
      </c>
      <c r="CH185" s="145" t="inlineStr">
        <is>
          <t>10%</t>
        </is>
      </c>
      <c r="CI185" s="145" t="inlineStr">
        <is>
          <t>17%</t>
        </is>
      </c>
      <c r="CJ185" s="145" t="inlineStr">
        <is>
          <t>24%</t>
        </is>
      </c>
      <c r="CK185" s="149" t="inlineStr">
        <is>
          <t>+1yr ≈10% | +2yr ≈17% | +3yr ≈24% of selected configuration price (parts &amp; labor beyond manufacturer standard).</t>
        </is>
      </c>
      <c r="CL18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85" s="145" t="inlineStr">
        <is>
          <t>12 months manufacturer standard (typical research/commercial humanoid)</t>
        </is>
      </c>
      <c r="CQ185" s="101" t="inlineStr">
        <is>
          <t>Height: 4 ft 1 in | Weight: 75 | Degrees of Freedom: 23 | Payload: 11 | Max Speed: 6.21 | Battery / Runtime: ≈ 2 hours</t>
        </is>
      </c>
    </row>
    <row r="186" ht="31.5" customHeight="1" s="102">
      <c r="A186" s="152" t="inlineStr">
        <is>
          <t>siasun_robot_automation_duco</t>
        </is>
      </c>
      <c r="B186" s="153" t="inlineStr">
        <is>
          <t>Humanoid.guide</t>
        </is>
      </c>
      <c r="C186" s="152" t="inlineStr">
        <is>
          <t>Siasun Robot &amp; Automation</t>
        </is>
      </c>
      <c r="D186" s="152" t="inlineStr">
        <is>
          <t>DUCO</t>
        </is>
      </c>
      <c r="E186" s="152" t="inlineStr">
        <is>
          <t>[Siasun Robot &amp; Automation] DUCO (2026)</t>
        </is>
      </c>
      <c r="F186" s="146" t="inlineStr">
        <is>
          <t>humanoid</t>
        </is>
      </c>
      <c r="G186" s="152" t="inlineStr">
        <is>
          <t>China</t>
        </is>
      </c>
      <c r="H186" s="152" t="n"/>
      <c r="I186" s="155" t="n">
        <v>85000</v>
      </c>
      <c r="J186" s="152" t="inlineStr">
        <is>
          <t>Humanoid.guide list</t>
        </is>
      </c>
      <c r="K186" s="156" t="inlineStr">
        <is>
          <t>DUCO is a humanoid-style mobile manipulation robot developed by SIASUN for industrial and service applications.</t>
        </is>
      </c>
      <c r="L186" s="101" t="inlineStr">
        <is>
          <t>DUCO is a humanoid-style mobile manipulation robot developed by SIASUN for industrial and service applications.</t>
        </is>
      </c>
      <c r="M186" s="101" t="inlineStr">
        <is>
          <t>DUCO is a humanoid-style mobile manipulation robot developed by SIASUN for industrial and service applications. Public status is listed as prototype, and it is positioned for industrial; logistics; service robotics.</t>
        </is>
      </c>
      <c r="N186" s="157" t="inlineStr">
        <is>
          <t>https://humanoid.guide/product/duco/</t>
        </is>
      </c>
      <c r="O186" s="157" t="inlineStr">
        <is>
          <t>https://www.siasun.com</t>
        </is>
      </c>
      <c r="P186" s="152" t="inlineStr">
        <is>
          <t>4 ft 11 in</t>
        </is>
      </c>
      <c r="Q186" s="152" t="n">
        <v>150</v>
      </c>
      <c r="R186" s="152" t="n">
        <v>198.4</v>
      </c>
      <c r="S186" s="152" t="n">
        <v>90</v>
      </c>
      <c r="T186" s="156" t="inlineStr">
        <is>
          <t>Not disclosed</t>
        </is>
      </c>
      <c r="U186" s="152" t="n"/>
      <c r="V186" s="152" t="inlineStr">
        <is>
          <t>~30–35</t>
        </is>
      </c>
      <c r="W186" s="156" t="inlineStr">
        <is>
          <t>~5 per hand</t>
        </is>
      </c>
      <c r="X186" s="152" t="n">
        <v>22</v>
      </c>
      <c r="Y186" s="152" t="n">
        <v>10</v>
      </c>
      <c r="Z186" s="152" t="n">
        <v>3.11</v>
      </c>
      <c r="AA186" s="152" t="n">
        <v>5</v>
      </c>
      <c r="AB186" s="152" t="n"/>
      <c r="AC186" s="156" t="inlineStr">
        <is>
          <t>~6–8</t>
        </is>
      </c>
      <c r="AD186" s="156" t="inlineStr">
        <is>
          <t>~6–8</t>
        </is>
      </c>
      <c r="AE186" s="152" t="n"/>
      <c r="AF186" s="152" t="inlineStr">
        <is>
          <t>Not disclosed</t>
        </is>
      </c>
      <c r="AG186" s="156" t="inlineStr">
        <is>
          <t>5 per hand</t>
        </is>
      </c>
      <c r="AH186" s="152" t="inlineStr">
        <is>
          <t>5 per hand</t>
        </is>
      </c>
      <c r="AI186" s="152" t="n"/>
      <c r="AJ186" s="156" t="inlineStr">
        <is>
          <t>RGB / depth cameras, ~1080p</t>
        </is>
      </c>
      <c r="AK186" s="156" t="inlineStr">
        <is>
          <t>RGB / depth cameras, ~1080p</t>
        </is>
      </c>
      <c r="AL186" s="152" t="inlineStr">
        <is>
          <t>Not disclosed</t>
        </is>
      </c>
      <c r="AM186" s="152" t="n"/>
      <c r="AN186" s="152" t="inlineStr">
        <is>
          <t>Not disclosed</t>
        </is>
      </c>
      <c r="AO186" s="152" t="inlineStr">
        <is>
          <t>Not disclosed</t>
        </is>
      </c>
      <c r="AP186" s="152" t="inlineStr">
        <is>
          <t>Not disclosed</t>
        </is>
      </c>
      <c r="AQ186" s="152" t="inlineStr">
        <is>
          <t>Not disclosed</t>
        </is>
      </c>
      <c r="AR186" s="152" t="n"/>
      <c r="AS186" s="152" t="n"/>
      <c r="AT186" s="156" t="inlineStr">
        <is>
          <t>Industrial PC with AI acceleration</t>
        </is>
      </c>
      <c r="AU186" s="156" t="inlineStr">
        <is>
          <t>Ethernet; Wi‑Fi</t>
        </is>
      </c>
      <c r="AV186" s="152" t="inlineStr">
        <is>
          <t>Not disclosed</t>
        </is>
      </c>
      <c r="AW186" s="156" t="inlineStr">
        <is>
          <t>Not disclosed</t>
        </is>
      </c>
      <c r="AX186" s="152" t="n"/>
      <c r="AY186" s="156" t="inlineStr">
        <is>
          <t>Linux-based robotics OS</t>
        </is>
      </c>
      <c r="AZ186" s="156" t="inlineStr">
        <is>
          <t>Possible via external integration</t>
        </is>
      </c>
      <c r="BA186" s="156" t="n"/>
      <c r="BB186" s="156" t="inlineStr">
        <is>
          <t>Electric servo motors</t>
        </is>
      </c>
      <c r="BC186" s="156" t="inlineStr">
        <is>
          <t>Harmonic and precision reducers</t>
        </is>
      </c>
      <c r="BD186" s="152" t="inlineStr">
        <is>
          <t>Aluminum alloy frame with composite panels</t>
        </is>
      </c>
      <c r="BE186" s="152" t="inlineStr">
        <is>
          <t>Not disclosed</t>
        </is>
      </c>
      <c r="BF186" s="152" t="n"/>
      <c r="BG186" s="152" t="n"/>
      <c r="BH186" s="152" t="n"/>
      <c r="BI186" s="152" t="n"/>
      <c r="BJ186" s="152" t="n"/>
      <c r="BK186" s="152" t="n"/>
      <c r="BL186" s="152" t="n"/>
      <c r="BM186" s="152" t="inlineStr">
        <is>
          <t>Yes</t>
        </is>
      </c>
      <c r="BN186" s="152" t="inlineStr">
        <is>
          <t>Not disclosed</t>
        </is>
      </c>
      <c r="BO186" s="156" t="inlineStr">
        <is>
          <t>Market: Industrial; logistics; service robotics · Human-safe: Yes · AI: Possible via external integration · Actuation: Electric servo motors · Peak 5 km/h · Runtime ~6–8</t>
        </is>
      </c>
      <c r="BP186" s="152" t="n"/>
      <c r="BQ186" s="156" t="inlineStr">
        <is>
          <t>Industrial; logistics; service robotics</t>
        </is>
      </c>
      <c r="BR186" s="156" t="inlineStr">
        <is>
          <t>Prototype</t>
        </is>
      </c>
      <c r="BS186" s="156" t="inlineStr">
        <is>
          <t>Prototype</t>
        </is>
      </c>
      <c r="BT186" s="152" t="inlineStr">
        <is>
          <t>Black; Dark Grey</t>
        </is>
      </c>
      <c r="BU186" s="152" t="inlineStr">
        <is>
          <t>Not verified</t>
        </is>
      </c>
      <c r="BV186" s="156" t="n"/>
      <c r="BW186" s="156" t="inlineStr">
        <is>
          <t>Origin &amp; status — China · Prototype · 2026 | Manipulation — 5 per hand · 5 per hand fingers · Hand DOF ~5 per hand · Payload 22 lb | Sensing &amp; software — RGB / depth cameras, ~1080p · Possible via external integration · Linux-based robotics OS | Buying notes — From $85,000 · 12 months manufacturer standard (typical research/commercial humanoid) · Best fit: Industrial</t>
        </is>
      </c>
      <c r="BX186" s="156" t="inlineStr">
        <is>
          <t>as_shipped|DUCO|85000|As shipped</t>
        </is>
      </c>
      <c r="BY186" s="152" t="inlineStr">
        <is>
          <t>black|Black|#e2e8f0|0 || dark_grey|Dark Grey|#1e293b|0</t>
        </is>
      </c>
      <c r="BZ186" s="152" t="inlineStr"/>
      <c r="CA186" s="156" t="n"/>
      <c r="CB186" s="156" t="inlineStr">
        <is>
          <t>12 months manufacturer standard (typical research/commercial humanoid)</t>
        </is>
      </c>
      <c r="CC186" s="154" t="n">
        <v>12</v>
      </c>
      <c r="CD186" s="156" t="inlineStr">
        <is>
          <t>+3 Year Extended ≈24% of configuration (default in configurator)</t>
        </is>
      </c>
      <c r="CE186" s="152" t="inlineStr">
        <is>
          <t>Humanoid category norm 2025–2026</t>
        </is>
      </c>
      <c r="CF186" s="152" t="inlineStr">
        <is>
          <t>Estimated</t>
        </is>
      </c>
      <c r="CG186" s="156" t="inlineStr">
        <is>
          <t>Confirm on formal OEM quote. EDU or enterprise packages may differ.</t>
        </is>
      </c>
      <c r="CH186" s="152" t="inlineStr">
        <is>
          <t>10%</t>
        </is>
      </c>
      <c r="CI186" s="152" t="inlineStr">
        <is>
          <t>17%</t>
        </is>
      </c>
      <c r="CJ186" s="152" t="inlineStr">
        <is>
          <t>24%</t>
        </is>
      </c>
      <c r="CK186" s="156" t="inlineStr">
        <is>
          <t>+1yr ≈10% | +2yr ≈17% | +3yr ≈24% of selected configuration price (parts &amp; labor beyond manufacturer standard).</t>
        </is>
      </c>
      <c r="CL186"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86" s="152" t="inlineStr">
        <is>
          <t>12 months manufacturer standard (typical research/commercial humanoid)</t>
        </is>
      </c>
      <c r="CQ186" s="101" t="inlineStr">
        <is>
          <t>Height: 4 ft 11 in | Weight: 198.4 | Degrees of Freedom: ~30–35 | Payload: 22 | Max Speed: 3.11 | Battery / Runtime: ~6–8</t>
        </is>
      </c>
    </row>
    <row r="187" ht="31.5" customHeight="1" s="102">
      <c r="A187" s="145" t="inlineStr">
        <is>
          <t>siasun_robot_automation_songxing</t>
        </is>
      </c>
      <c r="B187" s="153" t="inlineStr">
        <is>
          <t>Humanoid.guide</t>
        </is>
      </c>
      <c r="C187" s="145" t="inlineStr">
        <is>
          <t>Siasun Robot &amp; Automation</t>
        </is>
      </c>
      <c r="D187" s="145" t="inlineStr">
        <is>
          <t>Songxing</t>
        </is>
      </c>
      <c r="E187" s="145" t="inlineStr">
        <is>
          <t>[Siasun Robot &amp; Automation] Songxing (2026)</t>
        </is>
      </c>
      <c r="F187" s="146" t="inlineStr">
        <is>
          <t>humanoid</t>
        </is>
      </c>
      <c r="G187" s="145" t="inlineStr">
        <is>
          <t>China</t>
        </is>
      </c>
      <c r="H187" s="145" t="n"/>
      <c r="I187" s="148" t="n">
        <v>140000</v>
      </c>
      <c r="J187" s="145" t="inlineStr">
        <is>
          <t>Humanoid.guide list</t>
        </is>
      </c>
      <c r="K187" s="149" t="inlineStr">
        <is>
          <t>Songxing is a full-size humanoid robot designed for industrial research, demonstrations, and controlled human-robot collaboration.</t>
        </is>
      </c>
      <c r="L187" s="101" t="inlineStr">
        <is>
          <t>Songxing is a full-size humanoid robot designed for industrial research, demonstrations, and controlled human-robot collaboration.</t>
        </is>
      </c>
      <c r="M187" s="101" t="inlineStr">
        <is>
          <t>Songxing is a full-size humanoid robot designed for industrial research, demonstrations, and controlled human-robot collaboration. Public status is listed as early production / limited release, and it is positioned for exhibitions; Industrial; Industrial R&amp;D; Research &amp; education.</t>
        </is>
      </c>
      <c r="N187" s="150" t="inlineStr">
        <is>
          <t>https://humanoid.guide/product/songxing/</t>
        </is>
      </c>
      <c r="O187" s="150" t="inlineStr">
        <is>
          <t>https://www.siasun.com</t>
        </is>
      </c>
      <c r="P187" s="145" t="inlineStr">
        <is>
          <t>5 ft 5 in</t>
        </is>
      </c>
      <c r="Q187" s="145" t="n">
        <v>165</v>
      </c>
      <c r="R187" s="145" t="n">
        <v>187.4</v>
      </c>
      <c r="S187" s="145" t="n">
        <v>85</v>
      </c>
      <c r="T187" s="149" t="inlineStr">
        <is>
          <t>Not disclosed</t>
        </is>
      </c>
      <c r="U187" s="145" t="n"/>
      <c r="V187" s="145" t="inlineStr">
        <is>
          <t>38</t>
        </is>
      </c>
      <c r="W187" s="149" t="inlineStr">
        <is>
          <t>10</t>
        </is>
      </c>
      <c r="X187" s="145" t="n">
        <v>26.5</v>
      </c>
      <c r="Y187" s="145" t="n">
        <v>12</v>
      </c>
      <c r="Z187" s="145" t="n">
        <v>1.86</v>
      </c>
      <c r="AA187" s="145" t="n">
        <v>3</v>
      </c>
      <c r="AB187" s="145" t="n">
        <v>3</v>
      </c>
      <c r="AC187" s="149" t="inlineStr">
        <is>
          <t>≈ 3 hours</t>
        </is>
      </c>
      <c r="AD187" s="149" t="inlineStr">
        <is>
          <t>3</t>
        </is>
      </c>
      <c r="AE187" s="145" t="n"/>
      <c r="AF187" s="145" t="inlineStr">
        <is>
          <t>Not disclosed</t>
        </is>
      </c>
      <c r="AG187" s="149" t="inlineStr">
        <is>
          <t>5 per hand</t>
        </is>
      </c>
      <c r="AH187" s="145" t="inlineStr">
        <is>
          <t>5 per hand</t>
        </is>
      </c>
      <c r="AI187" s="151" t="n">
        <v>3</v>
      </c>
      <c r="AJ187" s="149" t="inlineStr">
        <is>
          <t>Not disclosed</t>
        </is>
      </c>
      <c r="AK187" s="149" t="n"/>
      <c r="AL187" s="145" t="inlineStr">
        <is>
          <t>Not disclosed</t>
        </is>
      </c>
      <c r="AM187" s="145" t="n"/>
      <c r="AN187" s="145" t="inlineStr">
        <is>
          <t>Not disclosed</t>
        </is>
      </c>
      <c r="AO187" s="145" t="inlineStr">
        <is>
          <t>Not disclosed</t>
        </is>
      </c>
      <c r="AP187" s="145" t="inlineStr">
        <is>
          <t>Not disclosed</t>
        </is>
      </c>
      <c r="AQ187" s="145" t="inlineStr">
        <is>
          <t>Not disclosed</t>
        </is>
      </c>
      <c r="AR187" s="145" t="n"/>
      <c r="AS187" s="145" t="n"/>
      <c r="AT187" s="149" t="inlineStr">
        <is>
          <t>Industrial x86 CPU + optional NVIDIA GPU (assumed)</t>
        </is>
      </c>
      <c r="AU187" s="149" t="inlineStr">
        <is>
          <t>Ethernet; Wi‑Fi</t>
        </is>
      </c>
      <c r="AV187" s="145" t="inlineStr">
        <is>
          <t>Not disclosed</t>
        </is>
      </c>
      <c r="AW187" s="149" t="inlineStr">
        <is>
          <t>Not disclosed</t>
        </is>
      </c>
      <c r="AX187" s="158" t="n">
        <v>2</v>
      </c>
      <c r="AY187" s="149" t="inlineStr">
        <is>
          <t>Linux-based ROS environment</t>
        </is>
      </c>
      <c r="AZ187" s="149" t="inlineStr">
        <is>
          <t>Yes</t>
        </is>
      </c>
      <c r="BA187" s="149" t="n"/>
      <c r="BB187" s="149" t="inlineStr">
        <is>
          <t>Electric servo motors</t>
        </is>
      </c>
      <c r="BC187" s="149" t="inlineStr">
        <is>
          <t>Harmonic / planetary gears (assumed)</t>
        </is>
      </c>
      <c r="BD187" s="145" t="inlineStr">
        <is>
          <t>Aluminum alloy + composites</t>
        </is>
      </c>
      <c r="BE187" s="145" t="inlineStr">
        <is>
          <t>IP54</t>
        </is>
      </c>
      <c r="BF187" s="145" t="inlineStr">
        <is>
          <t>IP54</t>
        </is>
      </c>
      <c r="BG187" s="145" t="n"/>
      <c r="BH187" s="145" t="n"/>
      <c r="BI187" s="145" t="n"/>
      <c r="BJ187" s="145" t="n"/>
      <c r="BK187" s="145" t="n"/>
      <c r="BL187" s="145" t="n"/>
      <c r="BM187" s="145" t="inlineStr">
        <is>
          <t>Yes</t>
        </is>
      </c>
      <c r="BN187" s="145" t="inlineStr">
        <is>
          <t>Not disclosed</t>
        </is>
      </c>
      <c r="BO187" s="149" t="inlineStr">
        <is>
          <t>Market: exhibitions; Industrial; Industrial R&amp;D; Research &amp; education · Manipulation 3/4 · Navigation 2/4 · Human-safe: Yes · AI: Yes · Actuation: Electric servo motors · Peak 3 km/h · Walk 3 km/h · Runtime 3</t>
        </is>
      </c>
      <c r="BP187" s="145" t="n"/>
      <c r="BQ187" s="149" t="inlineStr">
        <is>
          <t>exhibitions; Industrial; Industrial R&amp;D; Research &amp; education</t>
        </is>
      </c>
      <c r="BR187" s="149" t="inlineStr">
        <is>
          <t>Early production / limited release</t>
        </is>
      </c>
      <c r="BS187" s="149" t="inlineStr">
        <is>
          <t>Early production / limited release</t>
        </is>
      </c>
      <c r="BT187" s="145" t="inlineStr">
        <is>
          <t>White</t>
        </is>
      </c>
      <c r="BU187" s="145" t="inlineStr">
        <is>
          <t>Not verified</t>
        </is>
      </c>
      <c r="BV187" s="149" t="n"/>
      <c r="BW187" s="149" t="inlineStr">
        <is>
          <t>Origin &amp; status — China · Early production / limited release · 2026 | Manipulation — 5 per hand · 5 per hand fingers · Hand DOF 10 · Payload 26.5 lb | Sensing &amp; software — Yes · Linux-based ROS environment | Buying notes — From $140,000 · 12 months manufacturer standard (typical research/commercial humanoid) · Best fit: exhibitions</t>
        </is>
      </c>
      <c r="BX187" s="149" t="inlineStr">
        <is>
          <t>as_shipped|Songxing|140000|As shipped</t>
        </is>
      </c>
      <c r="BY187" s="145" t="inlineStr">
        <is>
          <t>white|White|#e2e8f0|0</t>
        </is>
      </c>
      <c r="BZ187" s="145" t="inlineStr"/>
      <c r="CA187" s="149" t="n"/>
      <c r="CB187" s="149" t="inlineStr">
        <is>
          <t>12 months manufacturer standard (typical research/commercial humanoid)</t>
        </is>
      </c>
      <c r="CC187" s="147" t="n">
        <v>12</v>
      </c>
      <c r="CD187" s="149" t="inlineStr">
        <is>
          <t>+3 Year Extended ≈24% of configuration (default in configurator)</t>
        </is>
      </c>
      <c r="CE187" s="145" t="inlineStr">
        <is>
          <t>Humanoid category norm 2025–2026</t>
        </is>
      </c>
      <c r="CF187" s="145" t="inlineStr">
        <is>
          <t>Estimated</t>
        </is>
      </c>
      <c r="CG187" s="149" t="inlineStr">
        <is>
          <t>Confirm on formal OEM quote. EDU or enterprise packages may differ.</t>
        </is>
      </c>
      <c r="CH187" s="145" t="inlineStr">
        <is>
          <t>10%</t>
        </is>
      </c>
      <c r="CI187" s="145" t="inlineStr">
        <is>
          <t>17%</t>
        </is>
      </c>
      <c r="CJ187" s="145" t="inlineStr">
        <is>
          <t>24%</t>
        </is>
      </c>
      <c r="CK187" s="149" t="inlineStr">
        <is>
          <t>+1yr ≈10% | +2yr ≈17% | +3yr ≈24% of selected configuration price (parts &amp; labor beyond manufacturer standard).</t>
        </is>
      </c>
      <c r="CL187"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87" s="145" t="inlineStr">
        <is>
          <t>12 months manufacturer standard (typical research/commercial humanoid)</t>
        </is>
      </c>
      <c r="CQ187" s="101" t="inlineStr">
        <is>
          <t>Height: 5 ft 5 in | Weight: 187.4 | Degrees of Freedom: 38 | Payload: 26.5 | Max Speed: 1.86 | Battery / Runtime: ≈ 3 hours</t>
        </is>
      </c>
    </row>
    <row r="188" ht="31.5" customHeight="1" s="102">
      <c r="A188" s="152" t="inlineStr">
        <is>
          <t>simplexity_robotics_i_series</t>
        </is>
      </c>
      <c r="B188" s="153" t="inlineStr">
        <is>
          <t>Humanoid.guide</t>
        </is>
      </c>
      <c r="C188" s="152" t="inlineStr">
        <is>
          <t>Simplexity Robotics</t>
        </is>
      </c>
      <c r="D188" s="152" t="inlineStr">
        <is>
          <t>I-Series</t>
        </is>
      </c>
      <c r="E188" s="152" t="inlineStr">
        <is>
          <t>[Simplexity Robotics] I-Series (2026)</t>
        </is>
      </c>
      <c r="F188" s="146" t="inlineStr">
        <is>
          <t>humanoid</t>
        </is>
      </c>
      <c r="G188" s="152" t="inlineStr">
        <is>
          <t>China</t>
        </is>
      </c>
      <c r="H188" s="152" t="n"/>
      <c r="I188" s="155" t="n">
        <v>78000</v>
      </c>
      <c r="J188" s="152" t="inlineStr">
        <is>
          <t>Humanoid.guide list</t>
        </is>
      </c>
      <c r="K188" s="156" t="inlineStr">
        <is>
          <t>The I-Series by Simplexity Robotics is a humanoid robot platform designed to combine perception, reasoning, and physical interaction in real-world environments.</t>
        </is>
      </c>
      <c r="L188" s="101" t="inlineStr">
        <is>
          <t>The I-Series by Simplexity Robotics is a humanoid robot platform designed to combine perception, reasoning, and physical interaction in real-world environments.</t>
        </is>
      </c>
      <c r="M188" s="101" t="inlineStr">
        <is>
          <t>The I-Series by Simplexity Robotics is a humanoid robot platform designed to combine perception, reasoning, and physical interaction in real-world environments. Public status is listed as prototype, and it is positioned for aI research; Industrial automation; logistics; retail.</t>
        </is>
      </c>
      <c r="N188" s="157" t="inlineStr">
        <is>
          <t>https://humanoid.guide/product/simplexity-robotics-i-series/</t>
        </is>
      </c>
      <c r="O188" s="152" t="inlineStr">
        <is>
          <t>https://www.simplexity.com</t>
        </is>
      </c>
      <c r="P188" s="152" t="inlineStr">
        <is>
          <t>5 ft 9 in</t>
        </is>
      </c>
      <c r="Q188" s="152" t="n">
        <v>175</v>
      </c>
      <c r="R188" s="152" t="n">
        <v>132.3</v>
      </c>
      <c r="S188" s="152" t="n">
        <v>60</v>
      </c>
      <c r="T188" s="156" t="inlineStr">
        <is>
          <t>Not disclosed</t>
        </is>
      </c>
      <c r="U188" s="152" t="n"/>
      <c r="V188" s="152" t="inlineStr">
        <is>
          <t>20</t>
        </is>
      </c>
      <c r="W188" s="156" t="inlineStr">
        <is>
          <t>10</t>
        </is>
      </c>
      <c r="X188" s="152" t="n">
        <v>11</v>
      </c>
      <c r="Y188" s="152" t="n">
        <v>5</v>
      </c>
      <c r="Z188" s="152" t="n">
        <v>1.86</v>
      </c>
      <c r="AA188" s="152" t="n">
        <v>3</v>
      </c>
      <c r="AB188" s="152" t="n"/>
      <c r="AC188" s="156" t="inlineStr">
        <is>
          <t>≈ 2 hours</t>
        </is>
      </c>
      <c r="AD188" s="156" t="inlineStr">
        <is>
          <t>2</t>
        </is>
      </c>
      <c r="AE188" s="152" t="n"/>
      <c r="AF188" s="152" t="inlineStr">
        <is>
          <t>Not disclosed</t>
        </is>
      </c>
      <c r="AG188" s="156" t="inlineStr">
        <is>
          <t>5</t>
        </is>
      </c>
      <c r="AH188" s="152" t="inlineStr">
        <is>
          <t>5</t>
        </is>
      </c>
      <c r="AI188" s="152" t="n"/>
      <c r="AJ188" s="156" t="inlineStr">
        <is>
          <t>Not disclosed</t>
        </is>
      </c>
      <c r="AK188" s="156" t="n"/>
      <c r="AL188" s="152" t="inlineStr">
        <is>
          <t>Not disclosed</t>
        </is>
      </c>
      <c r="AM188" s="152" t="n"/>
      <c r="AN188" s="152" t="inlineStr">
        <is>
          <t>Not disclosed</t>
        </is>
      </c>
      <c r="AO188" s="152" t="inlineStr">
        <is>
          <t>Not disclosed</t>
        </is>
      </c>
      <c r="AP188" s="152" t="inlineStr">
        <is>
          <t>Not disclosed</t>
        </is>
      </c>
      <c r="AQ188" s="152" t="inlineStr">
        <is>
          <t>Not disclosed</t>
        </is>
      </c>
      <c r="AR188" s="152" t="n"/>
      <c r="AS188" s="152" t="n"/>
      <c r="AT188" s="156" t="inlineStr">
        <is>
          <t>AI compute platform (likely GPU + edge AI accelerators)</t>
        </is>
      </c>
      <c r="AU188" s="156" t="inlineStr">
        <is>
          <t>Ethernet; Wi-Fi</t>
        </is>
      </c>
      <c r="AV188" s="152" t="inlineStr">
        <is>
          <t>Not disclosed</t>
        </is>
      </c>
      <c r="AW188" s="156" t="inlineStr">
        <is>
          <t>Not disclosed</t>
        </is>
      </c>
      <c r="AX188" s="152" t="n"/>
      <c r="AY188" s="156" t="inlineStr">
        <is>
          <t>Not disclosed</t>
        </is>
      </c>
      <c r="AZ188" s="156" t="inlineStr">
        <is>
          <t>Yes</t>
        </is>
      </c>
      <c r="BA188" s="156" t="n"/>
      <c r="BB188" s="156" t="inlineStr">
        <is>
          <t>Electric actuators with torque control</t>
        </is>
      </c>
      <c r="BC188" s="156" t="inlineStr">
        <is>
          <t>Harmonic / reduction gears</t>
        </is>
      </c>
      <c r="BD188" s="152" t="inlineStr">
        <is>
          <t>Aluminum + composite materials</t>
        </is>
      </c>
      <c r="BE188" s="152" t="inlineStr">
        <is>
          <t>Not disclosed</t>
        </is>
      </c>
      <c r="BF188" s="152" t="n"/>
      <c r="BG188" s="152" t="n"/>
      <c r="BH188" s="152" t="n"/>
      <c r="BI188" s="152" t="n"/>
      <c r="BJ188" s="152" t="n"/>
      <c r="BK188" s="152" t="n"/>
      <c r="BL188" s="152" t="n"/>
      <c r="BM188" s="152" t="inlineStr">
        <is>
          <t>Yes</t>
        </is>
      </c>
      <c r="BN188" s="152" t="inlineStr">
        <is>
          <t>Not disclosed</t>
        </is>
      </c>
      <c r="BO188" s="156" t="inlineStr">
        <is>
          <t>Market: AI research; Industrial automation; logistics; retail · Human-safe: Yes · AI: Yes · Actuation: Electric actuators with torque control · Peak 3 km/h · Runtime 2</t>
        </is>
      </c>
      <c r="BP188" s="152" t="n"/>
      <c r="BQ188" s="156" t="inlineStr">
        <is>
          <t>AI research; Industrial automation; logistics; retail</t>
        </is>
      </c>
      <c r="BR188" s="156" t="inlineStr">
        <is>
          <t>Prototype</t>
        </is>
      </c>
      <c r="BS188" s="156" t="inlineStr">
        <is>
          <t>Prototype</t>
        </is>
      </c>
      <c r="BT188" s="152" t="inlineStr">
        <is>
          <t>White</t>
        </is>
      </c>
      <c r="BU188" s="152" t="inlineStr">
        <is>
          <t>Not verified</t>
        </is>
      </c>
      <c r="BV188" s="156" t="n"/>
      <c r="BW188" s="156" t="inlineStr">
        <is>
          <t>Origin &amp; status — China · Prototype · 2026 | Manipulation — 5 · 5 fingers · Hand DOF 10 · Payload 11 lb | Sensing &amp; software — Yes | Buying notes — From $78,000 · 12 months manufacturer standard (typical research/commercial humanoid) · Best fit: AI research</t>
        </is>
      </c>
      <c r="BX188" s="156" t="inlineStr">
        <is>
          <t>as_shipped|I-Series|78000|As shipped</t>
        </is>
      </c>
      <c r="BY188" s="152" t="inlineStr">
        <is>
          <t>white|White|#e2e8f0|0</t>
        </is>
      </c>
      <c r="BZ188" s="152" t="inlineStr"/>
      <c r="CA188" s="156" t="n"/>
      <c r="CB188" s="156" t="inlineStr">
        <is>
          <t>12 months manufacturer standard (typical research/commercial humanoid)</t>
        </is>
      </c>
      <c r="CC188" s="154" t="n">
        <v>12</v>
      </c>
      <c r="CD188" s="156" t="inlineStr">
        <is>
          <t>+3 Year Extended ≈24% of configuration (default in configurator)</t>
        </is>
      </c>
      <c r="CE188" s="152" t="inlineStr">
        <is>
          <t>Humanoid category norm 2025–2026</t>
        </is>
      </c>
      <c r="CF188" s="152" t="inlineStr">
        <is>
          <t>Estimated</t>
        </is>
      </c>
      <c r="CG188" s="156" t="inlineStr">
        <is>
          <t>Confirm on formal OEM quote. EDU or enterprise packages may differ.</t>
        </is>
      </c>
      <c r="CH188" s="152" t="inlineStr">
        <is>
          <t>10%</t>
        </is>
      </c>
      <c r="CI188" s="152" t="inlineStr">
        <is>
          <t>17%</t>
        </is>
      </c>
      <c r="CJ188" s="152" t="inlineStr">
        <is>
          <t>24%</t>
        </is>
      </c>
      <c r="CK188" s="156" t="inlineStr">
        <is>
          <t>+1yr ≈10% | +2yr ≈17% | +3yr ≈24% of selected configuration price (parts &amp; labor beyond manufacturer standard).</t>
        </is>
      </c>
      <c r="CL188"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88" s="152" t="inlineStr">
        <is>
          <t>12 months manufacturer standard (typical research/commercial humanoid)</t>
        </is>
      </c>
      <c r="CQ188" s="101" t="inlineStr">
        <is>
          <t>Height: 5 ft 9 in | Weight: 132.3 | Degrees of Freedom: 20 | Payload: 11 | Max Speed: 1.86 | Battery / Runtime: ≈ 2 hours</t>
        </is>
      </c>
    </row>
    <row r="189" ht="31.5" customHeight="1" s="102">
      <c r="A189" s="145" t="inlineStr">
        <is>
          <t>spirit_ai_moz1</t>
        </is>
      </c>
      <c r="B189" s="153" t="inlineStr">
        <is>
          <t>Humanoid.guide</t>
        </is>
      </c>
      <c r="C189" s="145" t="inlineStr">
        <is>
          <t>Spirit AI</t>
        </is>
      </c>
      <c r="D189" s="145" t="inlineStr">
        <is>
          <t>Moz1</t>
        </is>
      </c>
      <c r="E189" s="145" t="inlineStr">
        <is>
          <t>[Spirit AI] Moz1 (2026)</t>
        </is>
      </c>
      <c r="F189" s="146" t="inlineStr">
        <is>
          <t>humanoid</t>
        </is>
      </c>
      <c r="G189" s="145" t="inlineStr">
        <is>
          <t>China</t>
        </is>
      </c>
      <c r="H189" s="145" t="n"/>
      <c r="I189" s="148" t="n">
        <v>150000</v>
      </c>
      <c r="J189" s="145" t="inlineStr">
        <is>
          <t>Humanoid.guide list</t>
        </is>
      </c>
      <c r="K189" s="149" t="inlineStr">
        <is>
          <t>The Moz1 is a high-performance bipedal humanoid robot developed by Spirit AI, integrating an in-house Vision-Language-Action (VLA) model called Spirit V1.</t>
        </is>
      </c>
      <c r="L189" s="101" t="inlineStr">
        <is>
          <t>The Moz1 is a high-performance bipedal humanoid robot developed by Spirit AI, integrating an in-house Vision-Language-Action (VLA) model called Spirit V1.</t>
        </is>
      </c>
      <c r="M189" s="101" t="inlineStr">
        <is>
          <t>The Moz1 is a high-performance bipedal humanoid robot developed by Spirit AI, integrating an in-house Vision-Language-Action (VLA) model called Spirit V1. Public status is listed as prototype, and it is positioned for aI research; education; service robotics.</t>
        </is>
      </c>
      <c r="N189" s="150" t="inlineStr">
        <is>
          <t>https://humanoid.guide/product/moz1/</t>
        </is>
      </c>
      <c r="O189" s="150" t="inlineStr">
        <is>
          <t>https://spirit-ai.com/</t>
        </is>
      </c>
      <c r="P189" s="145" t="inlineStr">
        <is>
          <t>5 ft 3 in</t>
        </is>
      </c>
      <c r="Q189" s="145" t="n">
        <v>160</v>
      </c>
      <c r="R189" s="145" t="n">
        <v>154.3</v>
      </c>
      <c r="S189" s="145" t="n">
        <v>70</v>
      </c>
      <c r="T189" s="149" t="inlineStr">
        <is>
          <t>Not disclosed</t>
        </is>
      </c>
      <c r="U189" s="145" t="inlineStr">
        <is>
          <t>~180 × 85 × 65 cm</t>
        </is>
      </c>
      <c r="V189" s="145" t="inlineStr">
        <is>
          <t>26</t>
        </is>
      </c>
      <c r="W189" s="149" t="inlineStr">
        <is>
          <t>&amp;gt;10</t>
        </is>
      </c>
      <c r="X189" s="145" t="n">
        <v>57.3</v>
      </c>
      <c r="Y189" s="145" t="n">
        <v>26</v>
      </c>
      <c r="Z189" s="145" t="n">
        <v>2.24</v>
      </c>
      <c r="AA189" s="145" t="n">
        <v>3.6</v>
      </c>
      <c r="AB189" s="145" t="n">
        <v>3.5</v>
      </c>
      <c r="AC189" s="149" t="inlineStr">
        <is>
          <t>≈ 3 hours</t>
        </is>
      </c>
      <c r="AD189" s="149" t="inlineStr">
        <is>
          <t>3</t>
        </is>
      </c>
      <c r="AE189" s="145" t="n"/>
      <c r="AF189" s="145" t="inlineStr">
        <is>
          <t>Not disclosed</t>
        </is>
      </c>
      <c r="AG189" s="149" t="inlineStr">
        <is>
          <t>5 per hand</t>
        </is>
      </c>
      <c r="AH189" s="145" t="inlineStr">
        <is>
          <t>5 per hand</t>
        </is>
      </c>
      <c r="AI189" s="151" t="n">
        <v>3</v>
      </c>
      <c r="AJ189" s="149" t="inlineStr">
        <is>
          <t>RGB + depth cameras, ~1080p</t>
        </is>
      </c>
      <c r="AK189" s="149" t="inlineStr">
        <is>
          <t>RGB + depth cameras, ~1080p</t>
        </is>
      </c>
      <c r="AL189" s="145" t="inlineStr">
        <is>
          <t>Not disclosed</t>
        </is>
      </c>
      <c r="AM189" s="145" t="n"/>
      <c r="AN189" s="145" t="inlineStr">
        <is>
          <t>Not disclosed</t>
        </is>
      </c>
      <c r="AO189" s="145" t="inlineStr">
        <is>
          <t>Not disclosed</t>
        </is>
      </c>
      <c r="AP189" s="145" t="inlineStr">
        <is>
          <t>Not disclosed</t>
        </is>
      </c>
      <c r="AQ189" s="145" t="inlineStr">
        <is>
          <t>Not disclosed</t>
        </is>
      </c>
      <c r="AR189" s="145" t="n"/>
      <c r="AS189" s="145" t="n"/>
      <c r="AT189" s="149" t="inlineStr">
        <is>
          <t>Industrial CPU + AI accelerator / GPU (assumed)</t>
        </is>
      </c>
      <c r="AU189" s="149" t="inlineStr">
        <is>
          <t>Ethernet; USB; Wi‑Fi</t>
        </is>
      </c>
      <c r="AV189" s="145" t="inlineStr">
        <is>
          <t>Not disclosed</t>
        </is>
      </c>
      <c r="AW189" s="149" t="inlineStr">
        <is>
          <t>Not disclosed</t>
        </is>
      </c>
      <c r="AX189" s="151" t="n">
        <v>3</v>
      </c>
      <c r="AY189" s="149" t="inlineStr">
        <is>
          <t>Linux-based / ROS</t>
        </is>
      </c>
      <c r="AZ189" s="149" t="inlineStr">
        <is>
          <t>Possible via external system integration</t>
        </is>
      </c>
      <c r="BA189" s="149" t="inlineStr">
        <is>
          <t>150–250 ms</t>
        </is>
      </c>
      <c r="BB189" s="149" t="inlineStr">
        <is>
          <t>Electric servo motors</t>
        </is>
      </c>
      <c r="BC189" s="149" t="inlineStr">
        <is>
          <t>Harmonic / compact precision gears</t>
        </is>
      </c>
      <c r="BD189" s="145" t="inlineStr">
        <is>
          <t>Aluminum alloy + composites</t>
        </is>
      </c>
      <c r="BE189" s="145" t="inlineStr">
        <is>
          <t>Not disclosed</t>
        </is>
      </c>
      <c r="BF189" s="145" t="n"/>
      <c r="BG189" s="145" t="n"/>
      <c r="BH189" s="145" t="n"/>
      <c r="BI189" s="145" t="n"/>
      <c r="BJ189" s="145" t="n"/>
      <c r="BK189" s="145" t="n"/>
      <c r="BL189" s="145" t="n"/>
      <c r="BM189" s="145" t="inlineStr">
        <is>
          <t>Yes</t>
        </is>
      </c>
      <c r="BN189" s="145" t="inlineStr">
        <is>
          <t>Not disclosed</t>
        </is>
      </c>
      <c r="BO189" s="149" t="inlineStr">
        <is>
          <t>Market: AI research; education; service robotics · Manipulation 3/4 · Navigation 3/4 · Human-safe: Yes · AI: Possible via external system integration · Actuation: Electric servo motors · Peak 3.6 km/h · Walk 3.5 km/h · Runtime 3</t>
        </is>
      </c>
      <c r="BP189" s="145" t="n"/>
      <c r="BQ189" s="149" t="inlineStr">
        <is>
          <t>AI research; education; service robotics</t>
        </is>
      </c>
      <c r="BR189" s="149" t="inlineStr">
        <is>
          <t>Prototype</t>
        </is>
      </c>
      <c r="BS189" s="149" t="inlineStr">
        <is>
          <t>Prototype</t>
        </is>
      </c>
      <c r="BT189" s="145" t="inlineStr">
        <is>
          <t>Black</t>
        </is>
      </c>
      <c r="BU189" s="145" t="inlineStr">
        <is>
          <t>Not verified</t>
        </is>
      </c>
      <c r="BV189" s="149" t="n"/>
      <c r="BW189" s="149" t="inlineStr">
        <is>
          <t>Origin &amp; status — China · Prototype · 2026 | Manipulation — 5 per hand · 5 per hand fingers · Hand DOF &amp;gt;10 · Payload 57.3 lb | Sensing &amp; software — RGB + depth cameras, ~1080p · Possible via external system integration · Linux-based / ROS | Buying notes — From $150,000 · 12 months manufacturer standard (typical research/commercial humanoid) · Best fit: AI research</t>
        </is>
      </c>
      <c r="BX189" s="149" t="inlineStr">
        <is>
          <t>as_shipped|Moz1|150000|As shipped</t>
        </is>
      </c>
      <c r="BY189" s="145" t="inlineStr">
        <is>
          <t>black|Black|#e2e8f0|0</t>
        </is>
      </c>
      <c r="BZ189" s="145" t="inlineStr"/>
      <c r="CA189" s="149" t="n"/>
      <c r="CB189" s="149" t="inlineStr">
        <is>
          <t>12 months manufacturer standard (typical research/commercial humanoid)</t>
        </is>
      </c>
      <c r="CC189" s="147" t="n">
        <v>12</v>
      </c>
      <c r="CD189" s="149" t="inlineStr">
        <is>
          <t>+3 Year Extended ≈24% of configuration (default in configurator)</t>
        </is>
      </c>
      <c r="CE189" s="145" t="inlineStr">
        <is>
          <t>Humanoid category norm 2025–2026</t>
        </is>
      </c>
      <c r="CF189" s="145" t="inlineStr">
        <is>
          <t>Estimated</t>
        </is>
      </c>
      <c r="CG189" s="149" t="inlineStr">
        <is>
          <t>Confirm on formal OEM quote. EDU or enterprise packages may differ.</t>
        </is>
      </c>
      <c r="CH189" s="145" t="inlineStr">
        <is>
          <t>10%</t>
        </is>
      </c>
      <c r="CI189" s="145" t="inlineStr">
        <is>
          <t>17%</t>
        </is>
      </c>
      <c r="CJ189" s="145" t="inlineStr">
        <is>
          <t>24%</t>
        </is>
      </c>
      <c r="CK189" s="149" t="inlineStr">
        <is>
          <t>+1yr ≈10% | +2yr ≈17% | +3yr ≈24% of selected configuration price (parts &amp; labor beyond manufacturer standard).</t>
        </is>
      </c>
      <c r="CL18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89" s="145" t="inlineStr">
        <is>
          <t>12 months manufacturer standard (typical research/commercial humanoid)</t>
        </is>
      </c>
      <c r="CQ189" s="101" t="inlineStr">
        <is>
          <t>Height: 5 ft 3 in | Weight: 154.3 | Degrees of Freedom: 26 | Payload: 57.3 | Max Speed: 2.24 | Battery / Runtime: ≈ 3 hours</t>
        </is>
      </c>
    </row>
    <row r="190" ht="31.5" customHeight="1" s="102">
      <c r="A190" s="152" t="inlineStr">
        <is>
          <t>sulu_be_steve</t>
        </is>
      </c>
      <c r="B190" s="153" t="inlineStr">
        <is>
          <t>Humanoid.guide</t>
        </is>
      </c>
      <c r="C190" s="152" t="inlineStr">
        <is>
          <t>Sulu.be</t>
        </is>
      </c>
      <c r="D190" s="152" t="inlineStr">
        <is>
          <t>Steve</t>
        </is>
      </c>
      <c r="E190" s="152" t="inlineStr">
        <is>
          <t>[Sulu.be] Steve (2026)</t>
        </is>
      </c>
      <c r="F190" s="146" t="inlineStr">
        <is>
          <t>humanoid</t>
        </is>
      </c>
      <c r="G190" s="152" t="inlineStr">
        <is>
          <t>Belgian</t>
        </is>
      </c>
      <c r="H190" s="152" t="n"/>
      <c r="I190" s="155" t="n">
        <v>60000</v>
      </c>
      <c r="J190" s="152" t="inlineStr">
        <is>
          <t>Humanoid.guide list</t>
        </is>
      </c>
      <c r="K190" s="156" t="inlineStr">
        <is>
          <t>Steve is a 210 cm tall humanoid robot blending robotics with character design, created to engage people emotionally rather than functionally.</t>
        </is>
      </c>
      <c r="L190" s="101" t="inlineStr">
        <is>
          <t>Steve is a 210 cm tall humanoid robot blending robotics with character design, created to engage people emotionally rather than functionally.</t>
        </is>
      </c>
      <c r="M190" s="101" t="inlineStr">
        <is>
          <t>Steve is a 210 cm tall humanoid robot blending robotics with character design, created to engage people emotionally rather than functionally. Public status is listed as in production, and it is positioned for entertainment; Hospitality.</t>
        </is>
      </c>
      <c r="N190" s="157" t="inlineStr">
        <is>
          <t>https://humanoid.guide/product/steve/</t>
        </is>
      </c>
      <c r="O190" s="157" t="inlineStr">
        <is>
          <t>https://jandecoster.com/</t>
        </is>
      </c>
      <c r="P190" s="152" t="inlineStr">
        <is>
          <t>6 ft 11 in</t>
        </is>
      </c>
      <c r="Q190" s="152" t="n">
        <v>210</v>
      </c>
      <c r="R190" s="152" t="n">
        <v>308.6</v>
      </c>
      <c r="S190" s="152" t="n">
        <v>140</v>
      </c>
      <c r="T190" s="156" t="inlineStr">
        <is>
          <t>Not disclosed</t>
        </is>
      </c>
      <c r="U190" s="152" t="n"/>
      <c r="V190" s="152" t="inlineStr">
        <is>
          <t>22</t>
        </is>
      </c>
      <c r="W190" s="156" t="inlineStr">
        <is>
          <t>2</t>
        </is>
      </c>
      <c r="X190" s="152" t="n">
        <v>11</v>
      </c>
      <c r="Y190" s="152" t="n">
        <v>5</v>
      </c>
      <c r="Z190" s="152" t="n">
        <v>4.97</v>
      </c>
      <c r="AA190" s="152" t="n">
        <v>8</v>
      </c>
      <c r="AB190" s="152" t="n"/>
      <c r="AC190" s="156" t="inlineStr">
        <is>
          <t>≈ 2 hours</t>
        </is>
      </c>
      <c r="AD190" s="156" t="inlineStr">
        <is>
          <t>2</t>
        </is>
      </c>
      <c r="AE190" s="152" t="n"/>
      <c r="AF190" s="152" t="inlineStr">
        <is>
          <t>Not disclosed</t>
        </is>
      </c>
      <c r="AG190" s="156" t="inlineStr">
        <is>
          <t>10</t>
        </is>
      </c>
      <c r="AH190" s="152" t="inlineStr">
        <is>
          <t>10</t>
        </is>
      </c>
      <c r="AI190" s="158" t="n">
        <v>2</v>
      </c>
      <c r="AJ190" s="156" t="inlineStr">
        <is>
          <t>Not disclosed</t>
        </is>
      </c>
      <c r="AK190" s="156" t="n"/>
      <c r="AL190" s="152" t="inlineStr">
        <is>
          <t>Not disclosed</t>
        </is>
      </c>
      <c r="AM190" s="152" t="n"/>
      <c r="AN190" s="152" t="inlineStr">
        <is>
          <t>Not disclosed</t>
        </is>
      </c>
      <c r="AO190" s="152" t="inlineStr">
        <is>
          <t>Not disclosed</t>
        </is>
      </c>
      <c r="AP190" s="152" t="inlineStr">
        <is>
          <t>Not disclosed</t>
        </is>
      </c>
      <c r="AQ190" s="152" t="inlineStr">
        <is>
          <t>Not disclosed</t>
        </is>
      </c>
      <c r="AR190" s="152" t="n"/>
      <c r="AS190" s="152" t="n"/>
      <c r="AT190" s="156" t="inlineStr">
        <is>
          <t>Arduino</t>
        </is>
      </c>
      <c r="AU190" s="156" t="inlineStr">
        <is>
          <t>WiFi</t>
        </is>
      </c>
      <c r="AV190" s="152" t="inlineStr">
        <is>
          <t>Not disclosed</t>
        </is>
      </c>
      <c r="AW190" s="156" t="inlineStr">
        <is>
          <t>Not disclosed</t>
        </is>
      </c>
      <c r="AX190" s="158" t="n">
        <v>2</v>
      </c>
      <c r="AY190" s="156" t="inlineStr">
        <is>
          <t>Arduino</t>
        </is>
      </c>
      <c r="AZ190" s="156" t="inlineStr">
        <is>
          <t>OpenAI</t>
        </is>
      </c>
      <c r="BA190" s="156" t="n"/>
      <c r="BB190" s="156" t="inlineStr">
        <is>
          <t>DC</t>
        </is>
      </c>
      <c r="BC190" s="156" t="inlineStr">
        <is>
          <t>Aluminium Custom Gears</t>
        </is>
      </c>
      <c r="BD190" s="152" t="inlineStr">
        <is>
          <t>Aluminium; Steel</t>
        </is>
      </c>
      <c r="BE190" s="152" t="inlineStr">
        <is>
          <t>1</t>
        </is>
      </c>
      <c r="BF190" s="152" t="inlineStr">
        <is>
          <t>1</t>
        </is>
      </c>
      <c r="BG190" s="152" t="n"/>
      <c r="BH190" s="152" t="n"/>
      <c r="BI190" s="152" t="n"/>
      <c r="BJ190" s="152" t="n"/>
      <c r="BK190" s="152" t="n"/>
      <c r="BL190" s="152" t="n"/>
      <c r="BM190" s="152" t="inlineStr">
        <is>
          <t>Yes</t>
        </is>
      </c>
      <c r="BN190" s="152" t="inlineStr">
        <is>
          <t>Not disclosed</t>
        </is>
      </c>
      <c r="BO190" s="156" t="inlineStr">
        <is>
          <t>Market: Entertainment; Hospitality · Manipulation 2/4 · Navigation 2/4 · Human-safe: Yes · AI: OpenAI · Actuation: DC · Peak 8 km/h · Runtime 2</t>
        </is>
      </c>
      <c r="BP190" s="152" t="n"/>
      <c r="BQ190" s="156" t="inlineStr">
        <is>
          <t>Entertainment; Hospitality</t>
        </is>
      </c>
      <c r="BR190" s="156" t="inlineStr">
        <is>
          <t>In production</t>
        </is>
      </c>
      <c r="BS190" s="156" t="inlineStr">
        <is>
          <t>In production</t>
        </is>
      </c>
      <c r="BT190" s="152" t="n"/>
      <c r="BU190" s="152" t="inlineStr">
        <is>
          <t>Not verified</t>
        </is>
      </c>
      <c r="BV190" s="156" t="n"/>
      <c r="BW190" s="156" t="inlineStr">
        <is>
          <t>Origin &amp; status — Belgian · In production · 2026 | Manipulation — 10 · 10 fingers · Hand DOF 2 · Payload 11 lb | Sensing &amp; software — OpenAI · Arduino | Buying notes — From $60,000 · 12 months manufacturer standard (typical research/commercial humanoid) · Best fit: Entertainment</t>
        </is>
      </c>
      <c r="BX190" s="156" t="inlineStr">
        <is>
          <t>as_shipped|Steve|60000|As shipped</t>
        </is>
      </c>
      <c r="BY190" s="152" t="inlineStr">
        <is>
          <t>steve|Manufacturer finish|#e2e8f0|0</t>
        </is>
      </c>
      <c r="BZ190" s="152" t="inlineStr"/>
      <c r="CA190" s="156" t="n"/>
      <c r="CB190" s="156" t="inlineStr">
        <is>
          <t>12 months manufacturer standard (typical research/commercial humanoid)</t>
        </is>
      </c>
      <c r="CC190" s="154" t="n">
        <v>12</v>
      </c>
      <c r="CD190" s="156" t="inlineStr">
        <is>
          <t>+3 Year Extended ≈24% of configuration (default in configurator)</t>
        </is>
      </c>
      <c r="CE190" s="152" t="inlineStr">
        <is>
          <t>Humanoid category norm 2025–2026</t>
        </is>
      </c>
      <c r="CF190" s="152" t="inlineStr">
        <is>
          <t>Estimated</t>
        </is>
      </c>
      <c r="CG190" s="156" t="inlineStr">
        <is>
          <t>Confirm on formal OEM quote. EDU or enterprise packages may differ.</t>
        </is>
      </c>
      <c r="CH190" s="152" t="inlineStr">
        <is>
          <t>10%</t>
        </is>
      </c>
      <c r="CI190" s="152" t="inlineStr">
        <is>
          <t>17%</t>
        </is>
      </c>
      <c r="CJ190" s="152" t="inlineStr">
        <is>
          <t>24%</t>
        </is>
      </c>
      <c r="CK190" s="156" t="inlineStr">
        <is>
          <t>+1yr ≈10% | +2yr ≈17% | +3yr ≈24% of selected configuration price (parts &amp; labor beyond manufacturer standard).</t>
        </is>
      </c>
      <c r="CL190"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90" s="152" t="inlineStr">
        <is>
          <t>12 months manufacturer standard (typical research/commercial humanoid)</t>
        </is>
      </c>
      <c r="CQ190" s="101" t="inlineStr">
        <is>
          <t>Height: 6 ft 11 in | Weight: 308.6 | Degrees of Freedom: 22 | Payload: 11 | Max Speed: 4.97 | Battery / Runtime: ≈ 2 hours</t>
        </is>
      </c>
    </row>
    <row r="191" ht="31.5" customHeight="1" s="102">
      <c r="A191" s="143" t="inlineStr">
        <is>
          <t>sunday_robotics_memo</t>
        </is>
      </c>
      <c r="B191" s="153" t="inlineStr">
        <is>
          <t>Major-player brief 11 Sep 2026</t>
        </is>
      </c>
      <c r="C191" s="145" t="inlineStr">
        <is>
          <t>Sunday Robotics</t>
        </is>
      </c>
      <c r="D191" s="145" t="inlineStr">
        <is>
          <t>Memo</t>
        </is>
      </c>
      <c r="E191" s="145" t="inlineStr">
        <is>
          <t>[Sunday Robotics] Memo (2026)</t>
        </is>
      </c>
      <c r="F191" s="146" t="inlineStr">
        <is>
          <t>humanoid</t>
        </is>
      </c>
      <c r="G191" s="145" t="inlineStr">
        <is>
          <t>USA</t>
        </is>
      </c>
      <c r="H191" s="198" t="n">
        <v>2026</v>
      </c>
      <c r="I191" s="148" t="n">
        <v>10000</v>
      </c>
      <c r="J191" s="145" t="inlineStr">
        <is>
          <t>Humanoid.guide list</t>
        </is>
      </c>
      <c r="K191" s="149" t="inlineStr">
        <is>
          <t>Memo is designed for household chores such as clearing tables, loading dishwashers and handling laundry.</t>
        </is>
      </c>
      <c r="L191" s="101" t="inlineStr">
        <is>
          <t>Memo is designed for household chores such as clearing tables, loading dishwashers and handling laundry.</t>
        </is>
      </c>
      <c r="M191" s="101" t="inlineStr">
        <is>
          <t>Sunday Robotics built Memo as a wheeled home robot trained on real-home data. It is aimed at clearing tables, loading dishwashers, and handling laundry rather than walking like a biped.</t>
        </is>
      </c>
      <c r="N191" s="150" t="inlineStr">
        <is>
          <t>https://humanoid.guide/product/memo/</t>
        </is>
      </c>
      <c r="O191" s="150" t="inlineStr">
        <is>
          <t>https://www.sunday.ai</t>
        </is>
      </c>
      <c r="P191" s="145" t="inlineStr">
        <is>
          <t>5 ft 7 in</t>
        </is>
      </c>
      <c r="Q191" s="145" t="n">
        <v>170</v>
      </c>
      <c r="R191" s="145" t="n">
        <v>169.8</v>
      </c>
      <c r="S191" s="145" t="n">
        <v>77</v>
      </c>
      <c r="T191" s="149" t="inlineStr">
        <is>
          <t>Not disclosed</t>
        </is>
      </c>
      <c r="U191" s="145" t="n"/>
      <c r="V191" s="145" t="inlineStr">
        <is>
          <t>20</t>
        </is>
      </c>
      <c r="W191" s="149" t="inlineStr">
        <is>
          <t>3</t>
        </is>
      </c>
      <c r="X191" s="145" t="n">
        <v>13.2</v>
      </c>
      <c r="Y191" s="145" t="n">
        <v>6</v>
      </c>
      <c r="Z191" s="145" t="n">
        <v>2.24</v>
      </c>
      <c r="AA191" s="145" t="n">
        <v>3.6</v>
      </c>
      <c r="AB191" s="145" t="n">
        <v>3.6</v>
      </c>
      <c r="AC191" s="149" t="inlineStr">
        <is>
          <t>≈ 4 hours</t>
        </is>
      </c>
      <c r="AD191" s="149" t="inlineStr">
        <is>
          <t>4</t>
        </is>
      </c>
      <c r="AE191" s="145" t="n"/>
      <c r="AF191" s="145" t="inlineStr">
        <is>
          <t>Not disclosed</t>
        </is>
      </c>
      <c r="AG191" s="149" t="inlineStr">
        <is>
          <t>4</t>
        </is>
      </c>
      <c r="AH191" s="145" t="inlineStr">
        <is>
          <t>4</t>
        </is>
      </c>
      <c r="AI191" s="158" t="n">
        <v>2</v>
      </c>
      <c r="AJ191" s="149" t="inlineStr">
        <is>
          <t>Not disclosed</t>
        </is>
      </c>
      <c r="AK191" s="149" t="inlineStr">
        <is>
          <t>Not specified</t>
        </is>
      </c>
      <c r="AL191" s="145" t="inlineStr">
        <is>
          <t>Not disclosed</t>
        </is>
      </c>
      <c r="AM191" s="145" t="n"/>
      <c r="AN191" s="145" t="inlineStr">
        <is>
          <t>Not disclosed</t>
        </is>
      </c>
      <c r="AO191" s="145" t="inlineStr">
        <is>
          <t>Not disclosed</t>
        </is>
      </c>
      <c r="AP191" s="145" t="inlineStr">
        <is>
          <t>Not disclosed</t>
        </is>
      </c>
      <c r="AQ191" s="145" t="inlineStr">
        <is>
          <t>Not disclosed</t>
        </is>
      </c>
      <c r="AR191" s="145" t="n"/>
      <c r="AS191" s="145" t="n"/>
      <c r="AT191" s="149" t="inlineStr">
        <is>
          <t>Likely onboard GPU-accelerated compute plus edge services for ACT-1</t>
        </is>
      </c>
      <c r="AU191" s="149" t="inlineStr">
        <is>
          <t>Not disclosed</t>
        </is>
      </c>
      <c r="AV191" s="145" t="inlineStr">
        <is>
          <t>Not disclosed</t>
        </is>
      </c>
      <c r="AW191" s="149" t="inlineStr">
        <is>
          <t>Not disclosed</t>
        </is>
      </c>
      <c r="AX191" s="158" t="n">
        <v>2</v>
      </c>
      <c r="AY191" s="149" t="inlineStr">
        <is>
          <t>Not disclosed; internal robotics stack running ACT-1; likely Linux-based</t>
        </is>
      </c>
      <c r="AZ191" s="149" t="inlineStr">
        <is>
          <t>Uses ACT-1 robot foundation model for policy and planning; no public integration with general-purpose chat LLMs announced</t>
        </is>
      </c>
      <c r="BA191" s="149" t="inlineStr">
        <is>
          <t>Not specified</t>
        </is>
      </c>
      <c r="BB191" s="149" t="inlineStr">
        <is>
          <t>Not disclosed</t>
        </is>
      </c>
      <c r="BC191" s="149" t="inlineStr">
        <is>
          <t>Not disclosed</t>
        </is>
      </c>
      <c r="BD191" s="145" t="inlineStr">
        <is>
          <t>Internal structure with rigid + elastic polymers, soft silicone outer shell</t>
        </is>
      </c>
      <c r="BE191" s="145" t="inlineStr">
        <is>
          <t>Not disclosed</t>
        </is>
      </c>
      <c r="BF191" s="145" t="inlineStr">
        <is>
          <t>Not specified</t>
        </is>
      </c>
      <c r="BG191" s="145" t="n"/>
      <c r="BH191" s="145" t="n"/>
      <c r="BI191" s="145" t="n"/>
      <c r="BJ191" s="145" t="n"/>
      <c r="BK191" s="145" t="n"/>
      <c r="BL191" s="145" t="n"/>
      <c r="BM191" s="145" t="inlineStr">
        <is>
          <t>Yes</t>
        </is>
      </c>
      <c r="BN191" s="145" t="inlineStr">
        <is>
          <t>Not disclosed</t>
        </is>
      </c>
      <c r="BO191" s="149" t="inlineStr">
        <is>
          <t>Market: Domestic home chores · Manipulation 2/4 · Navigation 2/4 · Human-safe: Yes · AI: Uses ACT-1 robot foundation model for policy and planning; no public integration with general-purpose chat LLMs announced · Actuation: Not specified · Peak 3.6 km/h · Walk 3.6 km/h · Runtime 4</t>
        </is>
      </c>
      <c r="BP191" s="145" t="n"/>
      <c r="BQ191" s="149" t="inlineStr">
        <is>
          <t>Household chores — tables, dishwashers, laundry</t>
        </is>
      </c>
      <c r="BR191" s="149" t="inlineStr">
        <is>
          <t>Prototype</t>
        </is>
      </c>
      <c r="BS191" s="149" t="inlineStr">
        <is>
          <t>Prototype</t>
        </is>
      </c>
      <c r="BT191" s="145" t="n"/>
      <c r="BU191" s="145" t="inlineStr">
        <is>
          <t>Not verified</t>
        </is>
      </c>
      <c r="BV191" s="149" t="n"/>
      <c r="BW191" s="149" t="inlineStr">
        <is>
          <t>Origin &amp; status — USA · Prototype · 2026 | Manipulation — 4 · 4 fingers · Hand DOF 3 · Payload 13.2 lb | Sensing &amp; software — Uses ACT-1 robot foundation model for policy and planning; no public integration with general-purpose chat LLMs announced · Not disclosed; internal robotics… | Buying notes — From $10,000 · 12 months manufacturer standard (typical research/commercial humanoid) · Best fit: Domestic home chores</t>
        </is>
      </c>
      <c r="BX191" s="149" t="inlineStr">
        <is>
          <t>as_shipped|MEMO|10000|As shipped</t>
        </is>
      </c>
      <c r="BY191" s="145" t="inlineStr">
        <is>
          <t>memo|Manufacturer finish|#e2e8f0|0</t>
        </is>
      </c>
      <c r="BZ191" s="145" t="inlineStr"/>
      <c r="CA191" s="149" t="n"/>
      <c r="CB191" s="149" t="inlineStr">
        <is>
          <t>12 months manufacturer standard (typical research/commercial humanoid)</t>
        </is>
      </c>
      <c r="CC191" s="147" t="n">
        <v>12</v>
      </c>
      <c r="CD191" s="149" t="inlineStr">
        <is>
          <t>+3 Year Extended ≈24% of configuration (default in configurator)</t>
        </is>
      </c>
      <c r="CE191" s="145" t="inlineStr">
        <is>
          <t>Humanoid category norm 2025–2026</t>
        </is>
      </c>
      <c r="CF191" s="145" t="inlineStr">
        <is>
          <t>Estimated</t>
        </is>
      </c>
      <c r="CG191" s="149" t="inlineStr">
        <is>
          <t>Confirm on formal OEM quote. EDU or enterprise packages may differ.</t>
        </is>
      </c>
      <c r="CH191" s="145" t="inlineStr">
        <is>
          <t>10%</t>
        </is>
      </c>
      <c r="CI191" s="145" t="inlineStr">
        <is>
          <t>17%</t>
        </is>
      </c>
      <c r="CJ191" s="145" t="inlineStr">
        <is>
          <t>24%</t>
        </is>
      </c>
      <c r="CK191" s="149" t="inlineStr">
        <is>
          <t>+1yr ≈10% | +2yr ≈17% | +3yr ≈24% of selected configuration price (parts &amp; labor beyond manufacturer standard).</t>
        </is>
      </c>
      <c r="CL19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91" s="145" t="inlineStr">
        <is>
          <t>12 months manufacturer standard (typical research/commercial humanoid)</t>
        </is>
      </c>
      <c r="CQ191" s="101" t="inlineStr">
        <is>
          <t>Height: 5 ft 7 in | Weight: 169.8 | Degrees of Freedom: 20 | Payload: 13.2 | Max Speed: 2.24 | Battery / Runtime: ≈ 4 hours</t>
        </is>
      </c>
    </row>
    <row r="192" ht="31.5" customHeight="1" s="102">
      <c r="A192" s="152" t="inlineStr">
        <is>
          <t>svaya_robotics_bimanual</t>
        </is>
      </c>
      <c r="B192" s="153" t="inlineStr">
        <is>
          <t>Humanoid.guide</t>
        </is>
      </c>
      <c r="C192" s="152" t="inlineStr">
        <is>
          <t>Svaya Robotics</t>
        </is>
      </c>
      <c r="D192" s="152" t="inlineStr">
        <is>
          <t>Bimanual</t>
        </is>
      </c>
      <c r="E192" s="152" t="inlineStr">
        <is>
          <t>[Svaya Robotics] Bimanual (2026)</t>
        </is>
      </c>
      <c r="F192" s="146" t="inlineStr">
        <is>
          <t>humanoid</t>
        </is>
      </c>
      <c r="G192" s="152" t="inlineStr">
        <is>
          <t>India</t>
        </is>
      </c>
      <c r="H192" s="152" t="n"/>
      <c r="I192" s="155" t="n">
        <v>90000</v>
      </c>
      <c r="J192" s="152" t="inlineStr">
        <is>
          <t>Humanoid.guide list</t>
        </is>
      </c>
      <c r="K192" s="156" t="inlineStr">
        <is>
          <t>Bimanual is Svaya Robotics's humanoid — 5 ft 1 in class, 12 DOF, 22 lb payload. 2-finger gripping claws; onboard AI: Possible via external system integration.</t>
        </is>
      </c>
      <c r="L192" s="101" t="inlineStr">
        <is>
          <t>Bimanual is Svaya Robotics's humanoid — 5 ft 1 in class, 12 DOF, 22 lb payload. 2-finger gripping claws; onboard AI: Possible via external system integration.</t>
        </is>
      </c>
      <c r="M192" s="101" t="inlineStr">
        <is>
          <t>Bimanual is Svaya Robotics's humanoid — 5 ft 1 in class, 12 DOF, 22 lb payload. 2-finger gripping claws; onboard AI: Possible via external system integration. Public status is listed as early production / limited release, and it is positioned for industrial R&amp;D; Research &amp; education.</t>
        </is>
      </c>
      <c r="N192" s="157" t="inlineStr">
        <is>
          <t>https://humanoid.guide/product/bimanual/</t>
        </is>
      </c>
      <c r="O192" s="157" t="inlineStr">
        <is>
          <t>https://svayarobotics.com/</t>
        </is>
      </c>
      <c r="P192" s="152" t="inlineStr">
        <is>
          <t>5 ft 1 in</t>
        </is>
      </c>
      <c r="Q192" s="152" t="n">
        <v>155</v>
      </c>
      <c r="R192" s="152" t="n">
        <v>154.3</v>
      </c>
      <c r="S192" s="152" t="n">
        <v>70</v>
      </c>
      <c r="T192" s="156" t="inlineStr">
        <is>
          <t>Not disclosed</t>
        </is>
      </c>
      <c r="U192" s="152" t="n"/>
      <c r="V192" s="152" t="inlineStr">
        <is>
          <t>12</t>
        </is>
      </c>
      <c r="W192" s="156" t="inlineStr">
        <is>
          <t>Not disclosed</t>
        </is>
      </c>
      <c r="X192" s="152" t="n">
        <v>22</v>
      </c>
      <c r="Y192" s="152" t="n">
        <v>10</v>
      </c>
      <c r="Z192" s="152" t="n">
        <v>0</v>
      </c>
      <c r="AA192" s="152" t="n">
        <v>0</v>
      </c>
      <c r="AB192" s="152" t="n"/>
      <c r="AC192" s="156" t="inlineStr">
        <is>
          <t>≈ 2 hours</t>
        </is>
      </c>
      <c r="AD192" s="156" t="inlineStr">
        <is>
          <t>2</t>
        </is>
      </c>
      <c r="AE192" s="152" t="n"/>
      <c r="AF192" s="152" t="inlineStr">
        <is>
          <t>Not disclosed</t>
        </is>
      </c>
      <c r="AG192" s="156" t="inlineStr">
        <is>
          <t>2-finger gripping claws</t>
        </is>
      </c>
      <c r="AH192" s="152" t="inlineStr">
        <is>
          <t>2-finger gripping claws</t>
        </is>
      </c>
      <c r="AI192" s="161" t="n">
        <v>4</v>
      </c>
      <c r="AJ192" s="156" t="inlineStr">
        <is>
          <t>Not disclosed</t>
        </is>
      </c>
      <c r="AK192" s="156" t="n"/>
      <c r="AL192" s="152" t="inlineStr">
        <is>
          <t>Not disclosed</t>
        </is>
      </c>
      <c r="AM192" s="152" t="n"/>
      <c r="AN192" s="152" t="inlineStr">
        <is>
          <t>Not disclosed</t>
        </is>
      </c>
      <c r="AO192" s="152" t="inlineStr">
        <is>
          <t>Not disclosed</t>
        </is>
      </c>
      <c r="AP192" s="152" t="inlineStr">
        <is>
          <t>Not disclosed</t>
        </is>
      </c>
      <c r="AQ192" s="152" t="inlineStr">
        <is>
          <t>Not disclosed</t>
        </is>
      </c>
      <c r="AR192" s="152" t="n"/>
      <c r="AS192" s="152" t="n"/>
      <c r="AT192" s="156" t="inlineStr">
        <is>
          <t>Industrial x86 CPU + optional NVIDIA GPU (assumed)</t>
        </is>
      </c>
      <c r="AU192" s="156" t="inlineStr">
        <is>
          <t>EtherCAT backbone; Ethernet; Modbus TCP; Profinet</t>
        </is>
      </c>
      <c r="AV192" s="152" t="inlineStr">
        <is>
          <t>Not disclosed</t>
        </is>
      </c>
      <c r="AW192" s="156" t="inlineStr">
        <is>
          <t>Not disclosed</t>
        </is>
      </c>
      <c r="AX192" s="162" t="n">
        <v>1</v>
      </c>
      <c r="AY192" s="156" t="inlineStr">
        <is>
          <t>Linux-based ROS environment</t>
        </is>
      </c>
      <c r="AZ192" s="156" t="inlineStr">
        <is>
          <t>Possible via external system integration</t>
        </is>
      </c>
      <c r="BA192" s="156" t="inlineStr">
        <is>
          <t>150–250 ms</t>
        </is>
      </c>
      <c r="BB192" s="156" t="inlineStr">
        <is>
          <t>Electric servo motors</t>
        </is>
      </c>
      <c r="BC192" s="156" t="inlineStr">
        <is>
          <t>Harmonic / planetary gears (assumed)</t>
        </is>
      </c>
      <c r="BD192" s="152" t="inlineStr">
        <is>
          <t>Aluminum alloy + composites</t>
        </is>
      </c>
      <c r="BE192" s="152" t="inlineStr">
        <is>
          <t>IP54</t>
        </is>
      </c>
      <c r="BF192" s="152" t="inlineStr">
        <is>
          <t>IP54</t>
        </is>
      </c>
      <c r="BG192" s="152" t="n"/>
      <c r="BH192" s="152" t="n"/>
      <c r="BI192" s="152" t="n"/>
      <c r="BJ192" s="152" t="n"/>
      <c r="BK192" s="152" t="n"/>
      <c r="BL192" s="152" t="n"/>
      <c r="BM192" s="152" t="inlineStr">
        <is>
          <t>Yes</t>
        </is>
      </c>
      <c r="BN192" s="152" t="inlineStr">
        <is>
          <t>Not disclosed</t>
        </is>
      </c>
      <c r="BO192" s="156" t="inlineStr">
        <is>
          <t>Market: Industrial R&amp;D; Research &amp; education · Manipulation 4/4 · Navigation 1/4 · Human-safe: Yes · AI: Possible via external system integration · Actuation: Electric servo motors · Runtime 2</t>
        </is>
      </c>
      <c r="BP192" s="152" t="n"/>
      <c r="BQ192" s="156" t="inlineStr">
        <is>
          <t>Industrial R&amp;D; Research &amp; education</t>
        </is>
      </c>
      <c r="BR192" s="156" t="inlineStr">
        <is>
          <t>Early production / limited release</t>
        </is>
      </c>
      <c r="BS192" s="156" t="inlineStr">
        <is>
          <t>Early production / limited release</t>
        </is>
      </c>
      <c r="BT192" s="152" t="inlineStr">
        <is>
          <t>Grey</t>
        </is>
      </c>
      <c r="BU192" s="152" t="inlineStr">
        <is>
          <t>Not verified</t>
        </is>
      </c>
      <c r="BV192" s="156" t="n"/>
      <c r="BW192" s="156" t="inlineStr">
        <is>
          <t>Origin &amp; status — India · Early production / limited release · 2026 | Manipulation — 2-finger gripping claws · Payload 22 lb | Sensing &amp; software — Possible via external system integration · Linux-based ROS environment | Buying notes — From $90,000 · 12 months manufacturer standard (typical research/commercial humanoid) · Best fit: Industrial R&amp;D</t>
        </is>
      </c>
      <c r="BX192" s="156" t="inlineStr">
        <is>
          <t>as_shipped|Bimanual|90000|As shipped</t>
        </is>
      </c>
      <c r="BY192" s="152" t="inlineStr">
        <is>
          <t>grey|Grey|#e2e8f0|0</t>
        </is>
      </c>
      <c r="BZ192" s="152" t="inlineStr"/>
      <c r="CA192" s="156" t="n"/>
      <c r="CB192" s="156" t="inlineStr">
        <is>
          <t>12 months manufacturer standard (typical research/commercial humanoid)</t>
        </is>
      </c>
      <c r="CC192" s="154" t="n">
        <v>12</v>
      </c>
      <c r="CD192" s="156" t="inlineStr">
        <is>
          <t>+3 Year Extended ≈24% of configuration (default in configurator)</t>
        </is>
      </c>
      <c r="CE192" s="152" t="inlineStr">
        <is>
          <t>Humanoid category norm 2025–2026</t>
        </is>
      </c>
      <c r="CF192" s="152" t="inlineStr">
        <is>
          <t>Estimated</t>
        </is>
      </c>
      <c r="CG192" s="156" t="inlineStr">
        <is>
          <t>Confirm on formal OEM quote. EDU or enterprise packages may differ.</t>
        </is>
      </c>
      <c r="CH192" s="152" t="inlineStr">
        <is>
          <t>10%</t>
        </is>
      </c>
      <c r="CI192" s="152" t="inlineStr">
        <is>
          <t>17%</t>
        </is>
      </c>
      <c r="CJ192" s="152" t="inlineStr">
        <is>
          <t>24%</t>
        </is>
      </c>
      <c r="CK192" s="156" t="inlineStr">
        <is>
          <t>+1yr ≈10% | +2yr ≈17% | +3yr ≈24% of selected configuration price (parts &amp; labor beyond manufacturer standard).</t>
        </is>
      </c>
      <c r="CL192"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92" s="152" t="inlineStr">
        <is>
          <t>12 months manufacturer standard (typical research/commercial humanoid)</t>
        </is>
      </c>
      <c r="CQ192" s="101" t="inlineStr">
        <is>
          <t>Height: 5 ft 1 in | Weight: 154.3 | Degrees of Freedom: 12 | Payload: 22 | Max Speed: 0 | Battery / Runtime: ≈ 2 hours</t>
        </is>
      </c>
    </row>
    <row r="193" ht="31.5" customHeight="1" s="102">
      <c r="A193" s="145" t="inlineStr">
        <is>
          <t>switchbot_onero_h1</t>
        </is>
      </c>
      <c r="B193" s="153" t="inlineStr">
        <is>
          <t>Humanoid.guide</t>
        </is>
      </c>
      <c r="C193" s="145" t="inlineStr">
        <is>
          <t>SwitchBot</t>
        </is>
      </c>
      <c r="D193" s="145" t="inlineStr">
        <is>
          <t>Onero H1</t>
        </is>
      </c>
      <c r="E193" s="145" t="inlineStr">
        <is>
          <t>[SwitchBot] Onero H1 (2026)</t>
        </is>
      </c>
      <c r="F193" s="146" t="inlineStr">
        <is>
          <t>humanoid</t>
        </is>
      </c>
      <c r="G193" s="145" t="inlineStr">
        <is>
          <t>Japan</t>
        </is>
      </c>
      <c r="H193" s="145" t="n"/>
      <c r="I193" s="148" t="n">
        <v>24500</v>
      </c>
      <c r="J193" s="145" t="inlineStr">
        <is>
          <t>Humanoid.guide list</t>
        </is>
      </c>
      <c r="K193" s="149" t="inlineStr">
        <is>
          <t>Onero H1 is a home-focused humanoid robot concept by SwitchBot. It aims to extend smart-home automation into physical interaction by combining mobility, manipulation, and AI-driven assistance.</t>
        </is>
      </c>
      <c r="L193" s="101" t="inlineStr">
        <is>
          <t>Onero H1 is a home-focused humanoid robot concept by SwitchBot. It aims to extend smart-home automation into physical interaction by combining mobility, manipulation, and AI-driven assistance.</t>
        </is>
      </c>
      <c r="M193" s="101" t="inlineStr">
        <is>
          <t>Onero H1 is a home-focused humanoid robot concept by SwitchBot. It aims to extend smart-home automation into physical interaction by combining mobility, manipulation, and AI-driven assistance. Public status is listed as prototype, and it is positioned for domestic assistance; Smart home.</t>
        </is>
      </c>
      <c r="N193" s="150" t="inlineStr">
        <is>
          <t>https://humanoid.guide/product/onero-h1/</t>
        </is>
      </c>
      <c r="O193" s="150" t="inlineStr">
        <is>
          <t>https://www.switch-bot.com</t>
        </is>
      </c>
      <c r="P193" s="145" t="inlineStr">
        <is>
          <t>3 ft 11 in</t>
        </is>
      </c>
      <c r="Q193" s="145" t="n">
        <v>120</v>
      </c>
      <c r="R193" s="145" t="n">
        <v>77.2</v>
      </c>
      <c r="S193" s="145" t="n">
        <v>35</v>
      </c>
      <c r="T193" s="149" t="inlineStr">
        <is>
          <t>Not disclosed</t>
        </is>
      </c>
      <c r="U193" s="145" t="n"/>
      <c r="V193" s="145" t="inlineStr">
        <is>
          <t>~28–32</t>
        </is>
      </c>
      <c r="W193" s="149" t="inlineStr">
        <is>
          <t>~5 per hand</t>
        </is>
      </c>
      <c r="X193" s="145" t="n">
        <v>11</v>
      </c>
      <c r="Y193" s="145" t="n">
        <v>5</v>
      </c>
      <c r="Z193" s="145" t="n">
        <v>1.86</v>
      </c>
      <c r="AA193" s="145" t="n">
        <v>3</v>
      </c>
      <c r="AB193" s="145" t="n"/>
      <c r="AC193" s="149" t="inlineStr">
        <is>
          <t>~4–6</t>
        </is>
      </c>
      <c r="AD193" s="149" t="inlineStr">
        <is>
          <t>~4–6</t>
        </is>
      </c>
      <c r="AE193" s="145" t="n"/>
      <c r="AF193" s="145" t="inlineStr">
        <is>
          <t>Not disclosed</t>
        </is>
      </c>
      <c r="AG193" s="149" t="inlineStr">
        <is>
          <t>5 per hand</t>
        </is>
      </c>
      <c r="AH193" s="145" t="inlineStr">
        <is>
          <t>5 per hand</t>
        </is>
      </c>
      <c r="AI193" s="145" t="n"/>
      <c r="AJ193" s="149" t="inlineStr">
        <is>
          <t>Not disclosed</t>
        </is>
      </c>
      <c r="AK193" s="149" t="n"/>
      <c r="AL193" s="145" t="inlineStr">
        <is>
          <t>Not disclosed</t>
        </is>
      </c>
      <c r="AM193" s="145" t="n"/>
      <c r="AN193" s="145" t="inlineStr">
        <is>
          <t>Not disclosed</t>
        </is>
      </c>
      <c r="AO193" s="145" t="inlineStr">
        <is>
          <t>Not disclosed</t>
        </is>
      </c>
      <c r="AP193" s="145" t="inlineStr">
        <is>
          <t>Not disclosed</t>
        </is>
      </c>
      <c r="AQ193" s="145" t="inlineStr">
        <is>
          <t>Not disclosed</t>
        </is>
      </c>
      <c r="AR193" s="145" t="n"/>
      <c r="AS193" s="145" t="n"/>
      <c r="AT193" s="149" t="inlineStr">
        <is>
          <t>ARM-based onboard computer (assumed)</t>
        </is>
      </c>
      <c r="AU193" s="149" t="inlineStr">
        <is>
          <t>Bluetooth; Wi‑Fi</t>
        </is>
      </c>
      <c r="AV193" s="145" t="inlineStr">
        <is>
          <t>Not disclosed</t>
        </is>
      </c>
      <c r="AW193" s="149" t="inlineStr">
        <is>
          <t>Not disclosed</t>
        </is>
      </c>
      <c r="AX193" s="145" t="n"/>
      <c r="AY193" s="149" t="inlineStr">
        <is>
          <t>Linux-based embedded OS</t>
        </is>
      </c>
      <c r="AZ193" s="149" t="inlineStr">
        <is>
          <t>Possible via cloud services</t>
        </is>
      </c>
      <c r="BA193" s="149" t="inlineStr">
        <is>
          <t>Moderate (consumer robotics class)</t>
        </is>
      </c>
      <c r="BB193" s="149" t="inlineStr">
        <is>
          <t>Electric servo motors</t>
        </is>
      </c>
      <c r="BC193" s="149" t="inlineStr">
        <is>
          <t>Harmonic / planetary gear drives</t>
        </is>
      </c>
      <c r="BD193" s="145" t="inlineStr">
        <is>
          <t>Plastic shell with aluminum frame</t>
        </is>
      </c>
      <c r="BE193" s="145" t="inlineStr">
        <is>
          <t>Not disclosed</t>
        </is>
      </c>
      <c r="BF193" s="145" t="n"/>
      <c r="BG193" s="145" t="n"/>
      <c r="BH193" s="145" t="n"/>
      <c r="BI193" s="145" t="n"/>
      <c r="BJ193" s="145" t="n"/>
      <c r="BK193" s="145" t="n"/>
      <c r="BL193" s="145" t="n"/>
      <c r="BM193" s="145" t="inlineStr">
        <is>
          <t>Yes</t>
        </is>
      </c>
      <c r="BN193" s="145" t="inlineStr">
        <is>
          <t>Not disclosed</t>
        </is>
      </c>
      <c r="BO193" s="149" t="inlineStr">
        <is>
          <t>Market: domestic assistance; Smart home · Human-safe: Yes · AI: Possible via cloud services · Actuation: Electric servo motors · Peak 3 km/h · Runtime ~4–6</t>
        </is>
      </c>
      <c r="BP193" s="145" t="n"/>
      <c r="BQ193" s="149" t="inlineStr">
        <is>
          <t>domestic assistance; Smart home</t>
        </is>
      </c>
      <c r="BR193" s="149" t="inlineStr">
        <is>
          <t>Prototype</t>
        </is>
      </c>
      <c r="BS193" s="149" t="inlineStr">
        <is>
          <t>Prototype</t>
        </is>
      </c>
      <c r="BT193" s="145" t="inlineStr">
        <is>
          <t>White</t>
        </is>
      </c>
      <c r="BU193" s="145" t="inlineStr">
        <is>
          <t>Not verified</t>
        </is>
      </c>
      <c r="BV193" s="149" t="n"/>
      <c r="BW193" s="149" t="inlineStr">
        <is>
          <t>Origin &amp; status — Japan · Prototype · 2026 | Manipulation — 5 per hand · 5 per hand fingers · Hand DOF ~5 per hand · Payload 11 lb | Sensing &amp; software — Possible via cloud services · Linux-based embedded OS | Buying notes — From $24,500 · 12 months manufacturer standard (typical research/commercial humanoid) · Best fit: domestic assistance</t>
        </is>
      </c>
      <c r="BX193" s="149" t="inlineStr">
        <is>
          <t>as_shipped|Onero H1|24500|As shipped</t>
        </is>
      </c>
      <c r="BY193" s="145" t="inlineStr">
        <is>
          <t>white|White|#e2e8f0|0</t>
        </is>
      </c>
      <c r="BZ193" s="145" t="inlineStr"/>
      <c r="CA193" s="149" t="n"/>
      <c r="CB193" s="149" t="inlineStr">
        <is>
          <t>12 months manufacturer standard (typical research/commercial humanoid)</t>
        </is>
      </c>
      <c r="CC193" s="147" t="n">
        <v>12</v>
      </c>
      <c r="CD193" s="149" t="inlineStr">
        <is>
          <t>+3 Year Extended ≈24% of configuration (default in configurator)</t>
        </is>
      </c>
      <c r="CE193" s="145" t="inlineStr">
        <is>
          <t>Humanoid category norm 2025–2026</t>
        </is>
      </c>
      <c r="CF193" s="145" t="inlineStr">
        <is>
          <t>Estimated</t>
        </is>
      </c>
      <c r="CG193" s="149" t="inlineStr">
        <is>
          <t>Confirm on formal OEM quote. EDU or enterprise packages may differ.</t>
        </is>
      </c>
      <c r="CH193" s="145" t="inlineStr">
        <is>
          <t>10%</t>
        </is>
      </c>
      <c r="CI193" s="145" t="inlineStr">
        <is>
          <t>17%</t>
        </is>
      </c>
      <c r="CJ193" s="145" t="inlineStr">
        <is>
          <t>24%</t>
        </is>
      </c>
      <c r="CK193" s="149" t="inlineStr">
        <is>
          <t>+1yr ≈10% | +2yr ≈17% | +3yr ≈24% of selected configuration price (parts &amp; labor beyond manufacturer standard).</t>
        </is>
      </c>
      <c r="CL193"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93" s="145" t="inlineStr">
        <is>
          <t>12 months manufacturer standard (typical research/commercial humanoid)</t>
        </is>
      </c>
      <c r="CQ193" s="101" t="inlineStr">
        <is>
          <t>Height: 3 ft 11 in | Weight: 77.2 | Degrees of Freedom: ~28–32 | Payload: 11 | Max Speed: 1.86 | Battery / Runtime: ~4–6</t>
        </is>
      </c>
    </row>
    <row r="194" ht="31.5" customHeight="1" s="102">
      <c r="A194" s="152" t="inlineStr">
        <is>
          <t>tangible_robots_eggie</t>
        </is>
      </c>
      <c r="B194" s="153" t="inlineStr">
        <is>
          <t>Humanoid.guide</t>
        </is>
      </c>
      <c r="C194" s="152" t="inlineStr">
        <is>
          <t>Tangible Robots</t>
        </is>
      </c>
      <c r="D194" s="152" t="inlineStr">
        <is>
          <t>Eggie</t>
        </is>
      </c>
      <c r="E194" s="152" t="inlineStr">
        <is>
          <t>[Tangible Robots] Eggie (2026)</t>
        </is>
      </c>
      <c r="F194" s="146" t="inlineStr">
        <is>
          <t>humanoid</t>
        </is>
      </c>
      <c r="G194" s="152" t="inlineStr">
        <is>
          <t>USA</t>
        </is>
      </c>
      <c r="H194" s="152" t="n"/>
      <c r="I194" s="155" t="n">
        <v>32000</v>
      </c>
      <c r="J194" s="152" t="inlineStr">
        <is>
          <t>Humanoid.guide list</t>
        </is>
      </c>
      <c r="K194" s="156" t="inlineStr">
        <is>
          <t>Eggie is a friendly mobile humanoid robot designed for interaction, education, and light service tasks.</t>
        </is>
      </c>
      <c r="L194" s="101" t="inlineStr">
        <is>
          <t>Eggie is a friendly mobile humanoid robot designed for interaction, education, and light service tasks.</t>
        </is>
      </c>
      <c r="M194" s="101" t="inlineStr">
        <is>
          <t>Eggie is a friendly mobile humanoid robot designed for interaction, education, and light service tasks. Public status is listed as prototype, and it is positioned for exhibitions; Home assistance; Research &amp; education.</t>
        </is>
      </c>
      <c r="N194" s="157" t="inlineStr">
        <is>
          <t>https://humanoid.guide/product/eggie/</t>
        </is>
      </c>
      <c r="O194" s="157" t="inlineStr">
        <is>
          <t>https://tangiblerobots.ai/</t>
        </is>
      </c>
      <c r="P194" s="152" t="inlineStr">
        <is>
          <t>5 ft 3 in</t>
        </is>
      </c>
      <c r="Q194" s="152" t="n">
        <v>160</v>
      </c>
      <c r="R194" s="152" t="n">
        <v>99.2</v>
      </c>
      <c r="S194" s="152" t="n">
        <v>45</v>
      </c>
      <c r="T194" s="156" t="inlineStr">
        <is>
          <t>Not disclosed</t>
        </is>
      </c>
      <c r="U194" s="152" t="n"/>
      <c r="V194" s="152" t="inlineStr">
        <is>
          <t>20</t>
        </is>
      </c>
      <c r="W194" s="156" t="inlineStr">
        <is>
          <t>3</t>
        </is>
      </c>
      <c r="X194" s="152" t="n">
        <v>8.800000000000001</v>
      </c>
      <c r="Y194" s="152" t="n">
        <v>4</v>
      </c>
      <c r="Z194" s="152" t="n">
        <v>1.86</v>
      </c>
      <c r="AA194" s="152" t="n">
        <v>3</v>
      </c>
      <c r="AB194" s="152" t="n"/>
      <c r="AC194" s="156" t="inlineStr">
        <is>
          <t>≈ 7 hours</t>
        </is>
      </c>
      <c r="AD194" s="156" t="inlineStr">
        <is>
          <t>7</t>
        </is>
      </c>
      <c r="AE194" s="152" t="n"/>
      <c r="AF194" s="152" t="inlineStr">
        <is>
          <t>Not disclosed</t>
        </is>
      </c>
      <c r="AG194" s="156" t="inlineStr">
        <is>
          <t>5 per hand</t>
        </is>
      </c>
      <c r="AH194" s="152" t="inlineStr">
        <is>
          <t>5 per hand</t>
        </is>
      </c>
      <c r="AI194" s="158" t="n">
        <v>2</v>
      </c>
      <c r="AJ194" s="156" t="inlineStr">
        <is>
          <t>Dual 1080p depth + RGB</t>
        </is>
      </c>
      <c r="AK194" s="156" t="inlineStr">
        <is>
          <t>Dual 1080p depth + RGB</t>
        </is>
      </c>
      <c r="AL194" s="152" t="inlineStr">
        <is>
          <t>Not disclosed</t>
        </is>
      </c>
      <c r="AM194" s="152" t="n"/>
      <c r="AN194" s="152" t="inlineStr">
        <is>
          <t>Not disclosed</t>
        </is>
      </c>
      <c r="AO194" s="152" t="inlineStr">
        <is>
          <t>Not disclosed</t>
        </is>
      </c>
      <c r="AP194" s="152" t="inlineStr">
        <is>
          <t>Not disclosed</t>
        </is>
      </c>
      <c r="AQ194" s="152" t="inlineStr">
        <is>
          <t>Not disclosed</t>
        </is>
      </c>
      <c r="AR194" s="152" t="n"/>
      <c r="AS194" s="152" t="n"/>
      <c r="AT194" s="156" t="inlineStr">
        <is>
          <t>Likely NVIDIA Jetson or similar embedded AI board</t>
        </is>
      </c>
      <c r="AU194" s="156" t="inlineStr">
        <is>
          <t>Bluetooth; Wi‑Fi</t>
        </is>
      </c>
      <c r="AV194" s="152" t="inlineStr">
        <is>
          <t>Not disclosed</t>
        </is>
      </c>
      <c r="AW194" s="156" t="inlineStr">
        <is>
          <t>Not disclosed</t>
        </is>
      </c>
      <c r="AX194" s="151" t="n">
        <v>3</v>
      </c>
      <c r="AY194" s="156" t="inlineStr">
        <is>
          <t>Linux-based ROS environment</t>
        </is>
      </c>
      <c r="AZ194" s="156" t="inlineStr">
        <is>
          <t>Likely via cloud API (OpenAI, Alibaba Qwen, Baidu, etc.)</t>
        </is>
      </c>
      <c r="BA194" s="156" t="inlineStr">
        <is>
          <t>&amp;lt;200ms (End-to-End)</t>
        </is>
      </c>
      <c r="BB194" s="156" t="inlineStr">
        <is>
          <t>Electric servo motors</t>
        </is>
      </c>
      <c r="BC194" s="156" t="inlineStr">
        <is>
          <t>Plastic/composite gear trains</t>
        </is>
      </c>
      <c r="BD194" s="152" t="inlineStr">
        <is>
          <t>Aluminum frame + composite panels</t>
        </is>
      </c>
      <c r="BE194" s="152" t="inlineStr">
        <is>
          <t>IP20</t>
        </is>
      </c>
      <c r="BF194" s="152" t="inlineStr">
        <is>
          <t>IP20</t>
        </is>
      </c>
      <c r="BG194" s="152" t="n"/>
      <c r="BH194" s="152" t="n"/>
      <c r="BI194" s="152" t="n"/>
      <c r="BJ194" s="152" t="n"/>
      <c r="BK194" s="152" t="n"/>
      <c r="BL194" s="152" t="n"/>
      <c r="BM194" s="152" t="inlineStr">
        <is>
          <t>Yes</t>
        </is>
      </c>
      <c r="BN194" s="152" t="inlineStr">
        <is>
          <t>Not disclosed</t>
        </is>
      </c>
      <c r="BO194" s="156" t="inlineStr">
        <is>
          <t>Market: exhibitions; Home assistance; Research &amp; education · Manipulation 2/4 · Navigation 3/4 · Human-safe: Yes · AI: Likely via cloud API (OpenAI, Alibaba Qwen, Baidu, etc.) · Actuation: Electric servo motors · Peak 3 km/h · Runtime 7</t>
        </is>
      </c>
      <c r="BP194" s="152" t="n"/>
      <c r="BQ194" s="156" t="inlineStr">
        <is>
          <t>exhibitions; Home assistance; Research &amp; education</t>
        </is>
      </c>
      <c r="BR194" s="156" t="inlineStr">
        <is>
          <t>Prototype</t>
        </is>
      </c>
      <c r="BS194" s="156" t="inlineStr">
        <is>
          <t>Prototype</t>
        </is>
      </c>
      <c r="BT194" s="152" t="inlineStr">
        <is>
          <t>White</t>
        </is>
      </c>
      <c r="BU194" s="152" t="inlineStr">
        <is>
          <t>Not verified</t>
        </is>
      </c>
      <c r="BV194" s="156" t="n"/>
      <c r="BW194" s="156" t="inlineStr">
        <is>
          <t>Origin &amp; status — USA · Prototype · 2026 | Manipulation — 5 per hand · 5 per hand fingers · Hand DOF 3 · Payload 8.8 lb | Sensing &amp; software — Dual 1080p depth + RGB · Likely via cloud API (OpenAI, Alibaba Qwen, Baidu, etc.) · Linux-based ROS environment | Buying notes — From $32,000 · 12 months manufacturer standard (typical research/commercial humanoid) · Best fit: exhibitions</t>
        </is>
      </c>
      <c r="BX194" s="156" t="inlineStr">
        <is>
          <t>as_shipped|Eggie|32000|As shipped</t>
        </is>
      </c>
      <c r="BY194" s="152" t="inlineStr">
        <is>
          <t>white|White|#e2e8f0|0</t>
        </is>
      </c>
      <c r="BZ194" s="152" t="inlineStr"/>
      <c r="CA194" s="156" t="n"/>
      <c r="CB194" s="156" t="inlineStr">
        <is>
          <t>12 months manufacturer standard (typical research/commercial humanoid)</t>
        </is>
      </c>
      <c r="CC194" s="154" t="n">
        <v>12</v>
      </c>
      <c r="CD194" s="156" t="inlineStr">
        <is>
          <t>+3 Year Extended ≈24% of configuration (default in configurator)</t>
        </is>
      </c>
      <c r="CE194" s="152" t="inlineStr">
        <is>
          <t>Humanoid category norm 2025–2026</t>
        </is>
      </c>
      <c r="CF194" s="152" t="inlineStr">
        <is>
          <t>Estimated</t>
        </is>
      </c>
      <c r="CG194" s="156" t="inlineStr">
        <is>
          <t>Confirm on formal OEM quote. EDU or enterprise packages may differ.</t>
        </is>
      </c>
      <c r="CH194" s="152" t="inlineStr">
        <is>
          <t>10%</t>
        </is>
      </c>
      <c r="CI194" s="152" t="inlineStr">
        <is>
          <t>17%</t>
        </is>
      </c>
      <c r="CJ194" s="152" t="inlineStr">
        <is>
          <t>24%</t>
        </is>
      </c>
      <c r="CK194" s="156" t="inlineStr">
        <is>
          <t>+1yr ≈10% | +2yr ≈17% | +3yr ≈24% of selected configuration price (parts &amp; labor beyond manufacturer standard).</t>
        </is>
      </c>
      <c r="CL194"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94" s="152" t="inlineStr">
        <is>
          <t>12 months manufacturer standard (typical research/commercial humanoid)</t>
        </is>
      </c>
      <c r="CQ194" s="101" t="inlineStr">
        <is>
          <t>Height: 5 ft 3 in | Weight: 99.2 | Degrees of Freedom: 20 | Payload: 8.8 | Max Speed: 1.86 | Battery / Runtime: ≈ 7 hours</t>
        </is>
      </c>
    </row>
    <row r="195" ht="31.5" customHeight="1" s="102">
      <c r="A195" s="145" t="inlineStr">
        <is>
          <t>tars_robotics_shanghai_tars</t>
        </is>
      </c>
      <c r="B195" s="153" t="inlineStr">
        <is>
          <t>Humanoid.guide</t>
        </is>
      </c>
      <c r="C195" s="145" t="inlineStr">
        <is>
          <t>TARS Robotics (Shanghai)</t>
        </is>
      </c>
      <c r="D195" s="145" t="inlineStr">
        <is>
          <t>TARS</t>
        </is>
      </c>
      <c r="E195" s="145" t="inlineStr">
        <is>
          <t>[TARS Robotics] TARS (2026)</t>
        </is>
      </c>
      <c r="F195" s="146" t="inlineStr">
        <is>
          <t>humanoid</t>
        </is>
      </c>
      <c r="G195" s="145" t="inlineStr">
        <is>
          <t>China</t>
        </is>
      </c>
      <c r="H195" s="145" t="n"/>
      <c r="I195" s="148" t="n">
        <v>95000</v>
      </c>
      <c r="J195" s="145" t="inlineStr">
        <is>
          <t>Humanoid.guide list</t>
        </is>
      </c>
      <c r="K195" s="149" t="inlineStr">
        <is>
          <t>TARS is a next-generation humanoid robot by Chinese startup TARS Robotics. It combines AI with dexterous physical control and recently demonstrated world-first two-hand stitching, showing advanced fine-motor capabilities that could transform precision manufacturing.</t>
        </is>
      </c>
      <c r="L195" s="101" t="inlineStr">
        <is>
          <t>TARS is a next-generation humanoid robot by Chinese startup TARS Robotics. It combines AI with dexterous physical control and recently demonstrated world-first two-hand stitching, showing advanced fine-motor capabilities that could transform precision manufacturing.</t>
        </is>
      </c>
      <c r="M195" s="101" t="inlineStr">
        <is>
          <t>TARS is a next-generation humanoid robot by Chinese startup TARS Robotics. It combines AI with dexterous physical control and recently demonstrated world-first two-hand stitching, showing advanced fine-motor capabilities that could transform precision manufacturing. Public status is listed as prototype, and it is positioned for industrial automation; Industrial logistics; Manufacturing.</t>
        </is>
      </c>
      <c r="N195" s="150" t="inlineStr">
        <is>
          <t>https://humanoid.guide/product/tars/</t>
        </is>
      </c>
      <c r="O195" s="150" t="inlineStr">
        <is>
          <t>https://www.tarsupv.com/</t>
        </is>
      </c>
      <c r="P195" s="145" t="inlineStr">
        <is>
          <t>5 ft 3 in</t>
        </is>
      </c>
      <c r="Q195" s="145" t="n">
        <v>160</v>
      </c>
      <c r="R195" s="145" t="n">
        <v>176.4</v>
      </c>
      <c r="S195" s="145" t="n">
        <v>80</v>
      </c>
      <c r="T195" s="149" t="inlineStr">
        <is>
          <t>Not disclosed</t>
        </is>
      </c>
      <c r="U195" s="145" t="n"/>
      <c r="V195" s="145" t="inlineStr">
        <is>
          <t>Assumed 30–40+</t>
        </is>
      </c>
      <c r="W195" s="149" t="inlineStr">
        <is>
          <t>Assumed 10–20 (bi-manual manipulation)</t>
        </is>
      </c>
      <c r="X195" s="145" t="n">
        <v>33.1</v>
      </c>
      <c r="Y195" s="145" t="n">
        <v>15</v>
      </c>
      <c r="Z195" s="145" t="n">
        <v>2.49</v>
      </c>
      <c r="AA195" s="145" t="n">
        <v>4</v>
      </c>
      <c r="AB195" s="145" t="n">
        <v>3</v>
      </c>
      <c r="AC195" s="149" t="inlineStr">
        <is>
          <t>≈ 3 hours</t>
        </is>
      </c>
      <c r="AD195" s="149" t="inlineStr">
        <is>
          <t>3</t>
        </is>
      </c>
      <c r="AE195" s="145" t="n"/>
      <c r="AF195" s="145" t="inlineStr">
        <is>
          <t>Not disclosed</t>
        </is>
      </c>
      <c r="AG195" s="149" t="inlineStr">
        <is>
          <t>5 per hand</t>
        </is>
      </c>
      <c r="AH195" s="145" t="inlineStr">
        <is>
          <t>5 per hand</t>
        </is>
      </c>
      <c r="AI195" s="145" t="n"/>
      <c r="AJ195" s="149" t="inlineStr">
        <is>
          <t>RGB + depth, ~1080p</t>
        </is>
      </c>
      <c r="AK195" s="149" t="inlineStr">
        <is>
          <t>RGB + depth, ~1080p</t>
        </is>
      </c>
      <c r="AL195" s="145" t="inlineStr">
        <is>
          <t>Not disclosed</t>
        </is>
      </c>
      <c r="AM195" s="145" t="n"/>
      <c r="AN195" s="145" t="inlineStr">
        <is>
          <t>Not disclosed</t>
        </is>
      </c>
      <c r="AO195" s="145" t="inlineStr">
        <is>
          <t>Not disclosed</t>
        </is>
      </c>
      <c r="AP195" s="145" t="inlineStr">
        <is>
          <t>Not disclosed</t>
        </is>
      </c>
      <c r="AQ195" s="145" t="inlineStr">
        <is>
          <t>Not disclosed</t>
        </is>
      </c>
      <c r="AR195" s="145" t="n"/>
      <c r="AS195" s="145" t="n"/>
      <c r="AT195" s="149" t="inlineStr">
        <is>
          <t>Assumed AI acceleration hardware onboard</t>
        </is>
      </c>
      <c r="AU195" s="149" t="inlineStr">
        <is>
          <t>5G-A support for remote control; Ethernet; Wi‑Fi</t>
        </is>
      </c>
      <c r="AV195" s="145" t="inlineStr">
        <is>
          <t>Not disclosed</t>
        </is>
      </c>
      <c r="AW195" s="149" t="inlineStr">
        <is>
          <t>Not disclosed</t>
        </is>
      </c>
      <c r="AX195" s="145" t="n"/>
      <c r="AY195" s="149" t="inlineStr">
        <is>
          <t>Linux-based industrial OS / ROS</t>
        </is>
      </c>
      <c r="AZ195" s="149" t="inlineStr">
        <is>
          <t>Possible via external system integration</t>
        </is>
      </c>
      <c r="BA195" s="149" t="inlineStr">
        <is>
          <t>150–250 ms</t>
        </is>
      </c>
      <c r="BB195" s="149" t="inlineStr">
        <is>
          <t>Electric servo actuators</t>
        </is>
      </c>
      <c r="BC195" s="149" t="inlineStr">
        <is>
          <t>Harmonic / planetary gears (assumed)</t>
        </is>
      </c>
      <c r="BD195" s="145" t="inlineStr">
        <is>
          <t>Aluminum + plastic composites</t>
        </is>
      </c>
      <c r="BE195" s="145" t="inlineStr">
        <is>
          <t>IP20</t>
        </is>
      </c>
      <c r="BF195" s="145" t="inlineStr">
        <is>
          <t>IP20</t>
        </is>
      </c>
      <c r="BG195" s="145" t="n"/>
      <c r="BH195" s="145" t="n"/>
      <c r="BI195" s="145" t="n"/>
      <c r="BJ195" s="145" t="n"/>
      <c r="BK195" s="145" t="n"/>
      <c r="BL195" s="145" t="n"/>
      <c r="BM195" s="145" t="inlineStr">
        <is>
          <t>Yes</t>
        </is>
      </c>
      <c r="BN195" s="145" t="inlineStr">
        <is>
          <t>Not disclosed</t>
        </is>
      </c>
      <c r="BO195" s="149" t="inlineStr">
        <is>
          <t>Market: Industrial automation; Industrial logistics; Manufacturing · Human-safe: Yes · AI: Possible via external system integration · Actuation: Electric servo actuators · Peak 4 km/h · Walk 3 km/h · Runtime 3</t>
        </is>
      </c>
      <c r="BP195" s="145" t="n"/>
      <c r="BQ195" s="149" t="inlineStr">
        <is>
          <t>Industrial automation; Industrial logistics; Manufacturing</t>
        </is>
      </c>
      <c r="BR195" s="149" t="inlineStr">
        <is>
          <t>Prototype</t>
        </is>
      </c>
      <c r="BS195" s="149" t="inlineStr">
        <is>
          <t>Prototype</t>
        </is>
      </c>
      <c r="BT195" s="145" t="inlineStr">
        <is>
          <t>Black; Grey</t>
        </is>
      </c>
      <c r="BU195" s="145" t="inlineStr">
        <is>
          <t>Not verified</t>
        </is>
      </c>
      <c r="BV195" s="149" t="n"/>
      <c r="BW195" s="149" t="inlineStr">
        <is>
          <t>Origin &amp; status — China · Prototype · 2026 | Manipulation — 5 per hand · 5 per hand fingers · Hand DOF Assumed 10–20 (bi-manual manipulation) · Payload 33.1 lb | Sensing &amp; software — RGB + depth, ~1080p · Possible via external system integration · Linux-based industrial OS / ROS | Buying notes — From $95,000 · 12 months manufacturer standard (typical research/commercial humanoid) · Best fit: Industrial automation</t>
        </is>
      </c>
      <c r="BX195" s="149" t="inlineStr">
        <is>
          <t>as_shipped|TARS|95000|As shipped</t>
        </is>
      </c>
      <c r="BY195" s="145" t="inlineStr">
        <is>
          <t>black|Black|#e2e8f0|0 || grey|Grey|#1e293b|0</t>
        </is>
      </c>
      <c r="BZ195" s="145" t="inlineStr"/>
      <c r="CA195" s="149" t="n"/>
      <c r="CB195" s="149" t="inlineStr">
        <is>
          <t>12 months manufacturer standard (typical research/commercial humanoid)</t>
        </is>
      </c>
      <c r="CC195" s="147" t="n">
        <v>12</v>
      </c>
      <c r="CD195" s="149" t="inlineStr">
        <is>
          <t>+3 Year Extended ≈24% of configuration (default in configurator)</t>
        </is>
      </c>
      <c r="CE195" s="145" t="inlineStr">
        <is>
          <t>Humanoid category norm 2025–2026</t>
        </is>
      </c>
      <c r="CF195" s="145" t="inlineStr">
        <is>
          <t>Estimated</t>
        </is>
      </c>
      <c r="CG195" s="149" t="inlineStr">
        <is>
          <t>Confirm on formal OEM quote. EDU or enterprise packages may differ.</t>
        </is>
      </c>
      <c r="CH195" s="145" t="inlineStr">
        <is>
          <t>10%</t>
        </is>
      </c>
      <c r="CI195" s="145" t="inlineStr">
        <is>
          <t>17%</t>
        </is>
      </c>
      <c r="CJ195" s="145" t="inlineStr">
        <is>
          <t>24%</t>
        </is>
      </c>
      <c r="CK195" s="149" t="inlineStr">
        <is>
          <t>+1yr ≈10% | +2yr ≈17% | +3yr ≈24% of selected configuration price (parts &amp; labor beyond manufacturer standard).</t>
        </is>
      </c>
      <c r="CL19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95" s="145" t="inlineStr">
        <is>
          <t>12 months manufacturer standard (typical research/commercial humanoid)</t>
        </is>
      </c>
      <c r="CQ195" s="101" t="inlineStr">
        <is>
          <t>Height: 5 ft 3 in | Weight: 176.4 | Degrees of Freedom: Assumed 30–40+ | Payload: 33.1 | Max Speed: 2.49 | Battery / Runtime: ≈ 3 hours</t>
        </is>
      </c>
    </row>
    <row r="196" ht="31.5" customHeight="1" s="102">
      <c r="A196" s="152" t="inlineStr">
        <is>
          <t>techman_robot_tm_xplore_1</t>
        </is>
      </c>
      <c r="B196" s="153" t="inlineStr">
        <is>
          <t>Humanoid.guide</t>
        </is>
      </c>
      <c r="C196" s="152" t="inlineStr">
        <is>
          <t>Techman Robot</t>
        </is>
      </c>
      <c r="D196" s="152" t="inlineStr">
        <is>
          <t>TM Xplore 1</t>
        </is>
      </c>
      <c r="E196" s="152" t="inlineStr">
        <is>
          <t>[Techman Robot] TM Xplore 1 (2026)</t>
        </is>
      </c>
      <c r="F196" s="146" t="inlineStr">
        <is>
          <t>humanoid</t>
        </is>
      </c>
      <c r="G196" s="152" t="inlineStr">
        <is>
          <t>Taiwan</t>
        </is>
      </c>
      <c r="H196" s="152" t="n"/>
      <c r="I196" s="155" t="n">
        <v>25000</v>
      </c>
      <c r="J196" s="152" t="inlineStr">
        <is>
          <t>Humanoid.guide list</t>
        </is>
      </c>
      <c r="K196" s="156" t="inlineStr">
        <is>
          <t>TM Xplore I is Techman Robot’s first wheeled humanoid prototype, combining AI vision, articulated arms, and a mobile base for flexible handling and industrial automation in warehouses and factories.</t>
        </is>
      </c>
      <c r="L196" s="101" t="inlineStr">
        <is>
          <t>TM Xplore I is Techman Robot’s first wheeled humanoid prototype, combining AI vision, articulated arms, and a mobile base for flexible handling and industrial automation in warehouses and factories.</t>
        </is>
      </c>
      <c r="M196" s="101" t="inlineStr">
        <is>
          <t>TM Xplore 1 is Techman Robot's humanoid, introduced around 2026 in Taiwan. TM Xplore I is Techman Robot’s first wheeled humanoid prototype, combining AI vision, articulated arms, and a mobile base for flexible handling and industrial automation in warehouses and factories. It is positioned for electronics/semiconductor factories; Industrial automation; logistics; Manufacturing; Warehouse.</t>
        </is>
      </c>
      <c r="N196" s="157" t="inlineStr">
        <is>
          <t>https://humanoid.guide/product/tm-xplore-1/</t>
        </is>
      </c>
      <c r="O196" s="157" t="inlineStr">
        <is>
          <t>https://www.tm-robot.com</t>
        </is>
      </c>
      <c r="P196" s="152" t="inlineStr">
        <is>
          <t>5 ft 3 in</t>
        </is>
      </c>
      <c r="Q196" s="152" t="n">
        <v>160</v>
      </c>
      <c r="R196" s="152" t="n"/>
      <c r="S196" s="152" t="n"/>
      <c r="T196" s="156" t="inlineStr">
        <is>
          <t>Not disclosed</t>
        </is>
      </c>
      <c r="U196" s="152" t="n"/>
      <c r="V196" s="152" t="inlineStr">
        <is>
          <t>22</t>
        </is>
      </c>
      <c r="W196" s="156" t="inlineStr">
        <is>
          <t>Not disclosed</t>
        </is>
      </c>
      <c r="X196" s="152" t="n">
        <v>13.2</v>
      </c>
      <c r="Y196" s="152" t="n">
        <v>6</v>
      </c>
      <c r="Z196" s="152" t="n">
        <v>1.86</v>
      </c>
      <c r="AA196" s="152" t="n">
        <v>3</v>
      </c>
      <c r="AB196" s="152" t="n"/>
      <c r="AC196" s="156" t="inlineStr">
        <is>
          <t>≈ 2 hours</t>
        </is>
      </c>
      <c r="AD196" s="156" t="inlineStr">
        <is>
          <t>2</t>
        </is>
      </c>
      <c r="AE196" s="152" t="n"/>
      <c r="AF196" s="152" t="inlineStr">
        <is>
          <t>Not disclosed</t>
        </is>
      </c>
      <c r="AG196" s="156" t="inlineStr">
        <is>
          <t>5 per hand</t>
        </is>
      </c>
      <c r="AH196" s="152" t="inlineStr">
        <is>
          <t>5 per hand</t>
        </is>
      </c>
      <c r="AI196" s="151" t="n">
        <v>3</v>
      </c>
      <c r="AJ196" s="156" t="inlineStr">
        <is>
          <t>Advanced inspection cameras + AI vision</t>
        </is>
      </c>
      <c r="AK196" s="156" t="inlineStr">
        <is>
          <t>Advanced inspection cameras + AI vision</t>
        </is>
      </c>
      <c r="AL196" s="152" t="inlineStr">
        <is>
          <t>Not disclosed</t>
        </is>
      </c>
      <c r="AM196" s="152" t="n"/>
      <c r="AN196" s="152" t="inlineStr">
        <is>
          <t>Not disclosed</t>
        </is>
      </c>
      <c r="AO196" s="152" t="inlineStr">
        <is>
          <t>Not disclosed</t>
        </is>
      </c>
      <c r="AP196" s="152" t="inlineStr">
        <is>
          <t>Not disclosed</t>
        </is>
      </c>
      <c r="AQ196" s="152" t="inlineStr">
        <is>
          <t>Not disclosed</t>
        </is>
      </c>
      <c r="AR196" s="152" t="n"/>
      <c r="AS196" s="152" t="n"/>
      <c r="AT196" s="156" t="inlineStr">
        <is>
          <t>NVIDIA Jetson Orin platform for AI inference and edge computing</t>
        </is>
      </c>
      <c r="AU196" s="156" t="inlineStr">
        <is>
          <t>Bluetooth; Wi‑Fi</t>
        </is>
      </c>
      <c r="AV196" s="152" t="inlineStr">
        <is>
          <t>Not disclosed</t>
        </is>
      </c>
      <c r="AW196" s="156" t="inlineStr">
        <is>
          <t>Not disclosed</t>
        </is>
      </c>
      <c r="AX196" s="158" t="n">
        <v>2</v>
      </c>
      <c r="AY196" s="156" t="inlineStr">
        <is>
          <t>Linux-based ROS environment</t>
        </is>
      </c>
      <c r="AZ196" s="156" t="inlineStr">
        <is>
          <t>Yes</t>
        </is>
      </c>
      <c r="BA196" s="156" t="n"/>
      <c r="BB196" s="156" t="inlineStr">
        <is>
          <t>Uses Techman’s in-house developed motor modules for articulated joints</t>
        </is>
      </c>
      <c r="BC196" s="156" t="inlineStr">
        <is>
          <t>Not disclosed</t>
        </is>
      </c>
      <c r="BD196" s="152" t="inlineStr">
        <is>
          <t>lightweight metals/plastics + joint modules</t>
        </is>
      </c>
      <c r="BE196" s="152" t="inlineStr">
        <is>
          <t>Not disclosed</t>
        </is>
      </c>
      <c r="BF196" s="152" t="n"/>
      <c r="BG196" s="152" t="n"/>
      <c r="BH196" s="152" t="n"/>
      <c r="BI196" s="152" t="n"/>
      <c r="BJ196" s="152" t="n"/>
      <c r="BK196" s="152" t="n"/>
      <c r="BL196" s="152" t="n"/>
      <c r="BM196" s="152" t="inlineStr">
        <is>
          <t>Yes</t>
        </is>
      </c>
      <c r="BN196" s="152" t="inlineStr">
        <is>
          <t>Not disclosed</t>
        </is>
      </c>
      <c r="BO196" s="156" t="inlineStr">
        <is>
          <t>Market: electronics/semiconductor factories; Industrial automation; logistics; Manufacturing; Warehouse · Manipulation 3/4 · Navigation 2/4 · Human-safe: Yes · AI: Yes · Actuation: Uses Techman’s in-house developed motor modules for articulated joints · Peak 3 km/h · Runtime 2</t>
        </is>
      </c>
      <c r="BP196" s="152" t="n"/>
      <c r="BQ196" s="156" t="inlineStr">
        <is>
          <t>electronics/semiconductor factories; Industrial automation; logistics; Manufacturing; Warehouse</t>
        </is>
      </c>
      <c r="BR196" s="156" t="inlineStr">
        <is>
          <t>Prototype</t>
        </is>
      </c>
      <c r="BS196" s="156" t="inlineStr">
        <is>
          <t>Prototype</t>
        </is>
      </c>
      <c r="BT196" s="152" t="inlineStr">
        <is>
          <t>Black</t>
        </is>
      </c>
      <c r="BU196" s="152" t="inlineStr">
        <is>
          <t>Not verified</t>
        </is>
      </c>
      <c r="BV196" s="156" t="n"/>
      <c r="BW196" s="156" t="inlineStr">
        <is>
          <t>Origin &amp; status — Taiwan · Prototype · 2026 | Manipulation — 5 per hand · 5 per hand fingers · Payload 13.2 lb | Sensing &amp; software — Advanced inspection cameras + AI vision · Yes · Linux-based ROS environment | Buying notes — From $25,000 · 12 months manufacturer standard (typical research/commercial humanoid) · Best fit: electronics</t>
        </is>
      </c>
      <c r="BX196" s="156" t="inlineStr">
        <is>
          <t>as_shipped|TM Xplore 1|25000|As shipped</t>
        </is>
      </c>
      <c r="BY196" s="152" t="inlineStr">
        <is>
          <t>black|Black|#e2e8f0|0</t>
        </is>
      </c>
      <c r="BZ196" s="152" t="inlineStr"/>
      <c r="CA196" s="156" t="n"/>
      <c r="CB196" s="156" t="inlineStr">
        <is>
          <t>12 months manufacturer standard (typical research/commercial humanoid)</t>
        </is>
      </c>
      <c r="CC196" s="154" t="n">
        <v>12</v>
      </c>
      <c r="CD196" s="156" t="inlineStr">
        <is>
          <t>+3 Year Extended ≈24% of configuration (default in configurator)</t>
        </is>
      </c>
      <c r="CE196" s="152" t="inlineStr">
        <is>
          <t>Humanoid category norm 2025–2026</t>
        </is>
      </c>
      <c r="CF196" s="152" t="inlineStr">
        <is>
          <t>Estimated</t>
        </is>
      </c>
      <c r="CG196" s="156" t="inlineStr">
        <is>
          <t>Confirm on formal OEM quote. EDU or enterprise packages may differ.</t>
        </is>
      </c>
      <c r="CH196" s="152" t="inlineStr">
        <is>
          <t>10%</t>
        </is>
      </c>
      <c r="CI196" s="152" t="inlineStr">
        <is>
          <t>17%</t>
        </is>
      </c>
      <c r="CJ196" s="152" t="inlineStr">
        <is>
          <t>24%</t>
        </is>
      </c>
      <c r="CK196" s="156" t="inlineStr">
        <is>
          <t>+1yr ≈10% | +2yr ≈17% | +3yr ≈24% of selected configuration price (parts &amp; labor beyond manufacturer standard).</t>
        </is>
      </c>
      <c r="CL196"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96" s="152" t="inlineStr">
        <is>
          <t>12 months manufacturer standard (typical research/commercial humanoid)</t>
        </is>
      </c>
      <c r="CQ196" s="101" t="inlineStr">
        <is>
          <t>Height: 5 ft 3 in | Weight: Not disclosed | Degrees of Freedom: 22 | Payload: 13.2 | Max Speed: 1.86 | Battery / Runtime: ≈ 2 hours</t>
        </is>
      </c>
    </row>
    <row r="197" ht="31.5" customHeight="1" s="102">
      <c r="A197" s="145" t="inlineStr">
        <is>
          <t>tekntrash_alpha</t>
        </is>
      </c>
      <c r="B197" s="153" t="inlineStr">
        <is>
          <t>Humanoid.guide</t>
        </is>
      </c>
      <c r="C197" s="145" t="inlineStr">
        <is>
          <t>TeknTrash</t>
        </is>
      </c>
      <c r="D197" s="145" t="inlineStr">
        <is>
          <t>ALPHA</t>
        </is>
      </c>
      <c r="E197" s="145" t="inlineStr">
        <is>
          <t>[TeknTrash] ALPHA (2026)</t>
        </is>
      </c>
      <c r="F197" s="146" t="inlineStr">
        <is>
          <t>humanoid</t>
        </is>
      </c>
      <c r="G197" s="145" t="inlineStr">
        <is>
          <t>UK</t>
        </is>
      </c>
      <c r="H197" s="145" t="n"/>
      <c r="I197" s="148" t="n">
        <v>55000</v>
      </c>
      <c r="J197" s="145" t="inlineStr">
        <is>
          <t>Humanoid.guide list</t>
        </is>
      </c>
      <c r="K197" s="149" t="inlineStr">
        <is>
          <t>ALPHA, developed by TeknTrash, is a humanoid robot designed to transform waste handling by automating repetitive, unsafe tasks in recycling facilities.</t>
        </is>
      </c>
      <c r="L197" s="101" t="inlineStr">
        <is>
          <t>ALPHA, developed by TeknTrash, is a humanoid robot designed to transform waste handling by automating repetitive, unsafe tasks in recycling facilities.</t>
        </is>
      </c>
      <c r="M197" s="101" t="inlineStr">
        <is>
          <t>ALPHA, developed by TeknTrash, is a humanoid robot designed to transform waste handling by automating repetitive, unsafe tasks in recycling facilities. Public status is listed as prototype.</t>
        </is>
      </c>
      <c r="N197" s="150" t="inlineStr">
        <is>
          <t>https://humanoid.guide/product/alpha/</t>
        </is>
      </c>
      <c r="O197" s="150" t="inlineStr">
        <is>
          <t>https://www.tekntrash.com/</t>
        </is>
      </c>
      <c r="P197" s="145" t="inlineStr">
        <is>
          <t>6 ft 7 in</t>
        </is>
      </c>
      <c r="Q197" s="145" t="n">
        <v>200</v>
      </c>
      <c r="R197" s="145" t="n">
        <v>198.4</v>
      </c>
      <c r="S197" s="145" t="n">
        <v>90</v>
      </c>
      <c r="T197" s="149" t="inlineStr">
        <is>
          <t>Not disclosed</t>
        </is>
      </c>
      <c r="U197" s="145" t="n"/>
      <c r="V197" s="145" t="inlineStr">
        <is>
          <t>13</t>
        </is>
      </c>
      <c r="W197" s="149" t="inlineStr">
        <is>
          <t>2</t>
        </is>
      </c>
      <c r="X197" s="145" t="n">
        <v>11</v>
      </c>
      <c r="Y197" s="145" t="n">
        <v>5</v>
      </c>
      <c r="Z197" s="145" t="n">
        <v>0.5600000000000001</v>
      </c>
      <c r="AA197" s="145" t="n">
        <v>0.9</v>
      </c>
      <c r="AB197" s="145" t="n"/>
      <c r="AC197" s="149" t="inlineStr">
        <is>
          <t>≈ 7 hours</t>
        </is>
      </c>
      <c r="AD197" s="149" t="inlineStr">
        <is>
          <t>7</t>
        </is>
      </c>
      <c r="AE197" s="145" t="n"/>
      <c r="AF197" s="145" t="inlineStr">
        <is>
          <t>Not disclosed</t>
        </is>
      </c>
      <c r="AG197" s="149" t="inlineStr">
        <is>
          <t>4</t>
        </is>
      </c>
      <c r="AH197" s="145" t="inlineStr">
        <is>
          <t>4</t>
        </is>
      </c>
      <c r="AI197" s="158" t="n">
        <v>2</v>
      </c>
      <c r="AJ197" s="149" t="inlineStr">
        <is>
          <t>640x480</t>
        </is>
      </c>
      <c r="AK197" s="149" t="inlineStr">
        <is>
          <t>640x480</t>
        </is>
      </c>
      <c r="AL197" s="145" t="inlineStr">
        <is>
          <t>Not disclosed</t>
        </is>
      </c>
      <c r="AM197" s="145" t="n"/>
      <c r="AN197" s="145" t="inlineStr">
        <is>
          <t>Not disclosed</t>
        </is>
      </c>
      <c r="AO197" s="145" t="inlineStr">
        <is>
          <t>Not disclosed</t>
        </is>
      </c>
      <c r="AP197" s="145" t="inlineStr">
        <is>
          <t>Not disclosed</t>
        </is>
      </c>
      <c r="AQ197" s="145" t="inlineStr">
        <is>
          <t>Not disclosed</t>
        </is>
      </c>
      <c r="AR197" s="145" t="n"/>
      <c r="AS197" s="145" t="n"/>
      <c r="AT197" s="149" t="inlineStr">
        <is>
          <t>Nvidia Orin AGX 64</t>
        </is>
      </c>
      <c r="AU197" s="149" t="inlineStr">
        <is>
          <t>WiFi</t>
        </is>
      </c>
      <c r="AV197" s="145" t="inlineStr">
        <is>
          <t>Not disclosed</t>
        </is>
      </c>
      <c r="AW197" s="149" t="inlineStr">
        <is>
          <t>Not disclosed</t>
        </is>
      </c>
      <c r="AX197" s="158" t="n">
        <v>2</v>
      </c>
      <c r="AY197" s="149" t="inlineStr">
        <is>
          <t>Ubuntu 24</t>
        </is>
      </c>
      <c r="AZ197" s="149" t="inlineStr">
        <is>
          <t>deepseek</t>
        </is>
      </c>
      <c r="BA197" s="149" t="inlineStr">
        <is>
          <t>20 ms</t>
        </is>
      </c>
      <c r="BB197" s="149" t="inlineStr">
        <is>
          <t>Realman</t>
        </is>
      </c>
      <c r="BC197" s="149" t="inlineStr">
        <is>
          <t>Realman</t>
        </is>
      </c>
      <c r="BD197" s="145" t="inlineStr">
        <is>
          <t>Aluminum; Plastic</t>
        </is>
      </c>
      <c r="BE197" s="145" t="inlineStr">
        <is>
          <t>IP32</t>
        </is>
      </c>
      <c r="BF197" s="145" t="inlineStr">
        <is>
          <t>IP32</t>
        </is>
      </c>
      <c r="BG197" s="145" t="n"/>
      <c r="BH197" s="145" t="n"/>
      <c r="BI197" s="145" t="n"/>
      <c r="BJ197" s="145" t="n"/>
      <c r="BK197" s="145" t="n"/>
      <c r="BL197" s="145" t="n"/>
      <c r="BM197" s="145" t="inlineStr">
        <is>
          <t>Yes</t>
        </is>
      </c>
      <c r="BN197" s="145" t="inlineStr">
        <is>
          <t>Not disclosed</t>
        </is>
      </c>
      <c r="BO197" s="149" t="inlineStr">
        <is>
          <t>Market: Recycling · Manipulation 2/4 · Navigation 2/4 · Human-safe: Yes · AI: deepseek · Actuation: Realman · Peak 0.9 km/h · Runtime 7</t>
        </is>
      </c>
      <c r="BP197" s="145" t="n"/>
      <c r="BQ197" s="149" t="inlineStr">
        <is>
          <t>Recycling</t>
        </is>
      </c>
      <c r="BR197" s="149" t="inlineStr">
        <is>
          <t>Prototype</t>
        </is>
      </c>
      <c r="BS197" s="149" t="inlineStr">
        <is>
          <t>Prototype</t>
        </is>
      </c>
      <c r="BT197" s="145" t="n"/>
      <c r="BU197" s="145" t="inlineStr">
        <is>
          <t>Not verified</t>
        </is>
      </c>
      <c r="BV197" s="149" t="n"/>
      <c r="BW197" s="149" t="inlineStr">
        <is>
          <t>Origin &amp; status — UK · Prototype · 2026 | Manipulation — 4 · 4 fingers · Hand DOF 2 · Payload 11 lb | Sensing &amp; software — 640x480 · deepseek · Ubuntu 24 | Buying notes — From $55,000 · 12 months manufacturer standard (typical research/commercial humanoid) · Best fit: Recycling</t>
        </is>
      </c>
      <c r="BX197" s="149" t="inlineStr">
        <is>
          <t>as_shipped|ALPHA|55000|As shipped</t>
        </is>
      </c>
      <c r="BY197" s="145" t="inlineStr">
        <is>
          <t>alpha|Manufacturer finish|#e2e8f0|0</t>
        </is>
      </c>
      <c r="BZ197" s="145" t="inlineStr"/>
      <c r="CA197" s="149" t="n"/>
      <c r="CB197" s="149" t="inlineStr">
        <is>
          <t>12 months manufacturer standard (typical research/commercial humanoid)</t>
        </is>
      </c>
      <c r="CC197" s="147" t="n">
        <v>12</v>
      </c>
      <c r="CD197" s="149" t="inlineStr">
        <is>
          <t>+3 Year Extended ≈24% of configuration (default in configurator)</t>
        </is>
      </c>
      <c r="CE197" s="145" t="inlineStr">
        <is>
          <t>Humanoid category norm 2025–2026</t>
        </is>
      </c>
      <c r="CF197" s="145" t="inlineStr">
        <is>
          <t>Estimated</t>
        </is>
      </c>
      <c r="CG197" s="149" t="inlineStr">
        <is>
          <t>Confirm on formal OEM quote. EDU or enterprise packages may differ.</t>
        </is>
      </c>
      <c r="CH197" s="145" t="inlineStr">
        <is>
          <t>10%</t>
        </is>
      </c>
      <c r="CI197" s="145" t="inlineStr">
        <is>
          <t>17%</t>
        </is>
      </c>
      <c r="CJ197" s="145" t="inlineStr">
        <is>
          <t>24%</t>
        </is>
      </c>
      <c r="CK197" s="149" t="inlineStr">
        <is>
          <t>+1yr ≈10% | +2yr ≈17% | +3yr ≈24% of selected configuration price (parts &amp; labor beyond manufacturer standard).</t>
        </is>
      </c>
      <c r="CL197"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97" s="145" t="inlineStr">
        <is>
          <t>12 months manufacturer standard (typical research/commercial humanoid)</t>
        </is>
      </c>
      <c r="CQ197" s="101" t="inlineStr">
        <is>
          <t>Height: 6 ft 7 in | Weight: 198.4 | Degrees of Freedom: 13 | Payload: 11 | Max Speed: 0.56 | Battery / Runtime: ≈ 7 hours</t>
        </is>
      </c>
    </row>
    <row r="198" ht="31.5" customHeight="1" s="102">
      <c r="A198" s="152" t="inlineStr">
        <is>
          <t>tencent_robotics_x_xiao_liu</t>
        </is>
      </c>
      <c r="B198" s="153" t="inlineStr">
        <is>
          <t>Humanoid.guide</t>
        </is>
      </c>
      <c r="C198" s="152" t="inlineStr">
        <is>
          <t>Tencent Robotics X</t>
        </is>
      </c>
      <c r="D198" s="152" t="inlineStr">
        <is>
          <t>Xiao Liu</t>
        </is>
      </c>
      <c r="E198" s="152" t="inlineStr">
        <is>
          <t>[Tencent Robotics X] Xiao Liu (2026)</t>
        </is>
      </c>
      <c r="F198" s="146" t="inlineStr">
        <is>
          <t>humanoid</t>
        </is>
      </c>
      <c r="G198" s="152" t="inlineStr">
        <is>
          <t>China</t>
        </is>
      </c>
      <c r="H198" s="152" t="n"/>
      <c r="I198" s="155" t="n">
        <v>90000</v>
      </c>
      <c r="J198" s="152" t="inlineStr">
        <is>
          <t>Humanoid.guide list</t>
        </is>
      </c>
      <c r="K198" s="156" t="inlineStr">
        <is>
          <t>Xiao Liu is Tencent Robotics X Lab’s newest demonstration humanoid, a wheeled eldercare and home-assistance robot that performs precise, human-like therapeutic massage through advanced force and tactile sensing.</t>
        </is>
      </c>
      <c r="L198" s="101" t="inlineStr">
        <is>
          <t>Xiao Liu is Tencent Robotics X Lab’s newest demonstration humanoid, a wheeled eldercare and home-assistance robot that performs precise, human-like therapeutic massage through advanced force and tactile sensing.</t>
        </is>
      </c>
      <c r="M198" s="101" t="inlineStr">
        <is>
          <t>Xiao Liu is Tencent Robotics X Lab’s newest demonstration humanoid, a wheeled eldercare and home-assistance robot that performs precise, human-like therapeutic massage through advanced force and tactile sensing. Public status is listed as prototype, and it is positioned for eldercare; Home assistance.</t>
        </is>
      </c>
      <c r="N198" s="157" t="inlineStr">
        <is>
          <t>https://humanoid.guide/product/xiao-liu/</t>
        </is>
      </c>
      <c r="O198" s="157" t="inlineStr">
        <is>
          <t>https://roboticsx.tencent.com</t>
        </is>
      </c>
      <c r="P198" s="152" t="inlineStr">
        <is>
          <t>5 ft 5 in</t>
        </is>
      </c>
      <c r="Q198" s="152" t="n">
        <v>165</v>
      </c>
      <c r="R198" s="152" t="n">
        <v>154.3</v>
      </c>
      <c r="S198" s="152" t="n">
        <v>70</v>
      </c>
      <c r="T198" s="156" t="inlineStr">
        <is>
          <t>Not disclosed</t>
        </is>
      </c>
      <c r="U198" s="152" t="n"/>
      <c r="V198" s="152" t="inlineStr">
        <is>
          <t>38</t>
        </is>
      </c>
      <c r="W198" s="156" t="inlineStr">
        <is>
          <t>12</t>
        </is>
      </c>
      <c r="X198" s="152" t="n">
        <v>22</v>
      </c>
      <c r="Y198" s="152" t="n">
        <v>10</v>
      </c>
      <c r="Z198" s="152" t="n">
        <v>3.11</v>
      </c>
      <c r="AA198" s="152" t="n">
        <v>5</v>
      </c>
      <c r="AB198" s="152" t="n"/>
      <c r="AC198" s="156" t="inlineStr">
        <is>
          <t>≈ 2 hours</t>
        </is>
      </c>
      <c r="AD198" s="156" t="inlineStr">
        <is>
          <t>2</t>
        </is>
      </c>
      <c r="AE198" s="152" t="n"/>
      <c r="AF198" s="152" t="inlineStr">
        <is>
          <t>Not disclosed</t>
        </is>
      </c>
      <c r="AG198" s="156" t="inlineStr">
        <is>
          <t>3 per hand</t>
        </is>
      </c>
      <c r="AH198" s="152" t="inlineStr">
        <is>
          <t>3 per hand</t>
        </is>
      </c>
      <c r="AI198" s="152" t="n"/>
      <c r="AJ198" s="156" t="inlineStr">
        <is>
          <t>Not disclosed</t>
        </is>
      </c>
      <c r="AK198" s="156" t="n"/>
      <c r="AL198" s="152" t="inlineStr">
        <is>
          <t>Not disclosed</t>
        </is>
      </c>
      <c r="AM198" s="152" t="n"/>
      <c r="AN198" s="152" t="inlineStr">
        <is>
          <t>Not disclosed</t>
        </is>
      </c>
      <c r="AO198" s="152" t="inlineStr">
        <is>
          <t>Not disclosed</t>
        </is>
      </c>
      <c r="AP198" s="152" t="inlineStr">
        <is>
          <t>Not disclosed</t>
        </is>
      </c>
      <c r="AQ198" s="152" t="inlineStr">
        <is>
          <t>Not disclosed</t>
        </is>
      </c>
      <c r="AR198" s="152" t="n"/>
      <c r="AS198" s="152" t="n"/>
      <c r="AT198" s="156" t="inlineStr">
        <is>
          <t>Not disclosed</t>
        </is>
      </c>
      <c r="AU198" s="156" t="inlineStr">
        <is>
          <t>Bluetooth; Wi-Fi</t>
        </is>
      </c>
      <c r="AV198" s="152" t="inlineStr">
        <is>
          <t>Not disclosed</t>
        </is>
      </c>
      <c r="AW198" s="156" t="inlineStr">
        <is>
          <t>Not disclosed</t>
        </is>
      </c>
      <c r="AX198" s="152" t="n"/>
      <c r="AY198" s="156" t="inlineStr">
        <is>
          <t>Not disclosed</t>
        </is>
      </c>
      <c r="AZ198" s="156" t="inlineStr">
        <is>
          <t>Not disclosed</t>
        </is>
      </c>
      <c r="BA198" s="156" t="n"/>
      <c r="BB198" s="156" t="inlineStr">
        <is>
          <t>Electric actuators</t>
        </is>
      </c>
      <c r="BC198" s="156" t="inlineStr">
        <is>
          <t>Cable-tendon (key-rope) drive</t>
        </is>
      </c>
      <c r="BD198" s="152" t="inlineStr">
        <is>
          <t>Aluminum alloy frame with polymer shell</t>
        </is>
      </c>
      <c r="BE198" s="152" t="inlineStr">
        <is>
          <t>Not disclosed</t>
        </is>
      </c>
      <c r="BF198" s="152" t="n"/>
      <c r="BG198" s="152" t="n"/>
      <c r="BH198" s="152" t="n"/>
      <c r="BI198" s="152" t="n"/>
      <c r="BJ198" s="152" t="n"/>
      <c r="BK198" s="152" t="n"/>
      <c r="BL198" s="152" t="n"/>
      <c r="BM198" s="152" t="inlineStr">
        <is>
          <t>Yes</t>
        </is>
      </c>
      <c r="BN198" s="152" t="inlineStr">
        <is>
          <t>Not disclosed</t>
        </is>
      </c>
      <c r="BO198" s="156" t="inlineStr">
        <is>
          <t>Market: Eldercare; Home assistance · Human-safe: Yes · Actuation: Electric actuators · Peak 5 km/h · Runtime 2</t>
        </is>
      </c>
      <c r="BP198" s="152" t="n"/>
      <c r="BQ198" s="156" t="inlineStr">
        <is>
          <t>Eldercare; Home assistance</t>
        </is>
      </c>
      <c r="BR198" s="156" t="inlineStr">
        <is>
          <t>Prototype</t>
        </is>
      </c>
      <c r="BS198" s="156" t="inlineStr">
        <is>
          <t>Prototype</t>
        </is>
      </c>
      <c r="BT198" s="152" t="n"/>
      <c r="BU198" s="152" t="n"/>
      <c r="BV198" s="156" t="n"/>
      <c r="BW198" s="156" t="inlineStr">
        <is>
          <t>Origin &amp; status — China · Prototype · 2026 | Manipulation — 3 per hand · 3 per hand fingers · Hand DOF 12 · Payload 22 lb | Sensing &amp; software — Sensor and compute package confirmed on formal quote | Buying notes — From $90,000 · 12 months manufacturer standard (typical research/commercial humanoid) · Best fit: Eldercare</t>
        </is>
      </c>
      <c r="BX198" s="156" t="inlineStr">
        <is>
          <t>as_shipped|Xiao Liu|90000|As shipped</t>
        </is>
      </c>
      <c r="BY198" s="152" t="inlineStr">
        <is>
          <t>xiao_liu|Manufacturer finish|#e2e8f0|0</t>
        </is>
      </c>
      <c r="BZ198" s="152" t="inlineStr"/>
      <c r="CA198" s="156" t="n"/>
      <c r="CB198" s="156" t="inlineStr">
        <is>
          <t>12 months manufacturer standard (typical research/commercial humanoid)</t>
        </is>
      </c>
      <c r="CC198" s="154" t="n">
        <v>12</v>
      </c>
      <c r="CD198" s="156" t="inlineStr">
        <is>
          <t>+3 Year Extended ≈24% of configuration (default in configurator)</t>
        </is>
      </c>
      <c r="CE198" s="152" t="inlineStr">
        <is>
          <t>Humanoid category norm 2025–2026</t>
        </is>
      </c>
      <c r="CF198" s="152" t="inlineStr">
        <is>
          <t>Estimated</t>
        </is>
      </c>
      <c r="CG198" s="156" t="inlineStr">
        <is>
          <t>Confirm on formal OEM quote. EDU or enterprise packages may differ.</t>
        </is>
      </c>
      <c r="CH198" s="152" t="inlineStr">
        <is>
          <t>10%</t>
        </is>
      </c>
      <c r="CI198" s="152" t="inlineStr">
        <is>
          <t>17%</t>
        </is>
      </c>
      <c r="CJ198" s="152" t="inlineStr">
        <is>
          <t>24%</t>
        </is>
      </c>
      <c r="CK198" s="156" t="inlineStr">
        <is>
          <t>+1yr ≈10% | +2yr ≈17% | +3yr ≈24% of selected configuration price (parts &amp; labor beyond manufacturer standard).</t>
        </is>
      </c>
      <c r="CL198"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98" s="152" t="inlineStr">
        <is>
          <t>12 months manufacturer standard (typical research/commercial humanoid)</t>
        </is>
      </c>
      <c r="CQ198" s="101" t="inlineStr">
        <is>
          <t>Height: 5 ft 5 in | Weight: 154.3 | Degrees of Freedom: 38 | Payload: 22 | Max Speed: 3.11 | Battery / Runtime: ≈ 2 hours</t>
        </is>
      </c>
    </row>
    <row r="199" ht="31.5" customHeight="1" s="102">
      <c r="A199" s="143" t="inlineStr">
        <is>
          <t>optimus</t>
        </is>
      </c>
      <c r="B199" s="144" t="inlineStr">
        <is>
          <t>Both</t>
        </is>
      </c>
      <c r="C199" s="145" t="inlineStr">
        <is>
          <t>Tesla</t>
        </is>
      </c>
      <c r="D199" s="145" t="inlineStr">
        <is>
          <t>Optimus</t>
        </is>
      </c>
      <c r="E199" s="145" t="inlineStr">
        <is>
          <t>[Tesla] Optimus (2026)</t>
        </is>
      </c>
      <c r="F199" s="146" t="inlineStr">
        <is>
          <t>humanoid</t>
        </is>
      </c>
      <c r="G199" s="145" t="inlineStr">
        <is>
          <t>USA</t>
        </is>
      </c>
      <c r="H199" s="147" t="n">
        <v>2026</v>
      </c>
      <c r="I199" s="148" t="n">
        <v>25000</v>
      </c>
      <c r="J199" s="145" t="inlineStr">
        <is>
          <t>Website store</t>
        </is>
      </c>
      <c r="K199" s="149" t="inlineStr">
        <is>
          <t>Optimus is Tesla's humanoid — ≈ 5 ft 8 in class, ≈ 28 body DOF · Gen 3 hands ≈ 22 DOF per hand (≈ 50 actuators total for both hands), ≈ 44 lb carry · ≈ 20 lb class per arm continuous · deadlift class ≈ 150 lb payload. Gen 3 tendon-driven hands ≈ 22 DOF per hand with tactile sensing; Multi-camera vision-primary stack (Tesla vision approach; no LiDAR in public descriptions).</t>
        </is>
      </c>
      <c r="L199" s="101" t="inlineStr">
        <is>
          <t>Optimus is Tesla's humanoid — ≈ 5 ft 8 in class, ≈ 28 body DOF · Gen 3 hands ≈ 22 DOF per hand (≈ 50 actuators total for both hands), ≈ 44 lb carry · ≈ 20 lb class per arm continuous · deadlift class ≈ 150 lb payload. Gen 3 tendon-driven hands ≈ 22 DOF per hand with tactile sensing; Multi-camera vision-primary stack (Tesla vision approach; no LiDAR in public descriptions).</t>
        </is>
      </c>
      <c r="M199" s="101" t="inlineStr">
        <is>
          <t>Tesla’s Optimus program applies the company’s automotive manufacturing methods to a general-purpose humanoid. The line runs from Gen 2 through the gold-coloured Gen 2.5 prototype into Gen 3.</t>
        </is>
      </c>
      <c r="N199" s="150" t="inlineStr">
        <is>
          <t>https://humanoid.guide/product/optimus/</t>
        </is>
      </c>
      <c r="O199" s="150" t="inlineStr">
        <is>
          <t>https://www.tesla.com/AI</t>
        </is>
      </c>
      <c r="P199" s="145" t="inlineStr">
        <is>
          <t>≈ 5 ft 8 in</t>
        </is>
      </c>
      <c r="Q199" s="145" t="n">
        <v>173</v>
      </c>
      <c r="R199" s="145" t="n">
        <v>123.5</v>
      </c>
      <c r="S199" s="145" t="n">
        <v>56</v>
      </c>
      <c r="T199" s="149" t="inlineStr">
        <is>
          <t>Not disclosed</t>
        </is>
      </c>
      <c r="U199" s="145" t="n"/>
      <c r="V199" s="145" t="inlineStr">
        <is>
          <t>≈ 28 body DOF · Gen 3 hands ≈ 22 DOF per hand (≈ 50 actuators total for both hands)</t>
        </is>
      </c>
      <c r="W199" s="149" t="inlineStr">
        <is>
          <t>Not disclosed</t>
        </is>
      </c>
      <c r="X199" s="145" t="n">
        <v>44.1</v>
      </c>
      <c r="Y199" s="145" t="n">
        <v>20</v>
      </c>
      <c r="Z199" s="145" t="n">
        <v>4.97</v>
      </c>
      <c r="AA199" s="145" t="n">
        <v>8</v>
      </c>
      <c r="AB199" s="145" t="n">
        <v>2.5</v>
      </c>
      <c r="AC199" s="149" t="inlineStr">
        <is>
          <t>≈ 2.3 kWh · designed for multi-hour / full-shift light duty</t>
        </is>
      </c>
      <c r="AD199" s="149" t="inlineStr">
        <is>
          <t>1</t>
        </is>
      </c>
      <c r="AE199" s="145" t="n"/>
      <c r="AF199" s="145" t="inlineStr">
        <is>
          <t>Not disclosed</t>
        </is>
      </c>
      <c r="AG199" s="149" t="inlineStr">
        <is>
          <t>Gen 3 tendon-driven hands ≈ 22 DOF per hand with tactile sensing</t>
        </is>
      </c>
      <c r="AH199" s="145" t="inlineStr">
        <is>
          <t>Not disclosed</t>
        </is>
      </c>
      <c r="AI199" s="158" t="n">
        <v>2</v>
      </c>
      <c r="AJ199" s="149" t="inlineStr">
        <is>
          <t>Multi-camera vision-primary stack (Tesla vision approach; no LiDAR in public descriptions)</t>
        </is>
      </c>
      <c r="AK199" s="149" t="n"/>
      <c r="AL199" s="145" t="inlineStr">
        <is>
          <t>Onboard multi-camera streams for autonomy and teleoperation</t>
        </is>
      </c>
      <c r="AM199" s="145" t="n"/>
      <c r="AN199" s="145" t="inlineStr">
        <is>
          <t>Not disclosed</t>
        </is>
      </c>
      <c r="AO199" s="145" t="inlineStr">
        <is>
          <t>Not disclosed</t>
        </is>
      </c>
      <c r="AP199" s="145" t="inlineStr">
        <is>
          <t>Full-body cameras · foot force/torque · proximity sensing</t>
        </is>
      </c>
      <c r="AQ199" s="145" t="inlineStr">
        <is>
          <t>Not disclosed</t>
        </is>
      </c>
      <c r="AR199" s="145" t="n"/>
      <c r="AS199" s="145" t="inlineStr">
        <is>
          <t>Tesla FSD-derived / AI5-class robot computer</t>
        </is>
      </c>
      <c r="AT199" s="149" t="inlineStr">
        <is>
          <t>Not disclosed</t>
        </is>
      </c>
      <c r="AU199" s="149" t="inlineStr">
        <is>
          <t>Not disclosed</t>
        </is>
      </c>
      <c r="AV199" s="145" t="inlineStr">
        <is>
          <t>Tesla internal autonomy stack; external sales timeline later</t>
        </is>
      </c>
      <c r="AW199" s="149" t="inlineStr">
        <is>
          <t>Bipedal mobility aimed at factory and general-purpose tasks</t>
        </is>
      </c>
      <c r="AX199" s="158" t="n">
        <v>2</v>
      </c>
      <c r="AY199" s="149" t="inlineStr">
        <is>
          <t>Not disclosed</t>
        </is>
      </c>
      <c r="AZ199" s="149" t="inlineStr">
        <is>
          <t>Not disclosed</t>
        </is>
      </c>
      <c r="BA199" s="149" t="n"/>
      <c r="BB199" s="149" t="inlineStr">
        <is>
          <t>Not disclosed</t>
        </is>
      </c>
      <c r="BC199" s="149" t="inlineStr">
        <is>
          <t>Not disclosed</t>
        </is>
      </c>
      <c r="BD199" s="145" t="inlineStr">
        <is>
          <t>Not disclosed</t>
        </is>
      </c>
      <c r="BE199" s="145" t="inlineStr">
        <is>
          <t>Not disclosed</t>
        </is>
      </c>
      <c r="BF199" s="145" t="n"/>
      <c r="BG199" s="145" t="n"/>
      <c r="BH199" s="145" t="n"/>
      <c r="BI199" s="145" t="n"/>
      <c r="BJ199" s="145" t="n"/>
      <c r="BK199" s="145" t="n"/>
      <c r="BL199" s="145" t="n"/>
      <c r="BM199" s="145" t="inlineStr">
        <is>
          <t>Not disclosed</t>
        </is>
      </c>
      <c r="BN199" s="145" t="inlineStr">
        <is>
          <t>Not disclosed</t>
        </is>
      </c>
      <c r="BO199" s="149" t="inlineStr">
        <is>
          <t>Manipulation 2/4 · Navigation 2/4 · Peak 8 km/h · Walk 2.5 km/h · Runtime 1</t>
        </is>
      </c>
      <c r="BP199" s="145" t="n"/>
      <c r="BQ199" s="149" t="inlineStr">
        <is>
          <t>Organisations monitoring Tesla’s humanoid roadmap and preparing for future availability.</t>
        </is>
      </c>
      <c r="BR199" s="149" t="inlineStr">
        <is>
          <t>Internal ramp · external sales later</t>
        </is>
      </c>
      <c r="BS199" s="149" t="inlineStr">
        <is>
          <t>Prototype</t>
        </is>
      </c>
      <c r="BT199" s="145" t="n"/>
      <c r="BU199" s="145" t="inlineStr">
        <is>
          <t>Not verified</t>
        </is>
      </c>
      <c r="BV199" s="149" t="inlineStr">
        <is>
          <t>Humanoid.guide listed price $30,000.</t>
        </is>
      </c>
      <c r="BW199" s="149" t="inlineStr">
        <is>
          <t>Origin &amp; status — USA · Internal ramp · external sales later · 2026 | Manipulation — Gen 3 tendon-driven hands ≈ 22 DOF per hand with tactile sensing · Payload ≈ 44 lb carry · ≈ 20 lb class per arm continuous · deadlift class ≈ 150 lb | Sensing &amp; software — Multi-camera vision-primary stack (Tesla vision approach; no LiDAR in public descriptions) · Tesla FSD-derived / AI5-class robot computer · Tesla internal a… | Buying notes — From $25,000 · 12 months manufacturer standard (typical research/commercial humanoid)</t>
        </is>
      </c>
      <c r="BX199" s="149" t="inlineStr">
        <is>
          <t>target|Volume Target (illustrative)|25000|Long-term scale target || early|Early External (illustrative)|50000|Possible early external band</t>
        </is>
      </c>
      <c r="BY199" s="145" t="inlineStr">
        <is>
          <t>white|Tesla White|#f8fafc|0 || black|Tesla Black|#111111|0</t>
        </is>
      </c>
      <c r="BZ199" s="145" t="inlineStr"/>
      <c r="CA199" s="149" t="inlineStr">
        <is>
          <t>2 configuration tiers; 2 color options; Multi-year extended warranty available</t>
        </is>
      </c>
      <c r="CB199" s="149" t="inlineStr">
        <is>
          <t>12 months manufacturer standard (typical research/commercial humanoid)</t>
        </is>
      </c>
      <c r="CC199" s="147" t="n">
        <v>12</v>
      </c>
      <c r="CD199" s="149" t="inlineStr">
        <is>
          <t>+3 Year Extended ≈24% of configuration (default in configurator)</t>
        </is>
      </c>
      <c r="CE199" s="145" t="inlineStr">
        <is>
          <t>Humanoid category norm 2025–2026</t>
        </is>
      </c>
      <c r="CF199" s="145" t="inlineStr">
        <is>
          <t>Estimated</t>
        </is>
      </c>
      <c r="CG199" s="149" t="inlineStr">
        <is>
          <t>EDU or enterprise packages may differ; confirm on formal quote.</t>
        </is>
      </c>
      <c r="CH199" s="145" t="inlineStr">
        <is>
          <t>10%</t>
        </is>
      </c>
      <c r="CI199" s="145" t="inlineStr">
        <is>
          <t>17%</t>
        </is>
      </c>
      <c r="CJ199" s="145" t="inlineStr">
        <is>
          <t>24%</t>
        </is>
      </c>
      <c r="CK19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19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99" s="145" t="inlineStr">
        <is>
          <t>12 months manufacturer standard (typical research/commercial humanoid)</t>
        </is>
      </c>
      <c r="CQ199" s="101" t="inlineStr">
        <is>
          <t>Height: ≈ 5 ft 8 in | Weight: 123.5 | Degrees of Freedom: ≈ 28 body DOF · Gen 3 hands ≈ 22 DOF per hand (≈ 50 actuators total for both hands) | Payload: 44.1 | Max Speed: 4.97 | Battery / Runtime: ≈ 2.3 kWh · designed for multi-hour / full-shift light duty</t>
        </is>
      </c>
    </row>
    <row r="200" ht="31.5" customHeight="1" s="102">
      <c r="A200" s="152" t="inlineStr">
        <is>
          <t>tesla_optimus_gen_3</t>
        </is>
      </c>
      <c r="B200" s="153" t="inlineStr">
        <is>
          <t>Humanoid.guide</t>
        </is>
      </c>
      <c r="C200" s="152" t="inlineStr">
        <is>
          <t>Tesla</t>
        </is>
      </c>
      <c r="D200" s="152" t="inlineStr">
        <is>
          <t>OPTIMUS GEN 3</t>
        </is>
      </c>
      <c r="E200" s="152" t="inlineStr">
        <is>
          <t>[Tesla] Optimus Gen 3 (2026)</t>
        </is>
      </c>
      <c r="F200" s="146" t="inlineStr">
        <is>
          <t>humanoid</t>
        </is>
      </c>
      <c r="G200" s="152" t="inlineStr">
        <is>
          <t>USA</t>
        </is>
      </c>
      <c r="H200" s="154" t="n">
        <v>2026</v>
      </c>
      <c r="I200" s="155" t="n">
        <v>30000</v>
      </c>
      <c r="J200" s="152" t="inlineStr">
        <is>
          <t>Humanoid.guide list</t>
        </is>
      </c>
      <c r="K200" s="156" t="inlineStr">
        <is>
          <t>Tesla Optimus v2.5 is the mid-prototype upgrade is to test the Electronics, Motors and AI systems for the new production version 3 coming in Q1 2026 and also to completely automate the factory production line for V3 robot to full scale 1M robots mass production a year to bring th.</t>
        </is>
      </c>
      <c r="L200" s="101" t="inlineStr">
        <is>
          <t>Tesla Optimus v2.5 is the mid-prototype upgrade is to test the Electronics, Motors and AI systems for the new production version 3 coming in Q1 2026 and also to completely automate the factory production line for V3 robot to full scale 1M robots mass production a year to bring th.</t>
        </is>
      </c>
      <c r="M200" s="101" t="inlineStr">
        <is>
          <t>Optimus Gen 3 is Tesla’s production-intent humanoid following the Gen 2 and Gen 2.5 prototypes. The company frames it as the first Optimus meant to be built with automotive-scale methods.</t>
        </is>
      </c>
      <c r="N200" s="157" t="inlineStr">
        <is>
          <t>https://humanoid.guide/product/optimus-gen-3/</t>
        </is>
      </c>
      <c r="O200" s="157" t="inlineStr">
        <is>
          <t>https://www.tesla.com/AI</t>
        </is>
      </c>
      <c r="P200" s="152" t="inlineStr">
        <is>
          <t>5 ft 11 in</t>
        </is>
      </c>
      <c r="Q200" s="152" t="n">
        <v>180</v>
      </c>
      <c r="R200" s="152" t="n">
        <v>99.2</v>
      </c>
      <c r="S200" s="152" t="n">
        <v>45</v>
      </c>
      <c r="T200" s="156" t="inlineStr">
        <is>
          <t>Not disclosed</t>
        </is>
      </c>
      <c r="U200" s="152" t="n"/>
      <c r="V200" s="152" t="inlineStr">
        <is>
          <t>75</t>
        </is>
      </c>
      <c r="W200" s="156" t="inlineStr">
        <is>
          <t>25</t>
        </is>
      </c>
      <c r="X200" s="152" t="n">
        <v>88.2</v>
      </c>
      <c r="Y200" s="152" t="n">
        <v>40</v>
      </c>
      <c r="Z200" s="152" t="n">
        <v>12.43</v>
      </c>
      <c r="AA200" s="152" t="n">
        <v>20</v>
      </c>
      <c r="AB200" s="152" t="n">
        <v>12</v>
      </c>
      <c r="AC200" s="156" t="inlineStr">
        <is>
          <t>≈ 5 hours</t>
        </is>
      </c>
      <c r="AD200" s="156" t="inlineStr">
        <is>
          <t>5</t>
        </is>
      </c>
      <c r="AE200" s="152" t="n"/>
      <c r="AF200" s="152" t="inlineStr">
        <is>
          <t>Not disclosed</t>
        </is>
      </c>
      <c r="AG200" s="156" t="inlineStr">
        <is>
          <t>5 per hand</t>
        </is>
      </c>
      <c r="AH200" s="152" t="inlineStr">
        <is>
          <t>5 per hand</t>
        </is>
      </c>
      <c r="AI200" s="152" t="n"/>
      <c r="AJ200" s="156" t="inlineStr">
        <is>
          <t>8 MP</t>
        </is>
      </c>
      <c r="AK200" s="156" t="inlineStr">
        <is>
          <t>8 MP</t>
        </is>
      </c>
      <c r="AL200" s="152" t="inlineStr">
        <is>
          <t>Not disclosed</t>
        </is>
      </c>
      <c r="AM200" s="152" t="n"/>
      <c r="AN200" s="152" t="inlineStr">
        <is>
          <t>Not disclosed</t>
        </is>
      </c>
      <c r="AO200" s="152" t="inlineStr">
        <is>
          <t>Not disclosed</t>
        </is>
      </c>
      <c r="AP200" s="152" t="inlineStr">
        <is>
          <t>Not disclosed</t>
        </is>
      </c>
      <c r="AQ200" s="152" t="inlineStr">
        <is>
          <t>Not disclosed</t>
        </is>
      </c>
      <c r="AR200" s="152" t="n"/>
      <c r="AS200" s="152" t="n"/>
      <c r="AT200" s="156" t="inlineStr">
        <is>
          <t>AI4 &amp; AI5 CHIP</t>
        </is>
      </c>
      <c r="AU200" s="156" t="inlineStr">
        <is>
          <t>5G; Bluetooth; WiFi</t>
        </is>
      </c>
      <c r="AV200" s="152" t="inlineStr">
        <is>
          <t>Not disclosed</t>
        </is>
      </c>
      <c r="AW200" s="156" t="inlineStr">
        <is>
          <t>Not disclosed</t>
        </is>
      </c>
      <c r="AX200" s="152" t="n"/>
      <c r="AY200" s="156" t="inlineStr">
        <is>
          <t>TESLA FSD ROBOT VERSION</t>
        </is>
      </c>
      <c r="AZ200" s="156" t="inlineStr">
        <is>
          <t>XAI GROK</t>
        </is>
      </c>
      <c r="BA200" s="156" t="inlineStr">
        <is>
          <t>NEURAL NETS</t>
        </is>
      </c>
      <c r="BB200" s="156" t="inlineStr">
        <is>
          <t>High torque-density motors</t>
        </is>
      </c>
      <c r="BC200" s="156" t="inlineStr">
        <is>
          <t>Not disclosed</t>
        </is>
      </c>
      <c r="BD200" s="152" t="inlineStr">
        <is>
          <t>Soft 3D-lattice polymer body</t>
        </is>
      </c>
      <c r="BE200" s="152" t="inlineStr">
        <is>
          <t>IP68</t>
        </is>
      </c>
      <c r="BF200" s="152" t="inlineStr">
        <is>
          <t>IP68 FOREARM TO HANDS &amp; FOOT</t>
        </is>
      </c>
      <c r="BG200" s="152" t="n"/>
      <c r="BH200" s="152" t="n"/>
      <c r="BI200" s="152" t="n"/>
      <c r="BJ200" s="152" t="n"/>
      <c r="BK200" s="152" t="n"/>
      <c r="BL200" s="152" t="n"/>
      <c r="BM200" s="152" t="inlineStr">
        <is>
          <t>Yes</t>
        </is>
      </c>
      <c r="BN200" s="152" t="inlineStr">
        <is>
          <t>Not disclosed</t>
        </is>
      </c>
      <c r="BO200" s="156" t="inlineStr">
        <is>
          <t>Market: Consumer home use; domestic assistance; Industrial automation; logistics; Manufacturing · Human-safe: Yes · AI: XAI GROK · Actuation: High torque-density motors · Peak 20 km/h · Walk 12 km/h · Runtime 5</t>
        </is>
      </c>
      <c r="BP200" s="152" t="n"/>
      <c r="BQ200" s="156" t="inlineStr">
        <is>
          <t>Consumer home use; domestic assistance; Industrial automation; logistics; Manufacturing</t>
        </is>
      </c>
      <c r="BR200" s="156" t="inlineStr">
        <is>
          <t>In production</t>
        </is>
      </c>
      <c r="BS200" s="156" t="inlineStr">
        <is>
          <t>In production</t>
        </is>
      </c>
      <c r="BT200" s="152" t="n"/>
      <c r="BU200" s="152" t="inlineStr">
        <is>
          <t>Verified</t>
        </is>
      </c>
      <c r="BV200" s="156" t="n"/>
      <c r="BW200" s="156" t="inlineStr">
        <is>
          <t>Origin &amp; status — USA · In production · 2026 | Manipulation — 5 per hand · 5 per hand fingers · Hand DOF 25 · Payload 88.2 lb | Sensing &amp; software — 8 MP · XAI GROK · TESLA FSD ROBOT VERSION | Buying notes — From $30,000 · 12 months manufacturer standard (typical research/commercial humanoid) · Best fit: Consumer home use</t>
        </is>
      </c>
      <c r="BX200" s="156" t="inlineStr">
        <is>
          <t>as_shipped|Optimus Gen 3|30000|As shipped</t>
        </is>
      </c>
      <c r="BY200" s="152" t="inlineStr">
        <is>
          <t>optimus_gen_3|Manufacturer finish|#e2e8f0|0</t>
        </is>
      </c>
      <c r="BZ200" s="152" t="inlineStr"/>
      <c r="CA200" s="156" t="n"/>
      <c r="CB200" s="156" t="inlineStr">
        <is>
          <t>12 months manufacturer standard (typical research/commercial humanoid)</t>
        </is>
      </c>
      <c r="CC200" s="154" t="n">
        <v>12</v>
      </c>
      <c r="CD200" s="156" t="inlineStr">
        <is>
          <t>+3 Year Extended ≈24% of configuration (default in configurator)</t>
        </is>
      </c>
      <c r="CE200" s="152" t="inlineStr">
        <is>
          <t>Humanoid category norm 2025–2026</t>
        </is>
      </c>
      <c r="CF200" s="152" t="inlineStr">
        <is>
          <t>Estimated</t>
        </is>
      </c>
      <c r="CG200" s="156" t="inlineStr">
        <is>
          <t>Confirm on formal OEM quote. EDU or enterprise packages may differ.</t>
        </is>
      </c>
      <c r="CH200" s="152" t="inlineStr">
        <is>
          <t>10%</t>
        </is>
      </c>
      <c r="CI200" s="152" t="inlineStr">
        <is>
          <t>17%</t>
        </is>
      </c>
      <c r="CJ200" s="152" t="inlineStr">
        <is>
          <t>24%</t>
        </is>
      </c>
      <c r="CK200" s="156" t="inlineStr">
        <is>
          <t>+1yr ≈10% | +2yr ≈17% | +3yr ≈24% of selected configuration price (parts &amp; labor beyond manufacturer standard).</t>
        </is>
      </c>
      <c r="CL200"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00" s="152" t="inlineStr">
        <is>
          <t>12 months manufacturer standard (typical research/commercial humanoid)</t>
        </is>
      </c>
      <c r="CQ200" s="101" t="inlineStr">
        <is>
          <t>Height: 5 ft 11 in | Weight: 99.2 | Degrees of Freedom: 75 | Payload: 88.2 | Max Speed: 12.43 | Battery / Runtime: ≈ 5 hours</t>
        </is>
      </c>
    </row>
    <row r="201" ht="31.5" customHeight="1" s="102">
      <c r="A201" s="145" t="inlineStr">
        <is>
          <t>tesla_optimus_gen2</t>
        </is>
      </c>
      <c r="B201" s="153" t="inlineStr">
        <is>
          <t>Humanoid.guide</t>
        </is>
      </c>
      <c r="C201" s="145" t="inlineStr">
        <is>
          <t>Tesla</t>
        </is>
      </c>
      <c r="D201" s="145" t="inlineStr">
        <is>
          <t>Optimus Gen2</t>
        </is>
      </c>
      <c r="E201" s="145" t="inlineStr">
        <is>
          <t>[Tesla] Optimus Gen 2 (2023)</t>
        </is>
      </c>
      <c r="F201" s="146" t="inlineStr">
        <is>
          <t>humanoid</t>
        </is>
      </c>
      <c r="G201" s="145" t="inlineStr">
        <is>
          <t>USA</t>
        </is>
      </c>
      <c r="H201" s="145" t="n"/>
      <c r="I201" s="148" t="n">
        <v>30000</v>
      </c>
      <c r="J201" s="145" t="inlineStr">
        <is>
          <t>Humanoid.guide list</t>
        </is>
      </c>
      <c r="K201" s="149" t="inlineStr">
        <is>
          <t>Tesla’s Optimus Gen 2 robot is a groundbreaking advancement in humanoid robotics, designed to handle unsafe, repetitive, or mundane tasks.</t>
        </is>
      </c>
      <c r="L201" s="101" t="inlineStr">
        <is>
          <t>Tesla’s Optimus Gen 2 robot is a groundbreaking advancement in humanoid robotics, designed to handle unsafe, repetitive, or mundane tasks.</t>
        </is>
      </c>
      <c r="M201" s="101" t="inlineStr">
        <is>
          <t>Optimus Gen 2 was Tesla’s first widely shown walking humanoid after the 2022 prototype. It introduced the slimmer body, new hands, and on-robot neural-net control that later generations refined.</t>
        </is>
      </c>
      <c r="N201" s="150" t="inlineStr">
        <is>
          <t>https://humanoid.guide/product/optimus-gen2/</t>
        </is>
      </c>
      <c r="O201" s="150" t="inlineStr">
        <is>
          <t>https://www.tesla.com/AI</t>
        </is>
      </c>
      <c r="P201" s="145" t="inlineStr">
        <is>
          <t>5 ft 8 in</t>
        </is>
      </c>
      <c r="Q201" s="145" t="n">
        <v>173</v>
      </c>
      <c r="R201" s="145" t="n">
        <v>123.5</v>
      </c>
      <c r="S201" s="145" t="n">
        <v>56</v>
      </c>
      <c r="T201" s="149" t="inlineStr">
        <is>
          <t>Not disclosed</t>
        </is>
      </c>
      <c r="U201" s="145" t="n"/>
      <c r="V201" s="145" t="inlineStr">
        <is>
          <t>22</t>
        </is>
      </c>
      <c r="W201" s="149" t="inlineStr">
        <is>
          <t>Not disclosed</t>
        </is>
      </c>
      <c r="X201" s="145" t="n">
        <v>44.1</v>
      </c>
      <c r="Y201" s="145" t="n">
        <v>20</v>
      </c>
      <c r="Z201" s="145" t="n">
        <v>4.97</v>
      </c>
      <c r="AA201" s="145" t="n">
        <v>8</v>
      </c>
      <c r="AB201" s="145" t="n">
        <v>2</v>
      </c>
      <c r="AC201" s="149" t="inlineStr">
        <is>
          <t>≈ 1 hours</t>
        </is>
      </c>
      <c r="AD201" s="149" t="inlineStr">
        <is>
          <t>1</t>
        </is>
      </c>
      <c r="AE201" s="145" t="n"/>
      <c r="AF201" s="145" t="inlineStr">
        <is>
          <t>Not disclosed</t>
        </is>
      </c>
      <c r="AG201" s="149" t="inlineStr">
        <is>
          <t>Not disclosed</t>
        </is>
      </c>
      <c r="AH201" s="145" t="inlineStr">
        <is>
          <t>Not disclosed</t>
        </is>
      </c>
      <c r="AI201" s="151" t="n">
        <v>3</v>
      </c>
      <c r="AJ201" s="149" t="inlineStr">
        <is>
          <t>Not disclosed</t>
        </is>
      </c>
      <c r="AK201" s="149" t="n"/>
      <c r="AL201" s="145" t="inlineStr">
        <is>
          <t>Not disclosed</t>
        </is>
      </c>
      <c r="AM201" s="145" t="n"/>
      <c r="AN201" s="145" t="inlineStr">
        <is>
          <t>Not disclosed</t>
        </is>
      </c>
      <c r="AO201" s="145" t="inlineStr">
        <is>
          <t>Not disclosed</t>
        </is>
      </c>
      <c r="AP201" s="145" t="inlineStr">
        <is>
          <t>Not disclosed</t>
        </is>
      </c>
      <c r="AQ201" s="145" t="inlineStr">
        <is>
          <t>Not disclosed</t>
        </is>
      </c>
      <c r="AR201" s="145" t="n"/>
      <c r="AS201" s="145" t="n"/>
      <c r="AT201" s="149" t="inlineStr">
        <is>
          <t>Not disclosed</t>
        </is>
      </c>
      <c r="AU201" s="149" t="inlineStr">
        <is>
          <t>Not disclosed</t>
        </is>
      </c>
      <c r="AV201" s="145" t="inlineStr">
        <is>
          <t>Not disclosed</t>
        </is>
      </c>
      <c r="AW201" s="149" t="inlineStr">
        <is>
          <t>Not disclosed</t>
        </is>
      </c>
      <c r="AX201" s="151" t="n">
        <v>3</v>
      </c>
      <c r="AY201" s="149" t="inlineStr">
        <is>
          <t>Not disclosed</t>
        </is>
      </c>
      <c r="AZ201" s="149" t="inlineStr">
        <is>
          <t>Not disclosed</t>
        </is>
      </c>
      <c r="BA201" s="149" t="n"/>
      <c r="BB201" s="149" t="inlineStr">
        <is>
          <t>Not disclosed</t>
        </is>
      </c>
      <c r="BC201" s="149" t="inlineStr">
        <is>
          <t>Not disclosed</t>
        </is>
      </c>
      <c r="BD201" s="145" t="inlineStr">
        <is>
          <t>Not disclosed</t>
        </is>
      </c>
      <c r="BE201" s="145" t="inlineStr">
        <is>
          <t>Not disclosed</t>
        </is>
      </c>
      <c r="BF201" s="145" t="n"/>
      <c r="BG201" s="145" t="n"/>
      <c r="BH201" s="145" t="n"/>
      <c r="BI201" s="145" t="n"/>
      <c r="BJ201" s="145" t="n"/>
      <c r="BK201" s="145" t="n"/>
      <c r="BL201" s="145" t="n"/>
      <c r="BM201" s="145" t="inlineStr">
        <is>
          <t>Not disclosed</t>
        </is>
      </c>
      <c r="BN201" s="145" t="inlineStr">
        <is>
          <t>Not disclosed</t>
        </is>
      </c>
      <c r="BO201" s="149" t="inlineStr">
        <is>
          <t>Manipulation 3/4 · Navigation 3/4 · Peak 8 km/h · Walk 2 km/h · Runtime 1</t>
        </is>
      </c>
      <c r="BP201" s="145" t="n"/>
      <c r="BQ201" s="149" t="inlineStr">
        <is>
          <t>Research labs, commercial pilots, and education programs evaluating a humanoid from Tesla (USA) now listed as prototype.</t>
        </is>
      </c>
      <c r="BR201" s="149" t="inlineStr">
        <is>
          <t>Prototype</t>
        </is>
      </c>
      <c r="BS201" s="149" t="inlineStr">
        <is>
          <t>Prototype</t>
        </is>
      </c>
      <c r="BT201" s="145" t="n"/>
      <c r="BU201" s="145" t="inlineStr">
        <is>
          <t>Not verified</t>
        </is>
      </c>
      <c r="BV201" s="149" t="n"/>
      <c r="BW201" s="149" t="inlineStr">
        <is>
          <t>Origin &amp; status — USA · Prototype · 2026 | Manipulation — Payload 44.1 lb | Sensing &amp; software — Sensor and compute package confirmed on formal quote | Buying notes — From $30,000 · 12 months manufacturer standard (typical research/commercial humanoid)</t>
        </is>
      </c>
      <c r="BX201" s="149" t="inlineStr">
        <is>
          <t>as_shipped|Optimus Gen 2|30000|As shipped</t>
        </is>
      </c>
      <c r="BY201" s="145" t="inlineStr">
        <is>
          <t>optimus_gen_2|Manufacturer finish|#e2e8f0|0</t>
        </is>
      </c>
      <c r="BZ201" s="145" t="inlineStr"/>
      <c r="CA201" s="149" t="n"/>
      <c r="CB201" s="149" t="inlineStr">
        <is>
          <t>12 months manufacturer standard (typical research/commercial humanoid)</t>
        </is>
      </c>
      <c r="CC201" s="147" t="n">
        <v>12</v>
      </c>
      <c r="CD201" s="149" t="inlineStr">
        <is>
          <t>+3 Year Extended ≈24% of configuration (default in configurator)</t>
        </is>
      </c>
      <c r="CE201" s="145" t="inlineStr">
        <is>
          <t>Humanoid category norm 2025–2026</t>
        </is>
      </c>
      <c r="CF201" s="145" t="inlineStr">
        <is>
          <t>Estimated</t>
        </is>
      </c>
      <c r="CG201" s="149" t="inlineStr">
        <is>
          <t>Confirm on formal OEM quote. EDU or enterprise packages may differ.</t>
        </is>
      </c>
      <c r="CH201" s="145" t="inlineStr">
        <is>
          <t>10%</t>
        </is>
      </c>
      <c r="CI201" s="145" t="inlineStr">
        <is>
          <t>17%</t>
        </is>
      </c>
      <c r="CJ201" s="145" t="inlineStr">
        <is>
          <t>24%</t>
        </is>
      </c>
      <c r="CK201" s="149" t="inlineStr">
        <is>
          <t>+1yr ≈10% | +2yr ≈17% | +3yr ≈24% of selected configuration price (parts &amp; labor beyond manufacturer standard).</t>
        </is>
      </c>
      <c r="CL20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01" s="145" t="inlineStr">
        <is>
          <t>12 months manufacturer standard (typical research/commercial humanoid)</t>
        </is>
      </c>
      <c r="CQ201" s="101" t="inlineStr">
        <is>
          <t>Height: 5 ft 8 in | Weight: 123.5 | Degrees of Freedom: 22 | Payload: 44.1 | Max Speed: 4.97 | Battery / Runtime: ≈ 1 hours</t>
        </is>
      </c>
    </row>
    <row r="202" ht="31.5" customHeight="1" s="102">
      <c r="A202" s="159" t="inlineStr">
        <is>
          <t>tesla_optimus_v2_5</t>
        </is>
      </c>
      <c r="B202" s="153" t="inlineStr">
        <is>
          <t>Major-player brief 11 Sep 2026</t>
        </is>
      </c>
      <c r="C202" s="152" t="inlineStr">
        <is>
          <t>Tesla</t>
        </is>
      </c>
      <c r="D202" s="152" t="inlineStr">
        <is>
          <t>Optimus Gen 2.5</t>
        </is>
      </c>
      <c r="E202" s="152" t="inlineStr">
        <is>
          <t>[Tesla] Optimus Gen 2.5 (2025)</t>
        </is>
      </c>
      <c r="F202" s="146" t="inlineStr">
        <is>
          <t>humanoid</t>
        </is>
      </c>
      <c r="G202" s="152" t="inlineStr">
        <is>
          <t>USA</t>
        </is>
      </c>
      <c r="H202" s="154" t="n">
        <v>2025</v>
      </c>
      <c r="I202" s="155" t="n">
        <v>45000</v>
      </c>
      <c r="J202" s="152" t="inlineStr">
        <is>
          <t>Humanoid.guide list</t>
        </is>
      </c>
      <c r="K202" s="156" t="inlineStr">
        <is>
          <t>Tesla’s gold-coloured Optimus Gen 2.5 prototype represents the company’s ambition to bring automotive-scale production methods into general-purpose robotics.</t>
        </is>
      </c>
      <c r="L202" s="101" t="inlineStr">
        <is>
          <t>Tesla’s gold-coloured Optimus Gen 2.5 prototype represents the company’s ambition to bring automotive-scale production methods into general-purpose robotics.</t>
        </is>
      </c>
      <c r="M202" s="101" t="inlineStr">
        <is>
          <t>Optimus Gen 2.5 is Tesla’s gold-coloured production-path prototype. It exists to test the electronics, motors, and AI stack intended for volume manufacturing rather than to be a one-off show robot.</t>
        </is>
      </c>
      <c r="N202" s="157" t="inlineStr">
        <is>
          <t>https://humanoid.guide/product/tesla-optimus-v2-5/</t>
        </is>
      </c>
      <c r="O202" s="157" t="inlineStr">
        <is>
          <t>https://www.tesla.com/AI</t>
        </is>
      </c>
      <c r="P202" s="152" t="inlineStr">
        <is>
          <t>5 ft 9 in</t>
        </is>
      </c>
      <c r="Q202" s="152" t="n">
        <v>176.5</v>
      </c>
      <c r="R202" s="152" t="n">
        <v>121.3</v>
      </c>
      <c r="S202" s="152" t="n">
        <v>55</v>
      </c>
      <c r="T202" s="156" t="inlineStr">
        <is>
          <t>Not disclosed</t>
        </is>
      </c>
      <c r="U202" s="152" t="n"/>
      <c r="V202" s="152" t="inlineStr">
        <is>
          <t>65</t>
        </is>
      </c>
      <c r="W202" s="156" t="inlineStr">
        <is>
          <t>22</t>
        </is>
      </c>
      <c r="X202" s="152" t="n">
        <v>44.1</v>
      </c>
      <c r="Y202" s="152" t="n">
        <v>20</v>
      </c>
      <c r="Z202" s="152" t="n">
        <v>8.699999999999999</v>
      </c>
      <c r="AA202" s="152" t="n">
        <v>14</v>
      </c>
      <c r="AB202" s="152" t="n">
        <v>8</v>
      </c>
      <c r="AC202" s="156" t="inlineStr">
        <is>
          <t>≈ 4 hours</t>
        </is>
      </c>
      <c r="AD202" s="156" t="inlineStr">
        <is>
          <t>4</t>
        </is>
      </c>
      <c r="AE202" s="152" t="n"/>
      <c r="AF202" s="152" t="inlineStr">
        <is>
          <t>Not disclosed</t>
        </is>
      </c>
      <c r="AG202" s="156" t="inlineStr">
        <is>
          <t>5 per hand</t>
        </is>
      </c>
      <c r="AH202" s="152" t="inlineStr">
        <is>
          <t>5 per hand</t>
        </is>
      </c>
      <c r="AI202" s="152" t="n"/>
      <c r="AJ202" s="156" t="inlineStr">
        <is>
          <t>8 MP</t>
        </is>
      </c>
      <c r="AK202" s="156" t="inlineStr">
        <is>
          <t>8 MP</t>
        </is>
      </c>
      <c r="AL202" s="152" t="inlineStr">
        <is>
          <t>Not disclosed</t>
        </is>
      </c>
      <c r="AM202" s="152" t="n"/>
      <c r="AN202" s="152" t="inlineStr">
        <is>
          <t>Not disclosed</t>
        </is>
      </c>
      <c r="AO202" s="152" t="inlineStr">
        <is>
          <t>Not disclosed</t>
        </is>
      </c>
      <c r="AP202" s="152" t="inlineStr">
        <is>
          <t>Not disclosed</t>
        </is>
      </c>
      <c r="AQ202" s="152" t="inlineStr">
        <is>
          <t>Not disclosed</t>
        </is>
      </c>
      <c r="AR202" s="152" t="n"/>
      <c r="AS202" s="152" t="n"/>
      <c r="AT202" s="156" t="inlineStr">
        <is>
          <t>AI4 &amp; AI5 CHIP</t>
        </is>
      </c>
      <c r="AU202" s="156" t="inlineStr">
        <is>
          <t>WiFi</t>
        </is>
      </c>
      <c r="AV202" s="152" t="inlineStr">
        <is>
          <t>Not disclosed</t>
        </is>
      </c>
      <c r="AW202" s="156" t="inlineStr">
        <is>
          <t>Not disclosed</t>
        </is>
      </c>
      <c r="AX202" s="152" t="n"/>
      <c r="AY202" s="156" t="inlineStr">
        <is>
          <t>TESLA FSD ROBOT VERSION</t>
        </is>
      </c>
      <c r="AZ202" s="156" t="inlineStr">
        <is>
          <t>XAI GROK</t>
        </is>
      </c>
      <c r="BA202" s="156" t="n"/>
      <c r="BB202" s="156" t="inlineStr">
        <is>
          <t>Not disclosed</t>
        </is>
      </c>
      <c r="BC202" s="156" t="inlineStr">
        <is>
          <t>Not disclosed</t>
        </is>
      </c>
      <c r="BD202" s="152" t="inlineStr">
        <is>
          <t>Not disclosed</t>
        </is>
      </c>
      <c r="BE202" s="152" t="inlineStr">
        <is>
          <t>Not disclosed</t>
        </is>
      </c>
      <c r="BF202" s="152" t="n"/>
      <c r="BG202" s="152" t="n"/>
      <c r="BH202" s="152" t="n"/>
      <c r="BI202" s="152" t="n"/>
      <c r="BJ202" s="152" t="n"/>
      <c r="BK202" s="152" t="n"/>
      <c r="BL202" s="152" t="n"/>
      <c r="BM202" s="152" t="inlineStr">
        <is>
          <t>Yes</t>
        </is>
      </c>
      <c r="BN202" s="152" t="inlineStr">
        <is>
          <t>Not disclosed</t>
        </is>
      </c>
      <c r="BO202" s="156" t="inlineStr">
        <is>
          <t>Market: Consumer home use; domestic assistance; Industrial automation; logistics; Manufacturing · Human-safe: Yes · AI: XAI GROK · Peak 14 km/h · Walk 8 km/h · Runtime 4</t>
        </is>
      </c>
      <c r="BP202" s="152" t="n"/>
      <c r="BQ202" s="156" t="inlineStr">
        <is>
          <t>General-purpose humanoid; production-path prototype</t>
        </is>
      </c>
      <c r="BR202" s="156" t="inlineStr">
        <is>
          <t>Prototype</t>
        </is>
      </c>
      <c r="BS202" s="156" t="inlineStr">
        <is>
          <t>Prototype</t>
        </is>
      </c>
      <c r="BT202" s="152" t="n"/>
      <c r="BU202" s="152" t="inlineStr">
        <is>
          <t>Verified</t>
        </is>
      </c>
      <c r="BV202" s="156" t="n"/>
      <c r="BW202" s="156" t="inlineStr">
        <is>
          <t>Origin &amp; status — USA · Prototype · 2026 | Manipulation — 5 per hand · 5 per hand fingers · Hand DOF 22 · Payload 44.1 lb | Sensing &amp; software — 8 MP · XAI GROK · TESLA FSD ROBOT VERSION | Buying notes — From $45,000 · 12 months manufacturer standard (typical research/commercial humanoid) · Best fit: Consumer home use</t>
        </is>
      </c>
      <c r="BX202" s="156" t="inlineStr">
        <is>
          <t>as_shipped|Optimus V2.5|45000|As shipped</t>
        </is>
      </c>
      <c r="BY202" s="152" t="inlineStr">
        <is>
          <t>optimus_v2_5|Manufacturer finish|#e2e8f0|0</t>
        </is>
      </c>
      <c r="BZ202" s="152" t="inlineStr"/>
      <c r="CA202" s="156" t="n"/>
      <c r="CB202" s="156" t="inlineStr">
        <is>
          <t>12 months manufacturer standard (typical research/commercial humanoid)</t>
        </is>
      </c>
      <c r="CC202" s="154" t="n">
        <v>12</v>
      </c>
      <c r="CD202" s="156" t="inlineStr">
        <is>
          <t>+3 Year Extended ≈24% of configuration (default in configurator)</t>
        </is>
      </c>
      <c r="CE202" s="152" t="inlineStr">
        <is>
          <t>Humanoid category norm 2025–2026</t>
        </is>
      </c>
      <c r="CF202" s="152" t="inlineStr">
        <is>
          <t>Estimated</t>
        </is>
      </c>
      <c r="CG202" s="156" t="inlineStr">
        <is>
          <t>Confirm on formal OEM quote. EDU or enterprise packages may differ.</t>
        </is>
      </c>
      <c r="CH202" s="152" t="inlineStr">
        <is>
          <t>10%</t>
        </is>
      </c>
      <c r="CI202" s="152" t="inlineStr">
        <is>
          <t>17%</t>
        </is>
      </c>
      <c r="CJ202" s="152" t="inlineStr">
        <is>
          <t>24%</t>
        </is>
      </c>
      <c r="CK202" s="156" t="inlineStr">
        <is>
          <t>+1yr ≈10% | +2yr ≈17% | +3yr ≈24% of selected configuration price (parts &amp; labor beyond manufacturer standard).</t>
        </is>
      </c>
      <c r="CL202"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02" s="152" t="inlineStr">
        <is>
          <t>12 months manufacturer standard (typical research/commercial humanoid)</t>
        </is>
      </c>
      <c r="CQ202" s="101" t="inlineStr">
        <is>
          <t>Height: 5 ft 9 in | Weight: 121.3 | Degrees of Freedom: 65 | Payload: 44.1 | Max Speed: 8.7 | Battery / Runtime: ≈ 4 hours</t>
        </is>
      </c>
    </row>
    <row r="203" ht="31.5" customHeight="1" s="102">
      <c r="A203" s="145" t="inlineStr">
        <is>
          <t>tokyo_robotics_toraone</t>
        </is>
      </c>
      <c r="B203" s="153" t="inlineStr">
        <is>
          <t>Humanoid.guide</t>
        </is>
      </c>
      <c r="C203" s="145" t="inlineStr">
        <is>
          <t>Tokyo Robotics</t>
        </is>
      </c>
      <c r="D203" s="145" t="inlineStr">
        <is>
          <t>ToraOne</t>
        </is>
      </c>
      <c r="E203" s="145" t="inlineStr">
        <is>
          <t>[Tokyo Robotics] ToraOne (2026)</t>
        </is>
      </c>
      <c r="F203" s="146" t="inlineStr">
        <is>
          <t>humanoid</t>
        </is>
      </c>
      <c r="G203" s="145" t="inlineStr">
        <is>
          <t>China</t>
        </is>
      </c>
      <c r="H203" s="145" t="n"/>
      <c r="I203" s="148" t="n">
        <v>100000</v>
      </c>
      <c r="J203" s="145" t="inlineStr">
        <is>
          <t>Humanoid.guide list</t>
        </is>
      </c>
      <c r="K203" s="149" t="inlineStr">
        <is>
          <t>ToraOne is a groundbreaking humanoid robot from Paxini, offering advanced features, adaptability, and energy efficiency.</t>
        </is>
      </c>
      <c r="L203" s="101" t="inlineStr">
        <is>
          <t>ToraOne is a groundbreaking humanoid robot from Paxini, offering advanced features, adaptability, and energy efficiency.</t>
        </is>
      </c>
      <c r="M203" s="101" t="inlineStr">
        <is>
          <t>ToraOne is a groundbreaking humanoid robot from Paxini, offering advanced features, adaptability, and energy efficiency. Public status is listed as prototype.</t>
        </is>
      </c>
      <c r="N203" s="150" t="inlineStr">
        <is>
          <t>https://humanoid.guide/product/toraone/</t>
        </is>
      </c>
      <c r="O203" s="150" t="inlineStr">
        <is>
          <t>https://robotics.tokyo</t>
        </is>
      </c>
      <c r="P203" s="145" t="inlineStr">
        <is>
          <t>6 ft 1 in</t>
        </is>
      </c>
      <c r="Q203" s="145" t="n">
        <v>186</v>
      </c>
      <c r="R203" s="145" t="n"/>
      <c r="S203" s="145" t="n"/>
      <c r="T203" s="149" t="inlineStr">
        <is>
          <t>Not disclosed</t>
        </is>
      </c>
      <c r="U203" s="145" t="n"/>
      <c r="V203" s="145" t="inlineStr">
        <is>
          <t>47</t>
        </is>
      </c>
      <c r="W203" s="149" t="inlineStr">
        <is>
          <t>Not disclosed</t>
        </is>
      </c>
      <c r="X203" s="145" t="n">
        <v>13.2</v>
      </c>
      <c r="Y203" s="145" t="n">
        <v>6</v>
      </c>
      <c r="Z203" s="145" t="n">
        <v>2.24</v>
      </c>
      <c r="AA203" s="145" t="n">
        <v>3.6</v>
      </c>
      <c r="AB203" s="145" t="n"/>
      <c r="AC203" s="149" t="inlineStr">
        <is>
          <t>≈ 8 hours</t>
        </is>
      </c>
      <c r="AD203" s="149" t="inlineStr">
        <is>
          <t>8</t>
        </is>
      </c>
      <c r="AE203" s="145" t="n"/>
      <c r="AF203" s="145" t="inlineStr">
        <is>
          <t>Not disclosed</t>
        </is>
      </c>
      <c r="AG203" s="149" t="inlineStr">
        <is>
          <t>Not disclosed</t>
        </is>
      </c>
      <c r="AH203" s="145" t="inlineStr">
        <is>
          <t>Not disclosed</t>
        </is>
      </c>
      <c r="AI203" s="158" t="n">
        <v>2</v>
      </c>
      <c r="AJ203" s="149" t="inlineStr">
        <is>
          <t>Not disclosed</t>
        </is>
      </c>
      <c r="AK203" s="149" t="n"/>
      <c r="AL203" s="145" t="inlineStr">
        <is>
          <t>Not disclosed</t>
        </is>
      </c>
      <c r="AM203" s="145" t="n"/>
      <c r="AN203" s="145" t="inlineStr">
        <is>
          <t>Not disclosed</t>
        </is>
      </c>
      <c r="AO203" s="145" t="inlineStr">
        <is>
          <t>Not disclosed</t>
        </is>
      </c>
      <c r="AP203" s="145" t="inlineStr">
        <is>
          <t>Not disclosed</t>
        </is>
      </c>
      <c r="AQ203" s="145" t="inlineStr">
        <is>
          <t>Not disclosed</t>
        </is>
      </c>
      <c r="AR203" s="145" t="n"/>
      <c r="AS203" s="145" t="n"/>
      <c r="AT203" s="149" t="inlineStr">
        <is>
          <t>Not disclosed</t>
        </is>
      </c>
      <c r="AU203" s="149" t="inlineStr">
        <is>
          <t>Not disclosed</t>
        </is>
      </c>
      <c r="AV203" s="145" t="inlineStr">
        <is>
          <t>Not disclosed</t>
        </is>
      </c>
      <c r="AW203" s="149" t="inlineStr">
        <is>
          <t>Not disclosed</t>
        </is>
      </c>
      <c r="AX203" s="158" t="n">
        <v>2</v>
      </c>
      <c r="AY203" s="149" t="inlineStr">
        <is>
          <t>Not disclosed</t>
        </is>
      </c>
      <c r="AZ203" s="149" t="inlineStr">
        <is>
          <t>Not disclosed</t>
        </is>
      </c>
      <c r="BA203" s="149" t="n"/>
      <c r="BB203" s="149" t="inlineStr">
        <is>
          <t>Not disclosed</t>
        </is>
      </c>
      <c r="BC203" s="149" t="inlineStr">
        <is>
          <t>Not disclosed</t>
        </is>
      </c>
      <c r="BD203" s="145" t="inlineStr">
        <is>
          <t>Not disclosed</t>
        </is>
      </c>
      <c r="BE203" s="145" t="inlineStr">
        <is>
          <t>Not disclosed</t>
        </is>
      </c>
      <c r="BF203" s="145" t="n"/>
      <c r="BG203" s="145" t="n"/>
      <c r="BH203" s="145" t="n"/>
      <c r="BI203" s="145" t="n"/>
      <c r="BJ203" s="145" t="n"/>
      <c r="BK203" s="145" t="n"/>
      <c r="BL203" s="145" t="n"/>
      <c r="BM203" s="145" t="inlineStr">
        <is>
          <t>Not disclosed</t>
        </is>
      </c>
      <c r="BN203" s="145" t="inlineStr">
        <is>
          <t>Not disclosed</t>
        </is>
      </c>
      <c r="BO203" s="149" t="inlineStr">
        <is>
          <t>Manipulation 2/4 · Navigation 2/4 · Peak 3.6 km/h · Runtime 8</t>
        </is>
      </c>
      <c r="BP203" s="145" t="n"/>
      <c r="BQ203" s="149" t="inlineStr">
        <is>
          <t>Research labs, commercial pilots, and education programs evaluating a humanoid from Tokyo Robotics (China) now listed as prototype.</t>
        </is>
      </c>
      <c r="BR203" s="149" t="inlineStr">
        <is>
          <t>Prototype</t>
        </is>
      </c>
      <c r="BS203" s="149" t="inlineStr">
        <is>
          <t>Prototype</t>
        </is>
      </c>
      <c r="BT203" s="145" t="n"/>
      <c r="BU203" s="145" t="inlineStr">
        <is>
          <t>Not verified</t>
        </is>
      </c>
      <c r="BV203" s="149" t="n"/>
      <c r="BW203" s="149" t="inlineStr">
        <is>
          <t>Origin &amp; status — China · Prototype · 2026 | Manipulation — Payload 13.2 lb | Sensing &amp; software — Sensor and compute package confirmed on formal quote | Buying notes — From $100,000 · 12 months manufacturer standard (typical research/commercial humanoid)</t>
        </is>
      </c>
      <c r="BX203" s="149" t="inlineStr">
        <is>
          <t>as_shipped|ToraOne|100000|As shipped</t>
        </is>
      </c>
      <c r="BY203" s="145" t="inlineStr">
        <is>
          <t>toraone|Manufacturer finish|#e2e8f0|0</t>
        </is>
      </c>
      <c r="BZ203" s="145" t="inlineStr"/>
      <c r="CA203" s="149" t="n"/>
      <c r="CB203" s="149" t="inlineStr">
        <is>
          <t>12 months manufacturer standard (typical research/commercial humanoid)</t>
        </is>
      </c>
      <c r="CC203" s="147" t="n">
        <v>12</v>
      </c>
      <c r="CD203" s="149" t="inlineStr">
        <is>
          <t>+3 Year Extended ≈24% of configuration (default in configurator)</t>
        </is>
      </c>
      <c r="CE203" s="145" t="inlineStr">
        <is>
          <t>Humanoid category norm 2025–2026</t>
        </is>
      </c>
      <c r="CF203" s="145" t="inlineStr">
        <is>
          <t>Estimated</t>
        </is>
      </c>
      <c r="CG203" s="149" t="inlineStr">
        <is>
          <t>Confirm on formal OEM quote. EDU or enterprise packages may differ.</t>
        </is>
      </c>
      <c r="CH203" s="145" t="inlineStr">
        <is>
          <t>10%</t>
        </is>
      </c>
      <c r="CI203" s="145" t="inlineStr">
        <is>
          <t>17%</t>
        </is>
      </c>
      <c r="CJ203" s="145" t="inlineStr">
        <is>
          <t>24%</t>
        </is>
      </c>
      <c r="CK203" s="149" t="inlineStr">
        <is>
          <t>+1yr ≈10% | +2yr ≈17% | +3yr ≈24% of selected configuration price (parts &amp; labor beyond manufacturer standard).</t>
        </is>
      </c>
      <c r="CL203"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03" s="145" t="inlineStr">
        <is>
          <t>12 months manufacturer standard (typical research/commercial humanoid)</t>
        </is>
      </c>
      <c r="CQ203" s="101" t="inlineStr">
        <is>
          <t>Height: 6 ft 1 in | Weight: Not disclosed | Degrees of Freedom: 47 | Payload: 13.2 | Max Speed: 2.24 | Battery / Runtime: ≈ 8 hours</t>
        </is>
      </c>
    </row>
    <row r="204" ht="31.5" customHeight="1" s="102">
      <c r="A204" s="152" t="inlineStr">
        <is>
          <t>tokyo_robotics_torobo</t>
        </is>
      </c>
      <c r="B204" s="153" t="inlineStr">
        <is>
          <t>Humanoid.guide</t>
        </is>
      </c>
      <c r="C204" s="152" t="inlineStr">
        <is>
          <t>Tokyo Robotics</t>
        </is>
      </c>
      <c r="D204" s="152" t="inlineStr">
        <is>
          <t>Torobo</t>
        </is>
      </c>
      <c r="E204" s="152" t="inlineStr">
        <is>
          <t>[Tokyo Robotics] Torobo (2026)</t>
        </is>
      </c>
      <c r="F204" s="146" t="inlineStr">
        <is>
          <t>humanoid</t>
        </is>
      </c>
      <c r="G204" s="152" t="inlineStr">
        <is>
          <t>Japan</t>
        </is>
      </c>
      <c r="H204" s="152" t="n"/>
      <c r="I204" s="155" t="n">
        <v>100000</v>
      </c>
      <c r="J204" s="152" t="inlineStr">
        <is>
          <t>Humanoid.guide list</t>
        </is>
      </c>
      <c r="K204" s="156" t="inlineStr">
        <is>
          <t>The Torobo robot, developed by Tokyo Robotics, is a sophisticated humanoid designed for precise manipulation tasks and human interaction.</t>
        </is>
      </c>
      <c r="L204" s="101" t="inlineStr">
        <is>
          <t>The Torobo robot, developed by Tokyo Robotics, is a sophisticated humanoid designed for precise manipulation tasks and human interaction.</t>
        </is>
      </c>
      <c r="M204" s="101" t="inlineStr">
        <is>
          <t>The Torobo robot, developed by Tokyo Robotics, is a sophisticated humanoid designed for precise manipulation tasks and human interaction. Public status is listed as prototype.</t>
        </is>
      </c>
      <c r="N204" s="157" t="inlineStr">
        <is>
          <t>https://humanoid.guide/product/torobo/</t>
        </is>
      </c>
      <c r="O204" s="157" t="inlineStr">
        <is>
          <t>https://robotics.tokyo</t>
        </is>
      </c>
      <c r="P204" s="152" t="inlineStr">
        <is>
          <t>5 ft 5 in</t>
        </is>
      </c>
      <c r="Q204" s="152" t="n">
        <v>166</v>
      </c>
      <c r="R204" s="152" t="n">
        <v>352.7</v>
      </c>
      <c r="S204" s="152" t="n">
        <v>160</v>
      </c>
      <c r="T204" s="156" t="inlineStr">
        <is>
          <t>Not disclosed</t>
        </is>
      </c>
      <c r="U204" s="152" t="n"/>
      <c r="V204" s="152" t="inlineStr">
        <is>
          <t>24</t>
        </is>
      </c>
      <c r="W204" s="156" t="inlineStr">
        <is>
          <t>Not disclosed</t>
        </is>
      </c>
      <c r="X204" s="152" t="n">
        <v>44.1</v>
      </c>
      <c r="Y204" s="152" t="n">
        <v>20</v>
      </c>
      <c r="Z204" s="152" t="n">
        <v>3.11</v>
      </c>
      <c r="AA204" s="152" t="n">
        <v>5</v>
      </c>
      <c r="AB204" s="152" t="n">
        <v>5</v>
      </c>
      <c r="AC204" s="156" t="inlineStr">
        <is>
          <t>≈ 3 hours</t>
        </is>
      </c>
      <c r="AD204" s="156" t="inlineStr">
        <is>
          <t>3</t>
        </is>
      </c>
      <c r="AE204" s="152" t="n"/>
      <c r="AF204" s="152" t="inlineStr">
        <is>
          <t>Not disclosed</t>
        </is>
      </c>
      <c r="AG204" s="156" t="inlineStr">
        <is>
          <t>Not disclosed</t>
        </is>
      </c>
      <c r="AH204" s="152" t="inlineStr">
        <is>
          <t>Not disclosed</t>
        </is>
      </c>
      <c r="AI204" s="158" t="n">
        <v>2</v>
      </c>
      <c r="AJ204" s="156" t="inlineStr">
        <is>
          <t>Not disclosed</t>
        </is>
      </c>
      <c r="AK204" s="156" t="n"/>
      <c r="AL204" s="152" t="inlineStr">
        <is>
          <t>Not disclosed</t>
        </is>
      </c>
      <c r="AM204" s="152" t="n"/>
      <c r="AN204" s="152" t="inlineStr">
        <is>
          <t>Not disclosed</t>
        </is>
      </c>
      <c r="AO204" s="152" t="inlineStr">
        <is>
          <t>Not disclosed</t>
        </is>
      </c>
      <c r="AP204" s="152" t="inlineStr">
        <is>
          <t>Not disclosed</t>
        </is>
      </c>
      <c r="AQ204" s="152" t="inlineStr">
        <is>
          <t>Not disclosed</t>
        </is>
      </c>
      <c r="AR204" s="152" t="n"/>
      <c r="AS204" s="152" t="n"/>
      <c r="AT204" s="156" t="inlineStr">
        <is>
          <t>Not disclosed</t>
        </is>
      </c>
      <c r="AU204" s="156" t="inlineStr">
        <is>
          <t>Not disclosed</t>
        </is>
      </c>
      <c r="AV204" s="152" t="inlineStr">
        <is>
          <t>Not disclosed</t>
        </is>
      </c>
      <c r="AW204" s="156" t="inlineStr">
        <is>
          <t>Not disclosed</t>
        </is>
      </c>
      <c r="AX204" s="158" t="n">
        <v>2</v>
      </c>
      <c r="AY204" s="156" t="inlineStr">
        <is>
          <t>Not disclosed</t>
        </is>
      </c>
      <c r="AZ204" s="156" t="inlineStr">
        <is>
          <t>Not disclosed</t>
        </is>
      </c>
      <c r="BA204" s="156" t="n"/>
      <c r="BB204" s="156" t="inlineStr">
        <is>
          <t>Not disclosed</t>
        </is>
      </c>
      <c r="BC204" s="156" t="inlineStr">
        <is>
          <t>Not disclosed</t>
        </is>
      </c>
      <c r="BD204" s="152" t="inlineStr">
        <is>
          <t>Not disclosed</t>
        </is>
      </c>
      <c r="BE204" s="152" t="inlineStr">
        <is>
          <t>Not disclosed</t>
        </is>
      </c>
      <c r="BF204" s="152" t="n"/>
      <c r="BG204" s="152" t="n"/>
      <c r="BH204" s="152" t="n"/>
      <c r="BI204" s="152" t="n"/>
      <c r="BJ204" s="152" t="n"/>
      <c r="BK204" s="152" t="n"/>
      <c r="BL204" s="152" t="n"/>
      <c r="BM204" s="152" t="inlineStr">
        <is>
          <t>Not disclosed</t>
        </is>
      </c>
      <c r="BN204" s="152" t="inlineStr">
        <is>
          <t>Not disclosed</t>
        </is>
      </c>
      <c r="BO204" s="156" t="inlineStr">
        <is>
          <t>Manipulation 2/4 · Navigation 2/4 · Peak 5 km/h · Walk 5 km/h · Runtime 3</t>
        </is>
      </c>
      <c r="BP204" s="152" t="n"/>
      <c r="BQ204" s="156" t="inlineStr">
        <is>
          <t>Research labs, commercial pilots, and education programs evaluating a humanoid from Tokyo Robotics (Japan) now listed as prototype.</t>
        </is>
      </c>
      <c r="BR204" s="156" t="inlineStr">
        <is>
          <t>Prototype</t>
        </is>
      </c>
      <c r="BS204" s="156" t="inlineStr">
        <is>
          <t>Prototype</t>
        </is>
      </c>
      <c r="BT204" s="152" t="n"/>
      <c r="BU204" s="152" t="inlineStr">
        <is>
          <t>Not verified</t>
        </is>
      </c>
      <c r="BV204" s="156" t="n"/>
      <c r="BW204" s="156" t="inlineStr">
        <is>
          <t>Origin &amp; status — Japan · Prototype · 2026 | Manipulation — Payload 44.1 lb | Sensing &amp; software — Sensor and compute package confirmed on formal quote | Buying notes — From $100,000 · 12 months manufacturer standard (typical research/commercial humanoid)</t>
        </is>
      </c>
      <c r="BX204" s="156" t="inlineStr">
        <is>
          <t>as_shipped|Torobo|100000|As shipped</t>
        </is>
      </c>
      <c r="BY204" s="152" t="inlineStr">
        <is>
          <t>torobo|Manufacturer finish|#e2e8f0|0</t>
        </is>
      </c>
      <c r="BZ204" s="152" t="inlineStr"/>
      <c r="CA204" s="156" t="n"/>
      <c r="CB204" s="156" t="inlineStr">
        <is>
          <t>12 months manufacturer standard (typical research/commercial humanoid)</t>
        </is>
      </c>
      <c r="CC204" s="154" t="n">
        <v>12</v>
      </c>
      <c r="CD204" s="156" t="inlineStr">
        <is>
          <t>+3 Year Extended ≈24% of configuration (default in configurator)</t>
        </is>
      </c>
      <c r="CE204" s="152" t="inlineStr">
        <is>
          <t>Humanoid category norm 2025–2026</t>
        </is>
      </c>
      <c r="CF204" s="152" t="inlineStr">
        <is>
          <t>Estimated</t>
        </is>
      </c>
      <c r="CG204" s="156" t="inlineStr">
        <is>
          <t>Confirm on formal OEM quote. EDU or enterprise packages may differ.</t>
        </is>
      </c>
      <c r="CH204" s="152" t="inlineStr">
        <is>
          <t>10%</t>
        </is>
      </c>
      <c r="CI204" s="152" t="inlineStr">
        <is>
          <t>17%</t>
        </is>
      </c>
      <c r="CJ204" s="152" t="inlineStr">
        <is>
          <t>24%</t>
        </is>
      </c>
      <c r="CK204" s="156" t="inlineStr">
        <is>
          <t>+1yr ≈10% | +2yr ≈17% | +3yr ≈24% of selected configuration price (parts &amp; labor beyond manufacturer standard).</t>
        </is>
      </c>
      <c r="CL204"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04" s="152" t="inlineStr">
        <is>
          <t>12 months manufacturer standard (typical research/commercial humanoid)</t>
        </is>
      </c>
      <c r="CQ204" s="101" t="inlineStr">
        <is>
          <t>Height: 5 ft 5 in | Weight: 352.7 | Degrees of Freedom: 24 | Payload: 44.1 | Max Speed: 3.11 | Battery / Runtime: ≈ 3 hours</t>
        </is>
      </c>
    </row>
    <row r="205" ht="31.5" customHeight="1" s="102">
      <c r="A205" s="145" t="inlineStr">
        <is>
          <t>topstar_group_xiao_tuo</t>
        </is>
      </c>
      <c r="B205" s="153" t="inlineStr">
        <is>
          <t>Humanoid.guide</t>
        </is>
      </c>
      <c r="C205" s="145" t="inlineStr">
        <is>
          <t>TOPSTAR Group</t>
        </is>
      </c>
      <c r="D205" s="145" t="inlineStr">
        <is>
          <t>Xiao Tuo</t>
        </is>
      </c>
      <c r="E205" s="145" t="inlineStr">
        <is>
          <t>[TOPSTAR Group] Xiao Tuo (2026)</t>
        </is>
      </c>
      <c r="F205" s="146" t="inlineStr">
        <is>
          <t>humanoid</t>
        </is>
      </c>
      <c r="G205" s="145" t="inlineStr">
        <is>
          <t>China</t>
        </is>
      </c>
      <c r="H205" s="145" t="n"/>
      <c r="I205" s="148" t="n">
        <v>21000</v>
      </c>
      <c r="J205" s="145" t="inlineStr">
        <is>
          <t>Humanoid.guide list</t>
        </is>
      </c>
      <c r="K205" s="149" t="inlineStr">
        <is>
          <t>Xiao Tuo is a humanoid robot by TOPSTAR designed for research, light industrial tasks, and human-robot interaction.</t>
        </is>
      </c>
      <c r="L205" s="101" t="inlineStr">
        <is>
          <t>Xiao Tuo is a humanoid robot by TOPSTAR designed for research, light industrial tasks, and human-robot interaction.</t>
        </is>
      </c>
      <c r="M205" s="101" t="inlineStr">
        <is>
          <t>Xiao Tuo is a humanoid robot by TOPSTAR designed for research, light industrial tasks, and human-robot interaction. Public status is listed as prototype, and it is positioned for industrial R&amp;D; Research &amp; education.</t>
        </is>
      </c>
      <c r="N205" s="150" t="inlineStr">
        <is>
          <t>https://humanoid.guide/product/xiao-tuo/</t>
        </is>
      </c>
      <c r="O205" s="150" t="inlineStr">
        <is>
          <t>https://www.topstarmachine.com/</t>
        </is>
      </c>
      <c r="P205" s="145" t="inlineStr">
        <is>
          <t>3 ft 11 in</t>
        </is>
      </c>
      <c r="Q205" s="145" t="n">
        <v>120</v>
      </c>
      <c r="R205" s="145" t="n">
        <v>88.2</v>
      </c>
      <c r="S205" s="145" t="n">
        <v>40</v>
      </c>
      <c r="T205" s="149" t="inlineStr">
        <is>
          <t>Not disclosed</t>
        </is>
      </c>
      <c r="U205" s="145" t="n"/>
      <c r="V205" s="145" t="inlineStr">
        <is>
          <t>30</t>
        </is>
      </c>
      <c r="W205" s="149" t="inlineStr">
        <is>
          <t>3</t>
        </is>
      </c>
      <c r="X205" s="145" t="n">
        <v>11</v>
      </c>
      <c r="Y205" s="145" t="n">
        <v>5</v>
      </c>
      <c r="Z205" s="145" t="n">
        <v>1.86</v>
      </c>
      <c r="AA205" s="145" t="n">
        <v>3</v>
      </c>
      <c r="AB205" s="145" t="n">
        <v>3</v>
      </c>
      <c r="AC205" s="149" t="inlineStr">
        <is>
          <t>≈ 3 hours</t>
        </is>
      </c>
      <c r="AD205" s="149" t="inlineStr">
        <is>
          <t>3</t>
        </is>
      </c>
      <c r="AE205" s="145" t="n"/>
      <c r="AF205" s="145" t="inlineStr">
        <is>
          <t>Not disclosed</t>
        </is>
      </c>
      <c r="AG205" s="149" t="inlineStr">
        <is>
          <t>2–5 per hand</t>
        </is>
      </c>
      <c r="AH205" s="145" t="inlineStr">
        <is>
          <t>2–5 per hand</t>
        </is>
      </c>
      <c r="AI205" s="158" t="n">
        <v>2</v>
      </c>
      <c r="AJ205" s="149" t="inlineStr">
        <is>
          <t>RGB camera (resolution not stated) + 3-D LiDAR</t>
        </is>
      </c>
      <c r="AK205" s="149" t="inlineStr">
        <is>
          <t>RGB camera (resolution not stated) + 3-D LiDAR</t>
        </is>
      </c>
      <c r="AL205" s="145" t="inlineStr">
        <is>
          <t>Not disclosed</t>
        </is>
      </c>
      <c r="AM205" s="145" t="n"/>
      <c r="AN205" s="145" t="inlineStr">
        <is>
          <t>Not disclosed</t>
        </is>
      </c>
      <c r="AO205" s="145" t="inlineStr">
        <is>
          <t>Not disclosed</t>
        </is>
      </c>
      <c r="AP205" s="145" t="inlineStr">
        <is>
          <t>Not disclosed</t>
        </is>
      </c>
      <c r="AQ205" s="145" t="inlineStr">
        <is>
          <t>Not disclosed</t>
        </is>
      </c>
      <c r="AR205" s="145" t="n"/>
      <c r="AS205" s="145" t="n"/>
      <c r="AT205" s="149" t="inlineStr">
        <is>
          <t>Likely ARM/embedded compute + edge AI module (assumed)</t>
        </is>
      </c>
      <c r="AU205" s="149" t="inlineStr">
        <is>
          <t>Ethernet; Wi‑Fi</t>
        </is>
      </c>
      <c r="AV205" s="145" t="inlineStr">
        <is>
          <t>Not disclosed</t>
        </is>
      </c>
      <c r="AW205" s="149" t="inlineStr">
        <is>
          <t>Not disclosed</t>
        </is>
      </c>
      <c r="AX205" s="158" t="n">
        <v>2</v>
      </c>
      <c r="AY205" s="149" t="inlineStr">
        <is>
          <t>Linux-based ROS environment</t>
        </is>
      </c>
      <c r="AZ205" s="149" t="inlineStr">
        <is>
          <t>Yes</t>
        </is>
      </c>
      <c r="BA205" s="149" t="n"/>
      <c r="BB205" s="149" t="inlineStr">
        <is>
          <t>Electric servo motors</t>
        </is>
      </c>
      <c r="BC205" s="149" t="inlineStr">
        <is>
          <t>Harmonic or planetary gears</t>
        </is>
      </c>
      <c r="BD205" s="145" t="inlineStr">
        <is>
          <t>Aluminum + plastic composites</t>
        </is>
      </c>
      <c r="BE205" s="145" t="inlineStr">
        <is>
          <t>No</t>
        </is>
      </c>
      <c r="BF205" s="145" t="inlineStr">
        <is>
          <t>No</t>
        </is>
      </c>
      <c r="BG205" s="145" t="n"/>
      <c r="BH205" s="145" t="n"/>
      <c r="BI205" s="145" t="n"/>
      <c r="BJ205" s="145" t="n"/>
      <c r="BK205" s="145" t="n"/>
      <c r="BL205" s="145" t="n"/>
      <c r="BM205" s="145" t="inlineStr">
        <is>
          <t>Yes</t>
        </is>
      </c>
      <c r="BN205" s="145" t="inlineStr">
        <is>
          <t>Not disclosed</t>
        </is>
      </c>
      <c r="BO205" s="149" t="inlineStr">
        <is>
          <t>Market: Industrial R&amp;D; Research &amp; education · Manipulation 2/4 · Navigation 2/4 · Human-safe: Yes · AI: Yes · Actuation: Electric servo motors · Peak 3 km/h · Walk 3 km/h · Runtime 3</t>
        </is>
      </c>
      <c r="BP205" s="145" t="n"/>
      <c r="BQ205" s="149" t="inlineStr">
        <is>
          <t>Industrial R&amp;D; Research &amp; education</t>
        </is>
      </c>
      <c r="BR205" s="149" t="inlineStr">
        <is>
          <t>Prototype</t>
        </is>
      </c>
      <c r="BS205" s="149" t="inlineStr">
        <is>
          <t>Prototype</t>
        </is>
      </c>
      <c r="BT205" s="145" t="inlineStr">
        <is>
          <t>White/grey (prototype)</t>
        </is>
      </c>
      <c r="BU205" s="145" t="inlineStr">
        <is>
          <t>Not verified</t>
        </is>
      </c>
      <c r="BV205" s="149" t="n"/>
      <c r="BW205" s="149" t="inlineStr">
        <is>
          <t>Origin &amp; status — China · Prototype · 2026 | Manipulation — 2–5 per hand · 2–5 per hand fingers · Hand DOF 3 · Payload 11 lb | Sensing &amp; software — RGB camera (resolution not stated) + 3-D LiDAR · Yes · Linux-based ROS environment | Buying notes — From $21,000 · 12 months manufacturer standard (typical research/commercial humanoid) · Best fit: Industrial R&amp;D</t>
        </is>
      </c>
      <c r="BX205" s="149" t="inlineStr">
        <is>
          <t>as_shipped|Xiao Tuo|21000|As shipped</t>
        </is>
      </c>
      <c r="BY205" s="145" t="inlineStr">
        <is>
          <t>white|White|#e2e8f0|0 || grey_prototype|grey (prototype)|#1e293b|0</t>
        </is>
      </c>
      <c r="BZ205" s="145" t="inlineStr"/>
      <c r="CA205" s="149" t="n"/>
      <c r="CB205" s="149" t="inlineStr">
        <is>
          <t>12 months manufacturer standard (typical research/commercial humanoid)</t>
        </is>
      </c>
      <c r="CC205" s="147" t="n">
        <v>12</v>
      </c>
      <c r="CD205" s="149" t="inlineStr">
        <is>
          <t>+3 Year Extended ≈24% of configuration (default in configurator)</t>
        </is>
      </c>
      <c r="CE205" s="145" t="inlineStr">
        <is>
          <t>Humanoid category norm 2025–2026</t>
        </is>
      </c>
      <c r="CF205" s="145" t="inlineStr">
        <is>
          <t>Estimated</t>
        </is>
      </c>
      <c r="CG205" s="149" t="inlineStr">
        <is>
          <t>Confirm on formal OEM quote. EDU or enterprise packages may differ.</t>
        </is>
      </c>
      <c r="CH205" s="145" t="inlineStr">
        <is>
          <t>10%</t>
        </is>
      </c>
      <c r="CI205" s="145" t="inlineStr">
        <is>
          <t>17%</t>
        </is>
      </c>
      <c r="CJ205" s="145" t="inlineStr">
        <is>
          <t>24%</t>
        </is>
      </c>
      <c r="CK205" s="149" t="inlineStr">
        <is>
          <t>+1yr ≈10% | +2yr ≈17% | +3yr ≈24% of selected configuration price (parts &amp; labor beyond manufacturer standard).</t>
        </is>
      </c>
      <c r="CL20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05" s="145" t="inlineStr">
        <is>
          <t>12 months manufacturer standard (typical research/commercial humanoid)</t>
        </is>
      </c>
      <c r="CQ205" s="101" t="inlineStr">
        <is>
          <t>Height: 3 ft 11 in | Weight: 88.2 | Degrees of Freedom: 30 | Payload: 11 | Max Speed: 1.86 | Battery / Runtime: ≈ 3 hours</t>
        </is>
      </c>
    </row>
    <row r="206" ht="31.5" customHeight="1" s="102">
      <c r="A206" s="152" t="inlineStr">
        <is>
          <t>toyota_motor_corporation_cue7</t>
        </is>
      </c>
      <c r="B206" s="153" t="inlineStr">
        <is>
          <t>Humanoid.guide</t>
        </is>
      </c>
      <c r="C206" s="152" t="inlineStr">
        <is>
          <t>Toyota Motor Corporation</t>
        </is>
      </c>
      <c r="D206" s="152" t="inlineStr">
        <is>
          <t>CUE7</t>
        </is>
      </c>
      <c r="E206" s="152" t="inlineStr">
        <is>
          <t>[Toyota Motor Corporation] CUE7 (2026)</t>
        </is>
      </c>
      <c r="F206" s="146" t="inlineStr">
        <is>
          <t>humanoid</t>
        </is>
      </c>
      <c r="G206" s="152" t="inlineStr">
        <is>
          <t>Japan</t>
        </is>
      </c>
      <c r="H206" s="152" t="n"/>
      <c r="I206" s="155" t="n">
        <v>150000</v>
      </c>
      <c r="J206" s="152" t="inlineStr">
        <is>
          <t>Humanoid.guide list</t>
        </is>
      </c>
      <c r="K206" s="156" t="inlineStr">
        <is>
          <t>Toyota CUE7 is a research humanoid robot that demonstrates precise motion and perception through advanced basketball shooting tasks.</t>
        </is>
      </c>
      <c r="L206" s="101" t="inlineStr">
        <is>
          <t>Toyota CUE7 is a research humanoid robot that demonstrates precise motion and perception through advanced basketball shooting tasks.</t>
        </is>
      </c>
      <c r="M206" s="101" t="inlineStr">
        <is>
          <t>Toyota CUE7 is a research humanoid robot that demonstrates precise motion and perception through advanced basketball shooting tasks. Public status is listed as prototype, and it is positioned for research and robotics development.</t>
        </is>
      </c>
      <c r="N206" s="157" t="inlineStr">
        <is>
          <t>https://humanoid.guide/product/cue7/</t>
        </is>
      </c>
      <c r="O206" s="157" t="inlineStr">
        <is>
          <t>https://www.toyota.com</t>
        </is>
      </c>
      <c r="P206" s="152" t="inlineStr">
        <is>
          <t>7 ft 2 in</t>
        </is>
      </c>
      <c r="Q206" s="152" t="n">
        <v>218</v>
      </c>
      <c r="R206" s="152" t="n">
        <v>163.1</v>
      </c>
      <c r="S206" s="152" t="n">
        <v>74</v>
      </c>
      <c r="T206" s="156" t="inlineStr">
        <is>
          <t>Not disclosed</t>
        </is>
      </c>
      <c r="U206" s="152" t="n"/>
      <c r="V206" s="152" t="inlineStr">
        <is>
          <t>Not disclosed</t>
        </is>
      </c>
      <c r="W206" s="156" t="inlineStr">
        <is>
          <t>Not disclosed</t>
        </is>
      </c>
      <c r="X206" s="152" t="n">
        <v>13.2</v>
      </c>
      <c r="Y206" s="152" t="n">
        <v>6</v>
      </c>
      <c r="Z206" s="152" t="n">
        <v>3.11</v>
      </c>
      <c r="AA206" s="152" t="n">
        <v>5</v>
      </c>
      <c r="AB206" s="152" t="n"/>
      <c r="AC206" s="156" t="inlineStr">
        <is>
          <t>Not disclosed</t>
        </is>
      </c>
      <c r="AD206" s="156" t="n"/>
      <c r="AE206" s="152" t="n"/>
      <c r="AF206" s="152" t="inlineStr">
        <is>
          <t>Not disclosed</t>
        </is>
      </c>
      <c r="AG206" s="156" t="inlineStr">
        <is>
          <t>2–3 (simplified gripper design)</t>
        </is>
      </c>
      <c r="AH206" s="152" t="inlineStr">
        <is>
          <t>2–3 (simplified gripper design)</t>
        </is>
      </c>
      <c r="AI206" s="152" t="n"/>
      <c r="AJ206" s="156" t="inlineStr">
        <is>
          <t>Not disclosed</t>
        </is>
      </c>
      <c r="AK206" s="156" t="n"/>
      <c r="AL206" s="152" t="inlineStr">
        <is>
          <t>Not disclosed</t>
        </is>
      </c>
      <c r="AM206" s="152" t="n"/>
      <c r="AN206" s="152" t="inlineStr">
        <is>
          <t>Not disclosed</t>
        </is>
      </c>
      <c r="AO206" s="152" t="inlineStr">
        <is>
          <t>Not disclosed</t>
        </is>
      </c>
      <c r="AP206" s="152" t="inlineStr">
        <is>
          <t>Not disclosed</t>
        </is>
      </c>
      <c r="AQ206" s="152" t="inlineStr">
        <is>
          <t>Not disclosed</t>
        </is>
      </c>
      <c r="AR206" s="152" t="n"/>
      <c r="AS206" s="152" t="n"/>
      <c r="AT206" s="156" t="inlineStr">
        <is>
          <t>Not disclosed</t>
        </is>
      </c>
      <c r="AU206" s="156" t="inlineStr">
        <is>
          <t>Likely Wi-Fi / internal network (not disclosed)</t>
        </is>
      </c>
      <c r="AV206" s="152" t="inlineStr">
        <is>
          <t>Not disclosed</t>
        </is>
      </c>
      <c r="AW206" s="156" t="inlineStr">
        <is>
          <t>Not disclosed</t>
        </is>
      </c>
      <c r="AX206" s="152" t="n"/>
      <c r="AY206" s="156" t="inlineStr">
        <is>
          <t>Not disclosed</t>
        </is>
      </c>
      <c r="AZ206" s="156" t="inlineStr">
        <is>
          <t>Not disclosed</t>
        </is>
      </c>
      <c r="BA206" s="156" t="n"/>
      <c r="BB206" s="156" t="inlineStr">
        <is>
          <t>Electric actuators (not specified)</t>
        </is>
      </c>
      <c r="BC206" s="156" t="inlineStr">
        <is>
          <t>Not disclosed</t>
        </is>
      </c>
      <c r="BD206" s="152" t="inlineStr">
        <is>
          <t>Metal frame (likely aluminum alloy)</t>
        </is>
      </c>
      <c r="BE206" s="152" t="inlineStr">
        <is>
          <t>Not disclosed</t>
        </is>
      </c>
      <c r="BF206" s="152" t="n"/>
      <c r="BG206" s="152" t="n"/>
      <c r="BH206" s="152" t="n"/>
      <c r="BI206" s="152" t="n"/>
      <c r="BJ206" s="152" t="n"/>
      <c r="BK206" s="152" t="n"/>
      <c r="BL206" s="152" t="n"/>
      <c r="BM206" s="152" t="inlineStr">
        <is>
          <t>Yes</t>
        </is>
      </c>
      <c r="BN206" s="152" t="inlineStr">
        <is>
          <t>Not disclosed</t>
        </is>
      </c>
      <c r="BO206" s="156" t="inlineStr">
        <is>
          <t>Market: Research and robotics development · Human-safe: Yes · Actuation: Electric actuators (not specified) · Peak 5 km/h</t>
        </is>
      </c>
      <c r="BP206" s="152" t="n"/>
      <c r="BQ206" s="156" t="inlineStr">
        <is>
          <t>Research and robotics development</t>
        </is>
      </c>
      <c r="BR206" s="156" t="inlineStr">
        <is>
          <t>Prototype</t>
        </is>
      </c>
      <c r="BS206" s="156" t="inlineStr">
        <is>
          <t>Prototype</t>
        </is>
      </c>
      <c r="BT206" s="152" t="n"/>
      <c r="BU206" s="152" t="n"/>
      <c r="BV206" s="156" t="n"/>
      <c r="BW206" s="156" t="inlineStr">
        <is>
          <t>Origin &amp; status — Japan · Prototype · 2026 | Manipulation — 2–3 (simplified gripper design) · 2–3 (simplified gripper design) fingers · Payload 13.2 lb | Sensing &amp; software — Sensor and compute package confirmed on formal quote | Buying notes — From $150,000 · 12 months manufacturer standard (typical research/commercial humanoid) · Best fit: Research and robotics development</t>
        </is>
      </c>
      <c r="BX206" s="156" t="inlineStr">
        <is>
          <t>as_shipped|CUE7|150000|As shipped</t>
        </is>
      </c>
      <c r="BY206" s="152" t="inlineStr">
        <is>
          <t>cue7|Manufacturer finish|#e2e8f0|0</t>
        </is>
      </c>
      <c r="BZ206" s="152" t="inlineStr"/>
      <c r="CA206" s="156" t="n"/>
      <c r="CB206" s="156" t="inlineStr">
        <is>
          <t>12 months manufacturer standard (typical research/commercial humanoid)</t>
        </is>
      </c>
      <c r="CC206" s="154" t="n">
        <v>12</v>
      </c>
      <c r="CD206" s="156" t="inlineStr">
        <is>
          <t>+3 Year Extended ≈24% of configuration (default in configurator)</t>
        </is>
      </c>
      <c r="CE206" s="152" t="inlineStr">
        <is>
          <t>Humanoid category norm 2025–2026</t>
        </is>
      </c>
      <c r="CF206" s="152" t="inlineStr">
        <is>
          <t>Estimated</t>
        </is>
      </c>
      <c r="CG206" s="156" t="inlineStr">
        <is>
          <t>Confirm on formal OEM quote. EDU or enterprise packages may differ.</t>
        </is>
      </c>
      <c r="CH206" s="152" t="inlineStr">
        <is>
          <t>10%</t>
        </is>
      </c>
      <c r="CI206" s="152" t="inlineStr">
        <is>
          <t>17%</t>
        </is>
      </c>
      <c r="CJ206" s="152" t="inlineStr">
        <is>
          <t>24%</t>
        </is>
      </c>
      <c r="CK206" s="156" t="inlineStr">
        <is>
          <t>+1yr ≈10% | +2yr ≈17% | +3yr ≈24% of selected configuration price (parts &amp; labor beyond manufacturer standard).</t>
        </is>
      </c>
      <c r="CL206"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06" s="152" t="inlineStr">
        <is>
          <t>12 months manufacturer standard (typical research/commercial humanoid)</t>
        </is>
      </c>
      <c r="CQ206" s="101" t="inlineStr">
        <is>
          <t>Height: 7 ft 2 in | Weight: 163.1 | Degrees of Freedom: Not disclosed | Payload: 13.2 | Max Speed: 3.11 | Battery / Runtime: Not disclosed</t>
        </is>
      </c>
    </row>
    <row r="207" ht="31.5" customHeight="1" s="102">
      <c r="A207" s="145" t="inlineStr">
        <is>
          <t>twolabs_tobi</t>
        </is>
      </c>
      <c r="B207" s="153" t="inlineStr">
        <is>
          <t>Humanoid.guide</t>
        </is>
      </c>
      <c r="C207" s="145" t="inlineStr">
        <is>
          <t>TwoLabs</t>
        </is>
      </c>
      <c r="D207" s="145" t="inlineStr">
        <is>
          <t>Tobi</t>
        </is>
      </c>
      <c r="E207" s="145" t="inlineStr">
        <is>
          <t>[TwoLabs] Tobi (2026)</t>
        </is>
      </c>
      <c r="F207" s="146" t="inlineStr">
        <is>
          <t>humanoid</t>
        </is>
      </c>
      <c r="G207" s="145" t="inlineStr">
        <is>
          <t>USA</t>
        </is>
      </c>
      <c r="H207" s="145" t="n"/>
      <c r="I207" s="148" t="n">
        <v>50000</v>
      </c>
      <c r="J207" s="145" t="inlineStr">
        <is>
          <t>Humanoid.guide list</t>
        </is>
      </c>
      <c r="K207" s="149" t="inlineStr">
        <is>
          <t>Tobi is a socially intelligent semi-humanoid caregiving robot from San Francisco startup Two Labs, built specifically for nursing homes and senior living.</t>
        </is>
      </c>
      <c r="L207" s="101" t="inlineStr">
        <is>
          <t>Tobi is a socially intelligent semi-humanoid caregiving robot from San Francisco startup Two Labs, built specifically for nursing homes and senior living.</t>
        </is>
      </c>
      <c r="M207" s="101" t="inlineStr">
        <is>
          <t>Tobi is a socially intelligent semi-humanoid caregiving robot from San Francisco startup Two Labs, built specifically for nursing homes and senior living. Public status is listed as prototype, and it is positioned for elder care — nursing homes, senior living, assisted living, care facilities.</t>
        </is>
      </c>
      <c r="N207" s="150" t="inlineStr">
        <is>
          <t>https://humanoid.guide/product/tobi/</t>
        </is>
      </c>
      <c r="O207" s="150" t="inlineStr">
        <is>
          <t>https://www.twolabs.ai/</t>
        </is>
      </c>
      <c r="P207" s="145" t="inlineStr">
        <is>
          <t>4 ft 11 in</t>
        </is>
      </c>
      <c r="Q207" s="145" t="n">
        <v>150</v>
      </c>
      <c r="R207" s="145" t="n">
        <v>132.3</v>
      </c>
      <c r="S207" s="145" t="n">
        <v>60</v>
      </c>
      <c r="T207" s="149" t="inlineStr">
        <is>
          <t>Not disclosed</t>
        </is>
      </c>
      <c r="U207" s="145" t="n"/>
      <c r="V207" s="145" t="inlineStr">
        <is>
          <t>16</t>
        </is>
      </c>
      <c r="W207" s="149" t="inlineStr">
        <is>
          <t>6</t>
        </is>
      </c>
      <c r="X207" s="145" t="n">
        <v>11</v>
      </c>
      <c r="Y207" s="145" t="n">
        <v>5</v>
      </c>
      <c r="Z207" s="145" t="n">
        <v>2.49</v>
      </c>
      <c r="AA207" s="145" t="n">
        <v>4</v>
      </c>
      <c r="AB207" s="145" t="n"/>
      <c r="AC207" s="149" t="inlineStr">
        <is>
          <t>≈ 5 hours</t>
        </is>
      </c>
      <c r="AD207" s="149" t="inlineStr">
        <is>
          <t>5</t>
        </is>
      </c>
      <c r="AE207" s="145" t="n"/>
      <c r="AF207" s="145" t="inlineStr">
        <is>
          <t>Not disclosed</t>
        </is>
      </c>
      <c r="AG207" s="149" t="inlineStr">
        <is>
          <t>10</t>
        </is>
      </c>
      <c r="AH207" s="145" t="inlineStr">
        <is>
          <t>10</t>
        </is>
      </c>
      <c r="AI207" s="145" t="n"/>
      <c r="AJ207" s="149" t="inlineStr">
        <is>
          <t>Not disclosed</t>
        </is>
      </c>
      <c r="AK207" s="149" t="n"/>
      <c r="AL207" s="145" t="inlineStr">
        <is>
          <t>Not disclosed</t>
        </is>
      </c>
      <c r="AM207" s="145" t="n"/>
      <c r="AN207" s="145" t="inlineStr">
        <is>
          <t>Not disclosed</t>
        </is>
      </c>
      <c r="AO207" s="145" t="inlineStr">
        <is>
          <t>Not disclosed</t>
        </is>
      </c>
      <c r="AP207" s="145" t="inlineStr">
        <is>
          <t>Not disclosed</t>
        </is>
      </c>
      <c r="AQ207" s="145" t="inlineStr">
        <is>
          <t>Not disclosed</t>
        </is>
      </c>
      <c r="AR207" s="145" t="n"/>
      <c r="AS207" s="145" t="n"/>
      <c r="AT207" s="149" t="inlineStr">
        <is>
          <t>Not disclosed</t>
        </is>
      </c>
      <c r="AU207" s="149" t="inlineStr">
        <is>
          <t>Wi-Fi + Bluetooth + facility network integration</t>
        </is>
      </c>
      <c r="AV207" s="145" t="inlineStr">
        <is>
          <t>Not disclosed</t>
        </is>
      </c>
      <c r="AW207" s="149" t="inlineStr">
        <is>
          <t>Not disclosed</t>
        </is>
      </c>
      <c r="AX207" s="145" t="n"/>
      <c r="AY207" s="149" t="inlineStr">
        <is>
          <t>Not disclosed</t>
        </is>
      </c>
      <c r="AZ207" s="149" t="inlineStr">
        <is>
          <t>Yes</t>
        </is>
      </c>
      <c r="BA207" s="149" t="n"/>
      <c r="BB207" s="149" t="inlineStr">
        <is>
          <t>Not officially published — qualified estimate brushless DC servo motors</t>
        </is>
      </c>
      <c r="BC207" s="149" t="inlineStr">
        <is>
          <t>harmonic / planetary reducers per arm joint</t>
        </is>
      </c>
      <c r="BD207" s="145" t="inlineStr">
        <is>
          <t>Aluminum frame with soft-touch polymer covers</t>
        </is>
      </c>
      <c r="BE207" s="145" t="inlineStr">
        <is>
          <t>Not disclosed</t>
        </is>
      </c>
      <c r="BF207" s="145" t="n"/>
      <c r="BG207" s="145" t="n"/>
      <c r="BH207" s="145" t="n"/>
      <c r="BI207" s="145" t="n"/>
      <c r="BJ207" s="145" t="n"/>
      <c r="BK207" s="145" t="n"/>
      <c r="BL207" s="145" t="n"/>
      <c r="BM207" s="145" t="inlineStr">
        <is>
          <t>Yes</t>
        </is>
      </c>
      <c r="BN207" s="145" t="inlineStr">
        <is>
          <t>Not disclosed</t>
        </is>
      </c>
      <c r="BO207" s="149" t="inlineStr">
        <is>
          <t>Market: Elder care — nursing homes, senior living, assisted living, care facilities · Human-safe: Yes · AI: Yes · Actuation: Not officially published — qualified estimate brushless DC servo motors · Peak 4 km/h · Runtime 5</t>
        </is>
      </c>
      <c r="BP207" s="145" t="n"/>
      <c r="BQ207" s="149" t="inlineStr">
        <is>
          <t>Elder care — nursing homes, senior living, assisted living, care facilities</t>
        </is>
      </c>
      <c r="BR207" s="149" t="inlineStr">
        <is>
          <t>Prototype</t>
        </is>
      </c>
      <c r="BS207" s="149" t="inlineStr">
        <is>
          <t>Prototype</t>
        </is>
      </c>
      <c r="BT207" s="145" t="n"/>
      <c r="BU207" s="145" t="n"/>
      <c r="BV207" s="149" t="n"/>
      <c r="BW207" s="149" t="inlineStr">
        <is>
          <t>Origin &amp; status — USA · Prototype · 2026 | Manipulation — 10 · 10 fingers · Hand DOF 6 · Payload 11 lb | Sensing &amp; software — Yes | Buying notes — From $50,000 · 12 months manufacturer standard (typical research/commercial humanoid) · Best fit: Elder care — nursing homes, senior living, assisted living, care…</t>
        </is>
      </c>
      <c r="BX207" s="149" t="inlineStr">
        <is>
          <t>as_shipped|Tobi|50000|As shipped</t>
        </is>
      </c>
      <c r="BY207" s="145" t="inlineStr">
        <is>
          <t>tobi|Manufacturer finish|#e2e8f0|0</t>
        </is>
      </c>
      <c r="BZ207" s="145" t="inlineStr"/>
      <c r="CA207" s="149" t="n"/>
      <c r="CB207" s="149" t="inlineStr">
        <is>
          <t>12 months manufacturer standard (typical research/commercial humanoid)</t>
        </is>
      </c>
      <c r="CC207" s="147" t="n">
        <v>12</v>
      </c>
      <c r="CD207" s="149" t="inlineStr">
        <is>
          <t>+3 Year Extended ≈24% of configuration (default in configurator)</t>
        </is>
      </c>
      <c r="CE207" s="145" t="inlineStr">
        <is>
          <t>Humanoid category norm 2025–2026</t>
        </is>
      </c>
      <c r="CF207" s="145" t="inlineStr">
        <is>
          <t>Estimated</t>
        </is>
      </c>
      <c r="CG207" s="149" t="inlineStr">
        <is>
          <t>Confirm on formal OEM quote. EDU or enterprise packages may differ.</t>
        </is>
      </c>
      <c r="CH207" s="145" t="inlineStr">
        <is>
          <t>10%</t>
        </is>
      </c>
      <c r="CI207" s="145" t="inlineStr">
        <is>
          <t>17%</t>
        </is>
      </c>
      <c r="CJ207" s="145" t="inlineStr">
        <is>
          <t>24%</t>
        </is>
      </c>
      <c r="CK207" s="149" t="inlineStr">
        <is>
          <t>+1yr ≈10% | +2yr ≈17% | +3yr ≈24% of selected configuration price (parts &amp; labor beyond manufacturer standard).</t>
        </is>
      </c>
      <c r="CL207"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07" s="145" t="inlineStr">
        <is>
          <t>12 months manufacturer standard (typical research/commercial humanoid)</t>
        </is>
      </c>
      <c r="CQ207" s="101" t="inlineStr">
        <is>
          <t>Height: 4 ft 11 in | Weight: 132.3 | Degrees of Freedom: 16 | Payload: 11 | Max Speed: 2.49 | Battery / Runtime: ≈ 5 hours</t>
        </is>
      </c>
    </row>
    <row r="208" ht="31.5" customHeight="1" s="102">
      <c r="A208" s="159" t="inlineStr">
        <is>
          <t>walker_s2</t>
        </is>
      </c>
      <c r="B208" s="144" t="inlineStr">
        <is>
          <t>Both</t>
        </is>
      </c>
      <c r="C208" s="152" t="inlineStr">
        <is>
          <t>UBTECH</t>
        </is>
      </c>
      <c r="D208" s="152" t="inlineStr">
        <is>
          <t>Walker S2</t>
        </is>
      </c>
      <c r="E208" s="152" t="inlineStr">
        <is>
          <t>[UBTECH] Walker S2 (2025)</t>
        </is>
      </c>
      <c r="F208" s="146" t="inlineStr">
        <is>
          <t>humanoid</t>
        </is>
      </c>
      <c r="G208" s="152" t="inlineStr">
        <is>
          <t>China</t>
        </is>
      </c>
      <c r="H208" s="154" t="n">
        <v>2025</v>
      </c>
      <c r="I208" s="155" t="n">
        <v>150000</v>
      </c>
      <c r="J208" s="152" t="inlineStr">
        <is>
          <t>Robot Price Index Aug 2026 · entry</t>
        </is>
      </c>
      <c r="K208" s="156" t="inlineStr">
        <is>
          <t>Industrial humanoid with a 52‑DOF body, dexterous hands and an autonomous battery‑swap system, enabling near‑24/7 factory uptime while handling up to 15 kg within a human‑scale workspace.</t>
        </is>
      </c>
      <c r="L208" s="101" t="inlineStr">
        <is>
          <t>Industrial humanoid with a 52‑DOF body, dexterous hands and an autonomous battery‑swap system, enabling near‑24/7 factory uptime while handling up to 15 kg within a human‑scale workspace.</t>
        </is>
      </c>
      <c r="M208" s="101" t="inlineStr">
        <is>
          <t>Walker S2 is UBTECH's humanoid, introduced around 2025 in China. Industrial humanoid with a 52‑DOF body, dexterous hands and an autonomous battery‑swap system, enabling near‑24/7 factory uptime while handling up to 15 kg within a human‑scale workspace. Public status is listed as prototype, and it is positioned for industries; Lgistics.</t>
        </is>
      </c>
      <c r="N208" s="157" t="inlineStr">
        <is>
          <t>https://humanoid.guide/product/walker-s2/</t>
        </is>
      </c>
      <c r="O208" s="157" t="inlineStr">
        <is>
          <t>https://www.ubtrobot.com</t>
        </is>
      </c>
      <c r="P208" s="152" t="inlineStr">
        <is>
          <t>≈ 5 ft 9 in</t>
        </is>
      </c>
      <c r="Q208" s="152" t="n">
        <v>176</v>
      </c>
      <c r="R208" s="152" t="n">
        <v>94.8</v>
      </c>
      <c r="S208" s="152" t="n">
        <v>43</v>
      </c>
      <c r="T208" s="156" t="inlineStr">
        <is>
          <t>Not disclosed</t>
        </is>
      </c>
      <c r="U208" s="152" t="inlineStr">
        <is>
          <t>Not specified</t>
        </is>
      </c>
      <c r="V208" s="152" t="inlineStr">
        <is>
          <t>≈ 52</t>
        </is>
      </c>
      <c r="W208" s="156" t="inlineStr">
        <is>
          <t>22</t>
        </is>
      </c>
      <c r="X208" s="152" t="n">
        <v>33.1</v>
      </c>
      <c r="Y208" s="152" t="n">
        <v>15</v>
      </c>
      <c r="Z208" s="152" t="n">
        <v>4.47</v>
      </c>
      <c r="AA208" s="152" t="n">
        <v>7.2</v>
      </c>
      <c r="AB208" s="152" t="n">
        <v>7.2</v>
      </c>
      <c r="AC208" s="156" t="inlineStr">
        <is>
          <t>≈ 2 hours</t>
        </is>
      </c>
      <c r="AD208" s="156" t="inlineStr">
        <is>
          <t>2</t>
        </is>
      </c>
      <c r="AE208" s="152" t="n"/>
      <c r="AF208" s="152" t="inlineStr">
        <is>
          <t>Not disclosed</t>
        </is>
      </c>
      <c r="AG208" s="156" t="inlineStr">
        <is>
          <t>Manipulator options for service tasks</t>
        </is>
      </c>
      <c r="AH208" s="152" t="inlineStr">
        <is>
          <t>10</t>
        </is>
      </c>
      <c r="AI208" s="158" t="n">
        <v>2</v>
      </c>
      <c r="AJ208" s="156" t="inlineStr">
        <is>
          <t>Service-robot camera suite</t>
        </is>
      </c>
      <c r="AK208" s="156" t="inlineStr">
        <is>
          <t>Dual RGB stereo</t>
        </is>
      </c>
      <c r="AL208" s="152" t="inlineStr">
        <is>
          <t>Not disclosed</t>
        </is>
      </c>
      <c r="AM208" s="152" t="n"/>
      <c r="AN208" s="152" t="inlineStr">
        <is>
          <t>Not disclosed</t>
        </is>
      </c>
      <c r="AO208" s="152" t="inlineStr">
        <is>
          <t>Voice interaction hardware</t>
        </is>
      </c>
      <c r="AP208" s="152" t="inlineStr">
        <is>
          <t>Not disclosed</t>
        </is>
      </c>
      <c r="AQ208" s="152" t="inlineStr">
        <is>
          <t>Not disclosed</t>
        </is>
      </c>
      <c r="AR208" s="152" t="n"/>
      <c r="AS208" s="152" t="n"/>
      <c r="AT208" s="156" t="inlineStr">
        <is>
          <t>Not disclosed</t>
        </is>
      </c>
      <c r="AU208" s="156" t="inlineStr">
        <is>
          <t>Bluetooth; WiFi</t>
        </is>
      </c>
      <c r="AV208" s="152" t="inlineStr">
        <is>
          <t>UBTECH service and research software</t>
        </is>
      </c>
      <c r="AW208" s="156" t="inlineStr">
        <is>
          <t>Bipedal walking for indoor service environments</t>
        </is>
      </c>
      <c r="AX208" s="158" t="n">
        <v>2</v>
      </c>
      <c r="AY208" s="156" t="inlineStr">
        <is>
          <t>Not disclosed</t>
        </is>
      </c>
      <c r="AZ208" s="156" t="inlineStr">
        <is>
          <t>Not disclosed</t>
        </is>
      </c>
      <c r="BA208" s="156" t="inlineStr">
        <is>
          <t>Not specified</t>
        </is>
      </c>
      <c r="BB208" s="156" t="inlineStr">
        <is>
          <t>Not disclosed</t>
        </is>
      </c>
      <c r="BC208" s="156" t="inlineStr">
        <is>
          <t>Not disclosed</t>
        </is>
      </c>
      <c r="BD208" s="152" t="inlineStr">
        <is>
          <t>Not disclosed</t>
        </is>
      </c>
      <c r="BE208" s="152" t="inlineStr">
        <is>
          <t>Not disclosed</t>
        </is>
      </c>
      <c r="BF208" s="152" t="inlineStr">
        <is>
          <t>Not specified</t>
        </is>
      </c>
      <c r="BG208" s="152" t="n"/>
      <c r="BH208" s="152" t="n"/>
      <c r="BI208" s="152" t="n"/>
      <c r="BJ208" s="152" t="n"/>
      <c r="BK208" s="152" t="n"/>
      <c r="BL208" s="152" t="n"/>
      <c r="BM208" s="152" t="inlineStr">
        <is>
          <t>Not disclosed</t>
        </is>
      </c>
      <c r="BN208" s="152" t="inlineStr">
        <is>
          <t>Not disclosed</t>
        </is>
      </c>
      <c r="BO208" s="156" t="inlineStr">
        <is>
          <t>Market: Industries; Lgistics. · Manipulation 2/4 · Navigation 2/4 · Human-safe: Not specified · AI: Not specified · Actuation: Not specified · Peak 7.2 km/h · Walk 7.2 km/h · Runtime 2</t>
        </is>
      </c>
      <c r="BP208" s="152" t="n"/>
      <c r="BQ208" s="156" t="inlineStr">
        <is>
          <t>Industries; Lgistics.</t>
        </is>
      </c>
      <c r="BR208" s="156" t="inlineStr">
        <is>
          <t>Prototype</t>
        </is>
      </c>
      <c r="BS208" s="156" t="inlineStr">
        <is>
          <t>Prototype</t>
        </is>
      </c>
      <c r="BT208" s="152" t="inlineStr">
        <is>
          <t>Not specified</t>
        </is>
      </c>
      <c r="BU208" s="152" t="inlineStr">
        <is>
          <t>Not verified</t>
        </is>
      </c>
      <c r="BV208" s="156" t="inlineStr">
        <is>
          <t>Humanoid.guide listed price $80,000.</t>
        </is>
      </c>
      <c r="BW208" s="156" t="inlineStr">
        <is>
          <t>Origin &amp; status — China · Prototype · 2025 | Manipulation — Manipulator options for service tasks · 10 fingers · Hand DOF 22 · Payload Service-task payload class (confirm configuration) lb | Sensing &amp; software — Service-robot camera suite · UBTECH service and research software | Buying notes — From $68,000 · 12 months manufacturer standard (typical research/commercial humanoid) · Best fit: Industries</t>
        </is>
      </c>
      <c r="BX208" s="156" t="inlineStr">
        <is>
          <t>s2|Walker S2|150000|Industrial humanoid</t>
        </is>
      </c>
      <c r="BY208" s="152" t="inlineStr">
        <is>
          <t>white|Walker White|#f8fafc|0</t>
        </is>
      </c>
      <c r="BZ208" s="152" t="inlineStr">
        <is>
          <t>battery, controller</t>
        </is>
      </c>
      <c r="CA208" s="156" t="inlineStr">
        <is>
          <t>2 color options; Multi-year extended warranty available</t>
        </is>
      </c>
      <c r="CB208" s="156" t="inlineStr">
        <is>
          <t>12 months manufacturer standard (typical research/commercial humanoid)</t>
        </is>
      </c>
      <c r="CC208" s="154" t="n">
        <v>12</v>
      </c>
      <c r="CD208" s="156" t="inlineStr">
        <is>
          <t>+3 Year Extended ≈24% of configuration (default in configurator)</t>
        </is>
      </c>
      <c r="CE208" s="152" t="inlineStr">
        <is>
          <t>Humanoid category norm 2025–2026</t>
        </is>
      </c>
      <c r="CF208" s="152" t="inlineStr">
        <is>
          <t>Estimated</t>
        </is>
      </c>
      <c r="CG208" s="156" t="inlineStr">
        <is>
          <t>EDU or enterprise packages may differ; confirm on formal quote.</t>
        </is>
      </c>
      <c r="CH208" s="152" t="inlineStr">
        <is>
          <t>10%</t>
        </is>
      </c>
      <c r="CI208" s="152" t="inlineStr">
        <is>
          <t>17%</t>
        </is>
      </c>
      <c r="CJ208" s="152" t="inlineStr">
        <is>
          <t>24%</t>
        </is>
      </c>
      <c r="CK208"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08"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08" s="152" t="inlineStr">
        <is>
          <t>12 months manufacturer standard (typical research/commercial humanoid)</t>
        </is>
      </c>
      <c r="CQ208" s="101" t="inlineStr">
        <is>
          <t>Height: ≈ 5 ft 9 in | Weight: 94.8 | Degrees of Freedom: ≈ 52 | Payload: 33.1 | Max Speed: 4.47 | Battery / Runtime: ≈ 2 hours</t>
        </is>
      </c>
    </row>
    <row r="209" ht="31.5" customHeight="1" s="102">
      <c r="A209" s="145" t="inlineStr">
        <is>
          <t>ubtech_robotics_cruzr_s2</t>
        </is>
      </c>
      <c r="B209" s="153" t="inlineStr">
        <is>
          <t>Humanoid.guide</t>
        </is>
      </c>
      <c r="C209" s="145" t="inlineStr">
        <is>
          <t>UBTECH</t>
        </is>
      </c>
      <c r="D209" s="145" t="inlineStr">
        <is>
          <t>Cruzr S2</t>
        </is>
      </c>
      <c r="E209" s="145" t="inlineStr">
        <is>
          <t>[UBTECH] Cruzr S2 (2026)</t>
        </is>
      </c>
      <c r="F209" s="146" t="inlineStr">
        <is>
          <t>humanoid</t>
        </is>
      </c>
      <c r="G209" s="145" t="inlineStr">
        <is>
          <t>China</t>
        </is>
      </c>
      <c r="H209" s="145" t="n"/>
      <c r="I209" s="148" t="n">
        <v>200000</v>
      </c>
      <c r="J209" s="145" t="inlineStr">
        <is>
          <t>Humanoid.guide list</t>
        </is>
      </c>
      <c r="K209" s="149" t="inlineStr">
        <is>
          <t>The Cruzr S2 is a full-sized, wheeled humanoid robot developed by UBTECH Robotics for industrial and commercial automation.</t>
        </is>
      </c>
      <c r="L209" s="101" t="inlineStr">
        <is>
          <t>The Cruzr S2 is a full-sized, wheeled humanoid robot developed by UBTECH Robotics for industrial and commercial automation.</t>
        </is>
      </c>
      <c r="M209" s="101" t="inlineStr">
        <is>
          <t>The Cruzr S2 is a full-sized, wheeled humanoid robot developed by UBTECH Robotics for industrial and commercial automation. Public status is listed as in production, and it is positioned for healthcare; Industrial; logistics.</t>
        </is>
      </c>
      <c r="N209" s="150" t="inlineStr">
        <is>
          <t>https://humanoid.guide/product/cruzr-s2/</t>
        </is>
      </c>
      <c r="O209" s="150" t="inlineStr">
        <is>
          <t>https://www.ubtrobot.com</t>
        </is>
      </c>
      <c r="P209" s="145" t="inlineStr">
        <is>
          <t>5 ft 9 in</t>
        </is>
      </c>
      <c r="Q209" s="145" t="n">
        <v>175</v>
      </c>
      <c r="R209" s="145" t="n">
        <v>330.7</v>
      </c>
      <c r="S209" s="145" t="n">
        <v>150</v>
      </c>
      <c r="T209" s="149" t="inlineStr">
        <is>
          <t>Not disclosed</t>
        </is>
      </c>
      <c r="U209" s="145" t="inlineStr">
        <is>
          <t>190 x 90 x 90 cm (approx.)</t>
        </is>
      </c>
      <c r="V209" s="145" t="inlineStr">
        <is>
          <t>&amp;gt;20</t>
        </is>
      </c>
      <c r="W209" s="149" t="inlineStr">
        <is>
          <t>&amp;gt;10</t>
        </is>
      </c>
      <c r="X209" s="145" t="n">
        <v>33.1</v>
      </c>
      <c r="Y209" s="145" t="n">
        <v>15</v>
      </c>
      <c r="Z209" s="145" t="n">
        <v>4.47</v>
      </c>
      <c r="AA209" s="145" t="n">
        <v>7.2</v>
      </c>
      <c r="AB209" s="145" t="n">
        <v>7.2</v>
      </c>
      <c r="AC209" s="149" t="inlineStr">
        <is>
          <t>≈ 6 hours</t>
        </is>
      </c>
      <c r="AD209" s="149" t="inlineStr">
        <is>
          <t>6</t>
        </is>
      </c>
      <c r="AE209" s="145" t="n"/>
      <c r="AF209" s="145" t="inlineStr">
        <is>
          <t>Not disclosed</t>
        </is>
      </c>
      <c r="AG209" s="149" t="inlineStr">
        <is>
          <t>5 per hand</t>
        </is>
      </c>
      <c r="AH209" s="145" t="inlineStr">
        <is>
          <t>5 per hand</t>
        </is>
      </c>
      <c r="AI209" s="158" t="n">
        <v>2</v>
      </c>
      <c r="AJ209" s="149" t="inlineStr">
        <is>
          <t>1920x1080 (Full HD)</t>
        </is>
      </c>
      <c r="AK209" s="149" t="inlineStr">
        <is>
          <t>1920x1080 (Full HD)</t>
        </is>
      </c>
      <c r="AL209" s="145" t="inlineStr">
        <is>
          <t>Not disclosed</t>
        </is>
      </c>
      <c r="AM209" s="145" t="n"/>
      <c r="AN209" s="145" t="inlineStr">
        <is>
          <t>Not disclosed</t>
        </is>
      </c>
      <c r="AO209" s="145" t="inlineStr">
        <is>
          <t>Not disclosed</t>
        </is>
      </c>
      <c r="AP209" s="145" t="inlineStr">
        <is>
          <t>Not disclosed</t>
        </is>
      </c>
      <c r="AQ209" s="145" t="inlineStr">
        <is>
          <t>Not disclosed</t>
        </is>
      </c>
      <c r="AR209" s="145" t="n"/>
      <c r="AS209" s="145" t="n"/>
      <c r="AT209" s="149" t="inlineStr">
        <is>
          <t>Industrial CPU + optional AI accelerator (assumed)</t>
        </is>
      </c>
      <c r="AU209" s="149" t="inlineStr">
        <is>
          <t>Bluetooth; Ethernet; Wi‑Fi</t>
        </is>
      </c>
      <c r="AV209" s="145" t="inlineStr">
        <is>
          <t>Not disclosed</t>
        </is>
      </c>
      <c r="AW209" s="149" t="inlineStr">
        <is>
          <t>Not disclosed</t>
        </is>
      </c>
      <c r="AX209" s="162" t="n">
        <v>1</v>
      </c>
      <c r="AY209" s="149" t="inlineStr">
        <is>
          <t>ROS/Linux/UBTECH OS</t>
        </is>
      </c>
      <c r="AZ209" s="149" t="inlineStr">
        <is>
          <t>Yes</t>
        </is>
      </c>
      <c r="BA209" s="149" t="inlineStr">
        <is>
          <t>&amp;lt;100 ms</t>
        </is>
      </c>
      <c r="BB209" s="149" t="inlineStr">
        <is>
          <t>High-torque servo motors</t>
        </is>
      </c>
      <c r="BC209" s="149" t="inlineStr">
        <is>
          <t>Harmonic Drive / Planetary Gearboxes</t>
        </is>
      </c>
      <c r="BD209" s="145" t="inlineStr">
        <is>
          <t>Aluminum alloys and industrial composites</t>
        </is>
      </c>
      <c r="BE209" s="145" t="inlineStr">
        <is>
          <t>IP54</t>
        </is>
      </c>
      <c r="BF209" s="145" t="inlineStr">
        <is>
          <t>IP54</t>
        </is>
      </c>
      <c r="BG209" s="145" t="n"/>
      <c r="BH209" s="145" t="n"/>
      <c r="BI209" s="145" t="n"/>
      <c r="BJ209" s="145" t="n"/>
      <c r="BK209" s="145" t="n"/>
      <c r="BL209" s="145" t="n"/>
      <c r="BM209" s="145" t="inlineStr">
        <is>
          <t>Yes</t>
        </is>
      </c>
      <c r="BN209" s="145" t="inlineStr">
        <is>
          <t>Not disclosed</t>
        </is>
      </c>
      <c r="BO209" s="149" t="inlineStr">
        <is>
          <t>Market: healthcare; Industrial; logistics · Manipulation 2/4 · Navigation 1/4 · Human-safe: Yes · AI: Yes · Actuation: High-torque servo motors · Peak 7.2 km/h · Walk 7.2 km/h · Runtime 6</t>
        </is>
      </c>
      <c r="BP209" s="145" t="n"/>
      <c r="BQ209" s="149" t="inlineStr">
        <is>
          <t>healthcare; Industrial; logistics</t>
        </is>
      </c>
      <c r="BR209" s="149" t="inlineStr">
        <is>
          <t>In production</t>
        </is>
      </c>
      <c r="BS209" s="149" t="inlineStr">
        <is>
          <t>In production</t>
        </is>
      </c>
      <c r="BT209" s="145" t="inlineStr">
        <is>
          <t>White and Black/Gray</t>
        </is>
      </c>
      <c r="BU209" s="145" t="inlineStr">
        <is>
          <t>Not verified</t>
        </is>
      </c>
      <c r="BV209" s="149" t="n"/>
      <c r="BW209" s="149" t="inlineStr">
        <is>
          <t>Origin &amp; status — China · In production · 2026 | Manipulation — 5 per hand · 5 per hand fingers · Hand DOF &amp;gt;10 · Payload 33.1 lb | Sensing &amp; software — 1920x1080 (Full HD) · Yes · ROS/Linux/UBTECH OS | Buying notes — From $200,000 · 12 months manufacturer standard (typical research/commercial humanoid) · Best fit: healthcare</t>
        </is>
      </c>
      <c r="BX209" s="149" t="inlineStr">
        <is>
          <t>as_shipped|Cruzr S2|200000|As shipped</t>
        </is>
      </c>
      <c r="BY209" s="145" t="inlineStr">
        <is>
          <t>white_and_black|White and Black|#e2e8f0|0 || gray|Gray|#1e293b|0</t>
        </is>
      </c>
      <c r="BZ209" s="145" t="inlineStr"/>
      <c r="CA209" s="149" t="n"/>
      <c r="CB209" s="149" t="inlineStr">
        <is>
          <t>12 months manufacturer standard (typical research/commercial humanoid)</t>
        </is>
      </c>
      <c r="CC209" s="147" t="n">
        <v>12</v>
      </c>
      <c r="CD209" s="149" t="inlineStr">
        <is>
          <t>+3 Year Extended ≈24% of configuration (default in configurator)</t>
        </is>
      </c>
      <c r="CE209" s="145" t="inlineStr">
        <is>
          <t>Humanoid category norm 2025–2026</t>
        </is>
      </c>
      <c r="CF209" s="145" t="inlineStr">
        <is>
          <t>Estimated</t>
        </is>
      </c>
      <c r="CG209" s="149" t="inlineStr">
        <is>
          <t>Confirm on formal OEM quote. EDU or enterprise packages may differ.</t>
        </is>
      </c>
      <c r="CH209" s="145" t="inlineStr">
        <is>
          <t>10%</t>
        </is>
      </c>
      <c r="CI209" s="145" t="inlineStr">
        <is>
          <t>17%</t>
        </is>
      </c>
      <c r="CJ209" s="145" t="inlineStr">
        <is>
          <t>24%</t>
        </is>
      </c>
      <c r="CK209" s="149" t="inlineStr">
        <is>
          <t>+1yr ≈10% | +2yr ≈17% | +3yr ≈24% of selected configuration price (parts &amp; labor beyond manufacturer standard).</t>
        </is>
      </c>
      <c r="CL20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09" s="145" t="inlineStr">
        <is>
          <t>12 months manufacturer standard (typical research/commercial humanoid)</t>
        </is>
      </c>
      <c r="CQ209" s="101" t="inlineStr">
        <is>
          <t>Height: 5 ft 9 in | Weight: 330.7 | Degrees of Freedom: &amp;gt;20 | Payload: 33.1 | Max Speed: 4.47 | Battery / Runtime: ≈ 6 hours</t>
        </is>
      </c>
    </row>
    <row r="210" ht="31.5" customHeight="1" s="102">
      <c r="A210" s="152" t="inlineStr">
        <is>
          <t>ubtech_robotics_cruzr_y1</t>
        </is>
      </c>
      <c r="B210" s="153" t="inlineStr">
        <is>
          <t>Humanoid.guide</t>
        </is>
      </c>
      <c r="C210" s="152" t="inlineStr">
        <is>
          <t>UBTECH</t>
        </is>
      </c>
      <c r="D210" s="152" t="inlineStr">
        <is>
          <t>Cruzr Y1</t>
        </is>
      </c>
      <c r="E210" s="152" t="inlineStr">
        <is>
          <t>[UBTECH] Cruzr Y1 (2026)</t>
        </is>
      </c>
      <c r="F210" s="146" t="inlineStr">
        <is>
          <t>humanoid</t>
        </is>
      </c>
      <c r="G210" s="152" t="inlineStr">
        <is>
          <t>China</t>
        </is>
      </c>
      <c r="H210" s="152" t="n"/>
      <c r="I210" s="155" t="n">
        <v>55000</v>
      </c>
      <c r="J210" s="152" t="inlineStr">
        <is>
          <t>Humanoid.guide list</t>
        </is>
      </c>
      <c r="K210" s="156" t="inlineStr">
        <is>
          <t>The UBTECH Cruzr Y1 is a wheeled industrial humanoid robot built for manufacturing and logistics.</t>
        </is>
      </c>
      <c r="L210" s="101" t="inlineStr">
        <is>
          <t>The UBTECH Cruzr Y1 is a wheeled industrial humanoid robot built for manufacturing and logistics.</t>
        </is>
      </c>
      <c r="M210" s="101" t="inlineStr">
        <is>
          <t>Cruzr Y1 is UBTECH's humanoid, introduced around 2026 in China. The UBTECH Cruzr Y1 is a wheeled industrial humanoid robot built for manufacturing and logistics. Public status is listed as in production, and it is positioned for logistics; Manufacturing.</t>
        </is>
      </c>
      <c r="N210" s="157" t="inlineStr">
        <is>
          <t>https://humanoid.guide/product/cruzr-y1/</t>
        </is>
      </c>
      <c r="O210" s="157" t="inlineStr">
        <is>
          <t>https://www.ubtrobot.com</t>
        </is>
      </c>
      <c r="P210" s="152" t="inlineStr">
        <is>
          <t>5 ft 7 in</t>
        </is>
      </c>
      <c r="Q210" s="152" t="n">
        <v>170</v>
      </c>
      <c r="R210" s="152" t="n">
        <v>198.4</v>
      </c>
      <c r="S210" s="152" t="n">
        <v>90</v>
      </c>
      <c r="T210" s="156" t="inlineStr">
        <is>
          <t>Not disclosed</t>
        </is>
      </c>
      <c r="U210" s="152" t="n"/>
      <c r="V210" s="152" t="inlineStr">
        <is>
          <t>14</t>
        </is>
      </c>
      <c r="W210" s="156" t="inlineStr">
        <is>
          <t>7</t>
        </is>
      </c>
      <c r="X210" s="152" t="n">
        <v>22</v>
      </c>
      <c r="Y210" s="152" t="n">
        <v>10</v>
      </c>
      <c r="Z210" s="152" t="n">
        <v>3.36</v>
      </c>
      <c r="AA210" s="152" t="n">
        <v>5.4</v>
      </c>
      <c r="AB210" s="152" t="n"/>
      <c r="AC210" s="156" t="inlineStr">
        <is>
          <t>≈ 4 hours</t>
        </is>
      </c>
      <c r="AD210" s="156" t="inlineStr">
        <is>
          <t>4</t>
        </is>
      </c>
      <c r="AE210" s="152" t="n"/>
      <c r="AF210" s="152" t="inlineStr">
        <is>
          <t>Not disclosed</t>
        </is>
      </c>
      <c r="AG210" s="156" t="inlineStr">
        <is>
          <t>5 per hand</t>
        </is>
      </c>
      <c r="AH210" s="152" t="inlineStr">
        <is>
          <t>5 per hand</t>
        </is>
      </c>
      <c r="AI210" s="152" t="n"/>
      <c r="AJ210" s="156" t="inlineStr">
        <is>
          <t>RGBD head camera + 2 RGBD wrist cameras</t>
        </is>
      </c>
      <c r="AK210" s="156" t="inlineStr">
        <is>
          <t>RGBD head camera + 2 RGBD wrist cameras</t>
        </is>
      </c>
      <c r="AL210" s="152" t="inlineStr">
        <is>
          <t>Not disclosed</t>
        </is>
      </c>
      <c r="AM210" s="152" t="n"/>
      <c r="AN210" s="152" t="inlineStr">
        <is>
          <t>Not disclosed</t>
        </is>
      </c>
      <c r="AO210" s="152" t="inlineStr">
        <is>
          <t>Not disclosed</t>
        </is>
      </c>
      <c r="AP210" s="152" t="inlineStr">
        <is>
          <t>Not disclosed</t>
        </is>
      </c>
      <c r="AQ210" s="152" t="inlineStr">
        <is>
          <t>Not disclosed</t>
        </is>
      </c>
      <c r="AR210" s="152" t="n"/>
      <c r="AS210" s="152" t="n"/>
      <c r="AT210" s="156" t="inlineStr">
        <is>
          <t>D-Robotics S100P + S600 AI computing chips</t>
        </is>
      </c>
      <c r="AU210" s="156" t="inlineStr">
        <is>
          <t>5G; Wi‑Fi</t>
        </is>
      </c>
      <c r="AV210" s="152" t="inlineStr">
        <is>
          <t>Not disclosed</t>
        </is>
      </c>
      <c r="AW210" s="156" t="inlineStr">
        <is>
          <t>Not disclosed</t>
        </is>
      </c>
      <c r="AX210" s="152" t="n"/>
      <c r="AY210" s="156" t="inlineStr">
        <is>
          <t>Proprietary UBTECH industrial robotics platform</t>
        </is>
      </c>
      <c r="AZ210" s="156" t="inlineStr">
        <is>
          <t>Yes (AI language-vision-action models)</t>
        </is>
      </c>
      <c r="BA210" s="156" t="n"/>
      <c r="BB210" s="156" t="inlineStr">
        <is>
          <t>Electric servo motors</t>
        </is>
      </c>
      <c r="BC210" s="156" t="inlineStr">
        <is>
          <t>Harmonic drives in arms</t>
        </is>
      </c>
      <c r="BD210" s="152" t="inlineStr">
        <is>
          <t>Aluminum alloy and industrial steel</t>
        </is>
      </c>
      <c r="BE210" s="152" t="inlineStr">
        <is>
          <t>Not disclosed</t>
        </is>
      </c>
      <c r="BF210" s="152" t="n"/>
      <c r="BG210" s="152" t="n"/>
      <c r="BH210" s="152" t="n"/>
      <c r="BI210" s="152" t="n"/>
      <c r="BJ210" s="152" t="n"/>
      <c r="BK210" s="152" t="n"/>
      <c r="BL210" s="152" t="n"/>
      <c r="BM210" s="152" t="inlineStr">
        <is>
          <t>Yes</t>
        </is>
      </c>
      <c r="BN210" s="152" t="inlineStr">
        <is>
          <t>Not disclosed</t>
        </is>
      </c>
      <c r="BO210" s="156" t="inlineStr">
        <is>
          <t>Market: logistics; Manufacturing · Human-safe: Yes · AI: Yes (AI language-vision-action models) · Actuation: Electric servo motors · Peak 5.4 km/h · Runtime 4</t>
        </is>
      </c>
      <c r="BP210" s="152" t="n"/>
      <c r="BQ210" s="156" t="inlineStr">
        <is>
          <t>logistics; Manufacturing</t>
        </is>
      </c>
      <c r="BR210" s="156" t="inlineStr">
        <is>
          <t>In production</t>
        </is>
      </c>
      <c r="BS210" s="156" t="inlineStr">
        <is>
          <t>In production</t>
        </is>
      </c>
      <c r="BT210" s="152" t="inlineStr">
        <is>
          <t>Grey</t>
        </is>
      </c>
      <c r="BU210" s="152" t="inlineStr">
        <is>
          <t>Not verified</t>
        </is>
      </c>
      <c r="BV210" s="156" t="n"/>
      <c r="BW210" s="156" t="inlineStr">
        <is>
          <t>Origin &amp; status — China · In production · 2026 | Manipulation — 5 per hand · 5 per hand fingers · Hand DOF 7 · Payload 22 lb | Sensing &amp; software — RGBD head camera + 2 RGBD wrist cameras · Yes (AI language-vision-action models) · Proprietary UBTECH industrial robotics platform | Buying notes — From $55,000 · 12 months manufacturer standard (typical research/commercial humanoid) · Best fit: logistics</t>
        </is>
      </c>
      <c r="BX210" s="156" t="inlineStr">
        <is>
          <t>as_shipped|Cruzr Y1|55000|As shipped</t>
        </is>
      </c>
      <c r="BY210" s="152" t="inlineStr">
        <is>
          <t>grey|Grey|#e2e8f0|0</t>
        </is>
      </c>
      <c r="BZ210" s="152" t="inlineStr"/>
      <c r="CA210" s="156" t="n"/>
      <c r="CB210" s="156" t="inlineStr">
        <is>
          <t>12 months manufacturer standard (typical research/commercial humanoid)</t>
        </is>
      </c>
      <c r="CC210" s="154" t="n">
        <v>12</v>
      </c>
      <c r="CD210" s="156" t="inlineStr">
        <is>
          <t>+3 Year Extended ≈24% of configuration (default in configurator)</t>
        </is>
      </c>
      <c r="CE210" s="152" t="inlineStr">
        <is>
          <t>Humanoid category norm 2025–2026</t>
        </is>
      </c>
      <c r="CF210" s="152" t="inlineStr">
        <is>
          <t>Estimated</t>
        </is>
      </c>
      <c r="CG210" s="156" t="inlineStr">
        <is>
          <t>Confirm on formal OEM quote. EDU or enterprise packages may differ.</t>
        </is>
      </c>
      <c r="CH210" s="152" t="inlineStr">
        <is>
          <t>10%</t>
        </is>
      </c>
      <c r="CI210" s="152" t="inlineStr">
        <is>
          <t>17%</t>
        </is>
      </c>
      <c r="CJ210" s="152" t="inlineStr">
        <is>
          <t>24%</t>
        </is>
      </c>
      <c r="CK210" s="156" t="inlineStr">
        <is>
          <t>+1yr ≈10% | +2yr ≈17% | +3yr ≈24% of selected configuration price (parts &amp; labor beyond manufacturer standard).</t>
        </is>
      </c>
      <c r="CL210"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10" s="152" t="inlineStr">
        <is>
          <t>12 months manufacturer standard (typical research/commercial humanoid)</t>
        </is>
      </c>
      <c r="CQ210" s="101" t="inlineStr">
        <is>
          <t>Height: 5 ft 7 in | Weight: 198.4 | Degrees of Freedom: 14 | Payload: 22 | Max Speed: 3.36 | Battery / Runtime: ≈ 4 hours</t>
        </is>
      </c>
    </row>
    <row r="211" ht="31.5" customHeight="1" s="102">
      <c r="A211" s="143" t="inlineStr">
        <is>
          <t>ubtech_robotics_uworld_u1</t>
        </is>
      </c>
      <c r="B211" s="144" t="inlineStr">
        <is>
          <t>Both</t>
        </is>
      </c>
      <c r="C211" s="145" t="inlineStr">
        <is>
          <t>UBTECH</t>
        </is>
      </c>
      <c r="D211" s="145" t="inlineStr">
        <is>
          <t>U1 Pro</t>
        </is>
      </c>
      <c r="E211" s="145" t="inlineStr">
        <is>
          <t>[UBTECH] UWORLD U1 (2025)</t>
        </is>
      </c>
      <c r="F211" s="146" t="inlineStr">
        <is>
          <t>humanoid</t>
        </is>
      </c>
      <c r="G211" s="145" t="inlineStr">
        <is>
          <t>China</t>
        </is>
      </c>
      <c r="H211" s="147" t="n">
        <v>2025</v>
      </c>
      <c r="I211" s="148" t="n">
        <v>16500</v>
      </c>
      <c r="J211" s="145" t="inlineStr">
        <is>
          <t>Website store</t>
        </is>
      </c>
      <c r="K211" s="149" t="inlineStr">
        <is>
          <t>A lifelike, full-size Chinese companion humanoid from UBTECH’s UWORLD brand, built for emotional connection rather than physical labor.</t>
        </is>
      </c>
      <c r="L211" s="101" t="inlineStr">
        <is>
          <t>A lifelike, full-size Chinese companion humanoid from UBTECH’s UWORLD brand, built for emotional connection rather than physical labor.</t>
        </is>
      </c>
      <c r="M211" s="101" t="inlineStr">
        <is>
          <t>UWORLD U1 is UBTECH's humanoid, introduced around 2025 in China. A lifelike, full-size Chinese companion humanoid from UBTECH’s UWORLD brand, built for emotional connection rather than physical labor. Public status is listed as pre-order / Limited / Order claims, and it is positioned for service / Consumer claim.</t>
        </is>
      </c>
      <c r="N211" s="150" t="inlineStr">
        <is>
          <t>https://humanoid.guide/product/u1-pro/</t>
        </is>
      </c>
      <c r="O211" s="150" t="inlineStr">
        <is>
          <t>https://www.ubtrobot.com</t>
        </is>
      </c>
      <c r="P211" s="145" t="inlineStr">
        <is>
          <t>6 ft 0 in</t>
        </is>
      </c>
      <c r="Q211" s="145" t="n">
        <v>183</v>
      </c>
      <c r="R211" s="145" t="n">
        <v>92.59999999999999</v>
      </c>
      <c r="S211" s="145" t="n">
        <v>42</v>
      </c>
      <c r="T211" s="149" t="inlineStr">
        <is>
          <t>Not disclosed</t>
        </is>
      </c>
      <c r="U211" s="145" t="n"/>
      <c r="V211" s="145" t="inlineStr">
        <is>
          <t>88</t>
        </is>
      </c>
      <c r="W211" s="149" t="inlineStr">
        <is>
          <t>24</t>
        </is>
      </c>
      <c r="X211" s="145" t="n">
        <v>33.1</v>
      </c>
      <c r="Y211" s="145" t="n">
        <v>15</v>
      </c>
      <c r="Z211" s="145" t="n">
        <v>3.11</v>
      </c>
      <c r="AA211" s="145" t="n">
        <v>5</v>
      </c>
      <c r="AB211" s="145" t="n">
        <v>4</v>
      </c>
      <c r="AC211" s="149" t="inlineStr">
        <is>
          <t>≈ 3 hours</t>
        </is>
      </c>
      <c r="AD211" s="149" t="inlineStr">
        <is>
          <t>3</t>
        </is>
      </c>
      <c r="AE211" s="145" t="n"/>
      <c r="AF211" s="145" t="inlineStr">
        <is>
          <t>Not disclosed</t>
        </is>
      </c>
      <c r="AG211" s="149" t="inlineStr">
        <is>
          <t>5 per hand</t>
        </is>
      </c>
      <c r="AH211" s="145" t="inlineStr">
        <is>
          <t>5 per hand</t>
        </is>
      </c>
      <c r="AI211" s="145" t="n"/>
      <c r="AJ211" s="149" t="inlineStr">
        <is>
          <t>Service humanoid cameras</t>
        </is>
      </c>
      <c r="AK211" s="149" t="n"/>
      <c r="AL211" s="145" t="inlineStr">
        <is>
          <t>Not disclosed</t>
        </is>
      </c>
      <c r="AM211" s="145" t="n"/>
      <c r="AN211" s="145" t="inlineStr">
        <is>
          <t>Not disclosed</t>
        </is>
      </c>
      <c r="AO211" s="145" t="inlineStr">
        <is>
          <t>Voice interaction</t>
        </is>
      </c>
      <c r="AP211" s="145" t="inlineStr">
        <is>
          <t>Not disclosed</t>
        </is>
      </c>
      <c r="AQ211" s="145" t="inlineStr">
        <is>
          <t>Not disclosed</t>
        </is>
      </c>
      <c r="AR211" s="145" t="n"/>
      <c r="AS211" s="145" t="n"/>
      <c r="AT211" s="149" t="inlineStr">
        <is>
          <t>200 TOPS AI processor</t>
        </is>
      </c>
      <c r="AU211" s="149" t="inlineStr">
        <is>
          <t>Wi-Fi</t>
        </is>
      </c>
      <c r="AV211" s="145" t="inlineStr">
        <is>
          <t>UBTECH service platforms</t>
        </is>
      </c>
      <c r="AW211" s="149" t="inlineStr">
        <is>
          <t>Not disclosed</t>
        </is>
      </c>
      <c r="AX211" s="145" t="n"/>
      <c r="AY211" s="149" t="inlineStr">
        <is>
          <t>Proprietary UWORLD OS layer ("Agent Memory OS")</t>
        </is>
      </c>
      <c r="AZ211" s="149" t="inlineStr">
        <is>
          <t>Yes - "Resonance-LM" emotional model</t>
        </is>
      </c>
      <c r="BA211" s="149" t="inlineStr">
        <is>
          <t>~500 ms (intuitive layer); &amp;lt;20 ms lip-sync</t>
        </is>
      </c>
      <c r="BB211" s="149" t="inlineStr">
        <is>
          <t>Not disclosed</t>
        </is>
      </c>
      <c r="BC211" s="149" t="inlineStr">
        <is>
          <t>Not disclosed</t>
        </is>
      </c>
      <c r="BD211" s="145" t="inlineStr">
        <is>
          <t>Not disclosed</t>
        </is>
      </c>
      <c r="BE211" s="145" t="inlineStr">
        <is>
          <t>Not disclosed</t>
        </is>
      </c>
      <c r="BF211" s="145" t="n"/>
      <c r="BG211" s="145" t="n"/>
      <c r="BH211" s="145" t="n"/>
      <c r="BI211" s="145" t="n"/>
      <c r="BJ211" s="145" t="n"/>
      <c r="BK211" s="145" t="n"/>
      <c r="BL211" s="145" t="n"/>
      <c r="BM211" s="145" t="inlineStr">
        <is>
          <t>Yes</t>
        </is>
      </c>
      <c r="BN211" s="145" t="inlineStr">
        <is>
          <t>Not disclosed</t>
        </is>
      </c>
      <c r="BO211" s="149" t="inlineStr">
        <is>
          <t>Market: Service / Consumer claim · Human-safe: Yes · AI: Yes - "Resonance-LM" emotional model · Peak 5 km/h · Walk 4 km/h · Runtime 3</t>
        </is>
      </c>
      <c r="BP211" s="145" t="n"/>
      <c r="BQ211" s="149" t="inlineStr">
        <is>
          <t>Service / Consumer claim</t>
        </is>
      </c>
      <c r="BR211" s="149" t="inlineStr">
        <is>
          <t>Pre-order / Limited / Order claims</t>
        </is>
      </c>
      <c r="BS211" s="149" t="inlineStr">
        <is>
          <t>pre-order</t>
        </is>
      </c>
      <c r="BT211" s="145" t="n"/>
      <c r="BU211" s="145" t="n"/>
      <c r="BV211" s="149" t="inlineStr">
        <is>
          <t>Aggressive full-size mass-production claim Humanoid.guide listed price $25,000.</t>
        </is>
      </c>
      <c r="BW211" s="149" t="inlineStr">
        <is>
          <t>Origin &amp; status — China · Pre-order / Limited / Order claims · 2025 | Manipulation — 5 per hand · 5 per hand fingers · Hand DOF 24 · Payload 33.1 lb (15 kg) | Sensing &amp; software — Service humanoid cameras · Yes - "Resonance-LM" emotional model · Proprietary UWORLD OS layer ("Agent Memory OS") · UBTECH service platforms | Buying notes — From $16,500 · 12 months manufacturer standard (typical research/commercial humanoid) · Best fit: Service</t>
        </is>
      </c>
      <c r="BX211" s="149" t="inlineStr">
        <is>
          <t>as_shipped|UWORLD U1|16500|As shipped</t>
        </is>
      </c>
      <c r="BY211" s="145" t="inlineStr">
        <is>
          <t>uworld_u1|Manufacturer finish|#e2e8f0|0</t>
        </is>
      </c>
      <c r="BZ211" s="145" t="inlineStr"/>
      <c r="CA211" s="149" t="inlineStr">
        <is>
          <t>Add-ons: case; 2 color options; Multi-year extended warranty available</t>
        </is>
      </c>
      <c r="CB211" s="149" t="inlineStr">
        <is>
          <t>12 months manufacturer standard (typical research/commercial humanoid)</t>
        </is>
      </c>
      <c r="CC211" s="147" t="n">
        <v>12</v>
      </c>
      <c r="CD211" s="149" t="inlineStr">
        <is>
          <t>+3 Year Extended ≈24% of configuration (default in configurator)</t>
        </is>
      </c>
      <c r="CE211" s="145" t="inlineStr">
        <is>
          <t>Humanoid category norm 2025–2026</t>
        </is>
      </c>
      <c r="CF211" s="145" t="inlineStr">
        <is>
          <t>Estimated</t>
        </is>
      </c>
      <c r="CG211" s="149" t="inlineStr">
        <is>
          <t>EDU or enterprise packages may differ; confirm on formal quote.</t>
        </is>
      </c>
      <c r="CH211" s="145" t="inlineStr">
        <is>
          <t>10%</t>
        </is>
      </c>
      <c r="CI211" s="145" t="inlineStr">
        <is>
          <t>17%</t>
        </is>
      </c>
      <c r="CJ211" s="145" t="inlineStr">
        <is>
          <t>24%</t>
        </is>
      </c>
      <c r="CK21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1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11" s="145" t="inlineStr">
        <is>
          <t>12 months manufacturer standard (typical research/commercial humanoid)</t>
        </is>
      </c>
      <c r="CQ211" s="101" t="inlineStr">
        <is>
          <t>Height: 6 ft 0 in | Weight: 92.6 | Degrees of Freedom: 88 | Payload: 33.1 | Max Speed: 3.11 | Battery / Runtime: ≈ 3 hours</t>
        </is>
      </c>
    </row>
    <row r="212" ht="31.5" customHeight="1" s="102">
      <c r="A212" s="152" t="inlineStr">
        <is>
          <t>ubtech_robotics_walker_c</t>
        </is>
      </c>
      <c r="B212" s="153" t="inlineStr">
        <is>
          <t>Humanoid.guide</t>
        </is>
      </c>
      <c r="C212" s="152" t="inlineStr">
        <is>
          <t>UBTECH</t>
        </is>
      </c>
      <c r="D212" s="152" t="inlineStr">
        <is>
          <t>Walker C</t>
        </is>
      </c>
      <c r="E212" s="152" t="inlineStr">
        <is>
          <t>[UBTECH] Walker C (2026)</t>
        </is>
      </c>
      <c r="F212" s="146" t="inlineStr">
        <is>
          <t>humanoid</t>
        </is>
      </c>
      <c r="G212" s="152" t="inlineStr">
        <is>
          <t>China</t>
        </is>
      </c>
      <c r="H212" s="152" t="n"/>
      <c r="I212" s="155" t="n">
        <v>30000</v>
      </c>
      <c r="J212" s="152" t="inlineStr">
        <is>
          <t>Humanoid.guide list</t>
        </is>
      </c>
      <c r="K212" s="156" t="inlineStr">
        <is>
          <t>UBTECH Walker C is a 163 cm humanoid service robot for wayfinding, reception, and visitor support.</t>
        </is>
      </c>
      <c r="L212" s="101" t="inlineStr">
        <is>
          <t>UBTECH Walker C is a 163 cm humanoid service robot for wayfinding, reception, and visitor support.</t>
        </is>
      </c>
      <c r="M212" s="101" t="inlineStr">
        <is>
          <t>UBTECH Walker C is a 163 cm humanoid service robot for wayfinding, reception, and visitor support. Public status is listed as prototype, and it is positioned for industries; Lgistics.; Manufacturing.</t>
        </is>
      </c>
      <c r="N212" s="157" t="inlineStr">
        <is>
          <t>https://humanoid.guide/product/walker-c/</t>
        </is>
      </c>
      <c r="O212" s="157" t="inlineStr">
        <is>
          <t>https://www.ubtrobot.com</t>
        </is>
      </c>
      <c r="P212" s="152" t="inlineStr">
        <is>
          <t>5 ft 4 in</t>
        </is>
      </c>
      <c r="Q212" s="152" t="n">
        <v>163</v>
      </c>
      <c r="R212" s="152" t="n">
        <v>94.8</v>
      </c>
      <c r="S212" s="152" t="n">
        <v>43</v>
      </c>
      <c r="T212" s="156" t="inlineStr">
        <is>
          <t>Not disclosed</t>
        </is>
      </c>
      <c r="U212" s="152" t="inlineStr">
        <is>
          <t>Not specified</t>
        </is>
      </c>
      <c r="V212" s="152" t="inlineStr">
        <is>
          <t>20</t>
        </is>
      </c>
      <c r="W212" s="156" t="inlineStr">
        <is>
          <t>Not disclosed</t>
        </is>
      </c>
      <c r="X212" s="152" t="n">
        <v>13.2</v>
      </c>
      <c r="Y212" s="152" t="n">
        <v>6</v>
      </c>
      <c r="Z212" s="152" t="n">
        <v>3.73</v>
      </c>
      <c r="AA212" s="152" t="n">
        <v>6</v>
      </c>
      <c r="AB212" s="152" t="n">
        <v>6</v>
      </c>
      <c r="AC212" s="156" t="inlineStr">
        <is>
          <t>≈ 2 hours</t>
        </is>
      </c>
      <c r="AD212" s="156" t="inlineStr">
        <is>
          <t>2</t>
        </is>
      </c>
      <c r="AE212" s="152" t="n"/>
      <c r="AF212" s="152" t="inlineStr">
        <is>
          <t>Not disclosed</t>
        </is>
      </c>
      <c r="AG212" s="156" t="inlineStr">
        <is>
          <t>10</t>
        </is>
      </c>
      <c r="AH212" s="152" t="inlineStr">
        <is>
          <t>10</t>
        </is>
      </c>
      <c r="AI212" s="158" t="n">
        <v>2</v>
      </c>
      <c r="AJ212" s="156" t="inlineStr">
        <is>
          <t>sensors include RGB‑D ×2 + structured‑light 3D cameras ×2; high‑precision IMU</t>
        </is>
      </c>
      <c r="AK212" s="156" t="inlineStr">
        <is>
          <t>sensors include RGB‑D ×2 + structured‑light 3D cameras ×2; high‑precision IMU</t>
        </is>
      </c>
      <c r="AL212" s="152" t="inlineStr">
        <is>
          <t>Not disclosed</t>
        </is>
      </c>
      <c r="AM212" s="152" t="n"/>
      <c r="AN212" s="152" t="inlineStr">
        <is>
          <t>Not disclosed</t>
        </is>
      </c>
      <c r="AO212" s="152" t="inlineStr">
        <is>
          <t>Not disclosed</t>
        </is>
      </c>
      <c r="AP212" s="152" t="inlineStr">
        <is>
          <t>Not disclosed</t>
        </is>
      </c>
      <c r="AQ212" s="152" t="inlineStr">
        <is>
          <t>Not disclosed</t>
        </is>
      </c>
      <c r="AR212" s="152" t="n"/>
      <c r="AS212" s="152" t="n"/>
      <c r="AT212" s="156" t="inlineStr">
        <is>
          <t>Not disclosed</t>
        </is>
      </c>
      <c r="AU212" s="156" t="inlineStr">
        <is>
          <t>Bluetooth; Wi‑Fi</t>
        </is>
      </c>
      <c r="AV212" s="152" t="inlineStr">
        <is>
          <t>Not disclosed</t>
        </is>
      </c>
      <c r="AW212" s="156" t="inlineStr">
        <is>
          <t>Not disclosed</t>
        </is>
      </c>
      <c r="AX212" s="158" t="n">
        <v>2</v>
      </c>
      <c r="AY212" s="156" t="inlineStr">
        <is>
          <t>Not disclosed</t>
        </is>
      </c>
      <c r="AZ212" s="156" t="inlineStr">
        <is>
          <t>UBTECH “Embodied Interactive Large Model</t>
        </is>
      </c>
      <c r="BA212" s="156" t="inlineStr">
        <is>
          <t>Not specified</t>
        </is>
      </c>
      <c r="BB212" s="156" t="inlineStr">
        <is>
          <t>Not disclosed</t>
        </is>
      </c>
      <c r="BC212" s="156" t="inlineStr">
        <is>
          <t>Not disclosed</t>
        </is>
      </c>
      <c r="BD212" s="152" t="inlineStr">
        <is>
          <t>Not disclosed</t>
        </is>
      </c>
      <c r="BE212" s="152" t="inlineStr">
        <is>
          <t>Not disclosed</t>
        </is>
      </c>
      <c r="BF212" s="152" t="inlineStr">
        <is>
          <t>Not specified</t>
        </is>
      </c>
      <c r="BG212" s="152" t="n"/>
      <c r="BH212" s="152" t="n"/>
      <c r="BI212" s="152" t="n"/>
      <c r="BJ212" s="152" t="n"/>
      <c r="BK212" s="152" t="n"/>
      <c r="BL212" s="152" t="n"/>
      <c r="BM212" s="152" t="inlineStr">
        <is>
          <t>Not disclosed</t>
        </is>
      </c>
      <c r="BN212" s="152" t="inlineStr">
        <is>
          <t>Not disclosed</t>
        </is>
      </c>
      <c r="BO212" s="156" t="inlineStr">
        <is>
          <t>Market: Industries; Lgistics.; Manufacturing · Manipulation 2/4 · Navigation 2/4 · Human-safe: Not specified · AI: UBTECH “Embodied Interactive Large Model · Actuation: Not specified · Peak 6 km/h · Walk 6 km/h · Runtime 2</t>
        </is>
      </c>
      <c r="BP212" s="152" t="n"/>
      <c r="BQ212" s="156" t="inlineStr">
        <is>
          <t>Industries; Lgistics.; Manufacturing</t>
        </is>
      </c>
      <c r="BR212" s="156" t="inlineStr">
        <is>
          <t>Prototype</t>
        </is>
      </c>
      <c r="BS212" s="156" t="inlineStr">
        <is>
          <t>Prototype</t>
        </is>
      </c>
      <c r="BT212" s="152" t="inlineStr">
        <is>
          <t>Not specified</t>
        </is>
      </c>
      <c r="BU212" s="152" t="inlineStr">
        <is>
          <t>Not verified</t>
        </is>
      </c>
      <c r="BV212" s="156" t="n"/>
      <c r="BW212" s="156" t="inlineStr">
        <is>
          <t>Origin &amp; status — China · Prototype · 2026 | Manipulation — 10 · 10 fingers · Payload 13.2 lb | Sensing &amp; software — sensors include RGB‑D ×2 + structured‑light 3D cameras ×2; high‑precision IMU · UBTECH “Embodied Interactive Large Model | Buying notes — From $30,000 · 12 months manufacturer standard (typical research/commercial humanoid) · Best fit: Industries</t>
        </is>
      </c>
      <c r="BX212" s="156" t="inlineStr">
        <is>
          <t>as_shipped|Walker C|30000|As shipped</t>
        </is>
      </c>
      <c r="BY212" s="152" t="inlineStr">
        <is>
          <t>not_specified|Not specified|#e2e8f0|0</t>
        </is>
      </c>
      <c r="BZ212" s="152" t="inlineStr"/>
      <c r="CA212" s="156" t="n"/>
      <c r="CB212" s="156" t="inlineStr">
        <is>
          <t>12 months manufacturer standard (typical research/commercial humanoid)</t>
        </is>
      </c>
      <c r="CC212" s="154" t="n">
        <v>12</v>
      </c>
      <c r="CD212" s="156" t="inlineStr">
        <is>
          <t>+3 Year Extended ≈24% of configuration (default in configurator)</t>
        </is>
      </c>
      <c r="CE212" s="152" t="inlineStr">
        <is>
          <t>Humanoid category norm 2025–2026</t>
        </is>
      </c>
      <c r="CF212" s="152" t="inlineStr">
        <is>
          <t>Estimated</t>
        </is>
      </c>
      <c r="CG212" s="156" t="inlineStr">
        <is>
          <t>Confirm on formal OEM quote. EDU or enterprise packages may differ.</t>
        </is>
      </c>
      <c r="CH212" s="152" t="inlineStr">
        <is>
          <t>10%</t>
        </is>
      </c>
      <c r="CI212" s="152" t="inlineStr">
        <is>
          <t>17%</t>
        </is>
      </c>
      <c r="CJ212" s="152" t="inlineStr">
        <is>
          <t>24%</t>
        </is>
      </c>
      <c r="CK212" s="156" t="inlineStr">
        <is>
          <t>+1yr ≈10% | +2yr ≈17% | +3yr ≈24% of selected configuration price (parts &amp; labor beyond manufacturer standard).</t>
        </is>
      </c>
      <c r="CL212"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12" s="152" t="inlineStr">
        <is>
          <t>12 months manufacturer standard (typical research/commercial humanoid)</t>
        </is>
      </c>
      <c r="CQ212" s="101" t="inlineStr">
        <is>
          <t>Height: 5 ft 4 in | Weight: 94.8 | Degrees of Freedom: 20 | Payload: 13.2 | Max Speed: 3.73 | Battery / Runtime: ≈ 2 hours</t>
        </is>
      </c>
    </row>
    <row r="213" ht="31.5" customHeight="1" s="102">
      <c r="A213" s="145" t="inlineStr">
        <is>
          <t>ubtech_robotics_walker_c1</t>
        </is>
      </c>
      <c r="B213" s="153" t="inlineStr">
        <is>
          <t>Humanoid.guide</t>
        </is>
      </c>
      <c r="C213" s="145" t="inlineStr">
        <is>
          <t>UBTECH</t>
        </is>
      </c>
      <c r="D213" s="145" t="inlineStr">
        <is>
          <t>Walker C1</t>
        </is>
      </c>
      <c r="E213" s="145" t="inlineStr">
        <is>
          <t>[UBTECH] Walker C1 (2026)</t>
        </is>
      </c>
      <c r="F213" s="146" t="inlineStr">
        <is>
          <t>humanoid</t>
        </is>
      </c>
      <c r="G213" s="145" t="inlineStr">
        <is>
          <t>China</t>
        </is>
      </c>
      <c r="H213" s="145" t="n"/>
      <c r="I213" s="148" t="n">
        <v>79000</v>
      </c>
      <c r="J213" s="145" t="inlineStr">
        <is>
          <t>Humanoid.guide list</t>
        </is>
      </c>
      <c r="K213" s="149" t="inlineStr">
        <is>
          <t>Walker C1 is a next-generation humanoid service robot from UBTECH Robotics designed for public interaction, entertainment, and intelligent commercial services.</t>
        </is>
      </c>
      <c r="L213" s="101" t="inlineStr">
        <is>
          <t>Walker C1 is a next-generation humanoid service robot from UBTECH Robotics designed for public interaction, entertainment, and intelligent commercial services.</t>
        </is>
      </c>
      <c r="M213" s="101" t="inlineStr">
        <is>
          <t>Walker C1 is a next-generation humanoid service robot from UBTECH Robotics designed for public interaction, entertainment, and intelligent commercial services. Public status is listed as prototype, and it is positioned for commercial Service; exhibitions; Hospitality.</t>
        </is>
      </c>
      <c r="N213" s="150" t="inlineStr">
        <is>
          <t>https://humanoid.guide/product/walker-c1/</t>
        </is>
      </c>
      <c r="O213" s="150" t="inlineStr">
        <is>
          <t>https://www.ubtrobot.com</t>
        </is>
      </c>
      <c r="P213" s="145" t="inlineStr">
        <is>
          <t>5 ft 5 in</t>
        </is>
      </c>
      <c r="Q213" s="145" t="n">
        <v>165</v>
      </c>
      <c r="R213" s="145" t="n">
        <v>110.2</v>
      </c>
      <c r="S213" s="145" t="n">
        <v>50</v>
      </c>
      <c r="T213" s="149" t="inlineStr">
        <is>
          <t>Not disclosed</t>
        </is>
      </c>
      <c r="U213" s="145" t="n"/>
      <c r="V213" s="145" t="inlineStr">
        <is>
          <t>26</t>
        </is>
      </c>
      <c r="W213" s="149" t="inlineStr">
        <is>
          <t>10</t>
        </is>
      </c>
      <c r="X213" s="145" t="n">
        <v>11</v>
      </c>
      <c r="Y213" s="145" t="n">
        <v>5</v>
      </c>
      <c r="Z213" s="145" t="n">
        <v>3.73</v>
      </c>
      <c r="AA213" s="145" t="n">
        <v>6</v>
      </c>
      <c r="AB213" s="145" t="n">
        <v>4</v>
      </c>
      <c r="AC213" s="149" t="inlineStr">
        <is>
          <t>≈ 3 hours</t>
        </is>
      </c>
      <c r="AD213" s="149" t="inlineStr">
        <is>
          <t>3</t>
        </is>
      </c>
      <c r="AE213" s="145" t="n"/>
      <c r="AF213" s="145" t="inlineStr">
        <is>
          <t>Not disclosed</t>
        </is>
      </c>
      <c r="AG213" s="149" t="inlineStr">
        <is>
          <t>10</t>
        </is>
      </c>
      <c r="AH213" s="145" t="inlineStr">
        <is>
          <t>10</t>
        </is>
      </c>
      <c r="AI213" s="145" t="n"/>
      <c r="AJ213" s="149" t="inlineStr">
        <is>
          <t>RGB-D + structured-light 3D cameras</t>
        </is>
      </c>
      <c r="AK213" s="149" t="inlineStr">
        <is>
          <t>RGB-D + structured-light 3D cameras</t>
        </is>
      </c>
      <c r="AL213" s="145" t="inlineStr">
        <is>
          <t>Not disclosed</t>
        </is>
      </c>
      <c r="AM213" s="145" t="n"/>
      <c r="AN213" s="145" t="inlineStr">
        <is>
          <t>Not disclosed</t>
        </is>
      </c>
      <c r="AO213" s="145" t="inlineStr">
        <is>
          <t>Not disclosed</t>
        </is>
      </c>
      <c r="AP213" s="145" t="inlineStr">
        <is>
          <t>Not disclosed</t>
        </is>
      </c>
      <c r="AQ213" s="145" t="inlineStr">
        <is>
          <t>Not disclosed</t>
        </is>
      </c>
      <c r="AR213" s="145" t="n"/>
      <c r="AS213" s="145" t="n"/>
      <c r="AT213" s="149" t="inlineStr">
        <is>
          <t>Custom AI compute platform, likely NVIDIA-based</t>
        </is>
      </c>
      <c r="AU213" s="149" t="inlineStr">
        <is>
          <t>Bluetooth; Wi‑Fi</t>
        </is>
      </c>
      <c r="AV213" s="145" t="inlineStr">
        <is>
          <t>Not disclosed</t>
        </is>
      </c>
      <c r="AW213" s="149" t="inlineStr">
        <is>
          <t>Not disclosed</t>
        </is>
      </c>
      <c r="AX213" s="145" t="n"/>
      <c r="AY213" s="149" t="inlineStr">
        <is>
          <t>Custom robotics operating system</t>
        </is>
      </c>
      <c r="AZ213" s="149" t="inlineStr">
        <is>
          <t>UBTECH “Embodied Interactive Large Model</t>
        </is>
      </c>
      <c r="BA213" s="149" t="inlineStr">
        <is>
          <t>Not specified</t>
        </is>
      </c>
      <c r="BB213" s="149" t="inlineStr">
        <is>
          <t>Electric servo actuators</t>
        </is>
      </c>
      <c r="BC213" s="149" t="inlineStr">
        <is>
          <t>Harmonic drive / precision reduction gearing (assumed)</t>
        </is>
      </c>
      <c r="BD213" s="145" t="inlineStr">
        <is>
          <t>Aluminum alloy and composite materials</t>
        </is>
      </c>
      <c r="BE213" s="145" t="inlineStr">
        <is>
          <t>Not disclosed</t>
        </is>
      </c>
      <c r="BF213" s="145" t="inlineStr">
        <is>
          <t>Not specified</t>
        </is>
      </c>
      <c r="BG213" s="145" t="n"/>
      <c r="BH213" s="145" t="n"/>
      <c r="BI213" s="145" t="n"/>
      <c r="BJ213" s="145" t="n"/>
      <c r="BK213" s="145" t="n"/>
      <c r="BL213" s="145" t="n"/>
      <c r="BM213" s="145" t="inlineStr">
        <is>
          <t>Yes</t>
        </is>
      </c>
      <c r="BN213" s="145" t="inlineStr">
        <is>
          <t>Not disclosed</t>
        </is>
      </c>
      <c r="BO213" s="149" t="inlineStr">
        <is>
          <t>Market: Commercial Service; exhibitions; Hospitality · Human-safe: Yes · AI: UBTECH “Embodied Interactive Large Model · Actuation: Electric servo actuators · Peak 6 km/h · Walk 4 km/h · Runtime 3</t>
        </is>
      </c>
      <c r="BP213" s="145" t="n"/>
      <c r="BQ213" s="149" t="inlineStr">
        <is>
          <t>Commercial Service; exhibitions; Hospitality</t>
        </is>
      </c>
      <c r="BR213" s="149" t="inlineStr">
        <is>
          <t>Prototype</t>
        </is>
      </c>
      <c r="BS213" s="149" t="inlineStr">
        <is>
          <t>Prototype</t>
        </is>
      </c>
      <c r="BT213" s="145" t="inlineStr">
        <is>
          <t>White</t>
        </is>
      </c>
      <c r="BU213" s="145" t="inlineStr">
        <is>
          <t>Not verified</t>
        </is>
      </c>
      <c r="BV213" s="149" t="n"/>
      <c r="BW213" s="149" t="inlineStr">
        <is>
          <t>Origin &amp; status — China · Prototype · 2026 | Manipulation — 10 · 10 fingers · Hand DOF 10 · Payload 11 lb | Sensing &amp; software — RGB-D + structured-light 3D cameras · UBTECH “Embodied Interactive Large Model · Custom robotics operating system | Buying notes — From $79,000 · 12 months manufacturer standard (typical research/commercial humanoid) · Best fit: Commercial Service</t>
        </is>
      </c>
      <c r="BX213" s="149" t="inlineStr">
        <is>
          <t>as_shipped|Walker C1|79000|As shipped</t>
        </is>
      </c>
      <c r="BY213" s="145" t="inlineStr">
        <is>
          <t>white|White|#e2e8f0|0</t>
        </is>
      </c>
      <c r="BZ213" s="145" t="inlineStr"/>
      <c r="CA213" s="149" t="n"/>
      <c r="CB213" s="149" t="inlineStr">
        <is>
          <t>12 months manufacturer standard (typical research/commercial humanoid)</t>
        </is>
      </c>
      <c r="CC213" s="147" t="n">
        <v>12</v>
      </c>
      <c r="CD213" s="149" t="inlineStr">
        <is>
          <t>+3 Year Extended ≈24% of configuration (default in configurator)</t>
        </is>
      </c>
      <c r="CE213" s="145" t="inlineStr">
        <is>
          <t>Humanoid category norm 2025–2026</t>
        </is>
      </c>
      <c r="CF213" s="145" t="inlineStr">
        <is>
          <t>Estimated</t>
        </is>
      </c>
      <c r="CG213" s="149" t="inlineStr">
        <is>
          <t>Confirm on formal OEM quote. EDU or enterprise packages may differ.</t>
        </is>
      </c>
      <c r="CH213" s="145" t="inlineStr">
        <is>
          <t>10%</t>
        </is>
      </c>
      <c r="CI213" s="145" t="inlineStr">
        <is>
          <t>17%</t>
        </is>
      </c>
      <c r="CJ213" s="145" t="inlineStr">
        <is>
          <t>24%</t>
        </is>
      </c>
      <c r="CK213" s="149" t="inlineStr">
        <is>
          <t>+1yr ≈10% | +2yr ≈17% | +3yr ≈24% of selected configuration price (parts &amp; labor beyond manufacturer standard).</t>
        </is>
      </c>
      <c r="CL213"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13" s="145" t="inlineStr">
        <is>
          <t>12 months manufacturer standard (typical research/commercial humanoid)</t>
        </is>
      </c>
      <c r="CQ213" s="101" t="inlineStr">
        <is>
          <t>Height: 5 ft 5 in | Weight: 110.2 | Degrees of Freedom: 26 | Payload: 11 | Max Speed: 3.73 | Battery / Runtime: ≈ 3 hours</t>
        </is>
      </c>
    </row>
    <row r="214" ht="31.5" customHeight="1" s="102">
      <c r="A214" s="152" t="inlineStr">
        <is>
          <t>ubtech_robotics_walker_s1</t>
        </is>
      </c>
      <c r="B214" s="153" t="inlineStr">
        <is>
          <t>Humanoid.guide</t>
        </is>
      </c>
      <c r="C214" s="152" t="inlineStr">
        <is>
          <t>UBTECH</t>
        </is>
      </c>
      <c r="D214" s="152" t="inlineStr">
        <is>
          <t>Walker S1</t>
        </is>
      </c>
      <c r="E214" s="152" t="inlineStr">
        <is>
          <t>[UBTECH] Walker S1 (2026)</t>
        </is>
      </c>
      <c r="F214" s="146" t="inlineStr">
        <is>
          <t>humanoid</t>
        </is>
      </c>
      <c r="G214" s="152" t="inlineStr">
        <is>
          <t>China</t>
        </is>
      </c>
      <c r="H214" s="152" t="n"/>
      <c r="I214" s="155" t="n">
        <v>75000</v>
      </c>
      <c r="J214" s="152" t="inlineStr">
        <is>
          <t>Humanoid.guide list</t>
        </is>
      </c>
      <c r="K214" s="156" t="inlineStr">
        <is>
          <t>The UBTECH Walker S1 is an advanced humanoid robot designed to assist with tasks in both home and office environments.</t>
        </is>
      </c>
      <c r="L214" s="101" t="inlineStr">
        <is>
          <t>The UBTECH Walker S1 is an advanced humanoid robot designed to assist with tasks in both home and office environments.</t>
        </is>
      </c>
      <c r="M214" s="101" t="inlineStr">
        <is>
          <t>Walker S1 is UBTECH's humanoid, introduced around 2026 in China. The UBTECH Walker S1 is an advanced humanoid robot designed to assist with tasks in both home and office environments. Public status is listed as prototype.</t>
        </is>
      </c>
      <c r="N214" s="157" t="inlineStr">
        <is>
          <t>https://humanoid.guide/product/walker-s1/</t>
        </is>
      </c>
      <c r="O214" s="157" t="inlineStr">
        <is>
          <t>https://www.ubtrobot.com</t>
        </is>
      </c>
      <c r="P214" s="152" t="inlineStr">
        <is>
          <t>5 ft 8 in</t>
        </is>
      </c>
      <c r="Q214" s="152" t="n">
        <v>172</v>
      </c>
      <c r="R214" s="152" t="n">
        <v>167.6</v>
      </c>
      <c r="S214" s="152" t="n">
        <v>76</v>
      </c>
      <c r="T214" s="156" t="inlineStr">
        <is>
          <t>Not disclosed</t>
        </is>
      </c>
      <c r="U214" s="152" t="n"/>
      <c r="V214" s="152" t="inlineStr">
        <is>
          <t>41</t>
        </is>
      </c>
      <c r="W214" s="156" t="inlineStr">
        <is>
          <t>Not disclosed</t>
        </is>
      </c>
      <c r="X214" s="152" t="n">
        <v>6.6</v>
      </c>
      <c r="Y214" s="152" t="n">
        <v>3</v>
      </c>
      <c r="Z214" s="152" t="n">
        <v>3.11</v>
      </c>
      <c r="AA214" s="152" t="n">
        <v>5</v>
      </c>
      <c r="AB214" s="152" t="n">
        <v>3</v>
      </c>
      <c r="AC214" s="156" t="inlineStr">
        <is>
          <t>≈ 2 hours</t>
        </is>
      </c>
      <c r="AD214" s="156" t="inlineStr">
        <is>
          <t>2</t>
        </is>
      </c>
      <c r="AE214" s="152" t="n"/>
      <c r="AF214" s="152" t="inlineStr">
        <is>
          <t>Not disclosed</t>
        </is>
      </c>
      <c r="AG214" s="156" t="inlineStr">
        <is>
          <t>Not disclosed</t>
        </is>
      </c>
      <c r="AH214" s="152" t="inlineStr">
        <is>
          <t>Not disclosed</t>
        </is>
      </c>
      <c r="AI214" s="151" t="n">
        <v>3</v>
      </c>
      <c r="AJ214" s="156" t="inlineStr">
        <is>
          <t>Not disclosed</t>
        </is>
      </c>
      <c r="AK214" s="156" t="n"/>
      <c r="AL214" s="152" t="inlineStr">
        <is>
          <t>Not disclosed</t>
        </is>
      </c>
      <c r="AM214" s="152" t="n"/>
      <c r="AN214" s="152" t="inlineStr">
        <is>
          <t>Not disclosed</t>
        </is>
      </c>
      <c r="AO214" s="152" t="inlineStr">
        <is>
          <t>Not disclosed</t>
        </is>
      </c>
      <c r="AP214" s="152" t="inlineStr">
        <is>
          <t>Not disclosed</t>
        </is>
      </c>
      <c r="AQ214" s="152" t="inlineStr">
        <is>
          <t>Not disclosed</t>
        </is>
      </c>
      <c r="AR214" s="152" t="n"/>
      <c r="AS214" s="152" t="n"/>
      <c r="AT214" s="156" t="inlineStr">
        <is>
          <t>Not disclosed</t>
        </is>
      </c>
      <c r="AU214" s="156" t="inlineStr">
        <is>
          <t>Not disclosed</t>
        </is>
      </c>
      <c r="AV214" s="152" t="inlineStr">
        <is>
          <t>Not disclosed</t>
        </is>
      </c>
      <c r="AW214" s="156" t="inlineStr">
        <is>
          <t>Not disclosed</t>
        </is>
      </c>
      <c r="AX214" s="151" t="n">
        <v>3</v>
      </c>
      <c r="AY214" s="156" t="inlineStr">
        <is>
          <t>Not disclosed</t>
        </is>
      </c>
      <c r="AZ214" s="156" t="inlineStr">
        <is>
          <t>Not disclosed</t>
        </is>
      </c>
      <c r="BA214" s="156" t="n"/>
      <c r="BB214" s="156" t="inlineStr">
        <is>
          <t>Not disclosed</t>
        </is>
      </c>
      <c r="BC214" s="156" t="inlineStr">
        <is>
          <t>Not disclosed</t>
        </is>
      </c>
      <c r="BD214" s="152" t="inlineStr">
        <is>
          <t>Not disclosed</t>
        </is>
      </c>
      <c r="BE214" s="152" t="inlineStr">
        <is>
          <t>Not disclosed</t>
        </is>
      </c>
      <c r="BF214" s="152" t="n"/>
      <c r="BG214" s="152" t="n"/>
      <c r="BH214" s="152" t="n"/>
      <c r="BI214" s="152" t="n"/>
      <c r="BJ214" s="152" t="n"/>
      <c r="BK214" s="152" t="n"/>
      <c r="BL214" s="152" t="n"/>
      <c r="BM214" s="152" t="inlineStr">
        <is>
          <t>Not disclosed</t>
        </is>
      </c>
      <c r="BN214" s="152" t="inlineStr">
        <is>
          <t>Not disclosed</t>
        </is>
      </c>
      <c r="BO214" s="156" t="inlineStr">
        <is>
          <t>Manipulation 3/4 · Navigation 3/4 · Peak 5 km/h · Walk 3 km/h · Runtime 2</t>
        </is>
      </c>
      <c r="BP214" s="152" t="n"/>
      <c r="BQ214" s="156" t="inlineStr">
        <is>
          <t>Research labs, commercial pilots, and education programs evaluating a humanoid from UBTECH Robotics (China) now listed as prototype.</t>
        </is>
      </c>
      <c r="BR214" s="156" t="inlineStr">
        <is>
          <t>Prototype</t>
        </is>
      </c>
      <c r="BS214" s="156" t="inlineStr">
        <is>
          <t>Prototype</t>
        </is>
      </c>
      <c r="BT214" s="152" t="n"/>
      <c r="BU214" s="152" t="inlineStr">
        <is>
          <t>Not verified</t>
        </is>
      </c>
      <c r="BV214" s="156" t="n"/>
      <c r="BW214" s="156" t="inlineStr">
        <is>
          <t>Origin &amp; status — China · Prototype · 2026 | Manipulation — Payload 6.6 lb | Sensing &amp; software — Sensor and compute package confirmed on formal quote | Buying notes — From $75,000 · 12 months manufacturer standard (typical research/commercial humanoid)</t>
        </is>
      </c>
      <c r="BX214" s="156" t="inlineStr">
        <is>
          <t>as_shipped|Walker S1|75000|As shipped</t>
        </is>
      </c>
      <c r="BY214" s="152" t="inlineStr">
        <is>
          <t>walker_s1|Manufacturer finish|#e2e8f0|0</t>
        </is>
      </c>
      <c r="BZ214" s="152" t="inlineStr"/>
      <c r="CA214" s="156" t="n"/>
      <c r="CB214" s="156" t="inlineStr">
        <is>
          <t>12 months manufacturer standard (typical research/commercial humanoid)</t>
        </is>
      </c>
      <c r="CC214" s="154" t="n">
        <v>12</v>
      </c>
      <c r="CD214" s="156" t="inlineStr">
        <is>
          <t>+3 Year Extended ≈24% of configuration (default in configurator)</t>
        </is>
      </c>
      <c r="CE214" s="152" t="inlineStr">
        <is>
          <t>Humanoid category norm 2025–2026</t>
        </is>
      </c>
      <c r="CF214" s="152" t="inlineStr">
        <is>
          <t>Estimated</t>
        </is>
      </c>
      <c r="CG214" s="156" t="inlineStr">
        <is>
          <t>Confirm on formal OEM quote. EDU or enterprise packages may differ.</t>
        </is>
      </c>
      <c r="CH214" s="152" t="inlineStr">
        <is>
          <t>10%</t>
        </is>
      </c>
      <c r="CI214" s="152" t="inlineStr">
        <is>
          <t>17%</t>
        </is>
      </c>
      <c r="CJ214" s="152" t="inlineStr">
        <is>
          <t>24%</t>
        </is>
      </c>
      <c r="CK214" s="156" t="inlineStr">
        <is>
          <t>+1yr ≈10% | +2yr ≈17% | +3yr ≈24% of selected configuration price (parts &amp; labor beyond manufacturer standard).</t>
        </is>
      </c>
      <c r="CL214"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14" s="152" t="inlineStr">
        <is>
          <t>12 months manufacturer standard (typical research/commercial humanoid)</t>
        </is>
      </c>
      <c r="CQ214" s="101" t="inlineStr">
        <is>
          <t>Height: 5 ft 8 in | Weight: 167.6 | Degrees of Freedom: 41 | Payload: 6.6 | Max Speed: 3.11 | Battery / Runtime: ≈ 2 hours</t>
        </is>
      </c>
    </row>
    <row r="215" ht="31.5" customHeight="1" s="102">
      <c r="A215" s="143" t="inlineStr">
        <is>
          <t>ultra_robotics_corp_operator_op1</t>
        </is>
      </c>
      <c r="B215" s="153" t="inlineStr">
        <is>
          <t>Major-player brief 11 Sep 2026</t>
        </is>
      </c>
      <c r="C215" s="145" t="inlineStr">
        <is>
          <t>Ultra Robotics</t>
        </is>
      </c>
      <c r="D215" s="145" t="inlineStr">
        <is>
          <t>Operator OP1</t>
        </is>
      </c>
      <c r="E215" s="145" t="inlineStr">
        <is>
          <t>[Ultra Robotics] Operator OP1 (2026)</t>
        </is>
      </c>
      <c r="F215" s="146" t="inlineStr">
        <is>
          <t>humanoid</t>
        </is>
      </c>
      <c r="G215" s="145" t="inlineStr">
        <is>
          <t>USA</t>
        </is>
      </c>
      <c r="H215" s="198" t="n">
        <v>2026</v>
      </c>
      <c r="I215" s="148" t="n">
        <v>80000</v>
      </c>
      <c r="J215" s="145" t="inlineStr">
        <is>
          <t>Humanoid.guide list</t>
        </is>
      </c>
      <c r="K215" s="149" t="inlineStr">
        <is>
          <t>OP1 is a fixed-base industrial robot built for packing, sorting and kitting. Its connection to mains power allows continuous operation.</t>
        </is>
      </c>
      <c r="L215" s="101" t="inlineStr">
        <is>
          <t>OP1 is a fixed-base industrial robot built for packing, sorting and kitting. Its connection to mains power allows continuous operation.</t>
        </is>
      </c>
      <c r="M215" s="101" t="inlineStr">
        <is>
          <t>Ultra Robotics built Operator OP1 as a fixed-base industrial robot for packing, sorting, and kitting. Mains power is the point — it is meant to run continuously rather than manage a walking battery budget.</t>
        </is>
      </c>
      <c r="N215" s="150" t="inlineStr">
        <is>
          <t>https://humanoid.guide/product/operator-op1/</t>
        </is>
      </c>
      <c r="O215" s="150" t="inlineStr">
        <is>
          <t>https://www.ultrarobotics.com</t>
        </is>
      </c>
      <c r="P215" s="145" t="inlineStr">
        <is>
          <t>5 ft 11 in</t>
        </is>
      </c>
      <c r="Q215" s="145" t="n">
        <v>180</v>
      </c>
      <c r="R215" s="145" t="n">
        <v>308.6</v>
      </c>
      <c r="S215" s="145" t="n">
        <v>140</v>
      </c>
      <c r="T215" s="149" t="inlineStr">
        <is>
          <t>Not disclosed</t>
        </is>
      </c>
      <c r="U215" s="145" t="n"/>
      <c r="V215" s="145" t="inlineStr">
        <is>
          <t>14</t>
        </is>
      </c>
      <c r="W215" s="149" t="inlineStr">
        <is>
          <t>2</t>
        </is>
      </c>
      <c r="X215" s="145" t="n">
        <v>11</v>
      </c>
      <c r="Y215" s="145" t="n">
        <v>5</v>
      </c>
      <c r="Z215" s="145" t="n">
        <v>1.86</v>
      </c>
      <c r="AA215" s="145" t="n">
        <v>3</v>
      </c>
      <c r="AB215" s="145" t="n"/>
      <c r="AC215" s="149" t="inlineStr">
        <is>
          <t>≈ 2 hours</t>
        </is>
      </c>
      <c r="AD215" s="149" t="inlineStr">
        <is>
          <t>2</t>
        </is>
      </c>
      <c r="AE215" s="145" t="n"/>
      <c r="AF215" s="145" t="inlineStr">
        <is>
          <t>Not disclosed</t>
        </is>
      </c>
      <c r="AG215" s="149" t="inlineStr">
        <is>
          <t>2-finger gripping claws</t>
        </is>
      </c>
      <c r="AH215" s="145" t="inlineStr">
        <is>
          <t>2-finger gripping claws</t>
        </is>
      </c>
      <c r="AI215" s="145" t="n"/>
      <c r="AJ215" s="149" t="inlineStr">
        <is>
          <t>Not disclosed</t>
        </is>
      </c>
      <c r="AK215" s="149" t="n"/>
      <c r="AL215" s="145" t="inlineStr">
        <is>
          <t>Not disclosed</t>
        </is>
      </c>
      <c r="AM215" s="145" t="n"/>
      <c r="AN215" s="145" t="inlineStr">
        <is>
          <t>Not disclosed</t>
        </is>
      </c>
      <c r="AO215" s="145" t="inlineStr">
        <is>
          <t>Not disclosed</t>
        </is>
      </c>
      <c r="AP215" s="145" t="inlineStr">
        <is>
          <t>Not disclosed</t>
        </is>
      </c>
      <c r="AQ215" s="145" t="inlineStr">
        <is>
          <t>Not disclosed</t>
        </is>
      </c>
      <c r="AR215" s="145" t="n"/>
      <c r="AS215" s="145" t="n"/>
      <c r="AT215" s="149" t="inlineStr">
        <is>
          <t>Linux + NVIDIA Jetson-class on-board compute</t>
        </is>
      </c>
      <c r="AU215" s="149" t="inlineStr">
        <is>
          <t>Dedicated 10 Mbps Ethernet connection</t>
        </is>
      </c>
      <c r="AV215" s="145" t="inlineStr">
        <is>
          <t>Not disclosed</t>
        </is>
      </c>
      <c r="AW215" s="149" t="inlineStr">
        <is>
          <t>Not disclosed</t>
        </is>
      </c>
      <c r="AX215" s="145" t="n"/>
      <c r="AY215" s="149" t="inlineStr">
        <is>
          <t>Linux/Ubuntu with a custom ML/control stack</t>
        </is>
      </c>
      <c r="AZ215" s="149" t="inlineStr">
        <is>
          <t>Not a chat-style LLM; plus "Fleet AI" continuous learning across all deployed robots; uses neural networks trained on teleoperation data that output joint and gripper positions at 10 Hz — VLA-class perception-to-action policy</t>
        </is>
      </c>
      <c r="BA215" s="149" t="inlineStr">
        <is>
          <t>~100 ms (10 Hz control loop, per published architecture)</t>
        </is>
      </c>
      <c r="BB215" s="149" t="inlineStr">
        <is>
          <t>Not officially published — qualified estimate brushless DC servo motors</t>
        </is>
      </c>
      <c r="BC215" s="149" t="inlineStr">
        <is>
          <t>harmonic / planetary reducers per arm joint</t>
        </is>
      </c>
      <c r="BD215" s="145" t="inlineStr">
        <is>
          <t>aluminum frame with polymer / composite covers</t>
        </is>
      </c>
      <c r="BE215" s="145" t="inlineStr">
        <is>
          <t>Not disclosed</t>
        </is>
      </c>
      <c r="BF215" s="145" t="n"/>
      <c r="BG215" s="145" t="n"/>
      <c r="BH215" s="145" t="n"/>
      <c r="BI215" s="145" t="n"/>
      <c r="BJ215" s="145" t="n"/>
      <c r="BK215" s="145" t="n"/>
      <c r="BL215" s="145" t="n"/>
      <c r="BM215" s="145" t="inlineStr">
        <is>
          <t>Yes</t>
        </is>
      </c>
      <c r="BN215" s="145" t="inlineStr">
        <is>
          <t>Not disclosed</t>
        </is>
      </c>
      <c r="BO215" s="149" t="inlineStr">
        <is>
          <t>Market: US e-commerce fulfillment and warehouse operations — order packaging, sorting, kitting, and returns processing · Human-safe: Yes · AI: Not a chat-style LLM; plus "Fleet AI" continuous learning across all deployed robots; uses neural networks trained on teleoperation data … · Actuation: Not officially published — qualified estimate brushless DC servo motors · Peak 3 km/h · Runtime 2</t>
        </is>
      </c>
      <c r="BP215" s="145" t="n"/>
      <c r="BQ215" s="149" t="inlineStr">
        <is>
          <t>Fixed-base packing, sorting and kitting</t>
        </is>
      </c>
      <c r="BR215" s="149" t="inlineStr">
        <is>
          <t>In production</t>
        </is>
      </c>
      <c r="BS215" s="149" t="inlineStr">
        <is>
          <t>In production</t>
        </is>
      </c>
      <c r="BT215" s="145" t="n"/>
      <c r="BU215" s="145" t="n"/>
      <c r="BV215" s="149" t="n"/>
      <c r="BW215" s="149" t="inlineStr">
        <is>
          <t>Origin &amp; status — USA · In production · 2026 | Manipulation — 2-finger gripping claws · Hand DOF 2 · Payload 11 lb | Sensing &amp; software — Not a chat-style LLM; plus "Fleet AI" continuous learning across all deployed robots; uses neural networks trained on teleoperation data that output joint a… | Buying notes — From $80,000 · 12 months manufacturer standard (typical research/commercial humanoid) · Best fit: US e-commerce fulfillment and warehouse operations — order packa…</t>
        </is>
      </c>
      <c r="BX215" s="149" t="inlineStr">
        <is>
          <t>as_shipped|Operator OP1|80000|As shipped</t>
        </is>
      </c>
      <c r="BY215" s="145" t="inlineStr">
        <is>
          <t>operator_op1|Manufacturer finish|#e2e8f0|0</t>
        </is>
      </c>
      <c r="BZ215" s="145" t="inlineStr"/>
      <c r="CA215" s="149" t="n"/>
      <c r="CB215" s="149" t="inlineStr">
        <is>
          <t>12 months manufacturer standard (typical research/commercial humanoid)</t>
        </is>
      </c>
      <c r="CC215" s="147" t="n">
        <v>12</v>
      </c>
      <c r="CD215" s="149" t="inlineStr">
        <is>
          <t>+3 Year Extended ≈24% of configuration (default in configurator)</t>
        </is>
      </c>
      <c r="CE215" s="145" t="inlineStr">
        <is>
          <t>Humanoid category norm 2025–2026</t>
        </is>
      </c>
      <c r="CF215" s="145" t="inlineStr">
        <is>
          <t>Estimated</t>
        </is>
      </c>
      <c r="CG215" s="149" t="inlineStr">
        <is>
          <t>Confirm on formal OEM quote. EDU or enterprise packages may differ.</t>
        </is>
      </c>
      <c r="CH215" s="145" t="inlineStr">
        <is>
          <t>10%</t>
        </is>
      </c>
      <c r="CI215" s="145" t="inlineStr">
        <is>
          <t>17%</t>
        </is>
      </c>
      <c r="CJ215" s="145" t="inlineStr">
        <is>
          <t>24%</t>
        </is>
      </c>
      <c r="CK215" s="149" t="inlineStr">
        <is>
          <t>+1yr ≈10% | +2yr ≈17% | +3yr ≈24% of selected configuration price (parts &amp; labor beyond manufacturer standard).</t>
        </is>
      </c>
      <c r="CL21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15" s="145" t="inlineStr">
        <is>
          <t>12 months manufacturer standard (typical research/commercial humanoid)</t>
        </is>
      </c>
      <c r="CQ215" s="101" t="inlineStr">
        <is>
          <t>Height: 5 ft 11 in | Weight: 308.6 | Degrees of Freedom: 14 | Payload: 11 | Max Speed: 1.86 | Battery / Runtime: ≈ 2 hours</t>
        </is>
      </c>
    </row>
    <row r="216" ht="31.5" customHeight="1" s="102">
      <c r="A216" s="152" t="inlineStr">
        <is>
          <t>uma_northstar</t>
        </is>
      </c>
      <c r="B216" s="153" t="inlineStr">
        <is>
          <t>Humanoid.guide</t>
        </is>
      </c>
      <c r="C216" s="152" t="inlineStr">
        <is>
          <t>UMA</t>
        </is>
      </c>
      <c r="D216" s="152" t="inlineStr">
        <is>
          <t>Northstar</t>
        </is>
      </c>
      <c r="E216" s="152" t="inlineStr">
        <is>
          <t>[UMA] Northstar (2026)</t>
        </is>
      </c>
      <c r="F216" s="146" t="inlineStr">
        <is>
          <t>humanoid</t>
        </is>
      </c>
      <c r="G216" s="152" t="inlineStr">
        <is>
          <t>France</t>
        </is>
      </c>
      <c r="H216" s="152" t="n"/>
      <c r="I216" s="155" t="n">
        <v>70000</v>
      </c>
      <c r="J216" s="152" t="inlineStr">
        <is>
          <t>Humanoid.guide list</t>
        </is>
      </c>
      <c r="K216" s="156" t="inlineStr">
        <is>
          <t>Northstar is a lightweight, wheeled humanoid robot from Paris-based startup UMA, designed to learn tasks by watching humans and aimed at factories, warehouses, and eventually homes.</t>
        </is>
      </c>
      <c r="L216" s="101" t="inlineStr">
        <is>
          <t>Northstar is a lightweight, wheeled humanoid robot from Paris-based startup UMA, designed to learn tasks by watching humans and aimed at factories, warehouses, and eventually homes.</t>
        </is>
      </c>
      <c r="M216" s="101" t="inlineStr">
        <is>
          <t>Northstar is a lightweight, wheeled humanoid robot from Paris-based startup UMA, designed to learn tasks by watching humans and aimed at factories, warehouses, and eventually homes. Public status is listed as prototype, and it is positioned for consumer home use; healthcare; logistics; Manufacturing.</t>
        </is>
      </c>
      <c r="N216" s="157" t="inlineStr">
        <is>
          <t>https://humanoid.guide/product/northstar/</t>
        </is>
      </c>
      <c r="O216" s="157" t="inlineStr">
        <is>
          <t>https://uma.bot/</t>
        </is>
      </c>
      <c r="P216" s="152" t="inlineStr">
        <is>
          <t>5 ft 5 in</t>
        </is>
      </c>
      <c r="Q216" s="152" t="n">
        <v>165</v>
      </c>
      <c r="R216" s="152" t="n">
        <v>88.2</v>
      </c>
      <c r="S216" s="152" t="n">
        <v>40</v>
      </c>
      <c r="T216" s="156" t="inlineStr">
        <is>
          <t>Not disclosed</t>
        </is>
      </c>
      <c r="U216" s="152" t="n"/>
      <c r="V216" s="152" t="inlineStr">
        <is>
          <t>24</t>
        </is>
      </c>
      <c r="W216" s="156" t="inlineStr">
        <is>
          <t>12</t>
        </is>
      </c>
      <c r="X216" s="152" t="n">
        <v>33.1</v>
      </c>
      <c r="Y216" s="152" t="n">
        <v>15</v>
      </c>
      <c r="Z216" s="152" t="n">
        <v>2.49</v>
      </c>
      <c r="AA216" s="152" t="n">
        <v>4</v>
      </c>
      <c r="AB216" s="152" t="n">
        <v>3</v>
      </c>
      <c r="AC216" s="156" t="inlineStr">
        <is>
          <t>Not disclosed</t>
        </is>
      </c>
      <c r="AD216" s="156" t="n"/>
      <c r="AE216" s="152" t="n"/>
      <c r="AF216" s="152" t="inlineStr">
        <is>
          <t>Not disclosed</t>
        </is>
      </c>
      <c r="AG216" s="156" t="inlineStr">
        <is>
          <t>5 per hand</t>
        </is>
      </c>
      <c r="AH216" s="152" t="inlineStr">
        <is>
          <t>5 per hand</t>
        </is>
      </c>
      <c r="AI216" s="152" t="n"/>
      <c r="AJ216" s="156" t="inlineStr">
        <is>
          <t>Not disclosed</t>
        </is>
      </c>
      <c r="AK216" s="156" t="n"/>
      <c r="AL216" s="152" t="inlineStr">
        <is>
          <t>Not disclosed</t>
        </is>
      </c>
      <c r="AM216" s="152" t="n"/>
      <c r="AN216" s="152" t="inlineStr">
        <is>
          <t>Not disclosed</t>
        </is>
      </c>
      <c r="AO216" s="152" t="inlineStr">
        <is>
          <t>Not disclosed</t>
        </is>
      </c>
      <c r="AP216" s="152" t="inlineStr">
        <is>
          <t>Not disclosed</t>
        </is>
      </c>
      <c r="AQ216" s="152" t="inlineStr">
        <is>
          <t>Not disclosed</t>
        </is>
      </c>
      <c r="AR216" s="152" t="n"/>
      <c r="AS216" s="152" t="n"/>
      <c r="AT216" s="156" t="inlineStr">
        <is>
          <t>Not disclosed</t>
        </is>
      </c>
      <c r="AU216" s="156" t="inlineStr">
        <is>
          <t>Not disclosed</t>
        </is>
      </c>
      <c r="AV216" s="152" t="inlineStr">
        <is>
          <t>Not disclosed</t>
        </is>
      </c>
      <c r="AW216" s="156" t="inlineStr">
        <is>
          <t>Not disclosed</t>
        </is>
      </c>
      <c r="AX216" s="152" t="n"/>
      <c r="AY216" s="156" t="inlineStr">
        <is>
          <t>Not disclosed</t>
        </is>
      </c>
      <c r="AZ216" s="156" t="inlineStr">
        <is>
          <t>Not disclosed</t>
        </is>
      </c>
      <c r="BA216" s="156" t="n"/>
      <c r="BB216" s="156" t="inlineStr">
        <is>
          <t>Not disclosed</t>
        </is>
      </c>
      <c r="BC216" s="156" t="inlineStr">
        <is>
          <t>Not disclosed</t>
        </is>
      </c>
      <c r="BD216" s="152" t="inlineStr">
        <is>
          <t>Not disclosed</t>
        </is>
      </c>
      <c r="BE216" s="152" t="inlineStr">
        <is>
          <t>Not disclosed</t>
        </is>
      </c>
      <c r="BF216" s="152" t="n"/>
      <c r="BG216" s="152" t="n"/>
      <c r="BH216" s="152" t="n"/>
      <c r="BI216" s="152" t="n"/>
      <c r="BJ216" s="152" t="n"/>
      <c r="BK216" s="152" t="n"/>
      <c r="BL216" s="152" t="n"/>
      <c r="BM216" s="152" t="inlineStr">
        <is>
          <t>Yes</t>
        </is>
      </c>
      <c r="BN216" s="152" t="inlineStr">
        <is>
          <t>Not disclosed</t>
        </is>
      </c>
      <c r="BO216" s="156" t="inlineStr">
        <is>
          <t>Market: Consumer home use; healthcare; logistics; Manufacturing · Human-safe: Yes · Peak 4 km/h · Walk 3 km/h</t>
        </is>
      </c>
      <c r="BP216" s="152" t="n"/>
      <c r="BQ216" s="156" t="inlineStr">
        <is>
          <t>Consumer home use; healthcare; logistics; Manufacturing</t>
        </is>
      </c>
      <c r="BR216" s="156" t="inlineStr">
        <is>
          <t>Prototype</t>
        </is>
      </c>
      <c r="BS216" s="156" t="inlineStr">
        <is>
          <t>Prototype</t>
        </is>
      </c>
      <c r="BT216" s="152" t="n"/>
      <c r="BU216" s="152" t="n"/>
      <c r="BV216" s="156" t="n"/>
      <c r="BW216" s="156" t="inlineStr">
        <is>
          <t>Origin &amp; status — France · Prototype · 2026 | Manipulation — 5 per hand · 5 per hand fingers · Hand DOF 12 · Payload 33.1 lb | Sensing &amp; software — Sensor and compute package confirmed on formal quote | Buying notes — From $70,000 · 12 months manufacturer standard (typical research/commercial humanoid) · Best fit: Consumer home use</t>
        </is>
      </c>
      <c r="BX216" s="156" t="inlineStr">
        <is>
          <t>as_shipped|Northstar|70000|As shipped</t>
        </is>
      </c>
      <c r="BY216" s="152" t="inlineStr">
        <is>
          <t>northstar|Manufacturer finish|#e2e8f0|0</t>
        </is>
      </c>
      <c r="BZ216" s="152" t="inlineStr"/>
      <c r="CA216" s="156" t="n"/>
      <c r="CB216" s="156" t="inlineStr">
        <is>
          <t>12 months manufacturer standard (typical research/commercial humanoid)</t>
        </is>
      </c>
      <c r="CC216" s="154" t="n">
        <v>12</v>
      </c>
      <c r="CD216" s="156" t="inlineStr">
        <is>
          <t>+3 Year Extended ≈24% of configuration (default in configurator)</t>
        </is>
      </c>
      <c r="CE216" s="152" t="inlineStr">
        <is>
          <t>Humanoid category norm 2025–2026</t>
        </is>
      </c>
      <c r="CF216" s="152" t="inlineStr">
        <is>
          <t>Estimated</t>
        </is>
      </c>
      <c r="CG216" s="156" t="inlineStr">
        <is>
          <t>Confirm on formal OEM quote. EDU or enterprise packages may differ.</t>
        </is>
      </c>
      <c r="CH216" s="152" t="inlineStr">
        <is>
          <t>10%</t>
        </is>
      </c>
      <c r="CI216" s="152" t="inlineStr">
        <is>
          <t>17%</t>
        </is>
      </c>
      <c r="CJ216" s="152" t="inlineStr">
        <is>
          <t>24%</t>
        </is>
      </c>
      <c r="CK216" s="156" t="inlineStr">
        <is>
          <t>+1yr ≈10% | +2yr ≈17% | +3yr ≈24% of selected configuration price (parts &amp; labor beyond manufacturer standard).</t>
        </is>
      </c>
      <c r="CL216"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16" s="152" t="inlineStr">
        <is>
          <t>12 months manufacturer standard (typical research/commercial humanoid)</t>
        </is>
      </c>
      <c r="CQ216" s="101" t="inlineStr">
        <is>
          <t>Height: 5 ft 5 in | Weight: 88.2 | Degrees of Freedom: 24 | Payload: 33.1 | Max Speed: 2.49 | Battery / Runtime: Not disclosed</t>
        </is>
      </c>
    </row>
    <row r="217" ht="31.5" customHeight="1" s="102">
      <c r="A217" s="145" t="inlineStr">
        <is>
          <t>under_control_robotics_moby_old</t>
        </is>
      </c>
      <c r="B217" s="153" t="inlineStr">
        <is>
          <t>Humanoid.guide</t>
        </is>
      </c>
      <c r="C217" s="145" t="inlineStr">
        <is>
          <t>Under Control Robotics</t>
        </is>
      </c>
      <c r="D217" s="145" t="inlineStr">
        <is>
          <t>Moby (old)</t>
        </is>
      </c>
      <c r="E217" s="145" t="inlineStr">
        <is>
          <t>[Under Control Robotics] Moby old (2026)</t>
        </is>
      </c>
      <c r="F217" s="146" t="inlineStr">
        <is>
          <t>humanoid</t>
        </is>
      </c>
      <c r="G217" s="145" t="inlineStr">
        <is>
          <t>USA</t>
        </is>
      </c>
      <c r="H217" s="145" t="n"/>
      <c r="I217" s="148" t="n">
        <v>75000</v>
      </c>
      <c r="J217" s="145" t="inlineStr">
        <is>
          <t>Humanoid.guide list</t>
        </is>
      </c>
      <c r="K217" s="149" t="inlineStr">
        <is>
          <t>Moby is a lightweight humanoid robot designed for safe interaction, autonomous navigation, and AI-powered assistance in indoor environments.</t>
        </is>
      </c>
      <c r="L217" s="101" t="inlineStr">
        <is>
          <t>Moby is a lightweight humanoid robot designed for safe interaction, autonomous navigation, and AI-powered assistance in indoor environments.</t>
        </is>
      </c>
      <c r="M217" s="101" t="inlineStr">
        <is>
          <t>Moby old is Under Control Robotics's humanoid, introduced around 2026 in USA. Moby is a lightweight humanoid robot designed for safe interaction, autonomous navigation, and AI-powered assistance in indoor environments. Public status is listed as prototype, and it is positioned for hospitality; Research &amp; education; service &amp; research labs.</t>
        </is>
      </c>
      <c r="N217" s="150" t="inlineStr">
        <is>
          <t>https://humanoid.guide/product/moby-old/</t>
        </is>
      </c>
      <c r="O217" s="150" t="inlineStr">
        <is>
          <t>https://www.undercontrol.ai/</t>
        </is>
      </c>
      <c r="P217" s="145" t="inlineStr">
        <is>
          <t>5 ft 7 in</t>
        </is>
      </c>
      <c r="Q217" s="145" t="n">
        <v>170</v>
      </c>
      <c r="R217" s="145" t="n">
        <v>99.2</v>
      </c>
      <c r="S217" s="145" t="n">
        <v>45</v>
      </c>
      <c r="T217" s="149" t="inlineStr">
        <is>
          <t>Not disclosed</t>
        </is>
      </c>
      <c r="U217" s="145" t="n"/>
      <c r="V217" s="145" t="inlineStr">
        <is>
          <t>34</t>
        </is>
      </c>
      <c r="W217" s="149" t="inlineStr">
        <is>
          <t>10</t>
        </is>
      </c>
      <c r="X217" s="145" t="n">
        <v>19.8</v>
      </c>
      <c r="Y217" s="145" t="n">
        <v>9</v>
      </c>
      <c r="Z217" s="145" t="n">
        <v>1.86</v>
      </c>
      <c r="AA217" s="145" t="n">
        <v>3</v>
      </c>
      <c r="AB217" s="145" t="n">
        <v>3</v>
      </c>
      <c r="AC217" s="149" t="inlineStr">
        <is>
          <t>≈ 5 hours</t>
        </is>
      </c>
      <c r="AD217" s="149" t="inlineStr">
        <is>
          <t>5</t>
        </is>
      </c>
      <c r="AE217" s="145" t="n"/>
      <c r="AF217" s="145" t="inlineStr">
        <is>
          <t>Not disclosed</t>
        </is>
      </c>
      <c r="AG217" s="149" t="inlineStr">
        <is>
          <t>10</t>
        </is>
      </c>
      <c r="AH217" s="145" t="inlineStr">
        <is>
          <t>10</t>
        </is>
      </c>
      <c r="AI217" s="158" t="n">
        <v>2</v>
      </c>
      <c r="AJ217" s="149" t="inlineStr">
        <is>
          <t>Not disclosed</t>
        </is>
      </c>
      <c r="AK217" s="149" t="n"/>
      <c r="AL217" s="145" t="inlineStr">
        <is>
          <t>Not disclosed</t>
        </is>
      </c>
      <c r="AM217" s="145" t="n"/>
      <c r="AN217" s="145" t="inlineStr">
        <is>
          <t>Not disclosed</t>
        </is>
      </c>
      <c r="AO217" s="145" t="inlineStr">
        <is>
          <t>Not disclosed</t>
        </is>
      </c>
      <c r="AP217" s="145" t="inlineStr">
        <is>
          <t>Not disclosed</t>
        </is>
      </c>
      <c r="AQ217" s="145" t="inlineStr">
        <is>
          <t>Not disclosed</t>
        </is>
      </c>
      <c r="AR217" s="145" t="n"/>
      <c r="AS217" s="145" t="n"/>
      <c r="AT217" s="149" t="inlineStr">
        <is>
          <t>Not disclosed</t>
        </is>
      </c>
      <c r="AU217" s="149" t="inlineStr">
        <is>
          <t>Bluetooth; Wi‑Fi</t>
        </is>
      </c>
      <c r="AV217" s="145" t="inlineStr">
        <is>
          <t>Not disclosed</t>
        </is>
      </c>
      <c r="AW217" s="149" t="inlineStr">
        <is>
          <t>Not disclosed</t>
        </is>
      </c>
      <c r="AX217" s="151" t="n">
        <v>3</v>
      </c>
      <c r="AY217" s="149" t="inlineStr">
        <is>
          <t>Linux, Ubuntu, ROS</t>
        </is>
      </c>
      <c r="AZ217" s="149" t="inlineStr">
        <is>
          <t>Yes</t>
        </is>
      </c>
      <c r="BA217" s="149" t="n"/>
      <c r="BB217" s="149" t="inlineStr">
        <is>
          <t>Brushless Motor</t>
        </is>
      </c>
      <c r="BC217" s="149" t="inlineStr">
        <is>
          <t>Harmonic or planetary gears</t>
        </is>
      </c>
      <c r="BD217" s="145" t="inlineStr">
        <is>
          <t>Composite polymer + aluminum frame</t>
        </is>
      </c>
      <c r="BE217" s="145" t="inlineStr">
        <is>
          <t>IP20</t>
        </is>
      </c>
      <c r="BF217" s="145" t="inlineStr">
        <is>
          <t>IP20</t>
        </is>
      </c>
      <c r="BG217" s="145" t="n"/>
      <c r="BH217" s="145" t="n"/>
      <c r="BI217" s="145" t="n"/>
      <c r="BJ217" s="145" t="n"/>
      <c r="BK217" s="145" t="n"/>
      <c r="BL217" s="145" t="n"/>
      <c r="BM217" s="145" t="inlineStr">
        <is>
          <t>Yes</t>
        </is>
      </c>
      <c r="BN217" s="145" t="inlineStr">
        <is>
          <t>Not disclosed</t>
        </is>
      </c>
      <c r="BO217" s="149" t="inlineStr">
        <is>
          <t>Market: Hospitality; Research &amp; education; service &amp; research labs · Manipulation 2/4 · Navigation 3/4 · Human-safe: Yes · AI: Yes · Actuation: Brushless Motor · Peak 3 km/h · Walk 3 km/h · Runtime 5</t>
        </is>
      </c>
      <c r="BP217" s="145" t="n"/>
      <c r="BQ217" s="149" t="inlineStr">
        <is>
          <t>Hospitality; Research &amp; education; service &amp; research labs</t>
        </is>
      </c>
      <c r="BR217" s="149" t="inlineStr">
        <is>
          <t>Prototype</t>
        </is>
      </c>
      <c r="BS217" s="149" t="inlineStr">
        <is>
          <t>Prototype</t>
        </is>
      </c>
      <c r="BT217" s="145" t="inlineStr">
        <is>
          <t>Black</t>
        </is>
      </c>
      <c r="BU217" s="145" t="inlineStr">
        <is>
          <t>Not verified</t>
        </is>
      </c>
      <c r="BV217" s="149" t="n"/>
      <c r="BW217" s="149" t="inlineStr">
        <is>
          <t>Origin &amp; status — USA · Prototype · 2026 | Manipulation — 10 · 10 fingers · Hand DOF 10 · Payload 19.8 lb | Sensing &amp; software — Yes · Linux, Ubuntu, ROS | Buying notes — From $75,000 · 12 months manufacturer standard (typical research/commercial humanoid) · Best fit: Hospitality</t>
        </is>
      </c>
      <c r="BX217" s="149" t="inlineStr">
        <is>
          <t>as_shipped|Moby old|75000|As shipped</t>
        </is>
      </c>
      <c r="BY217" s="145" t="inlineStr">
        <is>
          <t>black|Black|#e2e8f0|0</t>
        </is>
      </c>
      <c r="BZ217" s="145" t="inlineStr"/>
      <c r="CA217" s="149" t="n"/>
      <c r="CB217" s="149" t="inlineStr">
        <is>
          <t>12 months manufacturer standard (typical research/commercial humanoid)</t>
        </is>
      </c>
      <c r="CC217" s="147" t="n">
        <v>12</v>
      </c>
      <c r="CD217" s="149" t="inlineStr">
        <is>
          <t>+3 Year Extended ≈24% of configuration (default in configurator)</t>
        </is>
      </c>
      <c r="CE217" s="145" t="inlineStr">
        <is>
          <t>Humanoid category norm 2025–2026</t>
        </is>
      </c>
      <c r="CF217" s="145" t="inlineStr">
        <is>
          <t>Estimated</t>
        </is>
      </c>
      <c r="CG217" s="149" t="inlineStr">
        <is>
          <t>Confirm on formal OEM quote. EDU or enterprise packages may differ.</t>
        </is>
      </c>
      <c r="CH217" s="145" t="inlineStr">
        <is>
          <t>10%</t>
        </is>
      </c>
      <c r="CI217" s="145" t="inlineStr">
        <is>
          <t>17%</t>
        </is>
      </c>
      <c r="CJ217" s="145" t="inlineStr">
        <is>
          <t>24%</t>
        </is>
      </c>
      <c r="CK217" s="149" t="inlineStr">
        <is>
          <t>+1yr ≈10% | +2yr ≈17% | +3yr ≈24% of selected configuration price (parts &amp; labor beyond manufacturer standard).</t>
        </is>
      </c>
      <c r="CL217"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17" s="145" t="inlineStr">
        <is>
          <t>12 months manufacturer standard (typical research/commercial humanoid)</t>
        </is>
      </c>
      <c r="CQ217" s="101" t="inlineStr">
        <is>
          <t>Height: 5 ft 7 in | Weight: 99.2 | Degrees of Freedom: 34 | Payload: 19.8 | Max Speed: 1.86 | Battery / Runtime: ≈ 5 hours</t>
        </is>
      </c>
    </row>
    <row r="218" ht="31.5" customHeight="1" s="102">
      <c r="A218" s="159" t="inlineStr">
        <is>
          <t>g1</t>
        </is>
      </c>
      <c r="B218" s="144" t="inlineStr">
        <is>
          <t>Both</t>
        </is>
      </c>
      <c r="C218" s="152" t="inlineStr">
        <is>
          <t>Unitree</t>
        </is>
      </c>
      <c r="D218" s="152" t="inlineStr">
        <is>
          <t>G1</t>
        </is>
      </c>
      <c r="E218" s="152" t="inlineStr">
        <is>
          <t>[Unitree] G1 (2024)</t>
        </is>
      </c>
      <c r="F218" s="146" t="inlineStr">
        <is>
          <t>humanoid</t>
        </is>
      </c>
      <c r="G218" s="152" t="inlineStr">
        <is>
          <t>China</t>
        </is>
      </c>
      <c r="H218" s="154" t="n">
        <v>2024</v>
      </c>
      <c r="I218" s="155" t="n">
        <v>21600</v>
      </c>
      <c r="J218" s="152" t="inlineStr">
        <is>
          <t>Unitree published G1 base · Aug 2026</t>
        </is>
      </c>
      <c r="K218" s="156" t="inlineStr">
        <is>
          <t>G1 is Unitree's humanoid — ≈ 4 ft 4 in class, 23 base · up to 43 with waist/wrist/hands options DOF, ≈ 4.4–6.6 lb per arm payload. Optional Dex3-1 or equivalent dexterous hands (pair); Depth camera suite; optional 3D LiDAR on research builds.</t>
        </is>
      </c>
      <c r="L218" s="101" t="inlineStr">
        <is>
          <t>G1 is Unitree's humanoid — ≈ 4 ft 4 in class, 23 base · up to 43 with waist/wrist/hands options DOF, ≈ 4.4–6.6 lb per arm payload. Optional Dex3-1 or equivalent dexterous hands (pair); Depth camera suite; optional 3D LiDAR on research builds.</t>
        </is>
      </c>
      <c r="M218" s="101" t="inlineStr">
        <is>
          <t>Unitree introduced G1 in 2024 after building a consumer market with Go1 and Go2 quadrupeds. G1 became one of the most widely purchased research humanoids because EDU packages add ROS 2, extra joints, and real hands at a price far below full-size platforms. It sits between the smaller R1 and the full-size H1/H2 line.</t>
        </is>
      </c>
      <c r="N218" s="157" t="inlineStr">
        <is>
          <t>https://humanoid.guide/product/g1/</t>
        </is>
      </c>
      <c r="O218" s="157" t="inlineStr">
        <is>
          <t>https://www.unitree.com</t>
        </is>
      </c>
      <c r="P218" s="152" t="inlineStr">
        <is>
          <t>≈ 4 ft 4 in</t>
        </is>
      </c>
      <c r="Q218" s="152" t="n">
        <v>127</v>
      </c>
      <c r="R218" s="152" t="n">
        <v>77.2</v>
      </c>
      <c r="S218" s="152" t="n">
        <v>35</v>
      </c>
      <c r="T218" s="156" t="inlineStr">
        <is>
          <t>Not disclosed</t>
        </is>
      </c>
      <c r="U218" s="152" t="inlineStr">
        <is>
          <t>Not specified</t>
        </is>
      </c>
      <c r="V218" s="152" t="inlineStr">
        <is>
          <t>23 base · up to 43 with waist/wrist/hands options</t>
        </is>
      </c>
      <c r="W218" s="156" t="inlineStr">
        <is>
          <t>14</t>
        </is>
      </c>
      <c r="X218" s="152" t="n">
        <v>6.6</v>
      </c>
      <c r="Y218" s="152" t="n">
        <v>3</v>
      </c>
      <c r="Z218" s="152" t="n">
        <v>4.47</v>
      </c>
      <c r="AA218" s="152" t="n">
        <v>7.2</v>
      </c>
      <c r="AB218" s="152" t="n">
        <v>4.5</v>
      </c>
      <c r="AC218" s="156" t="inlineStr">
        <is>
          <t>9 000 mAh quick-swap · ≈ 2 hours</t>
        </is>
      </c>
      <c r="AD218" s="156" t="inlineStr">
        <is>
          <t>2</t>
        </is>
      </c>
      <c r="AE218" s="152" t="n"/>
      <c r="AF218" s="152" t="inlineStr">
        <is>
          <t>9 000 mAh quick-swap pack; ~2 h class runtime</t>
        </is>
      </c>
      <c r="AG218" s="156" t="inlineStr">
        <is>
          <t>Optional Dex3-1 or equivalent dexterous hands (pair)</t>
        </is>
      </c>
      <c r="AH218" s="152" t="inlineStr">
        <is>
          <t>10</t>
        </is>
      </c>
      <c r="AI218" s="151" t="n">
        <v>3</v>
      </c>
      <c r="AJ218" s="156" t="inlineStr">
        <is>
          <t>Depth camera suite; optional 3D LiDAR on research builds</t>
        </is>
      </c>
      <c r="AK218" s="156" t="inlineStr">
        <is>
          <t>“Intel RealSense D435i depth camera and Livox MID360 3D LiDAR; microphone array and stereo speaker in EDU versions</t>
        </is>
      </c>
      <c r="AL218" s="152" t="inlineStr">
        <is>
          <t>Depth + RGB streams for teleoperation and dataset capture</t>
        </is>
      </c>
      <c r="AM218" s="152" t="n"/>
      <c r="AN218" s="152" t="inlineStr">
        <is>
          <t>Not disclosed</t>
        </is>
      </c>
      <c r="AO218" s="152" t="inlineStr">
        <is>
          <t>4-microphone array</t>
        </is>
      </c>
      <c r="AP218" s="152" t="inlineStr">
        <is>
          <t>Depth camera + optional 3D LiDAR · 4-mic array</t>
        </is>
      </c>
      <c r="AQ218" s="152" t="inlineStr">
        <is>
          <t>Not disclosed</t>
        </is>
      </c>
      <c r="AR218" s="152" t="n"/>
      <c r="AS218" s="152" t="inlineStr">
        <is>
          <t>8-core CPU · EDU Jetson Orin class (up to 100 TOPS)</t>
        </is>
      </c>
      <c r="AT218" s="156" t="inlineStr">
        <is>
          <t>8-core high-performance CPU; EDU with Jetson Orin module as an additional option</t>
        </is>
      </c>
      <c r="AU218" s="156" t="inlineStr">
        <is>
          <t>Wi-Fi 6, Bluetooth 5.2, expansion ports on EDU</t>
        </is>
      </c>
      <c r="AV218" s="152" t="inlineStr">
        <is>
          <t>SDK, app, EDU Jetson expansion</t>
        </is>
      </c>
      <c r="AW218" s="156" t="inlineStr">
        <is>
          <t>Whole-body balance; vision and optional LiDAR mapping</t>
        </is>
      </c>
      <c r="AX218" s="151" t="n">
        <v>3</v>
      </c>
      <c r="AY218" s="156" t="inlineStr">
        <is>
          <t>Supports OTA updates and secondary development (EDU versions)</t>
        </is>
      </c>
      <c r="AZ218" s="156" t="inlineStr">
        <is>
          <t>Not disclosed</t>
        </is>
      </c>
      <c r="BA218" s="156" t="n"/>
      <c r="BB218" s="156" t="inlineStr">
        <is>
          <t>Not disclosed</t>
        </is>
      </c>
      <c r="BC218" s="156" t="inlineStr">
        <is>
          <t>Not disclosed</t>
        </is>
      </c>
      <c r="BD218" s="152" t="inlineStr">
        <is>
          <t>Not disclosed</t>
        </is>
      </c>
      <c r="BE218" s="152" t="inlineStr">
        <is>
          <t>Not disclosed</t>
        </is>
      </c>
      <c r="BF218" s="152" t="n"/>
      <c r="BG218" s="152" t="n"/>
      <c r="BH218" s="152" t="n"/>
      <c r="BI218" s="152" t="n"/>
      <c r="BJ218" s="152" t="n"/>
      <c r="BK218" s="152" t="n"/>
      <c r="BL218" s="152" t="n"/>
      <c r="BM218" s="152" t="inlineStr">
        <is>
          <t>Yes</t>
        </is>
      </c>
      <c r="BN218" s="152" t="inlineStr">
        <is>
          <t>Not disclosed</t>
        </is>
      </c>
      <c r="BO218" s="156" t="inlineStr">
        <is>
          <t>Manipulation 3/4 · Navigation 3/4 · Human-safe: Yes · Peak 7.2 km/h · Walk 4.5 km/h · Runtime 2</t>
        </is>
      </c>
      <c r="BP218" s="152" t="n"/>
      <c r="BQ218" s="156" t="inlineStr">
        <is>
          <t>University labs, corporate R&amp;D, advanced demos, and teams that need a programmable humanoid available to order today.</t>
        </is>
      </c>
      <c r="BR218" s="156" t="inlineStr">
        <is>
          <t>In production</t>
        </is>
      </c>
      <c r="BS218" s="156" t="inlineStr">
        <is>
          <t>In production</t>
        </is>
      </c>
      <c r="BT218" s="152" t="inlineStr">
        <is>
          <t>Not specified</t>
        </is>
      </c>
      <c r="BU218" s="152" t="inlineStr">
        <is>
          <t>Not verified</t>
        </is>
      </c>
      <c r="BV218" s="156" t="inlineStr">
        <is>
          <t>Humanoid.guide listed price $16,000.</t>
        </is>
      </c>
      <c r="BW218" s="156" t="inlineStr">
        <is>
          <t>Origin &amp; status — China · In production · 2024 | Manipulation — Optional Dex3-1 or equivalent dexterous hands (pair) · 10 fingers · Hand DOF 14 · Payload ≈ 4.4–6.6 lb per arm | Sensing &amp; software — Depth camera suite; optional 3D LiDAR on research builds · 8-core CPU · EDU Jetson Orin class (up to 100 TOPS) · Supports OTA updates and secondary developm… | Buying notes — From $13,500 · 8 months (Base) / 18 months (EDU). EDU carries longer coverage. Accessories often 6 months</t>
        </is>
      </c>
      <c r="BX218" s="156" t="inlineStr">
        <is>
          <t>base|G1|21600|Demo platform || edu_u1|G1 EDU Standard (U1)|43900|SDK + Orin 100 TOPS || edu_u2|G1 EDU Plus (U2)|53900|3-DOF waist + 7-DOF arms || edu_u3|G1 EDU Ultimate A (U3)|65900|Dex3-1 hands || edu_u4|G1 EDU Ultimate B (U4)|67900|Dex3-1 + tactile || edu_u5|G1 EDU Ultimate C (U5)|67900|Inspire 5-finger hands</t>
        </is>
      </c>
      <c r="BY218" s="152" t="inlineStr">
        <is>
          <t>white|Factory White|#f8fafc|0 || black|Factory Black|#111111|0</t>
        </is>
      </c>
      <c r="BZ218" s="152" t="inlineStr">
        <is>
          <t>battery_g1, hands_g1, hands_inspire_g1, lidar_g1, controller, compute_g1</t>
        </is>
      </c>
      <c r="CA218" s="156" t="inlineStr">
        <is>
          <t>3 configuration tiers; Add-ons: battery_g1, hands_g1, lidar_g1, controller, case, compute_g1; 2 color options; Multi-year extended warranty available</t>
        </is>
      </c>
      <c r="CB218" s="156" t="inlineStr">
        <is>
          <t>8 months (Base) / 18 months (EDU)</t>
        </is>
      </c>
      <c r="CC218" s="154" t="n">
        <v>12</v>
      </c>
      <c r="CD218" s="156" t="inlineStr">
        <is>
          <t>+3 Year Extended ≈24% of configuration (default in configurator)</t>
        </is>
      </c>
      <c r="CE218" s="152" t="inlineStr">
        <is>
          <t>Unitree official G1 spec table</t>
        </is>
      </c>
      <c r="CF218" s="152" t="inlineStr">
        <is>
          <t>Documented</t>
        </is>
      </c>
      <c r="CG218" s="156" t="inlineStr">
        <is>
          <t>EDU carries longer coverage. Accessories often 6 months.</t>
        </is>
      </c>
      <c r="CH218" s="152" t="inlineStr">
        <is>
          <t>10%</t>
        </is>
      </c>
      <c r="CI218" s="152" t="inlineStr">
        <is>
          <t>17%</t>
        </is>
      </c>
      <c r="CJ218" s="152" t="inlineStr">
        <is>
          <t>24%</t>
        </is>
      </c>
      <c r="CK218"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18"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18" s="152" t="inlineStr">
        <is>
          <t>8 mo Base / 18 mo EDU</t>
        </is>
      </c>
      <c r="CQ218" s="101" t="inlineStr">
        <is>
          <t>Height: ≈ 4 ft 4 in | Weight: 77.2 | Degrees of Freedom: 23 base · up to 43 with waist/wrist/hands options | Payload: 6.6 | Max Speed: 4.47 | Battery / Runtime: 9 000 mAh quick-swap · ≈ 2 hours</t>
        </is>
      </c>
    </row>
    <row r="219" ht="31.5" customHeight="1" s="102">
      <c r="A219" s="143" t="inlineStr">
        <is>
          <t>h1</t>
        </is>
      </c>
      <c r="B219" s="144" t="inlineStr">
        <is>
          <t>Both</t>
        </is>
      </c>
      <c r="C219" s="145" t="inlineStr">
        <is>
          <t>Unitree</t>
        </is>
      </c>
      <c r="D219" s="145" t="inlineStr">
        <is>
          <t>H1-2</t>
        </is>
      </c>
      <c r="E219" s="145" t="inlineStr">
        <is>
          <t>[Unitree] H1 (2024)</t>
        </is>
      </c>
      <c r="F219" s="146" t="inlineStr">
        <is>
          <t>humanoid</t>
        </is>
      </c>
      <c r="G219" s="145" t="inlineStr">
        <is>
          <t>China</t>
        </is>
      </c>
      <c r="H219" s="147" t="n">
        <v>2024</v>
      </c>
      <c r="I219" s="148" t="n">
        <v>90000</v>
      </c>
      <c r="J219" s="145" t="inlineStr">
        <is>
          <t>Robot Price Index Aug 2026 · H1/H1-2 entry</t>
        </is>
      </c>
      <c r="K219" s="149" t="inlineStr">
        <is>
          <t>The Unitree H1-2 is a full-size universal humanoid robot designed for research, development, and advanced mobility tasks.</t>
        </is>
      </c>
      <c r="L219" s="101" t="inlineStr">
        <is>
          <t>The Unitree H1-2 is a full-size universal humanoid robot designed for research, development, and advanced mobility tasks.</t>
        </is>
      </c>
      <c r="M219" s="101" t="inlineStr">
        <is>
          <t>H1 was Unitree’s first full-size humanoid, announced as the company moved from quadrupeds into bipedal work. It is the predecessor to H2 and remains the reference full-height Unitree platform for labs that bought in before the H2 commercial line.</t>
        </is>
      </c>
      <c r="N219" s="150" t="inlineStr">
        <is>
          <t>https://humanoid.guide/product/h1-2/</t>
        </is>
      </c>
      <c r="O219" s="150" t="inlineStr">
        <is>
          <t>https://www.unitree.com</t>
        </is>
      </c>
      <c r="P219" s="145" t="inlineStr">
        <is>
          <t>≈ 5 ft 11 in (H1) / ≈ 6 ft 1 in class (H1-2)</t>
        </is>
      </c>
      <c r="Q219" s="145" t="n">
        <v>178</v>
      </c>
      <c r="R219" s="145" t="n">
        <v>154.3</v>
      </c>
      <c r="S219" s="145" t="n">
        <v>70</v>
      </c>
      <c r="T219" s="149" t="inlineStr">
        <is>
          <t>Not disclosed</t>
        </is>
      </c>
      <c r="U219" s="145" t="n"/>
      <c r="V219" s="145" t="inlineStr">
        <is>
          <t>≈ 19–27 base + hands options</t>
        </is>
      </c>
      <c r="W219" s="149" t="inlineStr">
        <is>
          <t>7</t>
        </is>
      </c>
      <c r="X219" s="145" t="inlineStr">
        <is>
          <t>High carry capability for research tasks</t>
        </is>
      </c>
      <c r="Y219" s="145" t="n">
        <v>21</v>
      </c>
      <c r="Z219" s="145" t="n">
        <v>4.47</v>
      </c>
      <c r="AA219" s="145" t="n">
        <v>7.2</v>
      </c>
      <c r="AB219" s="145" t="n">
        <v>4</v>
      </c>
      <c r="AC219" s="149" t="inlineStr">
        <is>
          <t>Quick-change ≈ 0.86 kWh class · ≈ 1.5 h active</t>
        </is>
      </c>
      <c r="AD219" s="149" t="inlineStr">
        <is>
          <t>2</t>
        </is>
      </c>
      <c r="AE219" s="145" t="n"/>
      <c r="AF219" s="145" t="inlineStr">
        <is>
          <t>Not disclosed</t>
        </is>
      </c>
      <c r="AG219" s="149" t="inlineStr">
        <is>
          <t>Optional hand packages</t>
        </is>
      </c>
      <c r="AH219" s="145" t="inlineStr">
        <is>
          <t>5</t>
        </is>
      </c>
      <c r="AI219" s="145" t="n"/>
      <c r="AJ219" s="149" t="inlineStr">
        <is>
          <t>3D LiDAR + depth camera suite</t>
        </is>
      </c>
      <c r="AK219" s="149" t="inlineStr">
        <is>
          <t>3D LIDAR + Depth Camera</t>
        </is>
      </c>
      <c r="AL219" s="145" t="inlineStr">
        <is>
          <t>Multi-sensor perception stream for research logging</t>
        </is>
      </c>
      <c r="AM219" s="145" t="n"/>
      <c r="AN219" s="145" t="inlineStr">
        <is>
          <t>Not disclosed</t>
        </is>
      </c>
      <c r="AO219" s="145" t="inlineStr">
        <is>
          <t>Not disclosed</t>
        </is>
      </c>
      <c r="AP219" s="145" t="inlineStr">
        <is>
          <t>3D LiDAR + depth camera suite</t>
        </is>
      </c>
      <c r="AQ219" s="145" t="inlineStr">
        <is>
          <t>Not disclosed</t>
        </is>
      </c>
      <c r="AR219" s="145" t="n"/>
      <c r="AS219" s="145" t="n"/>
      <c r="AT219" s="149" t="inlineStr">
        <is>
          <t>Intel i7-1265U / Intel® Iris® Xe Graphics eligible</t>
        </is>
      </c>
      <c r="AU219" s="149" t="inlineStr">
        <is>
          <t>Bluetooth; Ethernet; Wi‑Fi</t>
        </is>
      </c>
      <c r="AV219" s="145" t="inlineStr">
        <is>
          <t>Research SDK and high-level APIs</t>
        </is>
      </c>
      <c r="AW219" s="149" t="inlineStr">
        <is>
          <t>High-performance bipedal locomotion stack</t>
        </is>
      </c>
      <c r="AX219" s="145" t="n"/>
      <c r="AY219" s="149" t="inlineStr">
        <is>
          <t>Not disclosed</t>
        </is>
      </c>
      <c r="AZ219" s="149" t="inlineStr">
        <is>
          <t>Yes</t>
        </is>
      </c>
      <c r="BA219" s="149" t="n"/>
      <c r="BB219" s="149" t="inlineStr">
        <is>
          <t>M107 high-performance joint motors</t>
        </is>
      </c>
      <c r="BC219" s="149" t="inlineStr">
        <is>
          <t>Industrial crossed roller bearings</t>
        </is>
      </c>
      <c r="BD219" s="145" t="inlineStr">
        <is>
          <t>Metal and composite structural parts</t>
        </is>
      </c>
      <c r="BE219" s="145" t="inlineStr">
        <is>
          <t>Not disclosed</t>
        </is>
      </c>
      <c r="BF219" s="145" t="n"/>
      <c r="BG219" s="145" t="n"/>
      <c r="BH219" s="145" t="n"/>
      <c r="BI219" s="145" t="n"/>
      <c r="BJ219" s="145" t="n"/>
      <c r="BK219" s="145" t="n"/>
      <c r="BL219" s="145" t="n"/>
      <c r="BM219" s="145" t="inlineStr">
        <is>
          <t>Yes</t>
        </is>
      </c>
      <c r="BN219" s="145" t="inlineStr">
        <is>
          <t>Not disclosed</t>
        </is>
      </c>
      <c r="BO219" s="149" t="inlineStr">
        <is>
          <t>Market: Research · Human-safe: Yes · AI: Yes · Actuation: M107 high-performance joint motors · Peak 7.2 km/h · Walk 4 km/h · Runtime 2</t>
        </is>
      </c>
      <c r="BP219" s="145" t="n"/>
      <c r="BQ219" s="149" t="inlineStr">
        <is>
          <t>Research</t>
        </is>
      </c>
      <c r="BR219" s="149" t="inlineStr">
        <is>
          <t>In production</t>
        </is>
      </c>
      <c r="BS219" s="149" t="inlineStr">
        <is>
          <t>In production</t>
        </is>
      </c>
      <c r="BT219" s="145" t="inlineStr">
        <is>
          <t>Black</t>
        </is>
      </c>
      <c r="BU219" s="145" t="inlineStr">
        <is>
          <t>Verified</t>
        </is>
      </c>
      <c r="BV219" s="149" t="inlineStr">
        <is>
          <t>Humanoid.guide listed price $112,000.</t>
        </is>
      </c>
      <c r="BW219" s="149" t="inlineStr">
        <is>
          <t>Origin &amp; status — China · In production · 2024 | Manipulation — Optional hand packages · 5 fingers · Hand DOF 7 · Payload High carry capability for research tasks lb | Sensing &amp; software — 3D LiDAR + depth camera suite · Yes · Research SDK and high-level APIs | Buying notes — From $90,000 · 8 months (Base) / 12 months (EDU class). Confirm regional terms with supplier · Best fit: Research</t>
        </is>
      </c>
      <c r="BX219" s="149" t="inlineStr">
        <is>
          <t>h1|H1|90000|Full-size base platform || h12|H1-2|128000|Higher arm DOF + options</t>
        </is>
      </c>
      <c r="BY219" s="145" t="inlineStr">
        <is>
          <t>white|Research White|#f5f5f5|0 || black|Lab Black|#1a1a1a|0</t>
        </is>
      </c>
      <c r="BZ219" s="145" t="inlineStr">
        <is>
          <t>hands_h1, compute, case, warranty_h1</t>
        </is>
      </c>
      <c r="CA219" s="149" t="inlineStr">
        <is>
          <t>2 configuration tiers; Add-ons: hands_h1, compute, case; 2 color options; Multi-year extended warranty available</t>
        </is>
      </c>
      <c r="CB219" s="149" t="inlineStr">
        <is>
          <t>8 months (Base) / 12 months (EDU class)</t>
        </is>
      </c>
      <c r="CC219" s="147" t="n">
        <v>12</v>
      </c>
      <c r="CD219" s="149" t="inlineStr">
        <is>
          <t>+3 Year Extended ≈24% of configuration (default in configurator)</t>
        </is>
      </c>
      <c r="CE219" s="145" t="inlineStr">
        <is>
          <t>Unitree / RobotShop comparison tables</t>
        </is>
      </c>
      <c r="CF219" s="145" t="inlineStr">
        <is>
          <t>Documented</t>
        </is>
      </c>
      <c r="CG219" s="149" t="inlineStr">
        <is>
          <t>Confirm regional terms with supplier.</t>
        </is>
      </c>
      <c r="CH219" s="145" t="inlineStr">
        <is>
          <t>10%</t>
        </is>
      </c>
      <c r="CI219" s="145" t="inlineStr">
        <is>
          <t>17%</t>
        </is>
      </c>
      <c r="CJ219" s="145" t="inlineStr">
        <is>
          <t>24%</t>
        </is>
      </c>
      <c r="CK21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1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19" s="145" t="inlineStr">
        <is>
          <t>8 months (Base) / 12 months (EDU class)</t>
        </is>
      </c>
      <c r="CQ219" s="101" t="inlineStr">
        <is>
          <t>Height: ≈ 5 ft 11 in (H1) / ≈ 6 ft 1 in class (H1-2) | Weight: 154.3 | Degrees of Freedom: ≈ 19–27 base + hands options | Payload: High carry capability for research tasks | Max Speed: 4.47 | Battery / Runtime: Quick-change ≈ 0.86 kWh class · ≈ 1.5 h active</t>
        </is>
      </c>
    </row>
    <row r="220" ht="31.5" customHeight="1" s="102">
      <c r="A220" s="159" t="inlineStr">
        <is>
          <t>h2</t>
        </is>
      </c>
      <c r="B220" s="144" t="inlineStr">
        <is>
          <t>Both</t>
        </is>
      </c>
      <c r="C220" s="152" t="inlineStr">
        <is>
          <t>Unitree</t>
        </is>
      </c>
      <c r="D220" s="152" t="inlineStr">
        <is>
          <t>H2</t>
        </is>
      </c>
      <c r="E220" s="152" t="inlineStr">
        <is>
          <t>[Unitree] H2 (2025)</t>
        </is>
      </c>
      <c r="F220" s="146" t="inlineStr">
        <is>
          <t>humanoid</t>
        </is>
      </c>
      <c r="G220" s="152" t="inlineStr">
        <is>
          <t>China</t>
        </is>
      </c>
      <c r="H220" s="154" t="n">
        <v>2025</v>
      </c>
      <c r="I220" s="155" t="n">
        <v>29900</v>
      </c>
      <c r="J220" s="152" t="inlineStr">
        <is>
          <t>Robot Price Index Aug 2026 · entry</t>
        </is>
      </c>
      <c r="K220" s="156" t="inlineStr">
        <is>
          <t>Unitree H2 is a 180 cm, ~70 kg humanoid with ~31‑DoF articulation and a lifelike design, unveiled to showcase expressive, humanlike motion for future real‑world tasks.</t>
        </is>
      </c>
      <c r="L220" s="101" t="inlineStr">
        <is>
          <t>Unitree H2 is a 180 cm, ~70 kg humanoid with ~31‑DoF articulation and a lifelike design, unveiled to showcase expressive, humanlike motion for future real‑world tasks.</t>
        </is>
      </c>
      <c r="M220" s="101" t="inlineStr">
        <is>
          <t>H2 is Unitree’s full-size commercial humanoid, the successor to H1. Base units are listed and orderable; EDU and Plus packages are sales-configured for research and industrial evaluation.</t>
        </is>
      </c>
      <c r="N220" s="157" t="inlineStr">
        <is>
          <t>https://humanoid.guide/product/h2/</t>
        </is>
      </c>
      <c r="O220" s="157" t="inlineStr">
        <is>
          <t>https://www.unitree.com</t>
        </is>
      </c>
      <c r="P220" s="152" t="inlineStr">
        <is>
          <t>≈ 5 ft 10 in – 6 ft 0 in</t>
        </is>
      </c>
      <c r="Q220" s="152" t="n">
        <v>180</v>
      </c>
      <c r="R220" s="152" t="n">
        <v>154.3</v>
      </c>
      <c r="S220" s="152" t="n">
        <v>70</v>
      </c>
      <c r="T220" s="156" t="inlineStr">
        <is>
          <t>Not disclosed</t>
        </is>
      </c>
      <c r="U220" s="152" t="inlineStr">
        <is>
          <t>Not specified</t>
        </is>
      </c>
      <c r="V220" s="152" t="inlineStr">
        <is>
          <t>31+ class</t>
        </is>
      </c>
      <c r="W220" s="156" t="inlineStr">
        <is>
          <t>Not disclosed</t>
        </is>
      </c>
      <c r="X220" s="152" t="inlineStr">
        <is>
          <t>Higher than G1; exact arm payload configuration-dependent</t>
        </is>
      </c>
      <c r="Y220" s="152" t="n">
        <v>8</v>
      </c>
      <c r="Z220" s="152" t="n">
        <v>6.84</v>
      </c>
      <c r="AA220" s="152" t="n">
        <v>11</v>
      </c>
      <c r="AB220" s="152" t="n">
        <v>5</v>
      </c>
      <c r="AC220" s="156" t="inlineStr">
        <is>
          <t>≈ 3 hours class</t>
        </is>
      </c>
      <c r="AD220" s="156" t="inlineStr">
        <is>
          <t>2</t>
        </is>
      </c>
      <c r="AE220" s="152" t="n"/>
      <c r="AF220" s="152" t="inlineStr">
        <is>
          <t>Not disclosed</t>
        </is>
      </c>
      <c r="AG220" s="156" t="inlineStr">
        <is>
          <t>Higher payload arm/hand options vs G1</t>
        </is>
      </c>
      <c r="AH220" s="152" t="inlineStr">
        <is>
          <t>10</t>
        </is>
      </c>
      <c r="AI220" s="151" t="n">
        <v>3</v>
      </c>
      <c r="AJ220" s="156" t="inlineStr">
        <is>
          <t>Multi-camera + LiDAR class perception suite</t>
        </is>
      </c>
      <c r="AK220" s="156" t="inlineStr">
        <is>
          <t>Not specified</t>
        </is>
      </c>
      <c r="AL220" s="152" t="inlineStr">
        <is>
          <t>Research-grade multi-stream capture</t>
        </is>
      </c>
      <c r="AM220" s="152" t="n"/>
      <c r="AN220" s="152" t="inlineStr">
        <is>
          <t>Not disclosed</t>
        </is>
      </c>
      <c r="AO220" s="152" t="inlineStr">
        <is>
          <t>Not disclosed</t>
        </is>
      </c>
      <c r="AP220" s="152" t="inlineStr">
        <is>
          <t>Full perception suite for demos and research</t>
        </is>
      </c>
      <c r="AQ220" s="152" t="inlineStr">
        <is>
          <t>Not disclosed</t>
        </is>
      </c>
      <c r="AR220" s="152" t="n"/>
      <c r="AS220" s="152" t="inlineStr">
        <is>
          <t>Upgradeable Jetson / high-TOPS options on EDU+</t>
        </is>
      </c>
      <c r="AT220" s="156" t="inlineStr">
        <is>
          <t>Not disclosed</t>
        </is>
      </c>
      <c r="AU220" s="156" t="inlineStr">
        <is>
          <t>Not disclosed</t>
        </is>
      </c>
      <c r="AV220" s="152" t="inlineStr">
        <is>
          <t>SDK and institutional integration paths</t>
        </is>
      </c>
      <c r="AW220" s="156" t="inlineStr">
        <is>
          <t>Full-size humanoid locomotion and balance</t>
        </is>
      </c>
      <c r="AX220" s="151" t="n">
        <v>3</v>
      </c>
      <c r="AY220" s="156" t="inlineStr">
        <is>
          <t>Not disclosed</t>
        </is>
      </c>
      <c r="AZ220" s="156" t="inlineStr">
        <is>
          <t>Unitree markets LLM features on other robots, but none disclosed for H2 yet</t>
        </is>
      </c>
      <c r="BA220" s="156" t="inlineStr">
        <is>
          <t>Not specified</t>
        </is>
      </c>
      <c r="BB220" s="156" t="inlineStr">
        <is>
          <t>high-precision torque-sensing joints; vendor not disclosed</t>
        </is>
      </c>
      <c r="BC220" s="156" t="inlineStr">
        <is>
          <t>Not disclosed</t>
        </is>
      </c>
      <c r="BD220" s="152" t="inlineStr">
        <is>
          <t>Not disclosed</t>
        </is>
      </c>
      <c r="BE220" s="152" t="inlineStr">
        <is>
          <t>Not disclosed</t>
        </is>
      </c>
      <c r="BF220" s="152" t="inlineStr">
        <is>
          <t>Not specified</t>
        </is>
      </c>
      <c r="BG220" s="152" t="n"/>
      <c r="BH220" s="152" t="n"/>
      <c r="BI220" s="152" t="n"/>
      <c r="BJ220" s="152" t="n"/>
      <c r="BK220" s="152" t="n"/>
      <c r="BL220" s="152" t="n"/>
      <c r="BM220" s="152" t="inlineStr">
        <is>
          <t>Yes</t>
        </is>
      </c>
      <c r="BN220" s="152" t="inlineStr">
        <is>
          <t>Not disclosed</t>
        </is>
      </c>
      <c r="BO220" s="156" t="inlineStr">
        <is>
          <t>Market: Industries; logistics; Research &amp; education · Manipulation 3/4 · Navigation 3/4 · Human-safe: Yes · AI: Unitree markets LLM features on other robots, but none disclosed for H2 yet · Actuation: high-precision torque-sensing joints; vendor not disclosed · Peak 11 km/h · Walk 5 km/h · Runtime 2</t>
        </is>
      </c>
      <c r="BP220" s="152" t="n"/>
      <c r="BQ220" s="156" t="inlineStr">
        <is>
          <t>Industries; logistics; Research &amp; education</t>
        </is>
      </c>
      <c r="BR220" s="156" t="inlineStr">
        <is>
          <t>Prototype</t>
        </is>
      </c>
      <c r="BS220" s="156" t="inlineStr">
        <is>
          <t>Prototype</t>
        </is>
      </c>
      <c r="BT220" s="152" t="inlineStr">
        <is>
          <t>Not specified</t>
        </is>
      </c>
      <c r="BU220" s="152" t="inlineStr">
        <is>
          <t>Not verified</t>
        </is>
      </c>
      <c r="BV220" s="156" t="inlineStr">
        <is>
          <t>Humanoid.guide listed price $90,000.</t>
        </is>
      </c>
      <c r="BW220" s="156" t="inlineStr">
        <is>
          <t>Origin &amp; status — China · Prototype · 2025 | Manipulation — Higher payload arm/hand options vs G1 · 10 fingers · Payload Higher than G1; exact arm payload configuration-dependent | Sensing &amp; software — Multi-camera + LiDAR class perception suite · Unitree markets LLM features on other robots, but none disclosed for H2 yet · Upgradeable Jetson / high-TOPS o… | Buying notes — From $29,900 · 8 months (Base) / 12 months (EDU / Plus) · Best fit: Industries</t>
        </is>
      </c>
      <c r="BX220" s="156" t="inlineStr">
        <is>
          <t>base|H2 Base|29900|Full-size demo platform || edu|H2 EDU|68900|Research configuration || plus|H2 Plus|100000|Maximum configuration</t>
        </is>
      </c>
      <c r="BY220" s="152" t="inlineStr">
        <is>
          <t>white|Studio White|#f8fafc|0 || black|Industrial Black|#111111|0</t>
        </is>
      </c>
      <c r="BZ220" s="152" t="inlineStr">
        <is>
          <t>battery_h2, hands_h2, controller, case, warranty_h2, compute</t>
        </is>
      </c>
      <c r="CA220" s="156" t="inlineStr">
        <is>
          <t>3 configuration tiers; Add-ons: battery_h2, hands_h2, controller, case, compute; 2 color options; Multi-year extended warranty available</t>
        </is>
      </c>
      <c r="CB220" s="156" t="inlineStr">
        <is>
          <t>8 months (Base) / 12 months (EDU / Plus)</t>
        </is>
      </c>
      <c r="CC220" s="154" t="n">
        <v>12</v>
      </c>
      <c r="CD220" s="156" t="inlineStr">
        <is>
          <t>+3 Year Extended ≈24% of configuration (default in configurator)</t>
        </is>
      </c>
      <c r="CE220" s="152" t="inlineStr">
        <is>
          <t>Unitree H2 official parameters [保修期]</t>
        </is>
      </c>
      <c r="CF220" s="152" t="inlineStr">
        <is>
          <t>Documented</t>
        </is>
      </c>
      <c r="CG220" s="156" t="inlineStr">
        <is>
          <t>Base H2 8 months; EDU/Plus 12 months per Unitree table.</t>
        </is>
      </c>
      <c r="CH220" s="152" t="inlineStr">
        <is>
          <t>10%</t>
        </is>
      </c>
      <c r="CI220" s="152" t="inlineStr">
        <is>
          <t>17%</t>
        </is>
      </c>
      <c r="CJ220" s="152" t="inlineStr">
        <is>
          <t>24%</t>
        </is>
      </c>
      <c r="CK220"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20"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20" s="152" t="inlineStr">
        <is>
          <t>8 months (Base) / 12 months (EDU / Plus)</t>
        </is>
      </c>
      <c r="CQ220" s="101" t="inlineStr">
        <is>
          <t>Height: ≈ 5 ft 10 in – 6 ft 0 in | Weight: 154.3 | Degrees of Freedom: 31+ class | Payload: Higher than G1; exact arm payload configuration-dependent | Max Speed: 6.84 | Battery / Runtime: ≈ 3 hours class</t>
        </is>
      </c>
    </row>
    <row r="221" ht="31.5" customHeight="1" s="102">
      <c r="A221" s="143" t="inlineStr">
        <is>
          <t>r1</t>
        </is>
      </c>
      <c r="B221" s="144" t="inlineStr">
        <is>
          <t>Both</t>
        </is>
      </c>
      <c r="C221" s="145" t="inlineStr">
        <is>
          <t>Unitree</t>
        </is>
      </c>
      <c r="D221" s="145" t="inlineStr">
        <is>
          <t>Unitree R1</t>
        </is>
      </c>
      <c r="E221" s="145" t="inlineStr">
        <is>
          <t>[Unitree] R1 (2025)</t>
        </is>
      </c>
      <c r="F221" s="146" t="inlineStr">
        <is>
          <t>humanoid</t>
        </is>
      </c>
      <c r="G221" s="145" t="inlineStr">
        <is>
          <t>China</t>
        </is>
      </c>
      <c r="H221" s="147" t="n">
        <v>2025</v>
      </c>
      <c r="I221" s="148" t="n">
        <v>6870</v>
      </c>
      <c r="J221" s="145" t="inlineStr">
        <is>
          <t>Unitree R1 published base · in RPI $4,150–$5,900 band</t>
        </is>
      </c>
      <c r="K221" s="149" t="inlineStr">
        <is>
          <t>Unitree’s new R1 is a 1.22 m‑tall, 25 kg humanoid priced from US $5 900 that can run, cartwheel and recover falls, bringing full‑body robotics into an affordable developer‑friendly form factor.</t>
        </is>
      </c>
      <c r="L221" s="101" t="inlineStr">
        <is>
          <t>Unitree’s new R1 is a 1.22 m‑tall, 25 kg humanoid priced from US $5 900 that can run, cartwheel and recover falls, bringing full‑body robotics into an affordable developer‑friendly form factor.</t>
        </is>
      </c>
      <c r="M221" s="101" t="inlineStr">
        <is>
          <t>R1 is Unitree’s entry biped, created to put a walking humanoid under the G1 price band. Air and Standard are demonstration and interaction platforms; EDU opens secondary development, optional hands, and Jetson compute. It is the volume on-ramp into Unitree’s humanoid family.</t>
        </is>
      </c>
      <c r="N221" s="150" t="inlineStr">
        <is>
          <t>https://humanoid.guide/product/unitree-r1/</t>
        </is>
      </c>
      <c r="O221" s="150" t="inlineStr">
        <is>
          <t>https://www.unitree.com</t>
        </is>
      </c>
      <c r="P221" s="145" t="inlineStr">
        <is>
          <t>≈ 4 ft 0 in</t>
        </is>
      </c>
      <c r="Q221" s="145" t="n">
        <v>122</v>
      </c>
      <c r="R221" s="145" t="n">
        <v>55.1</v>
      </c>
      <c r="S221" s="145" t="n">
        <v>25</v>
      </c>
      <c r="T221" s="149" t="inlineStr">
        <is>
          <t>Not disclosed</t>
        </is>
      </c>
      <c r="U221" s="145" t="n"/>
      <c r="V221" s="145" t="inlineStr">
        <is>
          <t>20 (Air) · 26 (Standard) · 26–40 (EDU with hands)</t>
        </is>
      </c>
      <c r="W221" s="149" t="inlineStr">
        <is>
          <t>Not disclosed</t>
        </is>
      </c>
      <c r="X221" s="145" t="n">
        <v>22</v>
      </c>
      <c r="Y221" s="145" t="n">
        <v>10</v>
      </c>
      <c r="Z221" s="145" t="n">
        <v>5.59</v>
      </c>
      <c r="AA221" s="145" t="n">
        <v>9</v>
      </c>
      <c r="AB221" s="145" t="n">
        <v>9</v>
      </c>
      <c r="AC221" s="149" t="inlineStr">
        <is>
          <t>Hot-swap · ≈ 1 hour typical</t>
        </is>
      </c>
      <c r="AD221" s="149" t="n"/>
      <c r="AE221" s="145" t="n"/>
      <c r="AF221" s="145" t="inlineStr">
        <is>
          <t>Hot-swap battery architecture; ~1 h typical runtime class</t>
        </is>
      </c>
      <c r="AG221" s="149" t="inlineStr">
        <is>
          <t>Optional dexterous hands on EDU configurations</t>
        </is>
      </c>
      <c r="AH221" s="145" t="inlineStr">
        <is>
          <t>10</t>
        </is>
      </c>
      <c r="AI221" s="151" t="n">
        <v>3</v>
      </c>
      <c r="AJ221" s="149" t="inlineStr">
        <is>
          <t>Monocular (Air) or binocular stereo on higher tiers</t>
        </is>
      </c>
      <c r="AK221" s="149" t="inlineStr">
        <is>
          <t>Stereo binocular camera (220 ° FOV on SV1‑25 module)</t>
        </is>
      </c>
      <c r="AL221" s="145" t="inlineStr">
        <is>
          <t>Onboard camera feed for teleoperation and capture; resolution tier-dependent</t>
        </is>
      </c>
      <c r="AM221" s="145" t="n"/>
      <c r="AN221" s="145" t="inlineStr">
        <is>
          <t>Not disclosed</t>
        </is>
      </c>
      <c r="AO221" s="145" t="inlineStr">
        <is>
          <t>4-microphone array for voice interaction on supported builds</t>
        </is>
      </c>
      <c r="AP221" s="145" t="inlineStr">
        <is>
          <t>Monocular (Air) or binocular · 4-mic array</t>
        </is>
      </c>
      <c r="AQ221" s="145" t="inlineStr">
        <is>
          <t>Not disclosed</t>
        </is>
      </c>
      <c r="AR221" s="145" t="n"/>
      <c r="AS221" s="145" t="inlineStr">
        <is>
          <t>8-core CPU · EDU optional Jetson Orin 40–100 TOPS</t>
        </is>
      </c>
      <c r="AT221" s="149" t="inlineStr">
        <is>
          <t>On‑board 8‑core CPU + GPU</t>
        </is>
      </c>
      <c r="AU221" s="149" t="inlineStr">
        <is>
          <t>Wi-Fi 6, Bluetooth 5.2</t>
        </is>
      </c>
      <c r="AV221" s="145" t="inlineStr">
        <is>
          <t>App control, SDK, optional Jetson path on EDU</t>
        </is>
      </c>
      <c r="AW221" s="149" t="inlineStr">
        <is>
          <t>Bipedal balance control; vision-assisted locomotion</t>
        </is>
      </c>
      <c r="AX221" s="151" t="n">
        <v>3</v>
      </c>
      <c r="AY221" s="149" t="inlineStr">
        <is>
          <t>Unitree typically ships a Linux‑based SDK</t>
        </is>
      </c>
      <c r="AZ221" s="149" t="inlineStr">
        <is>
          <t>multimodal large language model for speech &amp; image recognition</t>
        </is>
      </c>
      <c r="BA221" s="149" t="n"/>
      <c r="BB221" s="149" t="inlineStr">
        <is>
          <t>Unitree in‑house smart actuators (same lineage as H1/G1); details pending</t>
        </is>
      </c>
      <c r="BC221" s="149" t="inlineStr">
        <is>
          <t>Unitree has previously used quasi‑direct drives without harmonic reducers</t>
        </is>
      </c>
      <c r="BD221" s="145" t="inlineStr">
        <is>
          <t>composite shell over alloy frame</t>
        </is>
      </c>
      <c r="BE221" s="145" t="inlineStr">
        <is>
          <t>Not disclosed</t>
        </is>
      </c>
      <c r="BF221" s="145" t="inlineStr">
        <is>
          <t>Not specified</t>
        </is>
      </c>
      <c r="BG221" s="145" t="n"/>
      <c r="BH221" s="145" t="n"/>
      <c r="BI221" s="145" t="n"/>
      <c r="BJ221" s="145" t="n"/>
      <c r="BK221" s="145" t="n"/>
      <c r="BL221" s="145" t="n"/>
      <c r="BM221" s="145" t="inlineStr">
        <is>
          <t>Not disclosed</t>
        </is>
      </c>
      <c r="BN221" s="145" t="inlineStr">
        <is>
          <t>Not disclosed</t>
        </is>
      </c>
      <c r="BO221" s="149" t="inlineStr">
        <is>
          <t>Market: hobbyists; individual developer; research labs · Manipulation 3/4 · Navigation 3/4 · Human-safe: Not specified · AI: multimodal large language model for speech &amp; image recognition · Actuation: Unitree in‑house smart actuators (same lineage as H1/G1); details pending · Peak 9 km/h · Walk 9 km/h</t>
        </is>
      </c>
      <c r="BP221" s="145" t="n"/>
      <c r="BQ221" s="149" t="inlineStr">
        <is>
          <t>hobbyists; individual developer; research labs</t>
        </is>
      </c>
      <c r="BR221" s="149" t="inlineStr">
        <is>
          <t>In production</t>
        </is>
      </c>
      <c r="BS221" s="149" t="inlineStr">
        <is>
          <t>In production</t>
        </is>
      </c>
      <c r="BT221" s="145" t="n"/>
      <c r="BU221" s="145" t="inlineStr">
        <is>
          <t>Not verified</t>
        </is>
      </c>
      <c r="BV221" s="149" t="inlineStr">
        <is>
          <t>Humanoid.guide listed price $5,900.</t>
        </is>
      </c>
      <c r="BW221" s="149" t="inlineStr">
        <is>
          <t>Origin &amp; status — China · In production · 2025 | Manipulation — Optional dexterous hands on EDU configurations · 10 fingers · Payload ≈ 4.4 lb per arm | Sensing &amp; software — Monocular (Air) or binocular stereo on higher tiers · multimodal large language model for speech &amp; image recognition · 8-core CPU · EDU optional Jetson Orin… | Buying notes — From $4,900 · 6 months (Air) / 8 months (Standard) / 12 months (EDU) · Best fit: hobbyists</t>
        </is>
      </c>
      <c r="BX221" s="149" t="inlineStr">
        <is>
          <t>air|R1 Air|6870|Entry demo || basic|R1 Basic|8990|App-driven || edu|R1 EDU Standard|15950|Full SDK || edu_smart|R1 EDU Smart|18900|Teaching lab</t>
        </is>
      </c>
      <c r="BY221" s="145" t="inlineStr">
        <is>
          <t>white|Clean White|#f5f5f5|0 || blue|Signal Blue|#3b82f6|0 || black|Stealth Black|#111111|0</t>
        </is>
      </c>
      <c r="BZ221" s="145" t="inlineStr">
        <is>
          <t>battery_r1, hands_r1, charger_r1, controller, compute</t>
        </is>
      </c>
      <c r="CA221" s="149" t="inlineStr">
        <is>
          <t>3 configuration tiers; Add-ons: battery_r1, hands_r1, charger_r1, controller, case, compute; 3 color options; Multi-year extended warranty available</t>
        </is>
      </c>
      <c r="CB221" s="149" t="inlineStr">
        <is>
          <t>6 months (Air) / 8 months (Standard) / 12 months (EDU)</t>
        </is>
      </c>
      <c r="CC221" s="147" t="n">
        <v>12</v>
      </c>
      <c r="CD221" s="149" t="inlineStr">
        <is>
          <t>+3 Year Extended ≈24% of configuration (default in configurator)</t>
        </is>
      </c>
      <c r="CE221" s="145" t="inlineStr">
        <is>
          <t>Unitree / authorized dealer listings</t>
        </is>
      </c>
      <c r="CF221" s="145" t="inlineStr">
        <is>
          <t>Documented</t>
        </is>
      </c>
      <c r="CG221" s="149" t="inlineStr">
        <is>
          <t>Tier-dependent; confirm configuration on order.</t>
        </is>
      </c>
      <c r="CH221" s="145" t="inlineStr">
        <is>
          <t>10%</t>
        </is>
      </c>
      <c r="CI221" s="145" t="inlineStr">
        <is>
          <t>17%</t>
        </is>
      </c>
      <c r="CJ221" s="145" t="inlineStr">
        <is>
          <t>24%</t>
        </is>
      </c>
      <c r="CK22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2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21" s="145" t="inlineStr">
        <is>
          <t>6 months (Air) / 8 months (Standard) / 12 months (EDU)</t>
        </is>
      </c>
      <c r="CQ221" s="101" t="inlineStr">
        <is>
          <t>Height: ≈ 4 ft 0 in | Weight: 55.1 | Degrees of Freedom: 20 (Air) · 26 (Standard) · 26–40 (EDU with hands) | Payload: 22 | Max Speed: 5.59 | Battery / Runtime: Hot-swap · ≈ 1 hour typical</t>
        </is>
      </c>
    </row>
    <row r="222" ht="31.5" customHeight="1" s="102">
      <c r="A222" s="152" t="inlineStr">
        <is>
          <t>unitree_robotics_h2_plus</t>
        </is>
      </c>
      <c r="B222" s="153" t="inlineStr">
        <is>
          <t>Humanoid.guide</t>
        </is>
      </c>
      <c r="C222" s="152" t="inlineStr">
        <is>
          <t>Unitree</t>
        </is>
      </c>
      <c r="D222" s="152" t="inlineStr">
        <is>
          <t>H2 Plus</t>
        </is>
      </c>
      <c r="E222" s="152" t="inlineStr">
        <is>
          <t>[Unitree] H2 Plus (2025)</t>
        </is>
      </c>
      <c r="F222" s="146" t="inlineStr">
        <is>
          <t>humanoid</t>
        </is>
      </c>
      <c r="G222" s="152" t="inlineStr">
        <is>
          <t>China</t>
        </is>
      </c>
      <c r="H222" s="152" t="n"/>
      <c r="I222" s="155" t="n">
        <v>80000</v>
      </c>
      <c r="J222" s="152" t="inlineStr">
        <is>
          <t>Estimate · H2 Plus above H2 $29,900 entry</t>
        </is>
      </c>
      <c r="K222" s="156" t="inlineStr">
        <is>
          <t>The Unitree H2 Plus is a 1.82-meter, 70-kilogram research humanoid robot built for frontier AI and robotics R&amp;D.</t>
        </is>
      </c>
      <c r="L222" s="101" t="inlineStr">
        <is>
          <t>The Unitree H2 Plus is a 1.82-meter, 70-kilogram research humanoid robot built for frontier AI and robotics R&amp;D.</t>
        </is>
      </c>
      <c r="M222" s="101" t="inlineStr">
        <is>
          <t>H2 Plus is Unitree's humanoid, introduced around 2026 in China. The Unitree H2 Plus is a 1.82-meter, 70-kilogram research humanoid robot built for frontier AI and robotics R&amp;D. Public status is listed as limited production / pilot deployments, and it is positioned for academic research; frontier humanoid robotics R&amp;D; university robotics labs.</t>
        </is>
      </c>
      <c r="N222" s="157" t="inlineStr">
        <is>
          <t>https://humanoid.guide/product/h2-plus/</t>
        </is>
      </c>
      <c r="O222" s="157" t="inlineStr">
        <is>
          <t>https://www.unitree.com</t>
        </is>
      </c>
      <c r="P222" s="152" t="inlineStr">
        <is>
          <t>5 ft 11 in</t>
        </is>
      </c>
      <c r="Q222" s="152" t="n">
        <v>180</v>
      </c>
      <c r="R222" s="152" t="n">
        <v>149.9</v>
      </c>
      <c r="S222" s="152" t="n">
        <v>68</v>
      </c>
      <c r="T222" s="156" t="inlineStr">
        <is>
          <t>Not disclosed</t>
        </is>
      </c>
      <c r="U222" s="152" t="n"/>
      <c r="V222" s="152" t="inlineStr">
        <is>
          <t>75</t>
        </is>
      </c>
      <c r="W222" s="156" t="inlineStr">
        <is>
          <t>44</t>
        </is>
      </c>
      <c r="X222" s="152" t="n">
        <v>33.1</v>
      </c>
      <c r="Y222" s="152" t="n">
        <v>15</v>
      </c>
      <c r="Z222" s="152" t="n">
        <v>4.35</v>
      </c>
      <c r="AA222" s="152" t="n">
        <v>7</v>
      </c>
      <c r="AB222" s="152" t="n">
        <v>3</v>
      </c>
      <c r="AC222" s="156" t="inlineStr">
        <is>
          <t>≈ 3 hours</t>
        </is>
      </c>
      <c r="AD222" s="156" t="inlineStr">
        <is>
          <t>3</t>
        </is>
      </c>
      <c r="AE222" s="152" t="n"/>
      <c r="AF222" s="152" t="inlineStr">
        <is>
          <t>Not disclosed</t>
        </is>
      </c>
      <c r="AG222" s="156" t="inlineStr">
        <is>
          <t>10</t>
        </is>
      </c>
      <c r="AH222" s="152" t="inlineStr">
        <is>
          <t>10</t>
        </is>
      </c>
      <c r="AI222" s="152" t="n"/>
      <c r="AJ222" s="156" t="inlineStr">
        <is>
          <t>Head binocular: 5 MP, FOV 140° H × 102° V, f/2.0, 2.67 mm focal length, 0.4 m–∞ depth, global shutter. Wrist (optional): 3 MP ultra-wide, FOV 196° H × 154° V, global shutter</t>
        </is>
      </c>
      <c r="AK222" s="156" t="inlineStr">
        <is>
          <t>Head binocular: 5 MP, FOV 140° H × 102° V, f/2.0, 2.67 mm focal length, 0.4 m–∞ depth, global shutter. Wrist (optional): 3 MP ultra-wide, FOV 196° H × 154° V, global shutter</t>
        </is>
      </c>
      <c r="AL222" s="152" t="inlineStr">
        <is>
          <t>Not disclosed</t>
        </is>
      </c>
      <c r="AM222" s="152" t="n"/>
      <c r="AN222" s="152" t="inlineStr">
        <is>
          <t>Not disclosed</t>
        </is>
      </c>
      <c r="AO222" s="152" t="inlineStr">
        <is>
          <t>Not disclosed</t>
        </is>
      </c>
      <c r="AP222" s="152" t="inlineStr">
        <is>
          <t>Not disclosed</t>
        </is>
      </c>
      <c r="AQ222" s="152" t="inlineStr">
        <is>
          <t>Not disclosed</t>
        </is>
      </c>
      <c r="AR222" s="152" t="n"/>
      <c r="AS222" s="152" t="n"/>
      <c r="AT222" s="156" t="inlineStr">
        <is>
          <t>Base: Intel Core i5 (platform) + Intel Core i7 (user dev).; Optional accessory: NVIDIA Jetson AGX Thor T5000 — 2,070 FP4 TFLOPS, 2560-core Blackwell GPU @1.57 GHz, 14-core Arm Neoverse V3AE @2.6 GHz, 128 GB LPDDR5X @273 GB/s, 40–130 W</t>
        </is>
      </c>
      <c r="AU222" s="156" t="inlineStr">
        <is>
          <t>3× USB 3.0, 3× USB+DP, 4× GMSL, 2× USB 2.0, 4× RS485, 2× CAN; 4× Gigabit Ethernet; Bluetooth 5.2; USB; voice via array mics + high-power speakers; Wi-Fi 6</t>
        </is>
      </c>
      <c r="AV222" s="152" t="inlineStr">
        <is>
          <t>Not disclosed</t>
        </is>
      </c>
      <c r="AW222" s="156" t="inlineStr">
        <is>
          <t>Not disclosed</t>
        </is>
      </c>
      <c r="AX222" s="152" t="n"/>
      <c r="AY222" s="156" t="inlineStr">
        <is>
          <t>Not specified by Unitree — typically Linux/Ubuntu-based with NVIDIA Isaac ROS middleware when running the Jetson Thor module</t>
        </is>
      </c>
      <c r="AZ222" s="156" t="inlineStr">
        <is>
          <t>Yes — full NVIDIA Isaac GR00T integration: open Vision-Language-Action (VLA) foundation models, Isaac TeleOp, Isaac Sim, Isaac Lab, Isaac ROS</t>
        </is>
      </c>
      <c r="BA222" s="156" t="inlineStr">
        <is>
          <t>Not officially disclosed (Jetson Thor designed for real-time on-robot inference)</t>
        </is>
      </c>
      <c r="BB222" s="156" t="inlineStr">
        <is>
          <t>Low-inertia high-speed inner-rotor permanent magnet synchronous motors</t>
        </is>
      </c>
      <c r="BC222" s="156" t="inlineStr">
        <is>
          <t>Industrial-grade crossed roller bearings at joint outputs (high precision, high load capacity); reducer type not disclosed</t>
        </is>
      </c>
      <c r="BD222" s="152" t="inlineStr">
        <is>
          <t>Aerospace-grade aluminum + titanium alloy + high-strength engineering plastics</t>
        </is>
      </c>
      <c r="BE222" s="152" t="inlineStr">
        <is>
          <t>IP30</t>
        </is>
      </c>
      <c r="BF222" s="152" t="inlineStr">
        <is>
          <t>Estimate IP30–IP40 (dust-/touch-protected, not water-rated)</t>
        </is>
      </c>
      <c r="BG222" s="152" t="n"/>
      <c r="BH222" s="152" t="n"/>
      <c r="BI222" s="152" t="n"/>
      <c r="BJ222" s="152" t="n"/>
      <c r="BK222" s="152" t="n"/>
      <c r="BL222" s="152" t="n"/>
      <c r="BM222" s="152" t="inlineStr">
        <is>
          <t>Yes</t>
        </is>
      </c>
      <c r="BN222" s="152" t="inlineStr">
        <is>
          <t>Not disclosed</t>
        </is>
      </c>
      <c r="BO222" s="156" t="inlineStr">
        <is>
          <t>Market: Academic research; frontier humanoid robotics R&amp;D; university robotics labs · Human-safe: Yes · AI: Yes — full NVIDIA Isaac GR00T integration: open Vision-Language-Action (VLA) foundation models, Isaac TeleOp, Isaac Sim, Isaac Lab, Isaac… · Actuation: Low-inertia high-speed inner-rotor permanent magnet synchronous motors · Peak 7 km/h · Walk 3 km/h · Runtime 3</t>
        </is>
      </c>
      <c r="BP222" s="152" t="n"/>
      <c r="BQ222" s="156" t="inlineStr">
        <is>
          <t>Academic research; frontier humanoid robotics R&amp;D; university robotics labs</t>
        </is>
      </c>
      <c r="BR222" s="156" t="inlineStr">
        <is>
          <t>Limited production / pilot deployments</t>
        </is>
      </c>
      <c r="BS222" s="156" t="inlineStr">
        <is>
          <t>Limited production / pilot deployments</t>
        </is>
      </c>
      <c r="BT222" s="152" t="n"/>
      <c r="BU222" s="152" t="n"/>
      <c r="BV222" s="156" t="n"/>
      <c r="BW222" s="156" t="inlineStr">
        <is>
          <t>Origin &amp; status — China · Limited production / pilot deployments · 2026 | Manipulation — 10 · 10 fingers · Hand DOF 44 · Payload 33.1 lb | Sensing &amp; software — Head binocular: 5 MP, FOV 140° H × 102° V, f/2.0, 2.67 mm focal length, 0.4 m–∞ depth, global shutter. Wrist (optional): 3 MP ultra-wide, FOV 196° H × 154°… | Buying notes — From $80,000 · 12 months manufacturer standard (typical research/commercial humanoid) · Best fit: Academic research</t>
        </is>
      </c>
      <c r="BX222" s="156" t="inlineStr">
        <is>
          <t>as_shipped|H2 Plus|80000|As shipped</t>
        </is>
      </c>
      <c r="BY222" s="152" t="inlineStr">
        <is>
          <t>h2_plus|Manufacturer finish|#e2e8f0|0</t>
        </is>
      </c>
      <c r="BZ222" s="152" t="inlineStr"/>
      <c r="CA222" s="156" t="n"/>
      <c r="CB222" s="156" t="inlineStr">
        <is>
          <t>12 months manufacturer standard (typical research/commercial humanoid)</t>
        </is>
      </c>
      <c r="CC222" s="154" t="n">
        <v>12</v>
      </c>
      <c r="CD222" s="156" t="inlineStr">
        <is>
          <t>+3 Year Extended ≈24% of configuration (default in configurator)</t>
        </is>
      </c>
      <c r="CE222" s="152" t="inlineStr">
        <is>
          <t>Humanoid category norm 2025–2026</t>
        </is>
      </c>
      <c r="CF222" s="152" t="inlineStr">
        <is>
          <t>Estimated</t>
        </is>
      </c>
      <c r="CG222" s="156" t="inlineStr">
        <is>
          <t>Confirm on formal OEM quote. EDU or enterprise packages may differ.</t>
        </is>
      </c>
      <c r="CH222" s="152" t="inlineStr">
        <is>
          <t>10%</t>
        </is>
      </c>
      <c r="CI222" s="152" t="inlineStr">
        <is>
          <t>17%</t>
        </is>
      </c>
      <c r="CJ222" s="152" t="inlineStr">
        <is>
          <t>24%</t>
        </is>
      </c>
      <c r="CK222" s="156" t="inlineStr">
        <is>
          <t>+1yr ≈10% | +2yr ≈17% | +3yr ≈24% of selected configuration price (parts &amp; labor beyond manufacturer standard).</t>
        </is>
      </c>
      <c r="CL222"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22" s="152" t="inlineStr">
        <is>
          <t>12 months manufacturer standard (typical research/commercial humanoid)</t>
        </is>
      </c>
      <c r="CQ222" s="101" t="inlineStr">
        <is>
          <t>Height: 5 ft 11 in | Weight: 149.9 | Degrees of Freedom: 75 | Payload: 33.1 | Max Speed: 4.35 | Battery / Runtime: ≈ 3 hours</t>
        </is>
      </c>
    </row>
    <row r="223" ht="31.5" customHeight="1" s="102">
      <c r="A223" s="145" t="inlineStr">
        <is>
          <t>unitree_robotics_superman</t>
        </is>
      </c>
      <c r="B223" s="153" t="inlineStr">
        <is>
          <t>Humanoid.guide</t>
        </is>
      </c>
      <c r="C223" s="145" t="inlineStr">
        <is>
          <t>Unitree</t>
        </is>
      </c>
      <c r="D223" s="145" t="inlineStr">
        <is>
          <t>Superman</t>
        </is>
      </c>
      <c r="E223" s="145" t="inlineStr">
        <is>
          <t>[Unitree] Superman (2026)</t>
        </is>
      </c>
      <c r="F223" s="146" t="inlineStr">
        <is>
          <t>humanoid</t>
        </is>
      </c>
      <c r="G223" s="145" t="inlineStr">
        <is>
          <t>China</t>
        </is>
      </c>
      <c r="H223" s="147" t="n">
        <v>2026</v>
      </c>
      <c r="I223" s="148" t="n">
        <v>55000</v>
      </c>
      <c r="J223" s="145" t="inlineStr">
        <is>
          <t>Humanoid.guide list</t>
        </is>
      </c>
      <c r="K223" s="149" t="inlineStr">
        <is>
          <t>Superman is Unitree’s high-dynamic humanoid demonstrator, revealed August 2026. It jumps around 2 m from standing and sprints at 12.66 m/s — beating both human world records.</t>
        </is>
      </c>
      <c r="L223" s="101" t="inlineStr">
        <is>
          <t>Superman is Unitree’s high-dynamic humanoid demonstrator, revealed August 2026. It jumps around 2 m from standing and sprints at 12.66 m/s — beating both human world records.</t>
        </is>
      </c>
      <c r="M223" s="101" t="inlineStr">
        <is>
          <t>Superman is Unitree’s high-dynamic humanoid demonstrator, revealed August 2026. It jumps around 2 m from standing and sprints at 12.66 m/s — beating both human world records. Public status is listed as prototype, and it is positioned for research; technology demonstration.</t>
        </is>
      </c>
      <c r="N223" s="150" t="inlineStr">
        <is>
          <t>https://humanoid.guide/product/superman/</t>
        </is>
      </c>
      <c r="O223" s="150" t="inlineStr">
        <is>
          <t>https://www.unitree.com</t>
        </is>
      </c>
      <c r="P223" s="145" t="inlineStr">
        <is>
          <t>5 ft 7 in</t>
        </is>
      </c>
      <c r="Q223" s="145" t="n">
        <v>170</v>
      </c>
      <c r="R223" s="145" t="n">
        <v>99.2</v>
      </c>
      <c r="S223" s="145" t="n">
        <v>45</v>
      </c>
      <c r="T223" s="149" t="inlineStr">
        <is>
          <t>Not disclosed</t>
        </is>
      </c>
      <c r="U223" s="145" t="n"/>
      <c r="V223" s="145" t="inlineStr">
        <is>
          <t>20</t>
        </is>
      </c>
      <c r="W223" s="149" t="inlineStr">
        <is>
          <t>0</t>
        </is>
      </c>
      <c r="X223" s="145" t="n">
        <v>13.2</v>
      </c>
      <c r="Y223" s="145" t="n">
        <v>6</v>
      </c>
      <c r="Z223" s="145" t="n">
        <v>28.33</v>
      </c>
      <c r="AA223" s="145" t="n">
        <v>45.6</v>
      </c>
      <c r="AB223" s="145" t="n">
        <v>5</v>
      </c>
      <c r="AC223" s="149" t="inlineStr">
        <is>
          <t>≈ 1.5 hours</t>
        </is>
      </c>
      <c r="AD223" s="149" t="inlineStr">
        <is>
          <t>1.5</t>
        </is>
      </c>
      <c r="AE223" s="145" t="n"/>
      <c r="AF223" s="145" t="inlineStr">
        <is>
          <t>Not disclosed</t>
        </is>
      </c>
      <c r="AG223" s="149" t="inlineStr">
        <is>
          <t>0</t>
        </is>
      </c>
      <c r="AH223" s="145" t="inlineStr">
        <is>
          <t>0</t>
        </is>
      </c>
      <c r="AI223" s="145" t="n"/>
      <c r="AJ223" s="149" t="inlineStr">
        <is>
          <t>Not disclosed</t>
        </is>
      </c>
      <c r="AK223" s="149" t="n"/>
      <c r="AL223" s="145" t="inlineStr">
        <is>
          <t>Not disclosed</t>
        </is>
      </c>
      <c r="AM223" s="145" t="n"/>
      <c r="AN223" s="145" t="inlineStr">
        <is>
          <t>Not disclosed</t>
        </is>
      </c>
      <c r="AO223" s="145" t="inlineStr">
        <is>
          <t>Not disclosed</t>
        </is>
      </c>
      <c r="AP223" s="145" t="inlineStr">
        <is>
          <t>Not disclosed</t>
        </is>
      </c>
      <c r="AQ223" s="145" t="inlineStr">
        <is>
          <t>Not disclosed</t>
        </is>
      </c>
      <c r="AR223" s="145" t="n"/>
      <c r="AS223" s="145" t="n"/>
      <c r="AT223" s="149" t="inlineStr">
        <is>
          <t>NVIDIA</t>
        </is>
      </c>
      <c r="AU223" s="149" t="inlineStr">
        <is>
          <t>Bluetooth 5.2; Ethernet; Wi-Fi 6</t>
        </is>
      </c>
      <c r="AV223" s="145" t="inlineStr">
        <is>
          <t>Not disclosed</t>
        </is>
      </c>
      <c r="AW223" s="149" t="inlineStr">
        <is>
          <t>Not disclosed</t>
        </is>
      </c>
      <c r="AX223" s="145" t="n"/>
      <c r="AY223" s="149" t="inlineStr">
        <is>
          <t>Unitree SDK with ROS 2 support</t>
        </is>
      </c>
      <c r="AZ223" s="149" t="inlineStr">
        <is>
          <t>Not disclosed</t>
        </is>
      </c>
      <c r="BA223" s="149" t="n"/>
      <c r="BB223" s="149" t="inlineStr">
        <is>
          <t>Unitree in-house high-torque-density PMSM joint motors</t>
        </is>
      </c>
      <c r="BC223" s="149" t="inlineStr">
        <is>
          <t>Planetary reduction / quasi-direct drive</t>
        </is>
      </c>
      <c r="BD223" s="145" t="inlineStr">
        <is>
          <t>Aluminium alloy with carbon fibre</t>
        </is>
      </c>
      <c r="BE223" s="145" t="inlineStr">
        <is>
          <t>Not disclosed</t>
        </is>
      </c>
      <c r="BF223" s="145" t="n"/>
      <c r="BG223" s="145" t="n"/>
      <c r="BH223" s="145" t="n"/>
      <c r="BI223" s="145" t="n"/>
      <c r="BJ223" s="145" t="n"/>
      <c r="BK223" s="145" t="n"/>
      <c r="BL223" s="145" t="n"/>
      <c r="BM223" s="145" t="inlineStr">
        <is>
          <t>Yes</t>
        </is>
      </c>
      <c r="BN223" s="145" t="inlineStr">
        <is>
          <t>Not disclosed</t>
        </is>
      </c>
      <c r="BO223" s="149" t="inlineStr">
        <is>
          <t>Market: Research; technology demonstration · Human-safe: Yes · Actuation: Unitree in-house high-torque-density PMSM joint motors · Peak 45.6 km/h · Walk 5 km/h · Runtime 1.5</t>
        </is>
      </c>
      <c r="BP223" s="145" t="n"/>
      <c r="BQ223" s="149" t="inlineStr">
        <is>
          <t>Research; technology demonstration</t>
        </is>
      </c>
      <c r="BR223" s="149" t="inlineStr">
        <is>
          <t>Prototype</t>
        </is>
      </c>
      <c r="BS223" s="149" t="inlineStr">
        <is>
          <t>Prototype</t>
        </is>
      </c>
      <c r="BT223" s="145" t="n"/>
      <c r="BU223" s="145" t="n"/>
      <c r="BV223" s="149" t="n"/>
      <c r="BW223" s="149" t="inlineStr">
        <is>
          <t>Origin &amp; status — China · Prototype · 2026 | Manipulation — 0 · 0 fingers · Hand DOF 0 · Payload 13.2 lb | Sensing &amp; software — Unitree SDK with ROS 2 support | Buying notes — From $55,000 · 12 months manufacturer standard (typical research/commercial humanoid) · Best fit: Research</t>
        </is>
      </c>
      <c r="BX223" s="149" t="inlineStr">
        <is>
          <t>as_shipped|Superman|55000|As shipped</t>
        </is>
      </c>
      <c r="BY223" s="145" t="inlineStr">
        <is>
          <t>superman|Manufacturer finish|#e2e8f0|0</t>
        </is>
      </c>
      <c r="BZ223" s="145" t="inlineStr"/>
      <c r="CA223" s="149" t="n"/>
      <c r="CB223" s="149" t="inlineStr">
        <is>
          <t>12 months manufacturer standard (typical research/commercial humanoid)</t>
        </is>
      </c>
      <c r="CC223" s="147" t="n">
        <v>12</v>
      </c>
      <c r="CD223" s="149" t="inlineStr">
        <is>
          <t>+3 Year Extended ≈24% of configuration (default in configurator)</t>
        </is>
      </c>
      <c r="CE223" s="145" t="inlineStr">
        <is>
          <t>Humanoid category norm 2025–2026</t>
        </is>
      </c>
      <c r="CF223" s="145" t="inlineStr">
        <is>
          <t>Estimated</t>
        </is>
      </c>
      <c r="CG223" s="149" t="inlineStr">
        <is>
          <t>Confirm on formal OEM quote. EDU or enterprise packages may differ.</t>
        </is>
      </c>
      <c r="CH223" s="145" t="inlineStr">
        <is>
          <t>10%</t>
        </is>
      </c>
      <c r="CI223" s="145" t="inlineStr">
        <is>
          <t>17%</t>
        </is>
      </c>
      <c r="CJ223" s="145" t="inlineStr">
        <is>
          <t>24%</t>
        </is>
      </c>
      <c r="CK223" s="149" t="inlineStr">
        <is>
          <t>+1yr ≈10% | +2yr ≈17% | +3yr ≈24% of selected configuration price (parts &amp; labor beyond manufacturer standard).</t>
        </is>
      </c>
      <c r="CL223"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23" s="145" t="inlineStr">
        <is>
          <t>12 months manufacturer standard (typical research/commercial humanoid)</t>
        </is>
      </c>
      <c r="CQ223" s="101" t="inlineStr">
        <is>
          <t>Height: 5 ft 7 in | Weight: 99.2 | Degrees of Freedom: 20 | Payload: 13.2 | Max Speed: 28.33 | Battery / Runtime: ≈ 1.5 hours</t>
        </is>
      </c>
    </row>
    <row r="224" ht="31.5" customHeight="1" s="102">
      <c r="A224" s="152" t="inlineStr">
        <is>
          <t>unix_group_martian</t>
        </is>
      </c>
      <c r="B224" s="153" t="inlineStr">
        <is>
          <t>Humanoid.guide</t>
        </is>
      </c>
      <c r="C224" s="152" t="inlineStr">
        <is>
          <t>Unix Group</t>
        </is>
      </c>
      <c r="D224" s="152" t="inlineStr">
        <is>
          <t>Martian</t>
        </is>
      </c>
      <c r="E224" s="152" t="inlineStr">
        <is>
          <t>[Unix Group] Martian (2026)</t>
        </is>
      </c>
      <c r="F224" s="146" t="inlineStr">
        <is>
          <t>humanoid</t>
        </is>
      </c>
      <c r="G224" s="152" t="inlineStr">
        <is>
          <t>China</t>
        </is>
      </c>
      <c r="H224" s="152" t="n"/>
      <c r="I224" s="155" t="n">
        <v>125000</v>
      </c>
      <c r="J224" s="152" t="inlineStr">
        <is>
          <t>Humanoid.guide list</t>
        </is>
      </c>
      <c r="K224" s="156" t="inlineStr">
        <is>
          <t>Martian is Unix Group's humanoid — 5 ft 3 in class, 16 DOF, 110.2 lb payload. 5 per hand; onboard AI: Yes.</t>
        </is>
      </c>
      <c r="L224" s="101" t="inlineStr">
        <is>
          <t>Martian is Unix Group's humanoid — 5 ft 3 in class, 16 DOF, 110.2 lb payload. 5 per hand; onboard AI: Yes.</t>
        </is>
      </c>
      <c r="M224" s="101" t="inlineStr">
        <is>
          <t>Martian is Unix Group's humanoid — 5 ft 3 in class, 16 DOF, 110.2 lb payload. 5 per hand; onboard AI: Yes. Public status is listed as prototype, and it is positioned for home Service, Office / Mall, Reception &amp; Guiding, Autonomous Intelligence.</t>
        </is>
      </c>
      <c r="N224" s="157" t="inlineStr">
        <is>
          <t>https://humanoid.guide/product/martian/</t>
        </is>
      </c>
      <c r="O224" s="157" t="inlineStr">
        <is>
          <t>https://www.unix-group.ai</t>
        </is>
      </c>
      <c r="P224" s="152" t="inlineStr">
        <is>
          <t>5 ft 3 in</t>
        </is>
      </c>
      <c r="Q224" s="152" t="n">
        <v>160</v>
      </c>
      <c r="R224" s="152" t="n">
        <v>110.2</v>
      </c>
      <c r="S224" s="152" t="n">
        <v>50</v>
      </c>
      <c r="T224" s="156" t="inlineStr">
        <is>
          <t>Not disclosed</t>
        </is>
      </c>
      <c r="U224" s="152" t="n"/>
      <c r="V224" s="152" t="inlineStr">
        <is>
          <t>16</t>
        </is>
      </c>
      <c r="W224" s="156" t="inlineStr">
        <is>
          <t>7 per arm</t>
        </is>
      </c>
      <c r="X224" s="152" t="n">
        <v>110.2</v>
      </c>
      <c r="Y224" s="152" t="n">
        <v>50</v>
      </c>
      <c r="Z224" s="152" t="n">
        <v>6.21</v>
      </c>
      <c r="AA224" s="152" t="n">
        <v>10</v>
      </c>
      <c r="AB224" s="152" t="n">
        <v>5</v>
      </c>
      <c r="AC224" s="156" t="inlineStr">
        <is>
          <t>≈ 9 hours</t>
        </is>
      </c>
      <c r="AD224" s="156" t="inlineStr">
        <is>
          <t>9</t>
        </is>
      </c>
      <c r="AE224" s="152" t="n"/>
      <c r="AF224" s="152" t="inlineStr">
        <is>
          <t>Not disclosed</t>
        </is>
      </c>
      <c r="AG224" s="156" t="inlineStr">
        <is>
          <t>5 per hand</t>
        </is>
      </c>
      <c r="AH224" s="152" t="inlineStr">
        <is>
          <t>5 per hand</t>
        </is>
      </c>
      <c r="AI224" s="152" t="n"/>
      <c r="AJ224" s="156" t="inlineStr">
        <is>
          <t>Depth Camera + RGB*3 + IMU</t>
        </is>
      </c>
      <c r="AK224" s="156" t="inlineStr">
        <is>
          <t>Depth Camera + RGB*3 + IMU</t>
        </is>
      </c>
      <c r="AL224" s="152" t="inlineStr">
        <is>
          <t>Not disclosed</t>
        </is>
      </c>
      <c r="AM224" s="152" t="n"/>
      <c r="AN224" s="152" t="inlineStr">
        <is>
          <t>Not disclosed</t>
        </is>
      </c>
      <c r="AO224" s="152" t="inlineStr">
        <is>
          <t>Not disclosed</t>
        </is>
      </c>
      <c r="AP224" s="152" t="inlineStr">
        <is>
          <t>Not disclosed</t>
        </is>
      </c>
      <c r="AQ224" s="152" t="inlineStr">
        <is>
          <t>Not disclosed</t>
        </is>
      </c>
      <c r="AR224" s="152" t="n"/>
      <c r="AS224" s="152" t="n"/>
      <c r="AT224" s="156" t="inlineStr">
        <is>
          <t>100T Computing Power Platform 64GB Ram</t>
        </is>
      </c>
      <c r="AU224" s="156" t="inlineStr">
        <is>
          <t>5G; EtherCAT; Ethernet; Wi‑Fi</t>
        </is>
      </c>
      <c r="AV224" s="152" t="inlineStr">
        <is>
          <t>Not disclosed</t>
        </is>
      </c>
      <c r="AW224" s="156" t="inlineStr">
        <is>
          <t>Not disclosed</t>
        </is>
      </c>
      <c r="AX224" s="152" t="n"/>
      <c r="AY224" s="156" t="inlineStr">
        <is>
          <t>Not disclosed</t>
        </is>
      </c>
      <c r="AZ224" s="156" t="inlineStr">
        <is>
          <t>Yes</t>
        </is>
      </c>
      <c r="BA224" s="156" t="n"/>
      <c r="BB224" s="156" t="inlineStr">
        <is>
          <t>450 N.m Torque Motors</t>
        </is>
      </c>
      <c r="BC224" s="156" t="inlineStr">
        <is>
          <t>Not disclosed</t>
        </is>
      </c>
      <c r="BD224" s="152" t="inlineStr">
        <is>
          <t>Not disclosed</t>
        </is>
      </c>
      <c r="BE224" s="152" t="inlineStr">
        <is>
          <t>Not disclosed</t>
        </is>
      </c>
      <c r="BF224" s="152" t="n"/>
      <c r="BG224" s="152" t="n"/>
      <c r="BH224" s="152" t="n"/>
      <c r="BI224" s="152" t="n"/>
      <c r="BJ224" s="152" t="n"/>
      <c r="BK224" s="152" t="n"/>
      <c r="BL224" s="152" t="n"/>
      <c r="BM224" s="152" t="inlineStr">
        <is>
          <t>Yes</t>
        </is>
      </c>
      <c r="BN224" s="152" t="inlineStr">
        <is>
          <t>Not disclosed</t>
        </is>
      </c>
      <c r="BO224" s="156" t="inlineStr">
        <is>
          <t>Market: Home Service, Office / Mall, Reception &amp; Guiding, Autonomous Intelligence · Human-safe: Yes · AI: Yes · Actuation: 450 N.m Torque Motors · Peak 10 km/h · Walk 5 km/h · Runtime 9</t>
        </is>
      </c>
      <c r="BP224" s="152" t="n"/>
      <c r="BQ224" s="156" t="inlineStr">
        <is>
          <t>Home Service, Office / Mall, Reception &amp; Guiding, Autonomous Intelligence</t>
        </is>
      </c>
      <c r="BR224" s="156" t="inlineStr">
        <is>
          <t>Prototype</t>
        </is>
      </c>
      <c r="BS224" s="156" t="inlineStr">
        <is>
          <t>Prototype</t>
        </is>
      </c>
      <c r="BT224" s="152" t="inlineStr">
        <is>
          <t>Silver</t>
        </is>
      </c>
      <c r="BU224" s="152" t="inlineStr">
        <is>
          <t>Not verified</t>
        </is>
      </c>
      <c r="BV224" s="156" t="n"/>
      <c r="BW224" s="156" t="inlineStr">
        <is>
          <t>Origin &amp; status — China · Prototype · 2026 | Manipulation — 5 per hand · 5 per hand fingers · Hand DOF 7 per arm · Payload 110.2 lb | Sensing &amp; software — Depth Camera + RGB*3 + IMU · Yes | Buying notes — From $125,000 · 12 months manufacturer standard (typical research/commercial humanoid) · Best fit: Home Service, Office</t>
        </is>
      </c>
      <c r="BX224" s="156" t="inlineStr">
        <is>
          <t>as_shipped|Martian|125000|As shipped</t>
        </is>
      </c>
      <c r="BY224" s="152" t="inlineStr">
        <is>
          <t>silver|Silver|#e2e8f0|0</t>
        </is>
      </c>
      <c r="BZ224" s="152" t="inlineStr"/>
      <c r="CA224" s="156" t="n"/>
      <c r="CB224" s="156" t="inlineStr">
        <is>
          <t>12 months manufacturer standard (typical research/commercial humanoid)</t>
        </is>
      </c>
      <c r="CC224" s="154" t="n">
        <v>12</v>
      </c>
      <c r="CD224" s="156" t="inlineStr">
        <is>
          <t>+3 Year Extended ≈24% of configuration (default in configurator)</t>
        </is>
      </c>
      <c r="CE224" s="152" t="inlineStr">
        <is>
          <t>Humanoid category norm 2025–2026</t>
        </is>
      </c>
      <c r="CF224" s="152" t="inlineStr">
        <is>
          <t>Estimated</t>
        </is>
      </c>
      <c r="CG224" s="156" t="inlineStr">
        <is>
          <t>Confirm on formal OEM quote. EDU or enterprise packages may differ.</t>
        </is>
      </c>
      <c r="CH224" s="152" t="inlineStr">
        <is>
          <t>10%</t>
        </is>
      </c>
      <c r="CI224" s="152" t="inlineStr">
        <is>
          <t>17%</t>
        </is>
      </c>
      <c r="CJ224" s="152" t="inlineStr">
        <is>
          <t>24%</t>
        </is>
      </c>
      <c r="CK224" s="156" t="inlineStr">
        <is>
          <t>+1yr ≈10% | +2yr ≈17% | +3yr ≈24% of selected configuration price (parts &amp; labor beyond manufacturer standard).</t>
        </is>
      </c>
      <c r="CL224"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24" s="152" t="inlineStr">
        <is>
          <t>12 months manufacturer standard (typical research/commercial humanoid)</t>
        </is>
      </c>
      <c r="CQ224" s="101" t="inlineStr">
        <is>
          <t>Height: 5 ft 3 in | Weight: 110.2 | Degrees of Freedom: 16 | Payload: 110.2 | Max Speed: 6.21 | Battery / Runtime: ≈ 9 hours</t>
        </is>
      </c>
    </row>
    <row r="225" ht="31.5" customHeight="1" s="102">
      <c r="A225" s="145" t="inlineStr">
        <is>
          <t>unix_group_panther</t>
        </is>
      </c>
      <c r="B225" s="153" t="inlineStr">
        <is>
          <t>Humanoid.guide</t>
        </is>
      </c>
      <c r="C225" s="145" t="inlineStr">
        <is>
          <t>Unix Group</t>
        </is>
      </c>
      <c r="D225" s="145" t="inlineStr">
        <is>
          <t>Panther</t>
        </is>
      </c>
      <c r="E225" s="145" t="inlineStr">
        <is>
          <t>[Unix Group] Panther (2026)</t>
        </is>
      </c>
      <c r="F225" s="146" t="inlineStr">
        <is>
          <t>humanoid</t>
        </is>
      </c>
      <c r="G225" s="145" t="inlineStr">
        <is>
          <t>China</t>
        </is>
      </c>
      <c r="H225" s="145" t="n"/>
      <c r="I225" s="148" t="n">
        <v>115000</v>
      </c>
      <c r="J225" s="145" t="inlineStr">
        <is>
          <t>Humanoid.guide list</t>
        </is>
      </c>
      <c r="K225" s="149" t="inlineStr">
        <is>
          <t>Panther is Unix Group's humanoid — 5 ft 3 in class, 34 DOF, 26.5 lb payload. Biomimetic Two-Finger Gripper; onboard AI: Yes.</t>
        </is>
      </c>
      <c r="L225" s="101" t="inlineStr">
        <is>
          <t>Panther is Unix Group's humanoid — 5 ft 3 in class, 34 DOF, 26.5 lb payload. Biomimetic Two-Finger Gripper; onboard AI: Yes.</t>
        </is>
      </c>
      <c r="M225" s="101" t="inlineStr">
        <is>
          <t>Panther is Unix Group's humanoid — 5 ft 3 in class, 34 DOF, 26.5 lb payload. Biomimetic Two-Finger Gripper; onboard AI: Yes. Public status is listed as advanced prototype / pilot industrial deployment, and it is positioned for industrial logistics; Manufacturing; Warehouses.</t>
        </is>
      </c>
      <c r="N225" s="150" t="inlineStr">
        <is>
          <t>https://humanoid.guide/product/panther/</t>
        </is>
      </c>
      <c r="O225" s="150" t="inlineStr">
        <is>
          <t>https://www.unix-group.ai</t>
        </is>
      </c>
      <c r="P225" s="145" t="inlineStr">
        <is>
          <t>5 ft 3 in</t>
        </is>
      </c>
      <c r="Q225" s="145" t="n">
        <v>160</v>
      </c>
      <c r="R225" s="145" t="n"/>
      <c r="S225" s="145" t="n"/>
      <c r="T225" s="149" t="inlineStr">
        <is>
          <t>Not disclosed</t>
        </is>
      </c>
      <c r="U225" s="145" t="n"/>
      <c r="V225" s="145" t="inlineStr">
        <is>
          <t>34</t>
        </is>
      </c>
      <c r="W225" s="149" t="inlineStr">
        <is>
          <t>8 per arm</t>
        </is>
      </c>
      <c r="X225" s="145" t="n">
        <v>26.5</v>
      </c>
      <c r="Y225" s="145" t="n">
        <v>12</v>
      </c>
      <c r="Z225" s="145" t="n">
        <v>3.36</v>
      </c>
      <c r="AA225" s="145" t="n">
        <v>5.4</v>
      </c>
      <c r="AB225" s="145" t="n"/>
      <c r="AC225" s="149" t="inlineStr">
        <is>
          <t>8 - 16</t>
        </is>
      </c>
      <c r="AD225" s="149" t="inlineStr">
        <is>
          <t>8 - 16</t>
        </is>
      </c>
      <c r="AE225" s="145" t="n"/>
      <c r="AF225" s="145" t="inlineStr">
        <is>
          <t>Not disclosed</t>
        </is>
      </c>
      <c r="AG225" s="149" t="inlineStr">
        <is>
          <t>Biomimetic Two-Finger Gripper</t>
        </is>
      </c>
      <c r="AH225" s="145" t="inlineStr">
        <is>
          <t>Biomimetic Two-Finger Gripper</t>
        </is>
      </c>
      <c r="AI225" s="145" t="n"/>
      <c r="AJ225" s="149" t="inlineStr">
        <is>
          <t>Head mounted dual RGB &amp;RGBD Camera 6-Mic Circular Array</t>
        </is>
      </c>
      <c r="AK225" s="149" t="inlineStr">
        <is>
          <t>Head mounted dual RGB &amp;RGBD Camera 6-Mic Circular Array</t>
        </is>
      </c>
      <c r="AL225" s="145" t="inlineStr">
        <is>
          <t>Not disclosed</t>
        </is>
      </c>
      <c r="AM225" s="145" t="n"/>
      <c r="AN225" s="145" t="inlineStr">
        <is>
          <t>Not disclosed</t>
        </is>
      </c>
      <c r="AO225" s="145" t="inlineStr">
        <is>
          <t>Not disclosed</t>
        </is>
      </c>
      <c r="AP225" s="145" t="inlineStr">
        <is>
          <t>Not disclosed</t>
        </is>
      </c>
      <c r="AQ225" s="145" t="inlineStr">
        <is>
          <t>Not disclosed</t>
        </is>
      </c>
      <c r="AR225" s="145" t="n"/>
      <c r="AS225" s="145" t="n"/>
      <c r="AT225" s="149" t="inlineStr">
        <is>
          <t>Powerful Edge Computing (Up To 2070 TOPS)</t>
        </is>
      </c>
      <c r="AU225" s="149" t="inlineStr">
        <is>
          <t>5G; EtherCAT; Wi‑Fi</t>
        </is>
      </c>
      <c r="AV225" s="145" t="inlineStr">
        <is>
          <t>Not disclosed</t>
        </is>
      </c>
      <c r="AW225" s="149" t="inlineStr">
        <is>
          <t>Not disclosed</t>
        </is>
      </c>
      <c r="AX225" s="145" t="n"/>
      <c r="AY225" s="149" t="inlineStr">
        <is>
          <t>Not disclosed</t>
        </is>
      </c>
      <c r="AZ225" s="149" t="inlineStr">
        <is>
          <t>Yes</t>
        </is>
      </c>
      <c r="BA225" s="149" t="inlineStr">
        <is>
          <t>Estimated under 100 ms (edge processed)</t>
        </is>
      </c>
      <c r="BB225" s="149" t="inlineStr">
        <is>
          <t>Not disclosed</t>
        </is>
      </c>
      <c r="BC225" s="149" t="inlineStr">
        <is>
          <t>Not disclosed</t>
        </is>
      </c>
      <c r="BD225" s="145" t="inlineStr">
        <is>
          <t>Aluminum alloy frame with composite outer shell</t>
        </is>
      </c>
      <c r="BE225" s="145" t="inlineStr">
        <is>
          <t>Not disclosed</t>
        </is>
      </c>
      <c r="BF225" s="145" t="n"/>
      <c r="BG225" s="145" t="n"/>
      <c r="BH225" s="145" t="n"/>
      <c r="BI225" s="145" t="n"/>
      <c r="BJ225" s="145" t="n"/>
      <c r="BK225" s="145" t="n"/>
      <c r="BL225" s="145" t="n"/>
      <c r="BM225" s="145" t="inlineStr">
        <is>
          <t>Yes</t>
        </is>
      </c>
      <c r="BN225" s="145" t="inlineStr">
        <is>
          <t>Not disclosed</t>
        </is>
      </c>
      <c r="BO225" s="149" t="inlineStr">
        <is>
          <t>Market: Industrial logistics; Manufacturing; Warehouses · Human-safe: Yes · AI: Yes · Peak 5.4 km/h · Runtime 8 - 16</t>
        </is>
      </c>
      <c r="BP225" s="145" t="n"/>
      <c r="BQ225" s="149" t="inlineStr">
        <is>
          <t>Industrial logistics; Manufacturing; Warehouses</t>
        </is>
      </c>
      <c r="BR225" s="149" t="inlineStr">
        <is>
          <t>Advanced prototype / pilot industrial deployment</t>
        </is>
      </c>
      <c r="BS225" s="149" t="inlineStr">
        <is>
          <t>Advanced prototype / pilot industrial deployment</t>
        </is>
      </c>
      <c r="BT225" s="145" t="inlineStr">
        <is>
          <t>Grey</t>
        </is>
      </c>
      <c r="BU225" s="145" t="inlineStr">
        <is>
          <t>Not verified</t>
        </is>
      </c>
      <c r="BV225" s="149" t="n"/>
      <c r="BW225" s="149" t="inlineStr">
        <is>
          <t>Origin &amp; status — China · Advanced prototype / pilot industrial deployment · 2026 | Manipulation — Biomimetic Two-Finger Gripper · Hand DOF 8 per arm · Payload 26.5 lb | Sensing &amp; software — Head mounted dual RGB &amp;RGBD Camera 6-Mic Circular Array · Yes | Buying notes — From $115,000 · 12 months manufacturer standard (typical research/commercial humanoid) · Best fit: Industrial logistics</t>
        </is>
      </c>
      <c r="BX225" s="149" t="inlineStr">
        <is>
          <t>as_shipped|Panther|115000|As shipped</t>
        </is>
      </c>
      <c r="BY225" s="145" t="inlineStr">
        <is>
          <t>grey|Grey|#e2e8f0|0</t>
        </is>
      </c>
      <c r="BZ225" s="145" t="inlineStr"/>
      <c r="CA225" s="149" t="n"/>
      <c r="CB225" s="149" t="inlineStr">
        <is>
          <t>12 months manufacturer standard (typical research/commercial humanoid)</t>
        </is>
      </c>
      <c r="CC225" s="147" t="n">
        <v>12</v>
      </c>
      <c r="CD225" s="149" t="inlineStr">
        <is>
          <t>+3 Year Extended ≈24% of configuration (default in configurator)</t>
        </is>
      </c>
      <c r="CE225" s="145" t="inlineStr">
        <is>
          <t>Humanoid category norm 2025–2026</t>
        </is>
      </c>
      <c r="CF225" s="145" t="inlineStr">
        <is>
          <t>Estimated</t>
        </is>
      </c>
      <c r="CG225" s="149" t="inlineStr">
        <is>
          <t>Confirm on formal OEM quote. EDU or enterprise packages may differ.</t>
        </is>
      </c>
      <c r="CH225" s="145" t="inlineStr">
        <is>
          <t>10%</t>
        </is>
      </c>
      <c r="CI225" s="145" t="inlineStr">
        <is>
          <t>17%</t>
        </is>
      </c>
      <c r="CJ225" s="145" t="inlineStr">
        <is>
          <t>24%</t>
        </is>
      </c>
      <c r="CK225" s="149" t="inlineStr">
        <is>
          <t>+1yr ≈10% | +2yr ≈17% | +3yr ≈24% of selected configuration price (parts &amp; labor beyond manufacturer standard).</t>
        </is>
      </c>
      <c r="CL22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25" s="145" t="inlineStr">
        <is>
          <t>12 months manufacturer standard (typical research/commercial humanoid)</t>
        </is>
      </c>
      <c r="CQ225" s="101" t="inlineStr">
        <is>
          <t>Height: 5 ft 3 in | Weight: Not disclosed | Degrees of Freedom: 34 | Payload: 26.5 | Max Speed: 3.36 | Battery / Runtime: 8 - 16</t>
        </is>
      </c>
    </row>
    <row r="226" ht="31.5" customHeight="1" s="102">
      <c r="A226" s="152" t="inlineStr">
        <is>
          <t>unix_group_wanda_2_0</t>
        </is>
      </c>
      <c r="B226" s="153" t="inlineStr">
        <is>
          <t>Humanoid.guide</t>
        </is>
      </c>
      <c r="C226" s="152" t="inlineStr">
        <is>
          <t>Unix Group</t>
        </is>
      </c>
      <c r="D226" s="152" t="inlineStr">
        <is>
          <t>Wanda 2.0</t>
        </is>
      </c>
      <c r="E226" s="152" t="inlineStr">
        <is>
          <t>[Unix Group] Wanda 2.0 (2026)</t>
        </is>
      </c>
      <c r="F226" s="146" t="inlineStr">
        <is>
          <t>humanoid</t>
        </is>
      </c>
      <c r="G226" s="152" t="inlineStr">
        <is>
          <t>China</t>
        </is>
      </c>
      <c r="H226" s="152" t="n"/>
      <c r="I226" s="155" t="n">
        <v>120000</v>
      </c>
      <c r="J226" s="152" t="inlineStr">
        <is>
          <t>Humanoid.guide list</t>
        </is>
      </c>
      <c r="K226" s="156" t="inlineStr">
        <is>
          <t>Wanda 2.0 is an advanced humanoid robot designed for industrial research and collaborative automation.</t>
        </is>
      </c>
      <c r="L226" s="101" t="inlineStr">
        <is>
          <t>Wanda 2.0 is an advanced humanoid robot designed for industrial research and collaborative automation.</t>
        </is>
      </c>
      <c r="M226" s="101" t="inlineStr">
        <is>
          <t>Wanda 2.0 is an advanced humanoid robot designed for industrial research and collaborative automation. Public status is listed as in production, and it is positioned for industrial automation; logistics; Manufacturing.</t>
        </is>
      </c>
      <c r="N226" s="157" t="inlineStr">
        <is>
          <t>https://humanoid.guide/product/wanda-2-0/</t>
        </is>
      </c>
      <c r="O226" s="157" t="inlineStr">
        <is>
          <t>https://www.unix-group.ai</t>
        </is>
      </c>
      <c r="P226" s="152" t="inlineStr">
        <is>
          <t>4 ft 8 in</t>
        </is>
      </c>
      <c r="Q226" s="152" t="n">
        <v>142</v>
      </c>
      <c r="R226" s="152" t="n"/>
      <c r="S226" s="152" t="n"/>
      <c r="T226" s="156" t="inlineStr">
        <is>
          <t>Not disclosed</t>
        </is>
      </c>
      <c r="U226" s="152" t="n"/>
      <c r="V226" s="152" t="inlineStr">
        <is>
          <t>22</t>
        </is>
      </c>
      <c r="W226" s="156" t="inlineStr">
        <is>
          <t>8 per arm</t>
        </is>
      </c>
      <c r="X226" s="152" t="n">
        <v>26.5</v>
      </c>
      <c r="Y226" s="152" t="n">
        <v>12</v>
      </c>
      <c r="Z226" s="152" t="n">
        <v>3.36</v>
      </c>
      <c r="AA226" s="152" t="n">
        <v>5.4</v>
      </c>
      <c r="AB226" s="152" t="n"/>
      <c r="AC226" s="156" t="inlineStr">
        <is>
          <t>8 - 16</t>
        </is>
      </c>
      <c r="AD226" s="156" t="inlineStr">
        <is>
          <t>8 - 16</t>
        </is>
      </c>
      <c r="AE226" s="152" t="n"/>
      <c r="AF226" s="152" t="inlineStr">
        <is>
          <t>Not disclosed</t>
        </is>
      </c>
      <c r="AG226" s="156" t="inlineStr">
        <is>
          <t>2-finger gripping claws</t>
        </is>
      </c>
      <c r="AH226" s="152" t="inlineStr">
        <is>
          <t>2-finger gripping claws</t>
        </is>
      </c>
      <c r="AI226" s="152" t="n"/>
      <c r="AJ226" s="156" t="inlineStr">
        <is>
          <t>RGBD Cameras</t>
        </is>
      </c>
      <c r="AK226" s="156" t="inlineStr">
        <is>
          <t>RGBD Cameras</t>
        </is>
      </c>
      <c r="AL226" s="152" t="inlineStr">
        <is>
          <t>Not disclosed</t>
        </is>
      </c>
      <c r="AM226" s="152" t="n"/>
      <c r="AN226" s="152" t="inlineStr">
        <is>
          <t>Not disclosed</t>
        </is>
      </c>
      <c r="AO226" s="152" t="inlineStr">
        <is>
          <t>Not disclosed</t>
        </is>
      </c>
      <c r="AP226" s="152" t="inlineStr">
        <is>
          <t>Not disclosed</t>
        </is>
      </c>
      <c r="AQ226" s="152" t="inlineStr">
        <is>
          <t>Not disclosed</t>
        </is>
      </c>
      <c r="AR226" s="152" t="n"/>
      <c r="AS226" s="152" t="n"/>
      <c r="AT226" s="156" t="inlineStr">
        <is>
          <t>Not disclosed</t>
        </is>
      </c>
      <c r="AU226" s="156" t="inlineStr">
        <is>
          <t>5G; Ethernet; Wi‑Fi</t>
        </is>
      </c>
      <c r="AV226" s="152" t="inlineStr">
        <is>
          <t>Not disclosed</t>
        </is>
      </c>
      <c r="AW226" s="156" t="inlineStr">
        <is>
          <t>Not disclosed</t>
        </is>
      </c>
      <c r="AX226" s="152" t="n"/>
      <c r="AY226" s="156" t="inlineStr">
        <is>
          <t>Linux-based robotics framework (likely ROS/ROS2)</t>
        </is>
      </c>
      <c r="AZ226" s="156" t="inlineStr">
        <is>
          <t>Yes</t>
        </is>
      </c>
      <c r="BA226" s="156" t="n"/>
      <c r="BB226" s="156" t="inlineStr">
        <is>
          <t>Electric servo motors</t>
        </is>
      </c>
      <c r="BC226" s="156" t="inlineStr">
        <is>
          <t>Harmonic drives or planetary gear systems</t>
        </is>
      </c>
      <c r="BD226" s="152" t="inlineStr">
        <is>
          <t>Aluminum alloy with composite covers</t>
        </is>
      </c>
      <c r="BE226" s="152" t="inlineStr">
        <is>
          <t>Not disclosed</t>
        </is>
      </c>
      <c r="BF226" s="152" t="n"/>
      <c r="BG226" s="152" t="n"/>
      <c r="BH226" s="152" t="n"/>
      <c r="BI226" s="152" t="n"/>
      <c r="BJ226" s="152" t="n"/>
      <c r="BK226" s="152" t="n"/>
      <c r="BL226" s="152" t="n"/>
      <c r="BM226" s="152" t="inlineStr">
        <is>
          <t>Yes</t>
        </is>
      </c>
      <c r="BN226" s="152" t="inlineStr">
        <is>
          <t>Not disclosed</t>
        </is>
      </c>
      <c r="BO226" s="156" t="inlineStr">
        <is>
          <t>Market: Industrial automation; logistics; Manufacturing · Human-safe: Yes · AI: Yes · Actuation: Electric servo motors · Peak 5.4 km/h · Runtime 8 - 16</t>
        </is>
      </c>
      <c r="BP226" s="152" t="n"/>
      <c r="BQ226" s="156" t="inlineStr">
        <is>
          <t>Industrial automation; logistics; Manufacturing</t>
        </is>
      </c>
      <c r="BR226" s="156" t="inlineStr">
        <is>
          <t>In production</t>
        </is>
      </c>
      <c r="BS226" s="156" t="inlineStr">
        <is>
          <t>In production</t>
        </is>
      </c>
      <c r="BT226" s="152" t="inlineStr">
        <is>
          <t>White</t>
        </is>
      </c>
      <c r="BU226" s="152" t="inlineStr">
        <is>
          <t>Not verified</t>
        </is>
      </c>
      <c r="BV226" s="156" t="n"/>
      <c r="BW226" s="156" t="inlineStr">
        <is>
          <t>Origin &amp; status — China · In production · 2026 | Manipulation — 2-finger gripping claws · Hand DOF 8 per arm · Payload 26.5 lb | Sensing &amp; software — RGBD Cameras · Yes · Linux-based robotics framework (likely ROS/ROS2) | Buying notes — From $120,000 · 12 months manufacturer standard (typical research/commercial humanoid) · Best fit: Industrial automation</t>
        </is>
      </c>
      <c r="BX226" s="156" t="inlineStr">
        <is>
          <t>as_shipped|Wanda 2.0|120000|As shipped</t>
        </is>
      </c>
      <c r="BY226" s="152" t="inlineStr">
        <is>
          <t>white|White|#e2e8f0|0</t>
        </is>
      </c>
      <c r="BZ226" s="152" t="inlineStr"/>
      <c r="CA226" s="156" t="n"/>
      <c r="CB226" s="156" t="inlineStr">
        <is>
          <t>12 months manufacturer standard (typical research/commercial humanoid)</t>
        </is>
      </c>
      <c r="CC226" s="154" t="n">
        <v>12</v>
      </c>
      <c r="CD226" s="156" t="inlineStr">
        <is>
          <t>+3 Year Extended ≈24% of configuration (default in configurator)</t>
        </is>
      </c>
      <c r="CE226" s="152" t="inlineStr">
        <is>
          <t>Humanoid category norm 2025–2026</t>
        </is>
      </c>
      <c r="CF226" s="152" t="inlineStr">
        <is>
          <t>Estimated</t>
        </is>
      </c>
      <c r="CG226" s="156" t="inlineStr">
        <is>
          <t>Confirm on formal OEM quote. EDU or enterprise packages may differ.</t>
        </is>
      </c>
      <c r="CH226" s="152" t="inlineStr">
        <is>
          <t>10%</t>
        </is>
      </c>
      <c r="CI226" s="152" t="inlineStr">
        <is>
          <t>17%</t>
        </is>
      </c>
      <c r="CJ226" s="152" t="inlineStr">
        <is>
          <t>24%</t>
        </is>
      </c>
      <c r="CK226" s="156" t="inlineStr">
        <is>
          <t>+1yr ≈10% | +2yr ≈17% | +3yr ≈24% of selected configuration price (parts &amp; labor beyond manufacturer standard).</t>
        </is>
      </c>
      <c r="CL226"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26" s="152" t="inlineStr">
        <is>
          <t>12 months manufacturer standard (typical research/commercial humanoid)</t>
        </is>
      </c>
      <c r="CQ226" s="101" t="inlineStr">
        <is>
          <t>Height: 4 ft 8 in | Weight: Not disclosed | Degrees of Freedom: 22 | Payload: 26.5 | Max Speed: 3.36 | Battery / Runtime: 8 - 16</t>
        </is>
      </c>
    </row>
    <row r="227" ht="31.5" customHeight="1" s="102">
      <c r="A227" s="143" t="inlineStr">
        <is>
          <t>vindynamics_vingroup_dyno</t>
        </is>
      </c>
      <c r="B227" s="160" t="inlineStr">
        <is>
          <t>Website</t>
        </is>
      </c>
      <c r="C227" s="145" t="inlineStr">
        <is>
          <t>VinDynamics</t>
        </is>
      </c>
      <c r="D227" s="145" t="inlineStr">
        <is>
          <t>Dyno</t>
        </is>
      </c>
      <c r="E227" s="145" t="inlineStr">
        <is>
          <t>[VinDynamics] Dyno (2025)</t>
        </is>
      </c>
      <c r="F227" s="146" t="inlineStr">
        <is>
          <t>humanoid</t>
        </is>
      </c>
      <c r="G227" s="145" t="inlineStr">
        <is>
          <t>Vietnam</t>
        </is>
      </c>
      <c r="H227" s="147" t="n">
        <v>2025</v>
      </c>
      <c r="I227" s="148" t="n">
        <v>50000</v>
      </c>
      <c r="J227" s="145" t="inlineStr">
        <is>
          <t>Website store</t>
        </is>
      </c>
      <c r="K227" s="149" t="inlineStr">
        <is>
          <t>Dyno is VinDynamics's humanoid — Not disclosed DOF. Grippers or dexterous hands depending on configuration; RGB and/or depth cameras for navigation and manipulation (configuration specific).</t>
        </is>
      </c>
      <c r="L227" s="101" t="inlineStr">
        <is>
          <t>Dyno is VinDynamics's humanoid — Not disclosed DOF. Grippers or dexterous hands depending on configuration; RGB and/or depth cameras for navigation and manipulation (configuration specific).</t>
        </is>
      </c>
      <c r="M227" s="101" t="inlineStr">
        <is>
          <t>Dyno is VinDynamics's humanoid — Not disclosed DOF. Grippers or dexterous hands depending on configuration; RGB and/or depth cameras for navigation and manipulation (configuration specific). Public status is listed as prototype / Global debut, and it is positioned for service / Security / Guide / Household assistant.</t>
        </is>
      </c>
      <c r="N227" s="145" t="n"/>
      <c r="O227" s="145" t="inlineStr">
        <is>
          <t>https://vindynamics.net</t>
        </is>
      </c>
      <c r="P227" s="145" t="n"/>
      <c r="Q227" s="145" t="n"/>
      <c r="R227" s="145" t="n"/>
      <c r="S227" s="145" t="n"/>
      <c r="T227" s="149" t="inlineStr">
        <is>
          <t>Not disclosed</t>
        </is>
      </c>
      <c r="U227" s="145" t="n"/>
      <c r="V227" s="145" t="inlineStr">
        <is>
          <t>Not disclosed</t>
        </is>
      </c>
      <c r="W227" s="149" t="inlineStr">
        <is>
          <t>Not disclosed</t>
        </is>
      </c>
      <c r="X227" s="145" t="n"/>
      <c r="Y227" s="145" t="n"/>
      <c r="Z227" s="145" t="n"/>
      <c r="AA227" s="145" t="n"/>
      <c r="AB227" s="145" t="n"/>
      <c r="AC227" s="149" t="inlineStr">
        <is>
          <t>Not disclosed</t>
        </is>
      </c>
      <c r="AD227" s="149" t="n"/>
      <c r="AE227" s="145" t="n"/>
      <c r="AF227" s="145" t="inlineStr">
        <is>
          <t>Not disclosed</t>
        </is>
      </c>
      <c r="AG227" s="149" t="inlineStr">
        <is>
          <t>Grippers or dexterous hands depending on configuration</t>
        </is>
      </c>
      <c r="AH227" s="145" t="inlineStr">
        <is>
          <t>Not disclosed</t>
        </is>
      </c>
      <c r="AI227" s="145" t="n"/>
      <c r="AJ227" s="149" t="inlineStr">
        <is>
          <t>RGB and/or depth cameras for navigation and manipulation (configuration specific)</t>
        </is>
      </c>
      <c r="AK227" s="149" t="n"/>
      <c r="AL227" s="145" t="inlineStr">
        <is>
          <t>Onboard streams for teleoperation and logging when equipped</t>
        </is>
      </c>
      <c r="AM227" s="145" t="n"/>
      <c r="AN227" s="145" t="inlineStr">
        <is>
          <t>Not disclosed</t>
        </is>
      </c>
      <c r="AO227" s="145" t="inlineStr">
        <is>
          <t>Microphone array on interaction-oriented builds</t>
        </is>
      </c>
      <c r="AP227" s="145" t="inlineStr">
        <is>
          <t>Not disclosed</t>
        </is>
      </c>
      <c r="AQ227" s="145" t="inlineStr">
        <is>
          <t>Not disclosed</t>
        </is>
      </c>
      <c r="AR227" s="145" t="n"/>
      <c r="AS227" s="145" t="n"/>
      <c r="AT227" s="149" t="inlineStr">
        <is>
          <t>Not disclosed</t>
        </is>
      </c>
      <c r="AU227" s="149" t="inlineStr">
        <is>
          <t>Not disclosed</t>
        </is>
      </c>
      <c r="AV227" s="145" t="inlineStr">
        <is>
          <t>Manufacturer app and/or SDK</t>
        </is>
      </c>
      <c r="AW227" s="149" t="inlineStr">
        <is>
          <t>Bipedal balance and walking controllers</t>
        </is>
      </c>
      <c r="AX227" s="145" t="n"/>
      <c r="AY227" s="149" t="inlineStr">
        <is>
          <t>Not disclosed</t>
        </is>
      </c>
      <c r="AZ227" s="149" t="inlineStr">
        <is>
          <t>Not disclosed</t>
        </is>
      </c>
      <c r="BA227" s="149" t="n"/>
      <c r="BB227" s="149" t="inlineStr">
        <is>
          <t>Not disclosed</t>
        </is>
      </c>
      <c r="BC227" s="149" t="inlineStr">
        <is>
          <t>Not disclosed</t>
        </is>
      </c>
      <c r="BD227" s="145" t="inlineStr">
        <is>
          <t>Not disclosed</t>
        </is>
      </c>
      <c r="BE227" s="145" t="inlineStr">
        <is>
          <t>Not disclosed</t>
        </is>
      </c>
      <c r="BF227" s="145" t="n"/>
      <c r="BG227" s="145" t="n"/>
      <c r="BH227" s="145" t="n"/>
      <c r="BI227" s="145" t="n"/>
      <c r="BJ227" s="145" t="n"/>
      <c r="BK227" s="145" t="n"/>
      <c r="BL227" s="145" t="n"/>
      <c r="BM227" s="145" t="inlineStr">
        <is>
          <t>Not disclosed</t>
        </is>
      </c>
      <c r="BN227" s="145" t="inlineStr">
        <is>
          <t>Not disclosed</t>
        </is>
      </c>
      <c r="BO227" s="149" t="inlineStr">
        <is>
          <t>Market: Service / Security / Guide / Household assistant · The Dyno is a bipedal humanoid robot from VinDynamics, associated with development and availability timelines around 2025.</t>
        </is>
      </c>
      <c r="BP227" s="145" t="n"/>
      <c r="BQ227" s="149" t="inlineStr">
        <is>
          <t>Service / Security / Guide / Household assistant</t>
        </is>
      </c>
      <c r="BR227" s="149" t="inlineStr">
        <is>
          <t>Prototype / Global debut</t>
        </is>
      </c>
      <c r="BS227" s="149" t="n"/>
      <c r="BT227" s="145" t="n"/>
      <c r="BU227" s="145" t="n"/>
      <c r="BV227" s="149" t="inlineStr">
        <is>
          <t>Completes Vingroup three-pillar; Schaeffler &amp; Skild AI partnerships</t>
        </is>
      </c>
      <c r="BW227" s="149" t="inlineStr">
        <is>
          <t>Origin &amp; status — Vietnam · Prototype / Global debut · 2025 | Manipulation — Grippers or dexterous hands depending on configuration | Sensing &amp; software — RGB and/or depth cameras for navigation and manipulation (configuration specific) · Manufacturer app and/or SDK | Buying notes — From $50,000 · 12 months manufacturer standard (typical research/commercial humanoid) · Best fit: Service</t>
        </is>
      </c>
      <c r="BX227" s="149" t="inlineStr">
        <is>
          <t>as_shipped|Dyno|50000|As shipped</t>
        </is>
      </c>
      <c r="BY227" s="145" t="inlineStr">
        <is>
          <t>dyno|Manufacturer finish|#e2e8f0|0</t>
        </is>
      </c>
      <c r="BZ227" s="145" t="inlineStr"/>
      <c r="CA227" s="149" t="inlineStr">
        <is>
          <t>Add-ons: case; 2 color options; Multi-year extended warranty available</t>
        </is>
      </c>
      <c r="CB227" s="149" t="inlineStr">
        <is>
          <t>12 months manufacturer standard (typical research/commercial humanoid)</t>
        </is>
      </c>
      <c r="CC227" s="147" t="n">
        <v>12</v>
      </c>
      <c r="CD227" s="149" t="inlineStr">
        <is>
          <t>+3 Year Extended ≈24% of configuration (default in configurator)</t>
        </is>
      </c>
      <c r="CE227" s="145" t="inlineStr">
        <is>
          <t>Humanoid category norm 2025–2026</t>
        </is>
      </c>
      <c r="CF227" s="145" t="inlineStr">
        <is>
          <t>Estimated</t>
        </is>
      </c>
      <c r="CG227" s="149" t="inlineStr">
        <is>
          <t>EDU or enterprise packages may differ; confirm on formal quote.</t>
        </is>
      </c>
      <c r="CH227" s="145" t="inlineStr">
        <is>
          <t>10%</t>
        </is>
      </c>
      <c r="CI227" s="145" t="inlineStr">
        <is>
          <t>17%</t>
        </is>
      </c>
      <c r="CJ227" s="145" t="inlineStr">
        <is>
          <t>24%</t>
        </is>
      </c>
      <c r="CK227"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27"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27" s="145" t="inlineStr">
        <is>
          <t>12 months manufacturer standard (typical research/commercial humanoid)</t>
        </is>
      </c>
      <c r="CQ227" s="101" t="inlineStr">
        <is>
          <t>Height: Not disclosed | Weight: Not disclosed | Degrees of Freedom: Not disclosed | Payload: Not disclosed | Max Speed: Not disclosed | Battery / Runtime: Not disclosed</t>
        </is>
      </c>
    </row>
    <row r="228" ht="31.5" customHeight="1" s="102">
      <c r="A228" s="159" t="inlineStr">
        <is>
          <t>vinmotion_vingroup_motion_series</t>
        </is>
      </c>
      <c r="B228" s="144" t="inlineStr">
        <is>
          <t>Both</t>
        </is>
      </c>
      <c r="C228" s="152" t="inlineStr">
        <is>
          <t>VinMotion</t>
        </is>
      </c>
      <c r="D228" s="152" t="inlineStr">
        <is>
          <t>Motion 2</t>
        </is>
      </c>
      <c r="E228" s="152" t="inlineStr">
        <is>
          <t>[VinMotion] Motion Series (2025)</t>
        </is>
      </c>
      <c r="F228" s="146" t="inlineStr">
        <is>
          <t>humanoid</t>
        </is>
      </c>
      <c r="G228" s="152" t="inlineStr">
        <is>
          <t>Vietnam</t>
        </is>
      </c>
      <c r="H228" s="154" t="n">
        <v>2025</v>
      </c>
      <c r="I228" s="155" t="n">
        <v>50000</v>
      </c>
      <c r="J228" s="152" t="inlineStr">
        <is>
          <t>Website store</t>
        </is>
      </c>
      <c r="K228" s="156" t="inlineStr">
        <is>
          <t>Motion 2 is a humanoid robot by VinMotion designed for stable movement, safe interaction, and embodied AI research in structured indoor environments.</t>
        </is>
      </c>
      <c r="L228" s="101" t="inlineStr">
        <is>
          <t>Motion 2 is a humanoid robot by VinMotion designed for stable movement, safe interaction, and embodied AI research in structured indoor environments.</t>
        </is>
      </c>
      <c r="M228" s="101" t="inlineStr">
        <is>
          <t>Motion Series is VinMotion's humanoid, introduced around 2025 in Vietnam. Motion 2 is a humanoid robot by VinMotion designed for stable movement, safe interaction, and embodied AI research in structured indoor environments. Public status is listed as development / USA entity $12.75M, and it is positioned for household / Service / Daily-life.</t>
        </is>
      </c>
      <c r="N228" s="157" t="inlineStr">
        <is>
          <t>https://humanoid.guide/product/motion-2/</t>
        </is>
      </c>
      <c r="O228" s="157" t="inlineStr">
        <is>
          <t>https://vinmotion.ai</t>
        </is>
      </c>
      <c r="P228" s="152" t="inlineStr">
        <is>
          <t>5 ft 3 in</t>
        </is>
      </c>
      <c r="Q228" s="152" t="n">
        <v>160</v>
      </c>
      <c r="R228" s="152" t="n">
        <v>132.3</v>
      </c>
      <c r="S228" s="152" t="n">
        <v>60</v>
      </c>
      <c r="T228" s="156" t="inlineStr">
        <is>
          <t>Not disclosed</t>
        </is>
      </c>
      <c r="U228" s="152" t="n"/>
      <c r="V228" s="152" t="inlineStr">
        <is>
          <t>~32–40</t>
        </is>
      </c>
      <c r="W228" s="156" t="inlineStr">
        <is>
          <t>~10–14</t>
        </is>
      </c>
      <c r="X228" s="152" t="n">
        <v>22</v>
      </c>
      <c r="Y228" s="152" t="n">
        <v>10</v>
      </c>
      <c r="Z228" s="152" t="n">
        <v>2.49</v>
      </c>
      <c r="AA228" s="152" t="n">
        <v>4</v>
      </c>
      <c r="AB228" s="152" t="n">
        <v>3.2</v>
      </c>
      <c r="AC228" s="156" t="inlineStr">
        <is>
          <t>≈ 4 hours</t>
        </is>
      </c>
      <c r="AD228" s="156" t="inlineStr">
        <is>
          <t>4</t>
        </is>
      </c>
      <c r="AE228" s="152" t="n"/>
      <c r="AF228" s="152" t="inlineStr">
        <is>
          <t>Not disclosed</t>
        </is>
      </c>
      <c r="AG228" s="156" t="inlineStr">
        <is>
          <t>Grippers or dexterous hands depending on configuration</t>
        </is>
      </c>
      <c r="AH228" s="152" t="inlineStr">
        <is>
          <t>5 per hand</t>
        </is>
      </c>
      <c r="AI228" s="152" t="n"/>
      <c r="AJ228" s="156" t="inlineStr">
        <is>
          <t>RGB and/or depth cameras for navigation and manipulation (configuration specific)</t>
        </is>
      </c>
      <c r="AK228" s="156" t="inlineStr">
        <is>
          <t>Dual 1080p depth + RGB</t>
        </is>
      </c>
      <c r="AL228" s="152" t="inlineStr">
        <is>
          <t>Onboard streams for teleoperation and logging when equipped</t>
        </is>
      </c>
      <c r="AM228" s="152" t="n"/>
      <c r="AN228" s="152" t="inlineStr">
        <is>
          <t>Not disclosed</t>
        </is>
      </c>
      <c r="AO228" s="152" t="inlineStr">
        <is>
          <t>Microphone array on interaction-oriented builds</t>
        </is>
      </c>
      <c r="AP228" s="152" t="inlineStr">
        <is>
          <t>Not disclosed</t>
        </is>
      </c>
      <c r="AQ228" s="152" t="inlineStr">
        <is>
          <t>Not disclosed</t>
        </is>
      </c>
      <c r="AR228" s="152" t="n"/>
      <c r="AS228" s="152" t="n"/>
      <c r="AT228" s="156" t="inlineStr">
        <is>
          <t>Embedded CPU + edge AI accelerator (assumed)</t>
        </is>
      </c>
      <c r="AU228" s="156" t="inlineStr">
        <is>
          <t>Ethernet; USB; Wi‑Fi</t>
        </is>
      </c>
      <c r="AV228" s="152" t="inlineStr">
        <is>
          <t>Manufacturer app and/or SDK</t>
        </is>
      </c>
      <c r="AW228" s="156" t="inlineStr">
        <is>
          <t>Bipedal balance and walking controllers</t>
        </is>
      </c>
      <c r="AX228" s="152" t="n"/>
      <c r="AY228" s="156" t="inlineStr">
        <is>
          <t>Linux-based robotics OS</t>
        </is>
      </c>
      <c r="AZ228" s="156" t="inlineStr">
        <is>
          <t>Possible via external system integration</t>
        </is>
      </c>
      <c r="BA228" s="156" t="n"/>
      <c r="BB228" s="156" t="inlineStr">
        <is>
          <t>Electric servo actuators</t>
        </is>
      </c>
      <c r="BC228" s="156" t="inlineStr">
        <is>
          <t>Harmonic / planetary gear drives</t>
        </is>
      </c>
      <c r="BD228" s="152" t="inlineStr">
        <is>
          <t>Aluminum + plastic composites</t>
        </is>
      </c>
      <c r="BE228" s="152" t="inlineStr">
        <is>
          <t>IP20</t>
        </is>
      </c>
      <c r="BF228" s="152" t="inlineStr">
        <is>
          <t>IP20</t>
        </is>
      </c>
      <c r="BG228" s="152" t="n"/>
      <c r="BH228" s="152" t="n"/>
      <c r="BI228" s="152" t="n"/>
      <c r="BJ228" s="152" t="n"/>
      <c r="BK228" s="152" t="n"/>
      <c r="BL228" s="152" t="n"/>
      <c r="BM228" s="152" t="inlineStr">
        <is>
          <t>Yes</t>
        </is>
      </c>
      <c r="BN228" s="152" t="inlineStr">
        <is>
          <t>Not disclosed</t>
        </is>
      </c>
      <c r="BO228" s="156" t="inlineStr">
        <is>
          <t>Market: Household / Service / Daily-life · Human-safe: Yes · AI: Possible via external system integration · Actuation: Electric servo actuators · Peak 4 km/h · Walk 3.2 km/h · Runtime 4</t>
        </is>
      </c>
      <c r="BP228" s="152" t="n"/>
      <c r="BQ228" s="156" t="inlineStr">
        <is>
          <t>Household / Service / Daily-life</t>
        </is>
      </c>
      <c r="BR228" s="156" t="inlineStr">
        <is>
          <t>Development / USA entity $12.75M</t>
        </is>
      </c>
      <c r="BS228" s="156" t="inlineStr">
        <is>
          <t>Prototype</t>
        </is>
      </c>
      <c r="BT228" s="152" t="inlineStr">
        <is>
          <t>Black; Blue; Green; Grey; Purple; Silver</t>
        </is>
      </c>
      <c r="BU228" s="152" t="inlineStr">
        <is>
          <t>Not verified</t>
        </is>
      </c>
      <c r="BV228" s="156" t="inlineStr">
        <is>
          <t>General-purpose multi-functional; Qualcomm collab Humanoid.guide listed price $75,000.</t>
        </is>
      </c>
      <c r="BW228" s="156" t="inlineStr">
        <is>
          <t>Origin &amp; status — Vietnam · Development / USA entity $12.75M · 2025 | Manipulation — Grippers or dexterous hands depending on configuration · 5 per hand fingers · Hand DOF ~10–14 · Payload 22 lb (10 kg) | Sensing &amp; software — RGB and/or depth cameras for navigation and manipulation (configuration specific) · Possible via external system integration · Linux-based robotics OS · Man… | Buying notes — From $50,000 · 12 months manufacturer standard (typical research/commercial humanoid) · Best fit: Household</t>
        </is>
      </c>
      <c r="BX228" s="156" t="inlineStr">
        <is>
          <t>as_shipped|Motion Series|50000|As shipped</t>
        </is>
      </c>
      <c r="BY228" s="152" t="inlineStr">
        <is>
          <t>black|Black|#111111|0 || blue|Blue|#2563eb|0 || green|Green|#e2e8f0|0 || grey|Grey|#9ca3af|0 || purple|Purple|#e2e8f0|0 || silver|Silver|#c0c4ce|0</t>
        </is>
      </c>
      <c r="BZ228" s="152" t="inlineStr"/>
      <c r="CA228" s="156" t="inlineStr">
        <is>
          <t>Add-ons: case; 2 color options; Multi-year extended warranty available</t>
        </is>
      </c>
      <c r="CB228" s="156" t="inlineStr">
        <is>
          <t>12 months manufacturer standard (typical research/commercial humanoid)</t>
        </is>
      </c>
      <c r="CC228" s="154" t="n">
        <v>12</v>
      </c>
      <c r="CD228" s="156" t="inlineStr">
        <is>
          <t>+3 Year Extended ≈24% of configuration (default in configurator)</t>
        </is>
      </c>
      <c r="CE228" s="152" t="inlineStr">
        <is>
          <t>Humanoid category norm 2025–2026</t>
        </is>
      </c>
      <c r="CF228" s="152" t="inlineStr">
        <is>
          <t>Estimated</t>
        </is>
      </c>
      <c r="CG228" s="156" t="inlineStr">
        <is>
          <t>EDU or enterprise packages may differ; confirm on formal quote.</t>
        </is>
      </c>
      <c r="CH228" s="152" t="inlineStr">
        <is>
          <t>10%</t>
        </is>
      </c>
      <c r="CI228" s="152" t="inlineStr">
        <is>
          <t>17%</t>
        </is>
      </c>
      <c r="CJ228" s="152" t="inlineStr">
        <is>
          <t>24%</t>
        </is>
      </c>
      <c r="CK228"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28"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28" s="152" t="inlineStr">
        <is>
          <t>12 months manufacturer standard (typical research/commercial humanoid)</t>
        </is>
      </c>
      <c r="CQ228" s="101" t="inlineStr">
        <is>
          <t>Height: 5 ft 3 in | Weight: 132.3 | Degrees of Freedom: ~32–40 | Payload: 22 | Max Speed: 2.49 | Battery / Runtime: ≈ 4 hours</t>
        </is>
      </c>
    </row>
    <row r="229" ht="31.5" customHeight="1" s="102">
      <c r="A229" s="143" t="inlineStr">
        <is>
          <t>vinrobotics_vingroup_vr_h3</t>
        </is>
      </c>
      <c r="B229" s="160" t="inlineStr">
        <is>
          <t>Website</t>
        </is>
      </c>
      <c r="C229" s="145" t="inlineStr">
        <is>
          <t>VinRobotics</t>
        </is>
      </c>
      <c r="D229" s="145" t="inlineStr">
        <is>
          <t>VR-H3</t>
        </is>
      </c>
      <c r="E229" s="145" t="inlineStr">
        <is>
          <t>[VinRobotics] VR-H3 (2024)</t>
        </is>
      </c>
      <c r="F229" s="146" t="inlineStr">
        <is>
          <t>humanoid</t>
        </is>
      </c>
      <c r="G229" s="145" t="inlineStr">
        <is>
          <t>Vietnam</t>
        </is>
      </c>
      <c r="H229" s="147" t="n">
        <v>2024</v>
      </c>
      <c r="I229" s="148" t="n">
        <v>50000</v>
      </c>
      <c r="J229" s="145" t="inlineStr">
        <is>
          <t>Website store</t>
        </is>
      </c>
      <c r="K229" s="149" t="inlineStr">
        <is>
          <t>VR-H3 is VinRobotics's humanoid — — (industrial form) class, 31+ actuators DOF, 6–8 lb payload. Grippers or dexterous hands depending on configuration; RGB and/or depth cameras for navigation and manipulation (configuration specific).</t>
        </is>
      </c>
      <c r="L229" s="101" t="inlineStr">
        <is>
          <t>VR-H3 is VinRobotics's humanoid — — (industrial form) class, 31+ actuators DOF, 6–8 lb payload. Grippers or dexterous hands depending on configuration; RGB and/or depth cameras for navigation and manipulation (configuration specific).</t>
        </is>
      </c>
      <c r="M229" s="101" t="inlineStr">
        <is>
          <t>VR-H3 is VinRobotics's humanoid — — (industrial form) class, 31+ actuators DOF, 6–8 lb payload. Grippers or dexterous hands depending on configuration; RGB and/or depth cameras for navigation and manipulation (configuration specific). Public status is listed as prototype / Global demos (ICRA, COMPUTEX 2026), and it is positioned for industrial / Operational / Assembly.</t>
        </is>
      </c>
      <c r="N229" s="145" t="n"/>
      <c r="O229" s="145" t="inlineStr">
        <is>
          <t>https://vinrobotics.net</t>
        </is>
      </c>
      <c r="P229" s="145" t="inlineStr">
        <is>
          <t>— (industrial form)</t>
        </is>
      </c>
      <c r="Q229" s="145" t="n"/>
      <c r="R229" s="145" t="n"/>
      <c r="S229" s="145" t="n"/>
      <c r="T229" s="149" t="inlineStr">
        <is>
          <t>Not disclosed</t>
        </is>
      </c>
      <c r="U229" s="145" t="n"/>
      <c r="V229" s="145" t="inlineStr">
        <is>
          <t>31+ actuators</t>
        </is>
      </c>
      <c r="W229" s="149" t="inlineStr">
        <is>
          <t>Not disclosed</t>
        </is>
      </c>
      <c r="X229" s="145" t="inlineStr">
        <is>
          <t>6–8 lb</t>
        </is>
      </c>
      <c r="Y229" s="145" t="n"/>
      <c r="Z229" s="145" t="n"/>
      <c r="AA229" s="145" t="n"/>
      <c r="AB229" s="145" t="n"/>
      <c r="AC229" s="149" t="inlineStr">
        <is>
          <t>Not disclosed</t>
        </is>
      </c>
      <c r="AD229" s="149" t="n"/>
      <c r="AE229" s="145" t="n"/>
      <c r="AF229" s="145" t="inlineStr">
        <is>
          <t>Not disclosed</t>
        </is>
      </c>
      <c r="AG229" s="149" t="inlineStr">
        <is>
          <t>Grippers or dexterous hands depending on configuration</t>
        </is>
      </c>
      <c r="AH229" s="145" t="inlineStr">
        <is>
          <t>Not disclosed</t>
        </is>
      </c>
      <c r="AI229" s="145" t="n"/>
      <c r="AJ229" s="149" t="inlineStr">
        <is>
          <t>RGB and/or depth cameras for navigation and manipulation (configuration specific)</t>
        </is>
      </c>
      <c r="AK229" s="149" t="n"/>
      <c r="AL229" s="145" t="inlineStr">
        <is>
          <t>Onboard streams for teleoperation and logging when equipped</t>
        </is>
      </c>
      <c r="AM229" s="145" t="n"/>
      <c r="AN229" s="145" t="inlineStr">
        <is>
          <t>Not disclosed</t>
        </is>
      </c>
      <c r="AO229" s="145" t="inlineStr">
        <is>
          <t>Microphone array on interaction-oriented builds</t>
        </is>
      </c>
      <c r="AP229" s="145" t="inlineStr">
        <is>
          <t>Not disclosed</t>
        </is>
      </c>
      <c r="AQ229" s="145" t="inlineStr">
        <is>
          <t>Not disclosed</t>
        </is>
      </c>
      <c r="AR229" s="145" t="n"/>
      <c r="AS229" s="145" t="n"/>
      <c r="AT229" s="149" t="inlineStr">
        <is>
          <t>Not disclosed</t>
        </is>
      </c>
      <c r="AU229" s="149" t="inlineStr">
        <is>
          <t>Not disclosed</t>
        </is>
      </c>
      <c r="AV229" s="145" t="inlineStr">
        <is>
          <t>Manufacturer app and/or SDK</t>
        </is>
      </c>
      <c r="AW229" s="149" t="inlineStr">
        <is>
          <t>Bipedal balance and walking controllers</t>
        </is>
      </c>
      <c r="AX229" s="145" t="n"/>
      <c r="AY229" s="149" t="inlineStr">
        <is>
          <t>Not disclosed</t>
        </is>
      </c>
      <c r="AZ229" s="149" t="inlineStr">
        <is>
          <t>Not disclosed</t>
        </is>
      </c>
      <c r="BA229" s="149" t="n"/>
      <c r="BB229" s="149" t="inlineStr">
        <is>
          <t>Not disclosed</t>
        </is>
      </c>
      <c r="BC229" s="149" t="inlineStr">
        <is>
          <t>Not disclosed</t>
        </is>
      </c>
      <c r="BD229" s="145" t="inlineStr">
        <is>
          <t>Not disclosed</t>
        </is>
      </c>
      <c r="BE229" s="145" t="inlineStr">
        <is>
          <t>Not disclosed</t>
        </is>
      </c>
      <c r="BF229" s="145" t="n"/>
      <c r="BG229" s="145" t="n"/>
      <c r="BH229" s="145" t="n"/>
      <c r="BI229" s="145" t="n"/>
      <c r="BJ229" s="145" t="n"/>
      <c r="BK229" s="145" t="n"/>
      <c r="BL229" s="145" t="n"/>
      <c r="BM229" s="145" t="inlineStr">
        <is>
          <t>Not disclosed</t>
        </is>
      </c>
      <c r="BN229" s="145" t="inlineStr">
        <is>
          <t>Not disclosed</t>
        </is>
      </c>
      <c r="BO229" s="149" t="inlineStr">
        <is>
          <t>Market: Industrial / Operational / Assembly · The VR-H3 is a bipedal humanoid robot from VinRobotics, associated with development and availability timelines around 2024.</t>
        </is>
      </c>
      <c r="BP229" s="145" t="n"/>
      <c r="BQ229" s="149" t="inlineStr">
        <is>
          <t>Industrial / Operational / Assembly</t>
        </is>
      </c>
      <c r="BR229" s="149" t="inlineStr">
        <is>
          <t>Prototype / Global demos (ICRA, COMPUTEX 2026)</t>
        </is>
      </c>
      <c r="BS229" s="149" t="n"/>
      <c r="BT229" s="145" t="n"/>
      <c r="BU229" s="145" t="n"/>
      <c r="BV229" s="149" t="inlineStr">
        <is>
          <t>In-house core tech claim &gt;90%; VinFast factory contracts; Infineon partnership</t>
        </is>
      </c>
      <c r="BW229" s="149" t="inlineStr">
        <is>
          <t>Origin &amp; status — Vietnam · Prototype / Global demos (ICRA, COMPUTEX 2026) · 2024 | Manipulation — Grippers or dexterous hands depending on configuration · Payload 6–8 lb | Sensing &amp; software — RGB and/or depth cameras for navigation and manipulation (configuration specific) · Manufacturer app and/or SDK | Buying notes — From $50,000 · 12 months manufacturer standard (typical research/commercial humanoid) · Best fit: Industrial</t>
        </is>
      </c>
      <c r="BX229" s="149" t="inlineStr">
        <is>
          <t>as_shipped|VR-H3|50000|As shipped</t>
        </is>
      </c>
      <c r="BY229" s="145" t="inlineStr">
        <is>
          <t>vr_h3|Manufacturer finish|#e2e8f0|0</t>
        </is>
      </c>
      <c r="BZ229" s="145" t="inlineStr"/>
      <c r="CA229" s="149" t="inlineStr">
        <is>
          <t>Add-ons: case; 2 color options; Multi-year extended warranty available</t>
        </is>
      </c>
      <c r="CB229" s="149" t="inlineStr">
        <is>
          <t>12 months manufacturer standard (typical research/commercial humanoid)</t>
        </is>
      </c>
      <c r="CC229" s="147" t="n">
        <v>12</v>
      </c>
      <c r="CD229" s="149" t="inlineStr">
        <is>
          <t>+3 Year Extended ≈24% of configuration (default in configurator)</t>
        </is>
      </c>
      <c r="CE229" s="145" t="inlineStr">
        <is>
          <t>Humanoid category norm 2025–2026</t>
        </is>
      </c>
      <c r="CF229" s="145" t="inlineStr">
        <is>
          <t>Estimated</t>
        </is>
      </c>
      <c r="CG229" s="149" t="inlineStr">
        <is>
          <t>EDU or enterprise packages may differ; confirm on formal quote.</t>
        </is>
      </c>
      <c r="CH229" s="145" t="inlineStr">
        <is>
          <t>10%</t>
        </is>
      </c>
      <c r="CI229" s="145" t="inlineStr">
        <is>
          <t>17%</t>
        </is>
      </c>
      <c r="CJ229" s="145" t="inlineStr">
        <is>
          <t>24%</t>
        </is>
      </c>
      <c r="CK22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2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29" s="145" t="inlineStr">
        <is>
          <t>12 months manufacturer standard (typical research/commercial humanoid)</t>
        </is>
      </c>
      <c r="CQ229" s="101" t="inlineStr">
        <is>
          <t>Height: — (industrial form) | Weight: Not disclosed | Degrees of Freedom: 31+ actuators | Payload: 6–8 lb | Max Speed: Not disclosed | Battery / Runtime: Not disclosed</t>
        </is>
      </c>
    </row>
    <row r="230" ht="31.5" customHeight="1" s="102">
      <c r="A230" s="152" t="inlineStr">
        <is>
          <t>wandercraft_calvin_40</t>
        </is>
      </c>
      <c r="B230" s="153" t="inlineStr">
        <is>
          <t>Humanoid.guide</t>
        </is>
      </c>
      <c r="C230" s="152" t="inlineStr">
        <is>
          <t>Wandercraft</t>
        </is>
      </c>
      <c r="D230" s="152" t="inlineStr">
        <is>
          <t>CALVIN-40</t>
        </is>
      </c>
      <c r="E230" s="152" t="inlineStr">
        <is>
          <t>[Wandercraft] CALVIN-40 (2026)</t>
        </is>
      </c>
      <c r="F230" s="146" t="inlineStr">
        <is>
          <t>humanoid</t>
        </is>
      </c>
      <c r="G230" s="152" t="inlineStr">
        <is>
          <t>France</t>
        </is>
      </c>
      <c r="H230" s="152" t="n"/>
      <c r="I230" s="155" t="n">
        <v>65000</v>
      </c>
      <c r="J230" s="152" t="inlineStr">
        <is>
          <t>Humanoid.guide list</t>
        </is>
      </c>
      <c r="K230" s="156" t="inlineStr">
        <is>
          <t>Calvin-40 is Wandercraft’s first industrial humanoid robot — a headless, voice-operated bipedal machine designed for heavy, physically demanding factory tasks.</t>
        </is>
      </c>
      <c r="L230" s="101" t="inlineStr">
        <is>
          <t>Calvin-40 is Wandercraft’s first industrial humanoid robot — a headless, voice-operated bipedal machine designed for heavy, physically demanding factory tasks.</t>
        </is>
      </c>
      <c r="M230" s="101" t="inlineStr">
        <is>
          <t>Calvin-40 is Wandercraft’s first industrial humanoid robot — a headless, voice-operated bipedal machine designed for heavy, physically demanding factory tasks. Public status is listed as limited production / pilot deployments, and it is positioned for heavy logistics within factories; Industrial Manufacturing.</t>
        </is>
      </c>
      <c r="N230" s="157" t="inlineStr">
        <is>
          <t>https://humanoid.guide/product/calvin-40/</t>
        </is>
      </c>
      <c r="O230" s="157" t="inlineStr">
        <is>
          <t>https://www.wandercraft.eu</t>
        </is>
      </c>
      <c r="P230" s="152" t="inlineStr">
        <is>
          <t>5 ft 7 in</t>
        </is>
      </c>
      <c r="Q230" s="152" t="n">
        <v>170</v>
      </c>
      <c r="R230" s="152" t="n">
        <v>176.4</v>
      </c>
      <c r="S230" s="152" t="n">
        <v>80</v>
      </c>
      <c r="T230" s="156" t="inlineStr">
        <is>
          <t>Not disclosed</t>
        </is>
      </c>
      <c r="U230" s="152" t="n"/>
      <c r="V230" s="152" t="inlineStr">
        <is>
          <t>28</t>
        </is>
      </c>
      <c r="W230" s="156" t="inlineStr">
        <is>
          <t>10</t>
        </is>
      </c>
      <c r="X230" s="152" t="n">
        <v>88.2</v>
      </c>
      <c r="Y230" s="152" t="n">
        <v>40</v>
      </c>
      <c r="Z230" s="152" t="n">
        <v>1.86</v>
      </c>
      <c r="AA230" s="152" t="n">
        <v>3</v>
      </c>
      <c r="AB230" s="152" t="n">
        <v>3</v>
      </c>
      <c r="AC230" s="156" t="inlineStr">
        <is>
          <t>≈ 4 hours</t>
        </is>
      </c>
      <c r="AD230" s="156" t="inlineStr">
        <is>
          <t>4</t>
        </is>
      </c>
      <c r="AE230" s="152" t="n"/>
      <c r="AF230" s="152" t="inlineStr">
        <is>
          <t>Not disclosed</t>
        </is>
      </c>
      <c r="AG230" s="156" t="inlineStr">
        <is>
          <t>0</t>
        </is>
      </c>
      <c r="AH230" s="152" t="inlineStr">
        <is>
          <t>0</t>
        </is>
      </c>
      <c r="AI230" s="152" t="n"/>
      <c r="AJ230" s="156" t="inlineStr">
        <is>
          <t>HD / 4K-class day/night cameras (waist-mounted)</t>
        </is>
      </c>
      <c r="AK230" s="156" t="inlineStr">
        <is>
          <t>HD / 4K-class day/night cameras (waist-mounted)</t>
        </is>
      </c>
      <c r="AL230" s="152" t="inlineStr">
        <is>
          <t>Not disclosed</t>
        </is>
      </c>
      <c r="AM230" s="152" t="n"/>
      <c r="AN230" s="152" t="inlineStr">
        <is>
          <t>Not disclosed</t>
        </is>
      </c>
      <c r="AO230" s="152" t="inlineStr">
        <is>
          <t>Not disclosed</t>
        </is>
      </c>
      <c r="AP230" s="152" t="inlineStr">
        <is>
          <t>Not disclosed</t>
        </is>
      </c>
      <c r="AQ230" s="152" t="inlineStr">
        <is>
          <t>Not disclosed</t>
        </is>
      </c>
      <c r="AR230" s="152" t="n"/>
      <c r="AS230" s="152" t="n"/>
      <c r="AT230" s="156" t="inlineStr">
        <is>
          <t>NVIDIA Jetson edge AI compute, paired with the NVIDIA Isaac robotics platform</t>
        </is>
      </c>
      <c r="AU230" s="156" t="inlineStr">
        <is>
          <t>Voice command interface; Wi-Fi / Ethernet for fleet management</t>
        </is>
      </c>
      <c r="AV230" s="152" t="inlineStr">
        <is>
          <t>Not disclosed</t>
        </is>
      </c>
      <c r="AW230" s="156" t="inlineStr">
        <is>
          <t>Not disclosed</t>
        </is>
      </c>
      <c r="AX230" s="152" t="n"/>
      <c r="AY230" s="156" t="inlineStr">
        <is>
          <t>Linux-based real-time stack with ROS 2</t>
        </is>
      </c>
      <c r="AZ230" s="156" t="inlineStr">
        <is>
          <t>Yes / Visual Language Model (VLM) reasoning for task interpretation and autonomous operation</t>
        </is>
      </c>
      <c r="BA230" s="156" t="n"/>
      <c r="BB230" s="156" t="inlineStr">
        <is>
          <t>Brushless servo actuators inherited from Wandercraft's Atalante medical-exoskeleton platform</t>
        </is>
      </c>
      <c r="BC230" s="156" t="inlineStr">
        <is>
          <t>Harmonic / Cycloidal reducers; Rolling contact joint + cable transmission</t>
        </is>
      </c>
      <c r="BD230" s="152" t="inlineStr">
        <is>
          <t>Aluminum alloy with composite covers</t>
        </is>
      </c>
      <c r="BE230" s="152" t="inlineStr">
        <is>
          <t>IP54</t>
        </is>
      </c>
      <c r="BF230" s="152" t="inlineStr">
        <is>
          <t>IP54</t>
        </is>
      </c>
      <c r="BG230" s="152" t="n"/>
      <c r="BH230" s="152" t="n"/>
      <c r="BI230" s="152" t="n"/>
      <c r="BJ230" s="152" t="n"/>
      <c r="BK230" s="152" t="n"/>
      <c r="BL230" s="152" t="n"/>
      <c r="BM230" s="152" t="inlineStr">
        <is>
          <t>Yes</t>
        </is>
      </c>
      <c r="BN230" s="152" t="inlineStr">
        <is>
          <t>Not disclosed</t>
        </is>
      </c>
      <c r="BO230" s="156" t="inlineStr">
        <is>
          <t>Market: heavy logistics within factories; Industrial Manufacturing · Human-safe: Yes · AI: Yes / Visual Language Model (VLM) reasoning for task interpretation and autonomous operation · Actuation: Brushless servo actuators inherited from Wandercraft's Atalante medical-exoskeleton platform · Peak 3 km/h · Walk 3 km/h · Runtime 4</t>
        </is>
      </c>
      <c r="BP230" s="152" t="n"/>
      <c r="BQ230" s="156" t="inlineStr">
        <is>
          <t>heavy logistics within factories; Industrial Manufacturing</t>
        </is>
      </c>
      <c r="BR230" s="156" t="inlineStr">
        <is>
          <t>Limited production / pilot deployments</t>
        </is>
      </c>
      <c r="BS230" s="156" t="inlineStr">
        <is>
          <t>Limited production / pilot deployments</t>
        </is>
      </c>
      <c r="BT230" s="152" t="n"/>
      <c r="BU230" s="152" t="n"/>
      <c r="BV230" s="156" t="n"/>
      <c r="BW230" s="156" t="inlineStr">
        <is>
          <t>Origin &amp; status — France · Limited production / pilot deployments · 2026 | Manipulation — 0 · 0 fingers · Hand DOF 10 · Payload 88.2 lb | Sensing &amp; software — HD / 4K-class day/night cameras (waist-mounted) · Yes / Visual Language Model (VLM) reasoning for task interpretation and autonomous operation · Linux-based… | Buying notes — From $65,000 · 12 months manufacturer standard (typical research/commercial humanoid) · Best fit: heavy logistics within factories</t>
        </is>
      </c>
      <c r="BX230" s="156" t="inlineStr">
        <is>
          <t>as_shipped|CALVIN-40|65000|As shipped</t>
        </is>
      </c>
      <c r="BY230" s="152" t="inlineStr">
        <is>
          <t>calvin_40|Manufacturer finish|#e2e8f0|0</t>
        </is>
      </c>
      <c r="BZ230" s="152" t="inlineStr"/>
      <c r="CA230" s="156" t="n"/>
      <c r="CB230" s="156" t="inlineStr">
        <is>
          <t>12 months manufacturer standard (typical research/commercial humanoid)</t>
        </is>
      </c>
      <c r="CC230" s="154" t="n">
        <v>12</v>
      </c>
      <c r="CD230" s="156" t="inlineStr">
        <is>
          <t>+3 Year Extended ≈24% of configuration (default in configurator)</t>
        </is>
      </c>
      <c r="CE230" s="152" t="inlineStr">
        <is>
          <t>Humanoid category norm 2025–2026</t>
        </is>
      </c>
      <c r="CF230" s="152" t="inlineStr">
        <is>
          <t>Estimated</t>
        </is>
      </c>
      <c r="CG230" s="156" t="inlineStr">
        <is>
          <t>Confirm on formal OEM quote. EDU or enterprise packages may differ.</t>
        </is>
      </c>
      <c r="CH230" s="152" t="inlineStr">
        <is>
          <t>10%</t>
        </is>
      </c>
      <c r="CI230" s="152" t="inlineStr">
        <is>
          <t>17%</t>
        </is>
      </c>
      <c r="CJ230" s="152" t="inlineStr">
        <is>
          <t>24%</t>
        </is>
      </c>
      <c r="CK230" s="156" t="inlineStr">
        <is>
          <t>+1yr ≈10% | +2yr ≈17% | +3yr ≈24% of selected configuration price (parts &amp; labor beyond manufacturer standard).</t>
        </is>
      </c>
      <c r="CL230"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30" s="152" t="inlineStr">
        <is>
          <t>12 months manufacturer standard (typical research/commercial humanoid)</t>
        </is>
      </c>
      <c r="CQ230" s="101" t="inlineStr">
        <is>
          <t>Height: 5 ft 7 in | Weight: 176.4 | Degrees of Freedom: 28 | Payload: 88.2 | Max Speed: 1.86 | Battery / Runtime: ≈ 4 hours</t>
        </is>
      </c>
    </row>
    <row r="231" ht="31.5" customHeight="1" s="102">
      <c r="A231" s="143" t="inlineStr">
        <is>
          <t>weave_robotics_inc_isaac_0</t>
        </is>
      </c>
      <c r="B231" s="153" t="inlineStr">
        <is>
          <t>Major-player brief 11 Sep 2026</t>
        </is>
      </c>
      <c r="C231" s="145" t="inlineStr">
        <is>
          <t>Weave Robotics</t>
        </is>
      </c>
      <c r="D231" s="145" t="inlineStr">
        <is>
          <t>Isaac 0</t>
        </is>
      </c>
      <c r="E231" s="145" t="inlineStr">
        <is>
          <t>[Weave Robotics] Isaac 0 (2026)</t>
        </is>
      </c>
      <c r="F231" s="146" t="inlineStr">
        <is>
          <t>humanoid</t>
        </is>
      </c>
      <c r="G231" s="145" t="inlineStr">
        <is>
          <t>USA</t>
        </is>
      </c>
      <c r="H231" s="198" t="n">
        <v>2026</v>
      </c>
      <c r="I231" s="148" t="n">
        <v>7999</v>
      </c>
      <c r="J231" s="145" t="inlineStr">
        <is>
          <t>Humanoid.guide list</t>
        </is>
      </c>
      <c r="K231" s="149" t="inlineStr">
        <is>
          <t>Isaac 0 has a narrower mission: folding laundry from a stationary base. It is already being shipped in limited quantities in California.</t>
        </is>
      </c>
      <c r="L231" s="101" t="inlineStr">
        <is>
          <t>Isaac 0 has a narrower mission: folding laundry from a stationary base. It is already being shipped in limited quantities in California.</t>
        </is>
      </c>
      <c r="M231" s="101" t="inlineStr">
        <is>
          <t>Isaac 0 is Weave Robotics’ narrower product: a stationary laundry-folding robot. Limited quantities have already shipped in California.</t>
        </is>
      </c>
      <c r="N231" s="150" t="inlineStr">
        <is>
          <t>https://humanoid.guide/product/isaac-0/</t>
        </is>
      </c>
      <c r="O231" s="150" t="inlineStr">
        <is>
          <t>https://www.weaverobotics.com</t>
        </is>
      </c>
      <c r="P231" s="145" t="inlineStr">
        <is>
          <t>5 ft 7 in</t>
        </is>
      </c>
      <c r="Q231" s="145" t="n">
        <v>170</v>
      </c>
      <c r="R231" s="145" t="n"/>
      <c r="S231" s="145" t="n"/>
      <c r="T231" s="149" t="inlineStr">
        <is>
          <t>Not disclosed</t>
        </is>
      </c>
      <c r="U231" s="145" t="n"/>
      <c r="V231" s="145" t="inlineStr">
        <is>
          <t>17</t>
        </is>
      </c>
      <c r="W231" s="149" t="inlineStr">
        <is>
          <t>2</t>
        </is>
      </c>
      <c r="X231" s="145" t="n">
        <v>30.9</v>
      </c>
      <c r="Y231" s="145" t="n">
        <v>14</v>
      </c>
      <c r="Z231" s="145" t="n">
        <v>0</v>
      </c>
      <c r="AA231" s="145" t="n">
        <v>0</v>
      </c>
      <c r="AB231" s="145" t="n"/>
      <c r="AC231" s="149" t="inlineStr">
        <is>
          <t>Plug-in device (no battery)</t>
        </is>
      </c>
      <c r="AD231" s="149" t="inlineStr">
        <is>
          <t>Plug-in device (no battery)</t>
        </is>
      </c>
      <c r="AE231" s="145" t="n"/>
      <c r="AF231" s="145" t="inlineStr">
        <is>
          <t>Not disclosed</t>
        </is>
      </c>
      <c r="AG231" s="149" t="inlineStr">
        <is>
          <t>2 total (1 per hand)</t>
        </is>
      </c>
      <c r="AH231" s="145" t="inlineStr">
        <is>
          <t>2 total (1 per hand)</t>
        </is>
      </c>
      <c r="AI231" s="145" t="n"/>
      <c r="AJ231" s="149" t="inlineStr">
        <is>
          <t>Not disclosed</t>
        </is>
      </c>
      <c r="AK231" s="149" t="n"/>
      <c r="AL231" s="145" t="inlineStr">
        <is>
          <t>Not disclosed</t>
        </is>
      </c>
      <c r="AM231" s="145" t="n"/>
      <c r="AN231" s="145" t="inlineStr">
        <is>
          <t>Not disclosed</t>
        </is>
      </c>
      <c r="AO231" s="145" t="inlineStr">
        <is>
          <t>Not disclosed</t>
        </is>
      </c>
      <c r="AP231" s="145" t="inlineStr">
        <is>
          <t>Not disclosed</t>
        </is>
      </c>
      <c r="AQ231" s="145" t="inlineStr">
        <is>
          <t>Not disclosed</t>
        </is>
      </c>
      <c r="AR231" s="145" t="n"/>
      <c r="AS231" s="145" t="n"/>
      <c r="AT231" s="149" t="inlineStr">
        <is>
          <t>Not specified (AI processing onboard + remote compute model updates)</t>
        </is>
      </c>
      <c r="AU231" s="149" t="inlineStr">
        <is>
          <t>Ethernet; Wi‑Fi</t>
        </is>
      </c>
      <c r="AV231" s="145" t="inlineStr">
        <is>
          <t>Not disclosed</t>
        </is>
      </c>
      <c r="AW231" s="149" t="inlineStr">
        <is>
          <t>Not disclosed</t>
        </is>
      </c>
      <c r="AX231" s="145" t="n"/>
      <c r="AY231" s="149" t="inlineStr">
        <is>
          <t>Custom robotics OS + AI models</t>
        </is>
      </c>
      <c r="AZ231" s="149" t="inlineStr">
        <is>
          <t>Not confirmed</t>
        </is>
      </c>
      <c r="BA231" s="149" t="n"/>
      <c r="BB231" s="149" t="inlineStr">
        <is>
          <t>Electric motors (custom robotic arms)</t>
        </is>
      </c>
      <c r="BC231" s="149" t="inlineStr">
        <is>
          <t>Not disclosed</t>
        </is>
      </c>
      <c r="BD231" s="145" t="inlineStr">
        <is>
          <t>Likely metal frame with plastics (not specified)</t>
        </is>
      </c>
      <c r="BE231" s="145" t="inlineStr">
        <is>
          <t>Not disclosed</t>
        </is>
      </c>
      <c r="BF231" s="145" t="n"/>
      <c r="BG231" s="145" t="n"/>
      <c r="BH231" s="145" t="n"/>
      <c r="BI231" s="145" t="n"/>
      <c r="BJ231" s="145" t="n"/>
      <c r="BK231" s="145" t="n"/>
      <c r="BL231" s="145" t="n"/>
      <c r="BM231" s="145" t="inlineStr">
        <is>
          <t>Yes</t>
        </is>
      </c>
      <c r="BN231" s="145" t="inlineStr">
        <is>
          <t>Not disclosed</t>
        </is>
      </c>
      <c r="BO231" s="149" t="inlineStr">
        <is>
          <t>Market: Home laundry automation · Human-safe: Yes · AI: Not confirmed · Actuation: Electric motors (custom robotic arms) · Runtime Plug-in device (no battery)</t>
        </is>
      </c>
      <c r="BP231" s="145" t="n"/>
      <c r="BQ231" s="149" t="inlineStr">
        <is>
          <t>Stationary home laundry folding</t>
        </is>
      </c>
      <c r="BR231" s="149" t="inlineStr">
        <is>
          <t>In production</t>
        </is>
      </c>
      <c r="BS231" s="149" t="inlineStr">
        <is>
          <t>In production</t>
        </is>
      </c>
      <c r="BT231" s="145" t="inlineStr">
        <is>
          <t>White</t>
        </is>
      </c>
      <c r="BU231" s="145" t="inlineStr">
        <is>
          <t>Not verified</t>
        </is>
      </c>
      <c r="BV231" s="149" t="n"/>
      <c r="BW231" s="149" t="inlineStr">
        <is>
          <t>Origin &amp; status — USA · In production · 2026 | Manipulation — 2 total (1 per hand) · 2 total (1 per hand) fingers · Hand DOF 2 · Payload 30.9 lb | Sensing &amp; software — Custom robotics OS + AI models | Buying notes — From $7,999 · 12 months manufacturer standard (typical research/commercial humanoid) · Best fit: Home laundry automation</t>
        </is>
      </c>
      <c r="BX231" s="149" t="inlineStr">
        <is>
          <t>as_shipped|Isaac 0|7999|As shipped</t>
        </is>
      </c>
      <c r="BY231" s="145" t="inlineStr">
        <is>
          <t>white|White|#e2e8f0|0</t>
        </is>
      </c>
      <c r="BZ231" s="145" t="inlineStr"/>
      <c r="CA231" s="149" t="n"/>
      <c r="CB231" s="149" t="inlineStr">
        <is>
          <t>12 months manufacturer standard (typical research/commercial humanoid)</t>
        </is>
      </c>
      <c r="CC231" s="147" t="n">
        <v>12</v>
      </c>
      <c r="CD231" s="149" t="inlineStr">
        <is>
          <t>+3 Year Extended ≈24% of configuration (default in configurator)</t>
        </is>
      </c>
      <c r="CE231" s="145" t="inlineStr">
        <is>
          <t>Humanoid category norm 2025–2026</t>
        </is>
      </c>
      <c r="CF231" s="145" t="inlineStr">
        <is>
          <t>Estimated</t>
        </is>
      </c>
      <c r="CG231" s="149" t="inlineStr">
        <is>
          <t>Confirm on formal OEM quote. EDU or enterprise packages may differ.</t>
        </is>
      </c>
      <c r="CH231" s="145" t="inlineStr">
        <is>
          <t>10%</t>
        </is>
      </c>
      <c r="CI231" s="145" t="inlineStr">
        <is>
          <t>17%</t>
        </is>
      </c>
      <c r="CJ231" s="145" t="inlineStr">
        <is>
          <t>24%</t>
        </is>
      </c>
      <c r="CK231" s="149" t="inlineStr">
        <is>
          <t>+1yr ≈10% | +2yr ≈17% | +3yr ≈24% of selected configuration price (parts &amp; labor beyond manufacturer standard).</t>
        </is>
      </c>
      <c r="CL23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31" s="145" t="inlineStr">
        <is>
          <t>12 months manufacturer standard (typical research/commercial humanoid)</t>
        </is>
      </c>
      <c r="CQ231" s="101" t="inlineStr">
        <is>
          <t>Height: 5 ft 7 in | Weight: Not disclosed | Degrees of Freedom: 17 | Payload: 30.9 | Max Speed: 0 | Battery / Runtime: Plug-in device (no battery)</t>
        </is>
      </c>
    </row>
    <row r="232" ht="31.5" customHeight="1" s="102">
      <c r="A232" s="159" t="inlineStr">
        <is>
          <t>weave_robotics_inc_isaac_1</t>
        </is>
      </c>
      <c r="B232" s="153" t="inlineStr">
        <is>
          <t>Major-player brief 11 Sep 2026</t>
        </is>
      </c>
      <c r="C232" s="152" t="inlineStr">
        <is>
          <t>Weave Robotics</t>
        </is>
      </c>
      <c r="D232" s="152" t="inlineStr">
        <is>
          <t>Isaac 1</t>
        </is>
      </c>
      <c r="E232" s="152" t="inlineStr">
        <is>
          <t>[Weave Robotics] Isaac 1 (2026)</t>
        </is>
      </c>
      <c r="F232" s="146" t="inlineStr">
        <is>
          <t>humanoid</t>
        </is>
      </c>
      <c r="G232" s="152" t="inlineStr">
        <is>
          <t>USA</t>
        </is>
      </c>
      <c r="H232" s="199" t="n">
        <v>2026</v>
      </c>
      <c r="I232" s="155" t="n">
        <v>7999</v>
      </c>
      <c r="J232" s="152" t="inlineStr">
        <is>
          <t>Robot Price Index Aug 2026</t>
        </is>
      </c>
      <c r="K232" s="156" t="inlineStr">
        <is>
          <t>Isaac 1 is a mobile home robot focused on laundry, tidying and other everyday household tasks.</t>
        </is>
      </c>
      <c r="L232" s="101" t="inlineStr">
        <is>
          <t>Isaac 1 is a mobile home robot focused on laundry, tidying and other everyday household tasks.</t>
        </is>
      </c>
      <c r="M232" s="101" t="inlineStr">
        <is>
          <t>Weave Robotics, in San Francisco, designed Isaac 1 as a mobile home robot for laundry, tidying, and other everyday household work. It is the moving sibling of the stationary Isaac 0 laundry folder.</t>
        </is>
      </c>
      <c r="N232" s="157" t="inlineStr">
        <is>
          <t>https://humanoid.guide/product/isaac-1/</t>
        </is>
      </c>
      <c r="O232" s="157" t="inlineStr">
        <is>
          <t>https://www.weaverobotics.com</t>
        </is>
      </c>
      <c r="P232" s="152" t="inlineStr">
        <is>
          <t>5 ft 3 in</t>
        </is>
      </c>
      <c r="Q232" s="152" t="n">
        <v>160</v>
      </c>
      <c r="R232" s="152" t="n">
        <v>88.2</v>
      </c>
      <c r="S232" s="152" t="n">
        <v>40</v>
      </c>
      <c r="T232" s="156" t="inlineStr">
        <is>
          <t>Not disclosed</t>
        </is>
      </c>
      <c r="U232" s="152" t="n"/>
      <c r="V232" s="152" t="inlineStr">
        <is>
          <t>21</t>
        </is>
      </c>
      <c r="W232" s="156" t="inlineStr">
        <is>
          <t>2</t>
        </is>
      </c>
      <c r="X232" s="152" t="n">
        <v>22</v>
      </c>
      <c r="Y232" s="152" t="n">
        <v>10</v>
      </c>
      <c r="Z232" s="152" t="n">
        <v>3.11</v>
      </c>
      <c r="AA232" s="152" t="n">
        <v>5</v>
      </c>
      <c r="AB232" s="152" t="n"/>
      <c r="AC232" s="156" t="inlineStr">
        <is>
          <t>≈ 8 hours</t>
        </is>
      </c>
      <c r="AD232" s="156" t="inlineStr">
        <is>
          <t>8</t>
        </is>
      </c>
      <c r="AE232" s="152" t="n"/>
      <c r="AF232" s="152" t="inlineStr">
        <is>
          <t>Not disclosed</t>
        </is>
      </c>
      <c r="AG232" s="156" t="inlineStr">
        <is>
          <t>2-finger gripping claws</t>
        </is>
      </c>
      <c r="AH232" s="152" t="inlineStr">
        <is>
          <t>2-finger gripping claws</t>
        </is>
      </c>
      <c r="AI232" s="152" t="n"/>
      <c r="AJ232" s="156" t="inlineStr">
        <is>
          <t>Not disclosed</t>
        </is>
      </c>
      <c r="AK232" s="156" t="n"/>
      <c r="AL232" s="152" t="inlineStr">
        <is>
          <t>Not disclosed</t>
        </is>
      </c>
      <c r="AM232" s="152" t="n"/>
      <c r="AN232" s="152" t="inlineStr">
        <is>
          <t>Not disclosed</t>
        </is>
      </c>
      <c r="AO232" s="152" t="inlineStr">
        <is>
          <t>Not disclosed</t>
        </is>
      </c>
      <c r="AP232" s="152" t="inlineStr">
        <is>
          <t>Not disclosed</t>
        </is>
      </c>
      <c r="AQ232" s="152" t="inlineStr">
        <is>
          <t>Not disclosed</t>
        </is>
      </c>
      <c r="AR232" s="152" t="n"/>
      <c r="AS232" s="152" t="n"/>
      <c r="AT232" s="156" t="inlineStr">
        <is>
          <t>Not disclosed</t>
        </is>
      </c>
      <c r="AU232" s="156" t="inlineStr">
        <is>
          <t>Wi-Fi</t>
        </is>
      </c>
      <c r="AV232" s="152" t="inlineStr">
        <is>
          <t>Not disclosed</t>
        </is>
      </c>
      <c r="AW232" s="156" t="inlineStr">
        <is>
          <t>Not disclosed</t>
        </is>
      </c>
      <c r="AX232" s="152" t="n"/>
      <c r="AY232" s="156" t="inlineStr">
        <is>
          <t>Not disclosed</t>
        </is>
      </c>
      <c r="AZ232" s="156" t="inlineStr">
        <is>
          <t>Not disclosed</t>
        </is>
      </c>
      <c r="BA232" s="156" t="n"/>
      <c r="BB232" s="156" t="inlineStr">
        <is>
          <t>Proprietary, self-designed actuators</t>
        </is>
      </c>
      <c r="BC232" s="156" t="inlineStr">
        <is>
          <t>Not disclosed</t>
        </is>
      </c>
      <c r="BD232" s="152" t="inlineStr">
        <is>
          <t>Solid inner structure with soft, swappable fabric outer shells</t>
        </is>
      </c>
      <c r="BE232" s="152" t="inlineStr">
        <is>
          <t>Not disclosed</t>
        </is>
      </c>
      <c r="BF232" s="152" t="n"/>
      <c r="BG232" s="152" t="n"/>
      <c r="BH232" s="152" t="n"/>
      <c r="BI232" s="152" t="n"/>
      <c r="BJ232" s="152" t="n"/>
      <c r="BK232" s="152" t="n"/>
      <c r="BL232" s="152" t="n"/>
      <c r="BM232" s="152" t="inlineStr">
        <is>
          <t>Yes</t>
        </is>
      </c>
      <c r="BN232" s="152" t="inlineStr">
        <is>
          <t>Not disclosed</t>
        </is>
      </c>
      <c r="BO232" s="156" t="inlineStr">
        <is>
          <t>Market: Domestic home chores; Everyday home life; Home assistance · Human-safe: Yes · Actuation: Proprietary, self-designed actuators · Peak 5 km/h · Runtime 8</t>
        </is>
      </c>
      <c r="BP232" s="152" t="n"/>
      <c r="BQ232" s="156" t="inlineStr">
        <is>
          <t>Mobile home robot — laundry, tidying, household tasks</t>
        </is>
      </c>
      <c r="BR232" s="156" t="inlineStr">
        <is>
          <t>pre-order</t>
        </is>
      </c>
      <c r="BS232" s="156" t="inlineStr">
        <is>
          <t>pre-order</t>
        </is>
      </c>
      <c r="BT232" s="152" t="n"/>
      <c r="BU232" s="152" t="n"/>
      <c r="BV232" s="156" t="n"/>
      <c r="BW232" s="156" t="inlineStr">
        <is>
          <t>Origin &amp; status — USA · pre-order · 2026 | Manipulation — 2-finger gripping claws · Hand DOF 2 · Payload 22 lb | Sensing &amp; software — Sensor and compute package confirmed on formal quote | Buying notes — From $7,999 · 12 months manufacturer standard (typical research/commercial humanoid) · Best fit: Domestic home chores</t>
        </is>
      </c>
      <c r="BX232" s="156" t="inlineStr">
        <is>
          <t>as_shipped|Isaac 1|7999|As shipped</t>
        </is>
      </c>
      <c r="BY232" s="152" t="inlineStr">
        <is>
          <t>isaac_1|Manufacturer finish|#e2e8f0|0</t>
        </is>
      </c>
      <c r="BZ232" s="152" t="inlineStr"/>
      <c r="CA232" s="156" t="n"/>
      <c r="CB232" s="156" t="inlineStr">
        <is>
          <t>12 months manufacturer standard (typical research/commercial humanoid)</t>
        </is>
      </c>
      <c r="CC232" s="154" t="n">
        <v>12</v>
      </c>
      <c r="CD232" s="156" t="inlineStr">
        <is>
          <t>+3 Year Extended ≈24% of configuration (default in configurator)</t>
        </is>
      </c>
      <c r="CE232" s="152" t="inlineStr">
        <is>
          <t>Humanoid category norm 2025–2026</t>
        </is>
      </c>
      <c r="CF232" s="152" t="inlineStr">
        <is>
          <t>Estimated</t>
        </is>
      </c>
      <c r="CG232" s="156" t="inlineStr">
        <is>
          <t>Confirm on formal OEM quote. EDU or enterprise packages may differ.</t>
        </is>
      </c>
      <c r="CH232" s="152" t="inlineStr">
        <is>
          <t>10%</t>
        </is>
      </c>
      <c r="CI232" s="152" t="inlineStr">
        <is>
          <t>17%</t>
        </is>
      </c>
      <c r="CJ232" s="152" t="inlineStr">
        <is>
          <t>24%</t>
        </is>
      </c>
      <c r="CK232" s="156" t="inlineStr">
        <is>
          <t>+1yr ≈10% | +2yr ≈17% | +3yr ≈24% of selected configuration price (parts &amp; labor beyond manufacturer standard).</t>
        </is>
      </c>
      <c r="CL232"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32" s="152" t="inlineStr">
        <is>
          <t>12 months manufacturer standard (typical research/commercial humanoid)</t>
        </is>
      </c>
      <c r="CQ232" s="101" t="inlineStr">
        <is>
          <t>Height: 5 ft 3 in | Weight: 88.2 | Degrees of Freedom: 21 | Payload: 22 | Max Speed: 3.11 | Battery / Runtime: ≈ 8 hours</t>
        </is>
      </c>
    </row>
    <row r="233" ht="31.5" customHeight="1" s="102">
      <c r="A233" s="145" t="inlineStr">
        <is>
          <t>westwood_robotics_themis_v2</t>
        </is>
      </c>
      <c r="B233" s="153" t="inlineStr">
        <is>
          <t>Humanoid.guide</t>
        </is>
      </c>
      <c r="C233" s="145" t="inlineStr">
        <is>
          <t>Westwood Robotics</t>
        </is>
      </c>
      <c r="D233" s="145" t="inlineStr">
        <is>
          <t>THEMIS V2</t>
        </is>
      </c>
      <c r="E233" s="145" t="inlineStr">
        <is>
          <t>[Westwood Robotics] THEMIS V2 (2026)</t>
        </is>
      </c>
      <c r="F233" s="146" t="inlineStr">
        <is>
          <t>humanoid</t>
        </is>
      </c>
      <c r="G233" s="145" t="inlineStr">
        <is>
          <t>USA</t>
        </is>
      </c>
      <c r="H233" s="145" t="n"/>
      <c r="I233" s="148" t="n">
        <v>69890</v>
      </c>
      <c r="J233" s="145" t="inlineStr">
        <is>
          <t>Humanoid.guide list</t>
        </is>
      </c>
      <c r="K233" s="149" t="inlineStr">
        <is>
          <t>THEMIS V2 is a full-size humanoid robot developed by Westwood Robotics. With 40 degrees of freedom, advanced actuators, AI computing, and human-like form and function, it’s built for real-world tasks in logistics, services, and research.</t>
        </is>
      </c>
      <c r="L233" s="101" t="inlineStr">
        <is>
          <t>THEMIS V2 is a full-size humanoid robot developed by Westwood Robotics. With 40 degrees of freedom, advanced actuators, AI computing, and human-like form and function, it’s built for real-world tasks in logistics, services, and research.</t>
        </is>
      </c>
      <c r="M233" s="101" t="inlineStr">
        <is>
          <t>THEMIS V2 is a full-size humanoid robot developed by Westwood Robotics. With 40 degrees of freedom, advanced actuators, AI computing, and human-like form and function, it’s built for real-world tasks in logistics, services, and research. Public status is listed as in production.</t>
        </is>
      </c>
      <c r="N233" s="150" t="inlineStr">
        <is>
          <t>https://humanoid.guide/product/themis-v2/</t>
        </is>
      </c>
      <c r="O233" s="150" t="inlineStr">
        <is>
          <t>https://www.westwoodrobotics.ai</t>
        </is>
      </c>
      <c r="P233" s="145" t="inlineStr">
        <is>
          <t>5 ft 3 in</t>
        </is>
      </c>
      <c r="Q233" s="145" t="n">
        <v>160</v>
      </c>
      <c r="R233" s="145" t="n">
        <v>70.5</v>
      </c>
      <c r="S233" s="145" t="n">
        <v>32</v>
      </c>
      <c r="T233" s="149" t="inlineStr">
        <is>
          <t>Not disclosed</t>
        </is>
      </c>
      <c r="U233" s="145" t="n"/>
      <c r="V233" s="145" t="inlineStr">
        <is>
          <t>40</t>
        </is>
      </c>
      <c r="W233" s="149" t="inlineStr">
        <is>
          <t>Not disclosed</t>
        </is>
      </c>
      <c r="X233" s="145" t="n">
        <v>33.1</v>
      </c>
      <c r="Y233" s="145" t="n">
        <v>15</v>
      </c>
      <c r="Z233" s="145" t="n">
        <v>6.21</v>
      </c>
      <c r="AA233" s="145" t="n">
        <v>10</v>
      </c>
      <c r="AB233" s="145" t="n"/>
      <c r="AC233" s="149" t="inlineStr">
        <is>
          <t>Not disclosed</t>
        </is>
      </c>
      <c r="AD233" s="149" t="n"/>
      <c r="AE233" s="145" t="n"/>
      <c r="AF233" s="145" t="inlineStr">
        <is>
          <t>Not disclosed</t>
        </is>
      </c>
      <c r="AG233" s="149" t="inlineStr">
        <is>
          <t>Not disclosed</t>
        </is>
      </c>
      <c r="AH233" s="145" t="inlineStr">
        <is>
          <t>Not disclosed</t>
        </is>
      </c>
      <c r="AI233" s="158" t="n">
        <v>2</v>
      </c>
      <c r="AJ233" s="149" t="inlineStr">
        <is>
          <t>Not disclosed</t>
        </is>
      </c>
      <c r="AK233" s="149" t="n"/>
      <c r="AL233" s="145" t="inlineStr">
        <is>
          <t>Not disclosed</t>
        </is>
      </c>
      <c r="AM233" s="145" t="n"/>
      <c r="AN233" s="145" t="inlineStr">
        <is>
          <t>Not disclosed</t>
        </is>
      </c>
      <c r="AO233" s="145" t="inlineStr">
        <is>
          <t>Not disclosed</t>
        </is>
      </c>
      <c r="AP233" s="145" t="inlineStr">
        <is>
          <t>Not disclosed</t>
        </is>
      </c>
      <c r="AQ233" s="145" t="inlineStr">
        <is>
          <t>Not disclosed</t>
        </is>
      </c>
      <c r="AR233" s="145" t="n"/>
      <c r="AS233" s="145" t="n"/>
      <c r="AT233" s="149" t="inlineStr">
        <is>
          <t>Not disclosed</t>
        </is>
      </c>
      <c r="AU233" s="149" t="inlineStr">
        <is>
          <t>Not disclosed</t>
        </is>
      </c>
      <c r="AV233" s="145" t="inlineStr">
        <is>
          <t>Not disclosed</t>
        </is>
      </c>
      <c r="AW233" s="149" t="inlineStr">
        <is>
          <t>Not disclosed</t>
        </is>
      </c>
      <c r="AX233" s="158" t="n">
        <v>2</v>
      </c>
      <c r="AY233" s="149" t="inlineStr">
        <is>
          <t>Not disclosed</t>
        </is>
      </c>
      <c r="AZ233" s="149" t="inlineStr">
        <is>
          <t>Not disclosed</t>
        </is>
      </c>
      <c r="BA233" s="149" t="n"/>
      <c r="BB233" s="149" t="inlineStr">
        <is>
          <t>Not disclosed</t>
        </is>
      </c>
      <c r="BC233" s="149" t="inlineStr">
        <is>
          <t>Not disclosed</t>
        </is>
      </c>
      <c r="BD233" s="145" t="inlineStr">
        <is>
          <t>Not disclosed</t>
        </is>
      </c>
      <c r="BE233" s="145" t="inlineStr">
        <is>
          <t>Not disclosed</t>
        </is>
      </c>
      <c r="BF233" s="145" t="n"/>
      <c r="BG233" s="145" t="n"/>
      <c r="BH233" s="145" t="n"/>
      <c r="BI233" s="145" t="n"/>
      <c r="BJ233" s="145" t="n"/>
      <c r="BK233" s="145" t="n"/>
      <c r="BL233" s="145" t="n"/>
      <c r="BM233" s="145" t="inlineStr">
        <is>
          <t>Not disclosed</t>
        </is>
      </c>
      <c r="BN233" s="145" t="inlineStr">
        <is>
          <t>Not disclosed</t>
        </is>
      </c>
      <c r="BO233" s="149" t="inlineStr">
        <is>
          <t>Manipulation 2/4 · Navigation 2/4 · Peak 10 km/h</t>
        </is>
      </c>
      <c r="BP233" s="145" t="n"/>
      <c r="BQ233" s="149" t="inlineStr">
        <is>
          <t>Research labs, commercial pilots, and education programs evaluating a humanoid from Westwood Robotics (USA).</t>
        </is>
      </c>
      <c r="BR233" s="149" t="inlineStr">
        <is>
          <t>In production</t>
        </is>
      </c>
      <c r="BS233" s="149" t="inlineStr">
        <is>
          <t>In production</t>
        </is>
      </c>
      <c r="BT233" s="145" t="n"/>
      <c r="BU233" s="145" t="inlineStr">
        <is>
          <t>Verified</t>
        </is>
      </c>
      <c r="BV233" s="149" t="n"/>
      <c r="BW233" s="149" t="inlineStr">
        <is>
          <t>Origin &amp; status — USA · In production · 2026 | Manipulation — Payload 33.1 lb | Sensing &amp; software — Sensor and compute package confirmed on formal quote | Buying notes — From $69,890 · 12 months manufacturer standard (typical research/commercial humanoid)</t>
        </is>
      </c>
      <c r="BX233" s="149" t="inlineStr">
        <is>
          <t>as_shipped|THEMIS V2|69890|As shipped</t>
        </is>
      </c>
      <c r="BY233" s="145" t="inlineStr">
        <is>
          <t>themis_v2|Manufacturer finish|#e2e8f0|0</t>
        </is>
      </c>
      <c r="BZ233" s="145" t="inlineStr"/>
      <c r="CA233" s="149" t="n"/>
      <c r="CB233" s="149" t="inlineStr">
        <is>
          <t>12 months manufacturer standard (typical research/commercial humanoid)</t>
        </is>
      </c>
      <c r="CC233" s="147" t="n">
        <v>12</v>
      </c>
      <c r="CD233" s="149" t="inlineStr">
        <is>
          <t>+3 Year Extended ≈24% of configuration (default in configurator)</t>
        </is>
      </c>
      <c r="CE233" s="145" t="inlineStr">
        <is>
          <t>Humanoid category norm 2025–2026</t>
        </is>
      </c>
      <c r="CF233" s="145" t="inlineStr">
        <is>
          <t>Estimated</t>
        </is>
      </c>
      <c r="CG233" s="149" t="inlineStr">
        <is>
          <t>Confirm on formal OEM quote. EDU or enterprise packages may differ.</t>
        </is>
      </c>
      <c r="CH233" s="145" t="inlineStr">
        <is>
          <t>10%</t>
        </is>
      </c>
      <c r="CI233" s="145" t="inlineStr">
        <is>
          <t>17%</t>
        </is>
      </c>
      <c r="CJ233" s="145" t="inlineStr">
        <is>
          <t>24%</t>
        </is>
      </c>
      <c r="CK233" s="149" t="inlineStr">
        <is>
          <t>+1yr ≈10% | +2yr ≈17% | +3yr ≈24% of selected configuration price (parts &amp; labor beyond manufacturer standard).</t>
        </is>
      </c>
      <c r="CL233"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33" s="145" t="inlineStr">
        <is>
          <t>12 months manufacturer standard (typical research/commercial humanoid)</t>
        </is>
      </c>
      <c r="CQ233" s="101" t="inlineStr">
        <is>
          <t>Height: 5 ft 3 in | Weight: 70.5 | Degrees of Freedom: 40 | Payload: 33.1 | Max Speed: 6.21 | Battery / Runtime: Not disclosed</t>
        </is>
      </c>
    </row>
    <row r="234" ht="31.5" customHeight="1" s="102">
      <c r="A234" s="152" t="inlineStr">
        <is>
          <t>wirobotics_allex</t>
        </is>
      </c>
      <c r="B234" s="153" t="inlineStr">
        <is>
          <t>Humanoid.guide</t>
        </is>
      </c>
      <c r="C234" s="152" t="inlineStr">
        <is>
          <t>WIRobotics</t>
        </is>
      </c>
      <c r="D234" s="152" t="inlineStr">
        <is>
          <t>ALLEX</t>
        </is>
      </c>
      <c r="E234" s="152" t="inlineStr">
        <is>
          <t>[WIRobotics] ALLEX (2026)</t>
        </is>
      </c>
      <c r="F234" s="146" t="inlineStr">
        <is>
          <t>humanoid</t>
        </is>
      </c>
      <c r="G234" s="152" t="inlineStr">
        <is>
          <t>South Korea</t>
        </is>
      </c>
      <c r="H234" s="152" t="n"/>
      <c r="I234" s="155" t="n">
        <v>180000</v>
      </c>
      <c r="J234" s="152" t="inlineStr">
        <is>
          <t>Humanoid.guide list</t>
        </is>
      </c>
      <c r="K234" s="156" t="inlineStr">
        <is>
          <t>WIRobotics ALLEX is a general‑purpose humanoid with a 15‑DOF compliant hand, ultra‑low‑friction actuation, and whole‑body compliance for safe human interaction.</t>
        </is>
      </c>
      <c r="L234" s="101" t="inlineStr">
        <is>
          <t>WIRobotics ALLEX is a general‑purpose humanoid with a 15‑DOF compliant hand, ultra‑low‑friction actuation, and whole‑body compliance for safe human interaction.</t>
        </is>
      </c>
      <c r="M234" s="101" t="inlineStr">
        <is>
          <t>ALLEX is WIRobotics's humanoid, introduced around 2026 in South Korea. WIRobotics ALLEX is a general‑purpose humanoid with a 15‑DOF compliant hand, ultra‑low‑friction actuation, and whole‑body compliance for safe human interaction. Public status is listed as prototype, and it is positioned for commercial cleaning; Home service; Lgistics.</t>
        </is>
      </c>
      <c r="N234" s="157" t="inlineStr">
        <is>
          <t>https://humanoid.guide/product/allex/</t>
        </is>
      </c>
      <c r="O234" s="152" t="inlineStr">
        <is>
          <t>https://www.wirobotics.com</t>
        </is>
      </c>
      <c r="P234" s="152" t="n"/>
      <c r="Q234" s="152" t="n"/>
      <c r="R234" s="152" t="n"/>
      <c r="S234" s="152" t="n"/>
      <c r="T234" s="156" t="inlineStr">
        <is>
          <t>Not disclosed</t>
        </is>
      </c>
      <c r="U234" s="152" t="inlineStr">
        <is>
          <t>Not specified</t>
        </is>
      </c>
      <c r="V234" s="152" t="inlineStr">
        <is>
          <t>Not disclosed</t>
        </is>
      </c>
      <c r="W234" s="156" t="inlineStr">
        <is>
          <t>15</t>
        </is>
      </c>
      <c r="X234" s="152" t="n">
        <v>66.09999999999999</v>
      </c>
      <c r="Y234" s="152" t="n">
        <v>30</v>
      </c>
      <c r="Z234" s="152" t="n">
        <v>0</v>
      </c>
      <c r="AA234" s="152" t="n">
        <v>0</v>
      </c>
      <c r="AB234" s="152" t="n"/>
      <c r="AC234" s="156" t="inlineStr">
        <is>
          <t>Not disclosed</t>
        </is>
      </c>
      <c r="AD234" s="156" t="inlineStr">
        <is>
          <t>Not specified</t>
        </is>
      </c>
      <c r="AE234" s="152" t="n"/>
      <c r="AF234" s="152" t="inlineStr">
        <is>
          <t>Not disclosed</t>
        </is>
      </c>
      <c r="AG234" s="156" t="inlineStr">
        <is>
          <t>10</t>
        </is>
      </c>
      <c r="AH234" s="152" t="inlineStr">
        <is>
          <t>10</t>
        </is>
      </c>
      <c r="AI234" s="158" t="n">
        <v>2</v>
      </c>
      <c r="AJ234" s="156" t="inlineStr">
        <is>
          <t>Not disclosed</t>
        </is>
      </c>
      <c r="AK234" s="156" t="inlineStr">
        <is>
          <t>Not specified</t>
        </is>
      </c>
      <c r="AL234" s="152" t="inlineStr">
        <is>
          <t>Not disclosed</t>
        </is>
      </c>
      <c r="AM234" s="152" t="n"/>
      <c r="AN234" s="152" t="inlineStr">
        <is>
          <t>Not disclosed</t>
        </is>
      </c>
      <c r="AO234" s="152" t="inlineStr">
        <is>
          <t>Not disclosed</t>
        </is>
      </c>
      <c r="AP234" s="152" t="inlineStr">
        <is>
          <t>Not disclosed</t>
        </is>
      </c>
      <c r="AQ234" s="152" t="inlineStr">
        <is>
          <t>Not disclosed</t>
        </is>
      </c>
      <c r="AR234" s="152" t="n"/>
      <c r="AS234" s="152" t="n"/>
      <c r="AT234" s="156" t="inlineStr">
        <is>
          <t>Not disclosed</t>
        </is>
      </c>
      <c r="AU234" s="156" t="inlineStr">
        <is>
          <t>Not disclosed</t>
        </is>
      </c>
      <c r="AV234" s="152" t="inlineStr">
        <is>
          <t>Not disclosed</t>
        </is>
      </c>
      <c r="AW234" s="156" t="inlineStr">
        <is>
          <t>Not disclosed</t>
        </is>
      </c>
      <c r="AX234" s="158" t="n">
        <v>2</v>
      </c>
      <c r="AY234" s="156" t="inlineStr">
        <is>
          <t>Not disclosed</t>
        </is>
      </c>
      <c r="AZ234" s="156" t="inlineStr">
        <is>
          <t>Strategic partnership with RLWRLD</t>
        </is>
      </c>
      <c r="BA234" s="156" t="inlineStr">
        <is>
          <t>Not specified</t>
        </is>
      </c>
      <c r="BB234" s="156" t="inlineStr">
        <is>
          <t>Proprietary ultra‑low‑friction, high‑load electric actuator; highly backdrivable; integrated position/force/stiffness control.</t>
        </is>
      </c>
      <c r="BC234" s="156" t="inlineStr">
        <is>
          <t>Not disclosed</t>
        </is>
      </c>
      <c r="BD234" s="152" t="inlineStr">
        <is>
          <t>Not disclosed</t>
        </is>
      </c>
      <c r="BE234" s="152" t="inlineStr">
        <is>
          <t>Not disclosed</t>
        </is>
      </c>
      <c r="BF234" s="152" t="inlineStr">
        <is>
          <t>Not specified</t>
        </is>
      </c>
      <c r="BG234" s="152" t="n"/>
      <c r="BH234" s="152" t="n"/>
      <c r="BI234" s="152" t="n"/>
      <c r="BJ234" s="152" t="n"/>
      <c r="BK234" s="152" t="n"/>
      <c r="BL234" s="152" t="n"/>
      <c r="BM234" s="152" t="inlineStr">
        <is>
          <t>Not disclosed</t>
        </is>
      </c>
      <c r="BN234" s="152" t="inlineStr">
        <is>
          <t>Not disclosed</t>
        </is>
      </c>
      <c r="BO234" s="156" t="inlineStr">
        <is>
          <t>Market: Commercial cleaning; Home service; Lgistics. · Manipulation 2/4 · Navigation 2/4 · Human-safe: Not specified · AI: Strategic partnership with RLWRLD · Actuation: Proprietary ultra‑low‑friction, high‑load electric actuator; highly backdrivable; integrated position/force… · Runtime Not specified</t>
        </is>
      </c>
      <c r="BP234" s="152" t="n"/>
      <c r="BQ234" s="156" t="inlineStr">
        <is>
          <t>Commercial cleaning; Home service; Lgistics.</t>
        </is>
      </c>
      <c r="BR234" s="156" t="inlineStr">
        <is>
          <t>Prototype</t>
        </is>
      </c>
      <c r="BS234" s="156" t="inlineStr">
        <is>
          <t>Prototype</t>
        </is>
      </c>
      <c r="BT234" s="152" t="inlineStr">
        <is>
          <t>Not specified</t>
        </is>
      </c>
      <c r="BU234" s="152" t="inlineStr">
        <is>
          <t>Not verified</t>
        </is>
      </c>
      <c r="BV234" s="156" t="n"/>
      <c r="BW234" s="156" t="inlineStr">
        <is>
          <t>Origin &amp; status — South Korea · Prototype · 2026 | Manipulation — 10 · 10 fingers · Hand DOF 15 · Payload 66.1 lb | Sensing &amp; software — Strategic partnership with RLWRLD | Buying notes — From $180,000 · 12 months manufacturer standard (typical research/commercial humanoid) · Best fit: Commercial cleaning</t>
        </is>
      </c>
      <c r="BX234" s="156" t="inlineStr">
        <is>
          <t>as_shipped|ALLEX|180000|As shipped</t>
        </is>
      </c>
      <c r="BY234" s="152" t="inlineStr">
        <is>
          <t>not_specified|Not specified|#e2e8f0|0</t>
        </is>
      </c>
      <c r="BZ234" s="152" t="inlineStr"/>
      <c r="CA234" s="156" t="n"/>
      <c r="CB234" s="156" t="inlineStr">
        <is>
          <t>12 months manufacturer standard (typical research/commercial humanoid)</t>
        </is>
      </c>
      <c r="CC234" s="154" t="n">
        <v>12</v>
      </c>
      <c r="CD234" s="156" t="inlineStr">
        <is>
          <t>+3 Year Extended ≈24% of configuration (default in configurator)</t>
        </is>
      </c>
      <c r="CE234" s="152" t="inlineStr">
        <is>
          <t>Humanoid category norm 2025–2026</t>
        </is>
      </c>
      <c r="CF234" s="152" t="inlineStr">
        <is>
          <t>Estimated</t>
        </is>
      </c>
      <c r="CG234" s="156" t="inlineStr">
        <is>
          <t>Confirm on formal OEM quote. EDU or enterprise packages may differ.</t>
        </is>
      </c>
      <c r="CH234" s="152" t="inlineStr">
        <is>
          <t>10%</t>
        </is>
      </c>
      <c r="CI234" s="152" t="inlineStr">
        <is>
          <t>17%</t>
        </is>
      </c>
      <c r="CJ234" s="152" t="inlineStr">
        <is>
          <t>24%</t>
        </is>
      </c>
      <c r="CK234" s="156" t="inlineStr">
        <is>
          <t>+1yr ≈10% | +2yr ≈17% | +3yr ≈24% of selected configuration price (parts &amp; labor beyond manufacturer standard).</t>
        </is>
      </c>
      <c r="CL234"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34" s="152" t="inlineStr">
        <is>
          <t>12 months manufacturer standard (typical research/commercial humanoid)</t>
        </is>
      </c>
      <c r="CQ234" s="101" t="inlineStr">
        <is>
          <t>Height: Not disclosed | Weight: Not disclosed | Degrees of Freedom: Not disclosed | Payload: 66.1 | Max Speed: 0 | Battery / Runtime: Not disclosed</t>
        </is>
      </c>
    </row>
    <row r="235" ht="31.5" customHeight="1" s="102">
      <c r="A235" s="145" t="inlineStr">
        <is>
          <t>wl_robotics_wl_robo_totan_o1</t>
        </is>
      </c>
      <c r="B235" s="153" t="inlineStr">
        <is>
          <t>Humanoid.guide</t>
        </is>
      </c>
      <c r="C235" s="145" t="inlineStr">
        <is>
          <t>WL Robotics (WL Robo)</t>
        </is>
      </c>
      <c r="D235" s="145" t="inlineStr">
        <is>
          <t>Totan O1</t>
        </is>
      </c>
      <c r="E235" s="145" t="inlineStr">
        <is>
          <t>[WL Robotics] Totan O1 (2026)</t>
        </is>
      </c>
      <c r="F235" s="146" t="inlineStr">
        <is>
          <t>humanoid</t>
        </is>
      </c>
      <c r="G235" s="145" t="inlineStr">
        <is>
          <t>China</t>
        </is>
      </c>
      <c r="H235" s="145" t="n"/>
      <c r="I235" s="148" t="n">
        <v>60000</v>
      </c>
      <c r="J235" s="145" t="inlineStr">
        <is>
          <t>Humanoid.guide list</t>
        </is>
      </c>
      <c r="K235" s="149" t="inlineStr">
        <is>
          <t>Titan O1 is a compact research-grade humanoid robot designed for mobility, manipulation, and embodied AI development.</t>
        </is>
      </c>
      <c r="L235" s="101" t="inlineStr">
        <is>
          <t>Titan O1 is a compact research-grade humanoid robot designed for mobility, manipulation, and embodied AI development.</t>
        </is>
      </c>
      <c r="M235" s="101" t="inlineStr">
        <is>
          <t>Totan O1 is WL Robotics (WL Robo)'s humanoid, introduced around 2026 in China. Titan O1 is a compact research-grade humanoid robot designed for mobility, manipulation, and embodied AI development. Public status is listed as limited production / pilot deployments, and it is positioned for aI research teams; education; robotics labs; universities.</t>
        </is>
      </c>
      <c r="N235" s="150" t="inlineStr">
        <is>
          <t>https://humanoid.guide/product/totan-o1/</t>
        </is>
      </c>
      <c r="O235" s="150" t="inlineStr">
        <is>
          <t>https://wlrobo.com/</t>
        </is>
      </c>
      <c r="P235" s="145" t="inlineStr">
        <is>
          <t>4 ft 5 in</t>
        </is>
      </c>
      <c r="Q235" s="145" t="n">
        <v>134</v>
      </c>
      <c r="R235" s="145" t="n">
        <v>75</v>
      </c>
      <c r="S235" s="145" t="n">
        <v>34</v>
      </c>
      <c r="T235" s="149" t="inlineStr">
        <is>
          <t>Not disclosed</t>
        </is>
      </c>
      <c r="U235" s="145" t="inlineStr">
        <is>
          <t>Approx. 150 × 60 × 50 cm</t>
        </is>
      </c>
      <c r="V235" s="145" t="inlineStr">
        <is>
          <t>30</t>
        </is>
      </c>
      <c r="W235" s="149" t="inlineStr">
        <is>
          <t>~6–7 per hand</t>
        </is>
      </c>
      <c r="X235" s="145" t="n">
        <v>22</v>
      </c>
      <c r="Y235" s="145" t="n">
        <v>10</v>
      </c>
      <c r="Z235" s="145" t="n">
        <v>2.49</v>
      </c>
      <c r="AA235" s="145" t="n">
        <v>4</v>
      </c>
      <c r="AB235" s="145" t="n">
        <v>3</v>
      </c>
      <c r="AC235" s="149" t="inlineStr">
        <is>
          <t>1.5 – 2.5</t>
        </is>
      </c>
      <c r="AD235" s="149" t="inlineStr">
        <is>
          <t>1.5 – 2.5</t>
        </is>
      </c>
      <c r="AE235" s="145" t="n"/>
      <c r="AF235" s="145" t="inlineStr">
        <is>
          <t>Not disclosed</t>
        </is>
      </c>
      <c r="AG235" s="149" t="inlineStr">
        <is>
          <t>5 per hand</t>
        </is>
      </c>
      <c r="AH235" s="145" t="inlineStr">
        <is>
          <t>5 per hand</t>
        </is>
      </c>
      <c r="AI235" s="145" t="n"/>
      <c r="AJ235" s="149" t="inlineStr">
        <is>
          <t>Likely 1080p stereo or depth camera system</t>
        </is>
      </c>
      <c r="AK235" s="149" t="inlineStr">
        <is>
          <t>Likely 1080p stereo or depth camera system</t>
        </is>
      </c>
      <c r="AL235" s="145" t="inlineStr">
        <is>
          <t>Not disclosed</t>
        </is>
      </c>
      <c r="AM235" s="145" t="n"/>
      <c r="AN235" s="145" t="inlineStr">
        <is>
          <t>Not disclosed</t>
        </is>
      </c>
      <c r="AO235" s="145" t="inlineStr">
        <is>
          <t>Not disclosed</t>
        </is>
      </c>
      <c r="AP235" s="145" t="inlineStr">
        <is>
          <t>Not disclosed</t>
        </is>
      </c>
      <c r="AQ235" s="145" t="inlineStr">
        <is>
          <t>Not disclosed</t>
        </is>
      </c>
      <c r="AR235" s="145" t="n"/>
      <c r="AS235" s="145" t="n"/>
      <c r="AT235" s="149" t="inlineStr">
        <is>
          <t>Likely Intel i7 / NVIDIA Jetson or similar AI module</t>
        </is>
      </c>
      <c r="AU235" s="149" t="inlineStr">
        <is>
          <t>Ethernet; possibly ROS integration; Wi‑Fi</t>
        </is>
      </c>
      <c r="AV235" s="145" t="inlineStr">
        <is>
          <t>Not disclosed</t>
        </is>
      </c>
      <c r="AW235" s="149" t="inlineStr">
        <is>
          <t>Not disclosed</t>
        </is>
      </c>
      <c r="AX235" s="145" t="n"/>
      <c r="AY235" s="149" t="inlineStr">
        <is>
          <t>Likely Ubuntu / ROS-based architecture</t>
        </is>
      </c>
      <c r="AZ235" s="149" t="inlineStr">
        <is>
          <t>Possible via ROS + external AI stack; not native onboard LLM</t>
        </is>
      </c>
      <c r="BA235" s="149" t="inlineStr">
        <is>
          <t>Estimated 50–150 ms depending on compute pipeline</t>
        </is>
      </c>
      <c r="BB235" s="149" t="inlineStr">
        <is>
          <t>High-torque servo or BLDC actuators</t>
        </is>
      </c>
      <c r="BC235" s="149" t="inlineStr">
        <is>
          <t>Harmonic drive / planetary gear mix</t>
        </is>
      </c>
      <c r="BD235" s="145" t="inlineStr">
        <is>
          <t>Aluminum alloy frame with composite panels</t>
        </is>
      </c>
      <c r="BE235" s="145" t="inlineStr">
        <is>
          <t>IP20</t>
        </is>
      </c>
      <c r="BF235" s="145" t="inlineStr">
        <is>
          <t>Indoor use; estimated IP20</t>
        </is>
      </c>
      <c r="BG235" s="145" t="n"/>
      <c r="BH235" s="145" t="n"/>
      <c r="BI235" s="145" t="n"/>
      <c r="BJ235" s="145" t="n"/>
      <c r="BK235" s="145" t="n"/>
      <c r="BL235" s="145" t="n"/>
      <c r="BM235" s="145" t="inlineStr">
        <is>
          <t>Yes</t>
        </is>
      </c>
      <c r="BN235" s="145" t="inlineStr">
        <is>
          <t>Not disclosed</t>
        </is>
      </c>
      <c r="BO235" s="149" t="inlineStr">
        <is>
          <t>Market: AI research teams; education; robotics labs; universities · Human-safe: Yes · AI: Possible via ROS + external AI stack; not native onboard LLM · Actuation: High-torque servo or BLDC actuators · Peak 4 km/h · Walk 3 km/h · Runtime 1.5 – 2.5</t>
        </is>
      </c>
      <c r="BP235" s="145" t="n"/>
      <c r="BQ235" s="149" t="inlineStr">
        <is>
          <t>AI research teams; education; robotics labs; universities</t>
        </is>
      </c>
      <c r="BR235" s="149" t="inlineStr">
        <is>
          <t>Limited production / pilot deployments</t>
        </is>
      </c>
      <c r="BS235" s="149" t="inlineStr">
        <is>
          <t>Limited production / pilot deployments</t>
        </is>
      </c>
      <c r="BT235" s="145" t="inlineStr">
        <is>
          <t>Orange + Grey</t>
        </is>
      </c>
      <c r="BU235" s="145" t="inlineStr">
        <is>
          <t>Not verified</t>
        </is>
      </c>
      <c r="BV235" s="149" t="n"/>
      <c r="BW235" s="149" t="inlineStr">
        <is>
          <t>Origin &amp; status — China · Limited production / pilot deployments · 2026 | Manipulation — 5 per hand · 5 per hand fingers · Hand DOF ~6–7 per hand · Payload 22 lb | Sensing &amp; software — Likely 1080p stereo or depth camera system · Possible via ROS + external AI stack; not native onboard LLM · Likely Ubuntu / ROS-based architecture | Buying notes — From $60,000 · 12 months manufacturer standard (typical research/commercial humanoid) · Best fit: AI research teams</t>
        </is>
      </c>
      <c r="BX235" s="149" t="inlineStr">
        <is>
          <t>as_shipped|Totan O1|60000|As shipped</t>
        </is>
      </c>
      <c r="BY235" s="145" t="inlineStr">
        <is>
          <t>orange_grey|Orange + Grey|#e2e8f0|0</t>
        </is>
      </c>
      <c r="BZ235" s="145" t="inlineStr"/>
      <c r="CA235" s="149" t="n"/>
      <c r="CB235" s="149" t="inlineStr">
        <is>
          <t>12 months manufacturer standard (typical research/commercial humanoid)</t>
        </is>
      </c>
      <c r="CC235" s="147" t="n">
        <v>12</v>
      </c>
      <c r="CD235" s="149" t="inlineStr">
        <is>
          <t>+3 Year Extended ≈24% of configuration (default in configurator)</t>
        </is>
      </c>
      <c r="CE235" s="145" t="inlineStr">
        <is>
          <t>Humanoid category norm 2025–2026</t>
        </is>
      </c>
      <c r="CF235" s="145" t="inlineStr">
        <is>
          <t>Estimated</t>
        </is>
      </c>
      <c r="CG235" s="149" t="inlineStr">
        <is>
          <t>Confirm on formal OEM quote. EDU or enterprise packages may differ.</t>
        </is>
      </c>
      <c r="CH235" s="145" t="inlineStr">
        <is>
          <t>10%</t>
        </is>
      </c>
      <c r="CI235" s="145" t="inlineStr">
        <is>
          <t>17%</t>
        </is>
      </c>
      <c r="CJ235" s="145" t="inlineStr">
        <is>
          <t>24%</t>
        </is>
      </c>
      <c r="CK235" s="149" t="inlineStr">
        <is>
          <t>+1yr ≈10% | +2yr ≈17% | +3yr ≈24% of selected configuration price (parts &amp; labor beyond manufacturer standard).</t>
        </is>
      </c>
      <c r="CL23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35" s="145" t="inlineStr">
        <is>
          <t>12 months manufacturer standard (typical research/commercial humanoid)</t>
        </is>
      </c>
      <c r="CQ235" s="101" t="inlineStr">
        <is>
          <t>Height: 4 ft 5 in | Weight: 75 | Degrees of Freedom: 30 | Payload: 22 | Max Speed: 2.49 | Battery / Runtime: 1.5 – 2.5</t>
        </is>
      </c>
    </row>
    <row r="236" ht="31.5" customHeight="1" s="102">
      <c r="A236" s="152" t="inlineStr">
        <is>
          <t>workfar_technologies_usa_syntro</t>
        </is>
      </c>
      <c r="B236" s="153" t="inlineStr">
        <is>
          <t>Humanoid.guide</t>
        </is>
      </c>
      <c r="C236" s="152" t="inlineStr">
        <is>
          <t>WorkFar Technologies (USA)</t>
        </is>
      </c>
      <c r="D236" s="152" t="inlineStr">
        <is>
          <t>Syntro</t>
        </is>
      </c>
      <c r="E236" s="152" t="inlineStr">
        <is>
          <t>[WorkFar Technologies] Syntro (2026)</t>
        </is>
      </c>
      <c r="F236" s="146" t="inlineStr">
        <is>
          <t>humanoid</t>
        </is>
      </c>
      <c r="G236" s="152" t="inlineStr">
        <is>
          <t>USA</t>
        </is>
      </c>
      <c r="H236" s="152" t="n"/>
      <c r="I236" s="155" t="n">
        <v>29999</v>
      </c>
      <c r="J236" s="152" t="inlineStr">
        <is>
          <t>Humanoid.guide list</t>
        </is>
      </c>
      <c r="K236" s="156" t="inlineStr">
        <is>
          <t>The Syntro humanoid robot by WorkFar is an industrial-grade humanoid designed for real work.</t>
        </is>
      </c>
      <c r="L236" s="101" t="inlineStr">
        <is>
          <t>The Syntro humanoid robot by WorkFar is an industrial-grade humanoid designed for real work.</t>
        </is>
      </c>
      <c r="M236" s="101" t="inlineStr">
        <is>
          <t>The Syntro humanoid robot by WorkFar is an industrial-grade humanoid designed for real work. Public status is listed as in production, and it is positioned for industrial automation; logistics; Manufacturing.</t>
        </is>
      </c>
      <c r="N236" s="157" t="inlineStr">
        <is>
          <t>https://humanoid.guide/product/syntro/</t>
        </is>
      </c>
      <c r="O236" s="157" t="inlineStr">
        <is>
          <t>https://www.workfar.com/</t>
        </is>
      </c>
      <c r="P236" s="152" t="inlineStr">
        <is>
          <t>5 ft 7 in</t>
        </is>
      </c>
      <c r="Q236" s="152" t="n">
        <v>170</v>
      </c>
      <c r="R236" s="152" t="n">
        <v>238.1</v>
      </c>
      <c r="S236" s="152" t="n">
        <v>108</v>
      </c>
      <c r="T236" s="156" t="inlineStr">
        <is>
          <t>Not disclosed</t>
        </is>
      </c>
      <c r="U236" s="152" t="n"/>
      <c r="V236" s="152" t="inlineStr">
        <is>
          <t>45</t>
        </is>
      </c>
      <c r="W236" s="156" t="inlineStr">
        <is>
          <t>12 per hand (two hands)</t>
        </is>
      </c>
      <c r="X236" s="152" t="n">
        <v>44.1</v>
      </c>
      <c r="Y236" s="152" t="n">
        <v>20</v>
      </c>
      <c r="Z236" s="152" t="n">
        <v>1.86</v>
      </c>
      <c r="AA236" s="152" t="n">
        <v>3</v>
      </c>
      <c r="AB236" s="152" t="n"/>
      <c r="AC236" s="156" t="inlineStr">
        <is>
          <t>Swappable Batteries 1.2 kWh / Run Time: 6-10 Hours / Charge Time: 6-10 Hours</t>
        </is>
      </c>
      <c r="AD236" s="156" t="inlineStr">
        <is>
          <t>Swappable Batteries 1.2 kWh / Run Time: 6-10 Hours / Charge Time: 6-10 Hours</t>
        </is>
      </c>
      <c r="AE236" s="152" t="n"/>
      <c r="AF236" s="152" t="inlineStr">
        <is>
          <t>Not disclosed</t>
        </is>
      </c>
      <c r="AG236" s="156" t="inlineStr">
        <is>
          <t>4 per hand</t>
        </is>
      </c>
      <c r="AH236" s="152" t="inlineStr">
        <is>
          <t>4 per hand</t>
        </is>
      </c>
      <c r="AI236" s="152" t="n"/>
      <c r="AJ236" s="156" t="inlineStr">
        <is>
          <t>2D LiDAR / Camera(s) / Computer Vision / Microphone(s)</t>
        </is>
      </c>
      <c r="AK236" s="156" t="inlineStr">
        <is>
          <t>2D LiDAR / Camera(s) / Computer Vision / Microphone(s)</t>
        </is>
      </c>
      <c r="AL236" s="152" t="inlineStr">
        <is>
          <t>Not disclosed</t>
        </is>
      </c>
      <c r="AM236" s="152" t="n"/>
      <c r="AN236" s="152" t="inlineStr">
        <is>
          <t>Not disclosed</t>
        </is>
      </c>
      <c r="AO236" s="152" t="inlineStr">
        <is>
          <t>Not disclosed</t>
        </is>
      </c>
      <c r="AP236" s="152" t="inlineStr">
        <is>
          <t>Not disclosed</t>
        </is>
      </c>
      <c r="AQ236" s="152" t="inlineStr">
        <is>
          <t>Not disclosed</t>
        </is>
      </c>
      <c r="AR236" s="152" t="n"/>
      <c r="AS236" s="152" t="n"/>
      <c r="AT236" s="156" t="inlineStr">
        <is>
          <t>Intel multicore (exact GPUs not published)</t>
        </is>
      </c>
      <c r="AU236" s="156" t="inlineStr">
        <is>
          <t>5G LTE; Wi-Fi 6</t>
        </is>
      </c>
      <c r="AV236" s="152" t="inlineStr">
        <is>
          <t>Not disclosed</t>
        </is>
      </c>
      <c r="AW236" s="156" t="inlineStr">
        <is>
          <t>Not disclosed</t>
        </is>
      </c>
      <c r="AX236" s="152" t="n"/>
      <c r="AY236" s="156" t="inlineStr">
        <is>
          <t>Linux + ROS2</t>
        </is>
      </c>
      <c r="AZ236" s="156" t="inlineStr">
        <is>
          <t>Not disclosed</t>
        </is>
      </c>
      <c r="BA236" s="156" t="n"/>
      <c r="BB236" s="156" t="inlineStr">
        <is>
          <t>Maxon motors &amp; harmonic drives</t>
        </is>
      </c>
      <c r="BC236" s="156" t="inlineStr">
        <is>
          <t>Harmonic drives</t>
        </is>
      </c>
      <c r="BD236" s="152" t="inlineStr">
        <is>
          <t>Metals and engineered polymers</t>
        </is>
      </c>
      <c r="BE236" s="152" t="inlineStr">
        <is>
          <t>Not disclosed</t>
        </is>
      </c>
      <c r="BF236" s="152" t="n"/>
      <c r="BG236" s="152" t="n"/>
      <c r="BH236" s="152" t="n"/>
      <c r="BI236" s="152" t="n"/>
      <c r="BJ236" s="152" t="n"/>
      <c r="BK236" s="152" t="n"/>
      <c r="BL236" s="152" t="n"/>
      <c r="BM236" s="152" t="inlineStr">
        <is>
          <t>Yes</t>
        </is>
      </c>
      <c r="BN236" s="152" t="inlineStr">
        <is>
          <t>Not disclosed</t>
        </is>
      </c>
      <c r="BO236" s="156" t="inlineStr">
        <is>
          <t>Market: Industrial automation; logistics; Manufacturing · Human-safe: Yes · Actuation: Maxon motors &amp; harmonic drives · Peak 3 km/h · Runtime Swappable Batteries 1.2 kWh / Run Time: 6-10 Hours / Charge Time: 6-10 Hours</t>
        </is>
      </c>
      <c r="BP236" s="152" t="n"/>
      <c r="BQ236" s="156" t="inlineStr">
        <is>
          <t>Industrial automation; logistics; Manufacturing</t>
        </is>
      </c>
      <c r="BR236" s="156" t="inlineStr">
        <is>
          <t>In production</t>
        </is>
      </c>
      <c r="BS236" s="156" t="inlineStr">
        <is>
          <t>In production</t>
        </is>
      </c>
      <c r="BT236" s="152" t="inlineStr">
        <is>
          <t>Blue</t>
        </is>
      </c>
      <c r="BU236" s="152" t="inlineStr">
        <is>
          <t>Not verified</t>
        </is>
      </c>
      <c r="BV236" s="156" t="n"/>
      <c r="BW236" s="156" t="inlineStr">
        <is>
          <t>Origin &amp; status — USA · In production · 2026 | Manipulation — 4 per hand · 4 per hand fingers · Hand DOF 12 per hand (two hands) · Payload 44.1 lb | Sensing &amp; software — 2D LiDAR / Camera(s) / Computer Vision / Microphone(s) · Linux + ROS2 | Buying notes — From $29,999 · 12 months manufacturer standard (typical research/commercial humanoid) · Best fit: Industrial automation</t>
        </is>
      </c>
      <c r="BX236" s="156" t="inlineStr">
        <is>
          <t>as_shipped|Syntro|29999|As shipped</t>
        </is>
      </c>
      <c r="BY236" s="152" t="inlineStr">
        <is>
          <t>blue|Blue|#e2e8f0|0</t>
        </is>
      </c>
      <c r="BZ236" s="152" t="inlineStr"/>
      <c r="CA236" s="156" t="n"/>
      <c r="CB236" s="156" t="inlineStr">
        <is>
          <t>12 months manufacturer standard (typical research/commercial humanoid)</t>
        </is>
      </c>
      <c r="CC236" s="154" t="n">
        <v>12</v>
      </c>
      <c r="CD236" s="156" t="inlineStr">
        <is>
          <t>+3 Year Extended ≈24% of configuration (default in configurator)</t>
        </is>
      </c>
      <c r="CE236" s="152" t="inlineStr">
        <is>
          <t>Humanoid category norm 2025–2026</t>
        </is>
      </c>
      <c r="CF236" s="152" t="inlineStr">
        <is>
          <t>Estimated</t>
        </is>
      </c>
      <c r="CG236" s="156" t="inlineStr">
        <is>
          <t>Confirm on formal OEM quote. EDU or enterprise packages may differ.</t>
        </is>
      </c>
      <c r="CH236" s="152" t="inlineStr">
        <is>
          <t>10%</t>
        </is>
      </c>
      <c r="CI236" s="152" t="inlineStr">
        <is>
          <t>17%</t>
        </is>
      </c>
      <c r="CJ236" s="152" t="inlineStr">
        <is>
          <t>24%</t>
        </is>
      </c>
      <c r="CK236" s="156" t="inlineStr">
        <is>
          <t>+1yr ≈10% | +2yr ≈17% | +3yr ≈24% of selected configuration price (parts &amp; labor beyond manufacturer standard).</t>
        </is>
      </c>
      <c r="CL236"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36" s="152" t="inlineStr">
        <is>
          <t>12 months manufacturer standard (typical research/commercial humanoid)</t>
        </is>
      </c>
      <c r="CQ236" s="101" t="inlineStr">
        <is>
          <t>Height: 5 ft 7 in | Weight: 238.1 | Degrees of Freedom: 45 | Payload: 44.1 | Max Speed: 1.86 | Battery / Runtime: Swappable Batteries 1.2 kWh / Run Time: 6-10 Hours / Charge Time: 6-10 Hours</t>
        </is>
      </c>
    </row>
    <row r="237" ht="31.5" customHeight="1" s="102">
      <c r="A237" s="145" t="inlineStr">
        <is>
          <t>x_humanoid_omni</t>
        </is>
      </c>
      <c r="B237" s="153" t="inlineStr">
        <is>
          <t>Humanoid.guide</t>
        </is>
      </c>
      <c r="C237" s="145" t="inlineStr">
        <is>
          <t>X-Humanoid</t>
        </is>
      </c>
      <c r="D237" s="145" t="inlineStr">
        <is>
          <t>Omni</t>
        </is>
      </c>
      <c r="E237" s="145" t="inlineStr">
        <is>
          <t>[X-Humanoid] Omni (2026)</t>
        </is>
      </c>
      <c r="F237" s="146" t="inlineStr">
        <is>
          <t>humanoid</t>
        </is>
      </c>
      <c r="G237" s="145" t="inlineStr">
        <is>
          <t>China</t>
        </is>
      </c>
      <c r="H237" s="145" t="n"/>
      <c r="I237" s="148" t="n">
        <v>75000</v>
      </c>
      <c r="J237" s="145" t="inlineStr">
        <is>
          <t>Humanoid.guide list</t>
        </is>
      </c>
      <c r="K237" s="149" t="inlineStr">
        <is>
          <t>Omni is a versatile humanoid robot by X-Humanoid designed for real-world environments, combining mobility, manipulation, and AI-driven interaction.</t>
        </is>
      </c>
      <c r="L237" s="101" t="inlineStr">
        <is>
          <t>Omni is a versatile humanoid robot by X-Humanoid designed for real-world environments, combining mobility, manipulation, and AI-driven interaction.</t>
        </is>
      </c>
      <c r="M237" s="101" t="inlineStr">
        <is>
          <t>Omni is a versatile humanoid robot by X-Humanoid designed for real-world environments, combining mobility, manipulation, and AI-driven interaction. Public status is listed as prototype, and it is positioned for interactive service; logistics; Research.</t>
        </is>
      </c>
      <c r="N237" s="150" t="inlineStr">
        <is>
          <t>https://humanoid.guide/product/omni/</t>
        </is>
      </c>
      <c r="O237" s="150" t="inlineStr">
        <is>
          <t>https://www.x-humanoid.com</t>
        </is>
      </c>
      <c r="P237" s="145" t="inlineStr">
        <is>
          <t>5 ft 5 in</t>
        </is>
      </c>
      <c r="Q237" s="145" t="n">
        <v>165</v>
      </c>
      <c r="R237" s="145" t="n">
        <v>121.3</v>
      </c>
      <c r="S237" s="145" t="n">
        <v>55</v>
      </c>
      <c r="T237" s="149" t="inlineStr">
        <is>
          <t>Not disclosed</t>
        </is>
      </c>
      <c r="U237" s="145" t="n"/>
      <c r="V237" s="145" t="inlineStr">
        <is>
          <t>32</t>
        </is>
      </c>
      <c r="W237" s="149" t="inlineStr">
        <is>
          <t>12</t>
        </is>
      </c>
      <c r="X237" s="145" t="n">
        <v>22</v>
      </c>
      <c r="Y237" s="145" t="n">
        <v>10</v>
      </c>
      <c r="Z237" s="145" t="n">
        <v>3.11</v>
      </c>
      <c r="AA237" s="145" t="n">
        <v>5</v>
      </c>
      <c r="AB237" s="145" t="n">
        <v>3</v>
      </c>
      <c r="AC237" s="149" t="inlineStr">
        <is>
          <t>≈ 2 hours</t>
        </is>
      </c>
      <c r="AD237" s="149" t="inlineStr">
        <is>
          <t>2</t>
        </is>
      </c>
      <c r="AE237" s="145" t="n"/>
      <c r="AF237" s="145" t="inlineStr">
        <is>
          <t>Not disclosed</t>
        </is>
      </c>
      <c r="AG237" s="149" t="inlineStr">
        <is>
          <t>5</t>
        </is>
      </c>
      <c r="AH237" s="145" t="inlineStr">
        <is>
          <t>5</t>
        </is>
      </c>
      <c r="AI237" s="145" t="n"/>
      <c r="AJ237" s="149" t="inlineStr">
        <is>
          <t>HD / RGB-D (estimated 1080p + depth sensors)</t>
        </is>
      </c>
      <c r="AK237" s="149" t="inlineStr">
        <is>
          <t>HD / RGB-D (estimated 1080p + depth sensors)</t>
        </is>
      </c>
      <c r="AL237" s="145" t="inlineStr">
        <is>
          <t>Not disclosed</t>
        </is>
      </c>
      <c r="AM237" s="145" t="n"/>
      <c r="AN237" s="145" t="inlineStr">
        <is>
          <t>Not disclosed</t>
        </is>
      </c>
      <c r="AO237" s="145" t="inlineStr">
        <is>
          <t>Not disclosed</t>
        </is>
      </c>
      <c r="AP237" s="145" t="inlineStr">
        <is>
          <t>Not disclosed</t>
        </is>
      </c>
      <c r="AQ237" s="145" t="inlineStr">
        <is>
          <t>Not disclosed</t>
        </is>
      </c>
      <c r="AR237" s="145" t="n"/>
      <c r="AS237" s="145" t="n"/>
      <c r="AT237" s="149" t="inlineStr">
        <is>
          <t>High-performance onboard compute (likely NVIDIA-based AI module)</t>
        </is>
      </c>
      <c r="AU237" s="149" t="inlineStr">
        <is>
          <t>Bluetooth; Wi‑Fi</t>
        </is>
      </c>
      <c r="AV237" s="145" t="inlineStr">
        <is>
          <t>Not disclosed</t>
        </is>
      </c>
      <c r="AW237" s="149" t="inlineStr">
        <is>
          <t>Not disclosed</t>
        </is>
      </c>
      <c r="AX237" s="145" t="n"/>
      <c r="AY237" s="149" t="inlineStr">
        <is>
          <t>Linux / ROS-based system</t>
        </is>
      </c>
      <c r="AZ237" s="149" t="inlineStr">
        <is>
          <t>Possible (via external AI stack)</t>
        </is>
      </c>
      <c r="BA237" s="149" t="inlineStr">
        <is>
          <t>~100–300 ms (estimated)</t>
        </is>
      </c>
      <c r="BB237" s="149" t="inlineStr">
        <is>
          <t>Electric servo actuators</t>
        </is>
      </c>
      <c r="BC237" s="149" t="inlineStr">
        <is>
          <t>Harmonic drive / planetary gears (assumed)</t>
        </is>
      </c>
      <c r="BD237" s="145" t="inlineStr">
        <is>
          <t>Aluminum + composites</t>
        </is>
      </c>
      <c r="BE237" s="145" t="inlineStr">
        <is>
          <t>Not disclosed</t>
        </is>
      </c>
      <c r="BF237" s="145" t="n"/>
      <c r="BG237" s="145" t="n"/>
      <c r="BH237" s="145" t="n"/>
      <c r="BI237" s="145" t="n"/>
      <c r="BJ237" s="145" t="n"/>
      <c r="BK237" s="145" t="n"/>
      <c r="BL237" s="145" t="n"/>
      <c r="BM237" s="145" t="inlineStr">
        <is>
          <t>Yes</t>
        </is>
      </c>
      <c r="BN237" s="145" t="inlineStr">
        <is>
          <t>Not disclosed</t>
        </is>
      </c>
      <c r="BO237" s="149" t="inlineStr">
        <is>
          <t>Market: Interactive service; logistics; Research · Human-safe: Yes · AI: Possible (via external AI stack) · Actuation: Electric servo actuators · Peak 5 km/h · Walk 3 km/h · Runtime 2</t>
        </is>
      </c>
      <c r="BP237" s="145" t="n"/>
      <c r="BQ237" s="149" t="inlineStr">
        <is>
          <t>Interactive service; logistics; Research</t>
        </is>
      </c>
      <c r="BR237" s="149" t="inlineStr">
        <is>
          <t>Prototype</t>
        </is>
      </c>
      <c r="BS237" s="149" t="inlineStr">
        <is>
          <t>Prototype</t>
        </is>
      </c>
      <c r="BT237" s="145" t="n"/>
      <c r="BU237" s="145" t="n"/>
      <c r="BV237" s="149" t="n"/>
      <c r="BW237" s="149" t="inlineStr">
        <is>
          <t>Origin &amp; status — China · Prototype · 2026 | Manipulation — 5 · 5 fingers · Hand DOF 12 · Payload 22 lb | Sensing &amp; software — HD / RGB-D (estimated 1080p + depth sensors) · Possible (via external AI stack) · Linux / ROS-based system | Buying notes — From $75,000 · 12 months manufacturer standard (typical research/commercial humanoid) · Best fit: Interactive service</t>
        </is>
      </c>
      <c r="BX237" s="149" t="inlineStr">
        <is>
          <t>as_shipped|Omni|75000|As shipped</t>
        </is>
      </c>
      <c r="BY237" s="145" t="inlineStr">
        <is>
          <t>omni|Manufacturer finish|#e2e8f0|0</t>
        </is>
      </c>
      <c r="BZ237" s="145" t="inlineStr"/>
      <c r="CA237" s="149" t="n"/>
      <c r="CB237" s="149" t="inlineStr">
        <is>
          <t>12 months manufacturer standard (typical research/commercial humanoid)</t>
        </is>
      </c>
      <c r="CC237" s="147" t="n">
        <v>12</v>
      </c>
      <c r="CD237" s="149" t="inlineStr">
        <is>
          <t>+3 Year Extended ≈24% of configuration (default in configurator)</t>
        </is>
      </c>
      <c r="CE237" s="145" t="inlineStr">
        <is>
          <t>Humanoid category norm 2025–2026</t>
        </is>
      </c>
      <c r="CF237" s="145" t="inlineStr">
        <is>
          <t>Estimated</t>
        </is>
      </c>
      <c r="CG237" s="149" t="inlineStr">
        <is>
          <t>Confirm on formal OEM quote. EDU or enterprise packages may differ.</t>
        </is>
      </c>
      <c r="CH237" s="145" t="inlineStr">
        <is>
          <t>10%</t>
        </is>
      </c>
      <c r="CI237" s="145" t="inlineStr">
        <is>
          <t>17%</t>
        </is>
      </c>
      <c r="CJ237" s="145" t="inlineStr">
        <is>
          <t>24%</t>
        </is>
      </c>
      <c r="CK237" s="149" t="inlineStr">
        <is>
          <t>+1yr ≈10% | +2yr ≈17% | +3yr ≈24% of selected configuration price (parts &amp; labor beyond manufacturer standard).</t>
        </is>
      </c>
      <c r="CL237"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37" s="145" t="inlineStr">
        <is>
          <t>12 months manufacturer standard (typical research/commercial humanoid)</t>
        </is>
      </c>
      <c r="CQ237" s="101" t="inlineStr">
        <is>
          <t>Height: 5 ft 5 in | Weight: 121.3 | Degrees of Freedom: 32 | Payload: 22 | Max Speed: 3.11 | Battery / Runtime: ≈ 2 hours</t>
        </is>
      </c>
    </row>
    <row r="238" ht="31.5" customHeight="1" s="102">
      <c r="A238" s="152" t="inlineStr">
        <is>
          <t>x_humanoid_tian_yi_2_0</t>
        </is>
      </c>
      <c r="B238" s="153" t="inlineStr">
        <is>
          <t>Humanoid.guide</t>
        </is>
      </c>
      <c r="C238" s="152" t="inlineStr">
        <is>
          <t>X-Humanoid</t>
        </is>
      </c>
      <c r="D238" s="152" t="inlineStr">
        <is>
          <t>Tian Yi 2.0</t>
        </is>
      </c>
      <c r="E238" s="152" t="inlineStr">
        <is>
          <t>[X-Humanoid] Tian Yi 2.0 (2026)</t>
        </is>
      </c>
      <c r="F238" s="146" t="inlineStr">
        <is>
          <t>humanoid</t>
        </is>
      </c>
      <c r="G238" s="152" t="inlineStr">
        <is>
          <t>China</t>
        </is>
      </c>
      <c r="H238" s="152" t="n"/>
      <c r="I238" s="155" t="n">
        <v>60000</v>
      </c>
      <c r="J238" s="152" t="inlineStr">
        <is>
          <t>Humanoid.guide list</t>
        </is>
      </c>
      <c r="K238" s="156" t="inlineStr">
        <is>
          <t>Tian Yi 2.0 is a versatile embodied AI humanoid robot from the Beijing Humanoid Robot Innovation Center.</t>
        </is>
      </c>
      <c r="L238" s="101" t="inlineStr">
        <is>
          <t>Tian Yi 2.0 is a versatile embodied AI humanoid robot from the Beijing Humanoid Robot Innovation Center.</t>
        </is>
      </c>
      <c r="M238" s="101" t="inlineStr">
        <is>
          <t>Tian Yi 2.0 is a versatile embodied AI humanoid robot from the Beijing Humanoid Robot Innovation Center. Public status is listed as in production, and it is positioned for industrial; inspection; patrol; service robotics.</t>
        </is>
      </c>
      <c r="N238" s="157" t="inlineStr">
        <is>
          <t>https://humanoid.guide/product/tian-yi-2-0/</t>
        </is>
      </c>
      <c r="O238" s="157" t="inlineStr">
        <is>
          <t>https://www.x-humanoid.com</t>
        </is>
      </c>
      <c r="P238" s="152" t="inlineStr">
        <is>
          <t>5 ft 3 in</t>
        </is>
      </c>
      <c r="Q238" s="152" t="n">
        <v>160</v>
      </c>
      <c r="R238" s="152" t="n"/>
      <c r="S238" s="152" t="n"/>
      <c r="T238" s="156" t="inlineStr">
        <is>
          <t>Not disclosed</t>
        </is>
      </c>
      <c r="U238" s="152" t="n"/>
      <c r="V238" s="152" t="inlineStr">
        <is>
          <t>20; Not disclosed (likely 30+ with arms and base)</t>
        </is>
      </c>
      <c r="W238" s="156" t="inlineStr">
        <is>
          <t>Not disclosed</t>
        </is>
      </c>
      <c r="X238" s="152" t="n">
        <v>39.7</v>
      </c>
      <c r="Y238" s="152" t="n">
        <v>18</v>
      </c>
      <c r="Z238" s="152" t="n">
        <v>4.35</v>
      </c>
      <c r="AA238" s="152" t="n">
        <v>7</v>
      </c>
      <c r="AB238" s="152" t="n"/>
      <c r="AC238" s="156" t="inlineStr">
        <is>
          <t>Not disclosed</t>
        </is>
      </c>
      <c r="AD238" s="156" t="n"/>
      <c r="AE238" s="152" t="n"/>
      <c r="AF238" s="152" t="inlineStr">
        <is>
          <t>Not disclosed</t>
        </is>
      </c>
      <c r="AG238" s="156" t="inlineStr">
        <is>
          <t>5 per hand</t>
        </is>
      </c>
      <c r="AH238" s="152" t="inlineStr">
        <is>
          <t>5 per hand</t>
        </is>
      </c>
      <c r="AI238" s="152" t="n"/>
      <c r="AJ238" s="156" t="inlineStr">
        <is>
          <t>Not disclosed</t>
        </is>
      </c>
      <c r="AK238" s="156" t="n"/>
      <c r="AL238" s="152" t="inlineStr">
        <is>
          <t>Not disclosed</t>
        </is>
      </c>
      <c r="AM238" s="152" t="n"/>
      <c r="AN238" s="152" t="inlineStr">
        <is>
          <t>Not disclosed</t>
        </is>
      </c>
      <c r="AO238" s="152" t="inlineStr">
        <is>
          <t>Not disclosed</t>
        </is>
      </c>
      <c r="AP238" s="152" t="inlineStr">
        <is>
          <t>Not disclosed</t>
        </is>
      </c>
      <c r="AQ238" s="152" t="inlineStr">
        <is>
          <t>Not disclosed</t>
        </is>
      </c>
      <c r="AR238" s="152" t="n"/>
      <c r="AS238" s="152" t="n"/>
      <c r="AT238" s="156" t="inlineStr">
        <is>
          <t>Large embodied AI platform (HuiSi KaiWu)</t>
        </is>
      </c>
      <c r="AU238" s="156" t="inlineStr">
        <is>
          <t>Wi‑Fi</t>
        </is>
      </c>
      <c r="AV238" s="152" t="inlineStr">
        <is>
          <t>Not disclosed</t>
        </is>
      </c>
      <c r="AW238" s="156" t="inlineStr">
        <is>
          <t>Not disclosed</t>
        </is>
      </c>
      <c r="AX238" s="152" t="n"/>
      <c r="AY238" s="156" t="inlineStr">
        <is>
          <t>Linux-based custom robotics OS</t>
        </is>
      </c>
      <c r="AZ238" s="156" t="inlineStr">
        <is>
          <t>Integrated large embodied AI models</t>
        </is>
      </c>
      <c r="BA238" s="156" t="n"/>
      <c r="BB238" s="156" t="inlineStr">
        <is>
          <t>Electric actuators (servo)</t>
        </is>
      </c>
      <c r="BC238" s="156" t="inlineStr">
        <is>
          <t>Precision gearing</t>
        </is>
      </c>
      <c r="BD238" s="152" t="inlineStr">
        <is>
          <t>Not disclosed</t>
        </is>
      </c>
      <c r="BE238" s="152" t="inlineStr">
        <is>
          <t>Not disclosed</t>
        </is>
      </c>
      <c r="BF238" s="152" t="n"/>
      <c r="BG238" s="152" t="n"/>
      <c r="BH238" s="152" t="n"/>
      <c r="BI238" s="152" t="n"/>
      <c r="BJ238" s="152" t="n"/>
      <c r="BK238" s="152" t="n"/>
      <c r="BL238" s="152" t="n"/>
      <c r="BM238" s="152" t="inlineStr">
        <is>
          <t>Yes</t>
        </is>
      </c>
      <c r="BN238" s="152" t="inlineStr">
        <is>
          <t>Not disclosed</t>
        </is>
      </c>
      <c r="BO238" s="156" t="inlineStr">
        <is>
          <t>Market: Industrial; inspection; patrol; service robotics · Human-safe: Yes · AI: Integrated large embodied AI models · Actuation: Electric actuators (servo) · Peak 7 km/h</t>
        </is>
      </c>
      <c r="BP238" s="152" t="n"/>
      <c r="BQ238" s="156" t="inlineStr">
        <is>
          <t>Industrial; inspection; patrol; service robotics</t>
        </is>
      </c>
      <c r="BR238" s="156" t="inlineStr">
        <is>
          <t>In production</t>
        </is>
      </c>
      <c r="BS238" s="156" t="inlineStr">
        <is>
          <t>In production</t>
        </is>
      </c>
      <c r="BT238" s="152" t="inlineStr">
        <is>
          <t>White</t>
        </is>
      </c>
      <c r="BU238" s="152" t="inlineStr">
        <is>
          <t>Not verified</t>
        </is>
      </c>
      <c r="BV238" s="156" t="n"/>
      <c r="BW238" s="156" t="inlineStr">
        <is>
          <t>Origin &amp; status — China · In production · 2026 | Manipulation — 5 per hand · 5 per hand fingers · Payload 39.7 lb | Sensing &amp; software — Integrated large embodied AI models · Linux-based custom robotics OS | Buying notes — From $60,000 · 12 months manufacturer standard (typical research/commercial humanoid) · Best fit: Industrial</t>
        </is>
      </c>
      <c r="BX238" s="156" t="inlineStr">
        <is>
          <t>as_shipped|Tian Yi 2.0|60000|As shipped</t>
        </is>
      </c>
      <c r="BY238" s="152" t="inlineStr">
        <is>
          <t>white|White|#e2e8f0|0</t>
        </is>
      </c>
      <c r="BZ238" s="152" t="inlineStr"/>
      <c r="CA238" s="156" t="n"/>
      <c r="CB238" s="156" t="inlineStr">
        <is>
          <t>12 months manufacturer standard (typical research/commercial humanoid)</t>
        </is>
      </c>
      <c r="CC238" s="154" t="n">
        <v>12</v>
      </c>
      <c r="CD238" s="156" t="inlineStr">
        <is>
          <t>+3 Year Extended ≈24% of configuration (default in configurator)</t>
        </is>
      </c>
      <c r="CE238" s="152" t="inlineStr">
        <is>
          <t>Humanoid category norm 2025–2026</t>
        </is>
      </c>
      <c r="CF238" s="152" t="inlineStr">
        <is>
          <t>Estimated</t>
        </is>
      </c>
      <c r="CG238" s="156" t="inlineStr">
        <is>
          <t>Confirm on formal OEM quote. EDU or enterprise packages may differ.</t>
        </is>
      </c>
      <c r="CH238" s="152" t="inlineStr">
        <is>
          <t>10%</t>
        </is>
      </c>
      <c r="CI238" s="152" t="inlineStr">
        <is>
          <t>17%</t>
        </is>
      </c>
      <c r="CJ238" s="152" t="inlineStr">
        <is>
          <t>24%</t>
        </is>
      </c>
      <c r="CK238" s="156" t="inlineStr">
        <is>
          <t>+1yr ≈10% | +2yr ≈17% | +3yr ≈24% of selected configuration price (parts &amp; labor beyond manufacturer standard).</t>
        </is>
      </c>
      <c r="CL238"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38" s="152" t="inlineStr">
        <is>
          <t>12 months manufacturer standard (typical research/commercial humanoid)</t>
        </is>
      </c>
      <c r="CQ238" s="101" t="inlineStr">
        <is>
          <t>Height: 5 ft 3 in | Weight: Not disclosed | Degrees of Freedom: 20; Not disclosed (likely 30+ with arms and base) | Payload: 39.7 | Max Speed: 4.35 | Battery / Runtime: Not disclosed</t>
        </is>
      </c>
    </row>
    <row r="239" ht="31.5" customHeight="1" s="102">
      <c r="A239" s="145" t="inlineStr">
        <is>
          <t>x_humanoid_tien_kung_2_0</t>
        </is>
      </c>
      <c r="B239" s="153" t="inlineStr">
        <is>
          <t>Humanoid.guide</t>
        </is>
      </c>
      <c r="C239" s="145" t="inlineStr">
        <is>
          <t>X-Humanoid</t>
        </is>
      </c>
      <c r="D239" s="145" t="inlineStr">
        <is>
          <t>Tien Kung 2.0</t>
        </is>
      </c>
      <c r="E239" s="145" t="inlineStr">
        <is>
          <t>[X-Humanoid] Tien Kung 2.0 (2026)</t>
        </is>
      </c>
      <c r="F239" s="146" t="inlineStr">
        <is>
          <t>humanoid</t>
        </is>
      </c>
      <c r="G239" s="145" t="inlineStr">
        <is>
          <t>China</t>
        </is>
      </c>
      <c r="H239" s="145" t="n"/>
      <c r="I239" s="148" t="n">
        <v>41000</v>
      </c>
      <c r="J239" s="145" t="inlineStr">
        <is>
          <t>Humanoid.guide list</t>
        </is>
      </c>
      <c r="K239" s="149" t="inlineStr">
        <is>
          <t>Tien Kung 2.0 is an advanced full-size humanoid robot developed with a general embodied AI platform for robust mobility and manipulation.</t>
        </is>
      </c>
      <c r="L239" s="101" t="inlineStr">
        <is>
          <t>Tien Kung 2.0 is an advanced full-size humanoid robot developed with a general embodied AI platform for robust mobility and manipulation.</t>
        </is>
      </c>
      <c r="M239" s="101" t="inlineStr">
        <is>
          <t>Tien Kung 2.0 is an advanced full-size humanoid robot developed with a general embodied AI platform for robust mobility and manipulation. Public status is listed as in production, and it is positioned for aI development; industrial PR labs; Robotics research.</t>
        </is>
      </c>
      <c r="N239" s="150" t="inlineStr">
        <is>
          <t>https://humanoid.guide/product/tien-kung-2-0/</t>
        </is>
      </c>
      <c r="O239" s="150" t="inlineStr">
        <is>
          <t>https://www.x-humanoid.com</t>
        </is>
      </c>
      <c r="P239" s="145" t="inlineStr">
        <is>
          <t>5 ft 7 in</t>
        </is>
      </c>
      <c r="Q239" s="145" t="n">
        <v>170</v>
      </c>
      <c r="R239" s="145" t="n">
        <v>154.3</v>
      </c>
      <c r="S239" s="145" t="n">
        <v>70</v>
      </c>
      <c r="T239" s="149" t="inlineStr">
        <is>
          <t>Not disclosed</t>
        </is>
      </c>
      <c r="U239" s="145" t="n"/>
      <c r="V239" s="145" t="inlineStr">
        <is>
          <t>20</t>
        </is>
      </c>
      <c r="W239" s="149" t="inlineStr">
        <is>
          <t>Not disclosed</t>
        </is>
      </c>
      <c r="X239" s="145" t="n">
        <v>26.5</v>
      </c>
      <c r="Y239" s="145" t="n">
        <v>12</v>
      </c>
      <c r="Z239" s="145" t="n">
        <v>6.21</v>
      </c>
      <c r="AA239" s="145" t="n">
        <v>10</v>
      </c>
      <c r="AB239" s="145" t="n">
        <v>10</v>
      </c>
      <c r="AC239" s="149" t="inlineStr">
        <is>
          <t>Not disclosed</t>
        </is>
      </c>
      <c r="AD239" s="149" t="n"/>
      <c r="AE239" s="145" t="n"/>
      <c r="AF239" s="145" t="inlineStr">
        <is>
          <t>Not disclosed</t>
        </is>
      </c>
      <c r="AG239" s="149" t="inlineStr">
        <is>
          <t>5 per hand</t>
        </is>
      </c>
      <c r="AH239" s="145" t="inlineStr">
        <is>
          <t>5 per hand</t>
        </is>
      </c>
      <c r="AI239" s="145" t="n"/>
      <c r="AJ239" s="149" t="inlineStr">
        <is>
          <t>Not disclosed</t>
        </is>
      </c>
      <c r="AK239" s="149" t="n"/>
      <c r="AL239" s="145" t="inlineStr">
        <is>
          <t>Not disclosed</t>
        </is>
      </c>
      <c r="AM239" s="145" t="n"/>
      <c r="AN239" s="145" t="inlineStr">
        <is>
          <t>Not disclosed</t>
        </is>
      </c>
      <c r="AO239" s="145" t="inlineStr">
        <is>
          <t>Not disclosed</t>
        </is>
      </c>
      <c r="AP239" s="145" t="inlineStr">
        <is>
          <t>Not disclosed</t>
        </is>
      </c>
      <c r="AQ239" s="145" t="inlineStr">
        <is>
          <t>Not disclosed</t>
        </is>
      </c>
      <c r="AR239" s="145" t="n"/>
      <c r="AS239" s="145" t="n"/>
      <c r="AT239" s="149" t="inlineStr">
        <is>
          <t>NVIDIA Jetson Orin / advanced AI platform (Hui Si Kai Wu)</t>
        </is>
      </c>
      <c r="AU239" s="149" t="inlineStr">
        <is>
          <t>app/voice interfaces; Wi‑Fi</t>
        </is>
      </c>
      <c r="AV239" s="145" t="inlineStr">
        <is>
          <t>Not disclosed</t>
        </is>
      </c>
      <c r="AW239" s="149" t="inlineStr">
        <is>
          <t>Not disclosed</t>
        </is>
      </c>
      <c r="AX239" s="145" t="n"/>
      <c r="AY239" s="149" t="inlineStr">
        <is>
          <t>Custom robotics OS / open-source control stack available</t>
        </is>
      </c>
      <c r="AZ239" s="149" t="inlineStr">
        <is>
          <t>Supported by embodied AI platform (Hui Si Kai Wu)</t>
        </is>
      </c>
      <c r="BA239" s="149" t="n"/>
      <c r="BB239" s="149" t="inlineStr">
        <is>
          <t>Electric actuators (servo)</t>
        </is>
      </c>
      <c r="BC239" s="149" t="inlineStr">
        <is>
          <t>Precision gearing</t>
        </is>
      </c>
      <c r="BD239" s="145" t="inlineStr">
        <is>
          <t>Alloy framework with engineering plastic</t>
        </is>
      </c>
      <c r="BE239" s="145" t="inlineStr">
        <is>
          <t>Not disclosed</t>
        </is>
      </c>
      <c r="BF239" s="145" t="n"/>
      <c r="BG239" s="145" t="n"/>
      <c r="BH239" s="145" t="n"/>
      <c r="BI239" s="145" t="n"/>
      <c r="BJ239" s="145" t="n"/>
      <c r="BK239" s="145" t="n"/>
      <c r="BL239" s="145" t="n"/>
      <c r="BM239" s="145" t="inlineStr">
        <is>
          <t>Yes</t>
        </is>
      </c>
      <c r="BN239" s="145" t="inlineStr">
        <is>
          <t>Not disclosed</t>
        </is>
      </c>
      <c r="BO239" s="149" t="inlineStr">
        <is>
          <t>Market: AI development; industrial PR labs; Robotics research · Human-safe: Yes · AI: Supported by embodied AI platform (Hui Si Kai Wu) · Actuation: Electric actuators (servo) · Peak 10 km/h · Walk 10 km/h</t>
        </is>
      </c>
      <c r="BP239" s="145" t="n"/>
      <c r="BQ239" s="149" t="inlineStr">
        <is>
          <t>AI development; industrial PR labs; Robotics research</t>
        </is>
      </c>
      <c r="BR239" s="149" t="inlineStr">
        <is>
          <t>In production</t>
        </is>
      </c>
      <c r="BS239" s="149" t="inlineStr">
        <is>
          <t>In production</t>
        </is>
      </c>
      <c r="BT239" s="145" t="inlineStr">
        <is>
          <t>White</t>
        </is>
      </c>
      <c r="BU239" s="145" t="inlineStr">
        <is>
          <t>Not verified</t>
        </is>
      </c>
      <c r="BV239" s="149" t="n"/>
      <c r="BW239" s="149" t="inlineStr">
        <is>
          <t>Origin &amp; status — China · In production · 2026 | Manipulation — 5 per hand · 5 per hand fingers · Payload 26.5 lb | Sensing &amp; software — Supported by embodied AI platform (Hui Si Kai Wu) · Custom robotics OS / open-source control stack available | Buying notes — From $41,000 · 12 months manufacturer standard (typical research/commercial humanoid) · Best fit: AI development</t>
        </is>
      </c>
      <c r="BX239" s="149" t="inlineStr">
        <is>
          <t>as_shipped|Tien Kung 2.0|41000|As shipped</t>
        </is>
      </c>
      <c r="BY239" s="145" t="inlineStr">
        <is>
          <t>white|White|#e2e8f0|0</t>
        </is>
      </c>
      <c r="BZ239" s="145" t="inlineStr"/>
      <c r="CA239" s="149" t="n"/>
      <c r="CB239" s="149" t="inlineStr">
        <is>
          <t>12 months manufacturer standard (typical research/commercial humanoid)</t>
        </is>
      </c>
      <c r="CC239" s="147" t="n">
        <v>12</v>
      </c>
      <c r="CD239" s="149" t="inlineStr">
        <is>
          <t>+3 Year Extended ≈24% of configuration (default in configurator)</t>
        </is>
      </c>
      <c r="CE239" s="145" t="inlineStr">
        <is>
          <t>Humanoid category norm 2025–2026</t>
        </is>
      </c>
      <c r="CF239" s="145" t="inlineStr">
        <is>
          <t>Estimated</t>
        </is>
      </c>
      <c r="CG239" s="149" t="inlineStr">
        <is>
          <t>Confirm on formal OEM quote. EDU or enterprise packages may differ.</t>
        </is>
      </c>
      <c r="CH239" s="145" t="inlineStr">
        <is>
          <t>10%</t>
        </is>
      </c>
      <c r="CI239" s="145" t="inlineStr">
        <is>
          <t>17%</t>
        </is>
      </c>
      <c r="CJ239" s="145" t="inlineStr">
        <is>
          <t>24%</t>
        </is>
      </c>
      <c r="CK239" s="149" t="inlineStr">
        <is>
          <t>+1yr ≈10% | +2yr ≈17% | +3yr ≈24% of selected configuration price (parts &amp; labor beyond manufacturer standard).</t>
        </is>
      </c>
      <c r="CL23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39" s="145" t="inlineStr">
        <is>
          <t>12 months manufacturer standard (typical research/commercial humanoid)</t>
        </is>
      </c>
      <c r="CQ239" s="101" t="inlineStr">
        <is>
          <t>Height: 5 ft 7 in | Weight: 154.3 | Degrees of Freedom: 20 | Payload: 26.5 | Max Speed: 6.21 | Battery / Runtime: Not disclosed</t>
        </is>
      </c>
    </row>
    <row r="240" ht="31.5" customHeight="1" s="102">
      <c r="A240" s="159" t="inlineStr">
        <is>
          <t>x_humanoid_beijing_humanoid_robot_innova</t>
        </is>
      </c>
      <c r="B240" s="144" t="inlineStr">
        <is>
          <t>Both</t>
        </is>
      </c>
      <c r="C240" s="152" t="inlineStr">
        <is>
          <t>X-Humanoid</t>
        </is>
      </c>
      <c r="D240" s="152" t="inlineStr">
        <is>
          <t>Tien Kung 3.0</t>
        </is>
      </c>
      <c r="E240" s="152" t="inlineStr">
        <is>
          <t>[X-Humanoid] Tien Kung 3.0 (2025)</t>
        </is>
      </c>
      <c r="F240" s="146" t="inlineStr">
        <is>
          <t>humanoid</t>
        </is>
      </c>
      <c r="G240" s="152" t="inlineStr">
        <is>
          <t>China</t>
        </is>
      </c>
      <c r="H240" s="154" t="n">
        <v>2025</v>
      </c>
      <c r="I240" s="155" t="n">
        <v>41000</v>
      </c>
      <c r="J240" s="152" t="inlineStr">
        <is>
          <t>Robot Price Index Aug 2026 · TianGong band</t>
        </is>
      </c>
      <c r="K240" s="156" t="inlineStr">
        <is>
          <t>Tien Kung 3.0 is a full-size humanoid robot designed for dynamic mobility and open development.</t>
        </is>
      </c>
      <c r="L240" s="101" t="inlineStr">
        <is>
          <t>Tien Kung 3.0 is a full-size humanoid robot designed for dynamic mobility and open development.</t>
        </is>
      </c>
      <c r="M240" s="101" t="inlineStr">
        <is>
          <t>Tien Kung 3.0 is a full-size humanoid robot designed for dynamic mobility and open development. Public status is listed as featured WHRG 2026 record-setter, and it is positioned for athletic / Research / Ceremony.</t>
        </is>
      </c>
      <c r="N240" s="157" t="inlineStr">
        <is>
          <t>https://humanoid.guide/product/tien-kung-3-0/</t>
        </is>
      </c>
      <c r="O240" s="157" t="inlineStr">
        <is>
          <t>https://www.x-humanoid.com</t>
        </is>
      </c>
      <c r="P240" s="152" t="inlineStr">
        <is>
          <t>5 ft 5 in – 5 ft 10 in</t>
        </is>
      </c>
      <c r="Q240" s="152" t="n">
        <v>169</v>
      </c>
      <c r="R240" s="152" t="n">
        <v>136.7</v>
      </c>
      <c r="S240" s="152" t="n">
        <v>62</v>
      </c>
      <c r="T240" s="156" t="inlineStr">
        <is>
          <t>Not disclosed</t>
        </is>
      </c>
      <c r="U240" s="152" t="n"/>
      <c r="V240" s="152" t="inlineStr">
        <is>
          <t>High</t>
        </is>
      </c>
      <c r="W240" s="156" t="inlineStr">
        <is>
          <t>12</t>
        </is>
      </c>
      <c r="X240" s="152" t="n">
        <v>33.1</v>
      </c>
      <c r="Y240" s="152" t="n">
        <v>15</v>
      </c>
      <c r="Z240" s="152" t="n">
        <v>3.73</v>
      </c>
      <c r="AA240" s="152" t="n">
        <v>6</v>
      </c>
      <c r="AB240" s="152" t="n">
        <v>4</v>
      </c>
      <c r="AC240" s="156" t="inlineStr">
        <is>
          <t>~1.5–2</t>
        </is>
      </c>
      <c r="AD240" s="156" t="inlineStr">
        <is>
          <t>~1.5–2</t>
        </is>
      </c>
      <c r="AE240" s="152" t="n"/>
      <c r="AF240" s="152" t="inlineStr">
        <is>
          <t>Not disclosed</t>
        </is>
      </c>
      <c r="AG240" s="156" t="inlineStr">
        <is>
          <t>Grippers or dexterous hands depending on configuration</t>
        </is>
      </c>
      <c r="AH240" s="152" t="inlineStr">
        <is>
          <t>5 per hand</t>
        </is>
      </c>
      <c r="AI240" s="152" t="n"/>
      <c r="AJ240" s="156" t="inlineStr">
        <is>
          <t>RGB and/or depth cameras for navigation and manipulation (configuration specific)</t>
        </is>
      </c>
      <c r="AK240" s="156" t="n"/>
      <c r="AL240" s="152" t="inlineStr">
        <is>
          <t>Onboard streams for teleoperation and logging when equipped</t>
        </is>
      </c>
      <c r="AM240" s="152" t="n"/>
      <c r="AN240" s="152" t="inlineStr">
        <is>
          <t>Not disclosed</t>
        </is>
      </c>
      <c r="AO240" s="152" t="inlineStr">
        <is>
          <t>Microphone array on interaction-oriented builds</t>
        </is>
      </c>
      <c r="AP240" s="152" t="inlineStr">
        <is>
          <t>Not disclosed</t>
        </is>
      </c>
      <c r="AQ240" s="152" t="inlineStr">
        <is>
          <t>Not disclosed</t>
        </is>
      </c>
      <c r="AR240" s="152" t="n"/>
      <c r="AS240" s="152" t="n"/>
      <c r="AT240" s="156" t="inlineStr">
        <is>
          <t>Not disclosed</t>
        </is>
      </c>
      <c r="AU240" s="156" t="inlineStr">
        <is>
          <t>5G; Ethernet; Wi‑Fi</t>
        </is>
      </c>
      <c r="AV240" s="152" t="inlineStr">
        <is>
          <t>Manufacturer app and/or SDK</t>
        </is>
      </c>
      <c r="AW240" s="156" t="inlineStr">
        <is>
          <t>Bipedal balance and walking controllers</t>
        </is>
      </c>
      <c r="AX240" s="152" t="n"/>
      <c r="AY240" s="156" t="inlineStr">
        <is>
          <t>Custom robotics OS / open-source control stack available</t>
        </is>
      </c>
      <c r="AZ240" s="156" t="inlineStr">
        <is>
          <t>Supported by embodied AI platform (Hui Si Kai Wu)</t>
        </is>
      </c>
      <c r="BA240" s="156" t="n"/>
      <c r="BB240" s="156" t="inlineStr">
        <is>
          <t>High-torque electric actuators</t>
        </is>
      </c>
      <c r="BC240" s="156" t="inlineStr">
        <is>
          <t>Harmonic drive or planetary reduction</t>
        </is>
      </c>
      <c r="BD240" s="152" t="inlineStr">
        <is>
          <t>Lightweight aluminum alloy and composite materials</t>
        </is>
      </c>
      <c r="BE240" s="152" t="inlineStr">
        <is>
          <t>Not disclosed</t>
        </is>
      </c>
      <c r="BF240" s="152" t="n"/>
      <c r="BG240" s="152" t="n"/>
      <c r="BH240" s="152" t="n"/>
      <c r="BI240" s="152" t="n"/>
      <c r="BJ240" s="152" t="n"/>
      <c r="BK240" s="152" t="n"/>
      <c r="BL240" s="152" t="n"/>
      <c r="BM240" s="152" t="inlineStr">
        <is>
          <t>Yes</t>
        </is>
      </c>
      <c r="BN240" s="152" t="inlineStr">
        <is>
          <t>Not disclosed</t>
        </is>
      </c>
      <c r="BO240" s="156" t="inlineStr">
        <is>
          <t>Market: Athletic / Research / Ceremony · Human-safe: Yes · AI: Supported by embodied AI platform (Hui Si Kai Wu) · Actuation: High-torque electric actuators · Peak 6 km/h · Walk 4 km/h · Runtime ~1.5–2</t>
        </is>
      </c>
      <c r="BP240" s="152" t="n"/>
      <c r="BQ240" s="156" t="inlineStr">
        <is>
          <t>Athletic / Research / Ceremony</t>
        </is>
      </c>
      <c r="BR240" s="156" t="inlineStr">
        <is>
          <t>Featured WHRG 2026 record-setter</t>
        </is>
      </c>
      <c r="BS240" s="156" t="inlineStr">
        <is>
          <t>Prototype</t>
        </is>
      </c>
      <c r="BT240" s="152" t="inlineStr">
        <is>
          <t>White</t>
        </is>
      </c>
      <c r="BU240" s="152" t="inlineStr">
        <is>
          <t>Not verified</t>
        </is>
      </c>
      <c r="BV240" s="156" t="inlineStr">
        <is>
          <t>Dominant athletic performer at WHRG 2026 (328 ft 9.39s, high jump 2.289 ft); government-backed Humanoid.guide listed price $125,000.</t>
        </is>
      </c>
      <c r="BW240" s="156" t="inlineStr">
        <is>
          <t>Origin &amp; status — China · Featured WHRG 2026 record-setter · 2025 | Manipulation — Grippers or dexterous hands depending on configuration · 5 per hand fingers · Hand DOF 12 · Payload 33.1 lb (15 kg) | Sensing &amp; software — RGB and/or depth cameras for navigation and manipulation (configuration specific) · Supported by embodied AI platform (Hui Si Kai Wu) · Custom robotics OS /… | Buying notes — From $41,000 · 12 months manufacturer standard (typical research/commercial humanoid) · Best fit: Athletic</t>
        </is>
      </c>
      <c r="BX240" s="156" t="inlineStr">
        <is>
          <t>as_shipped|Tien Kung 3.0|41000|As shipped</t>
        </is>
      </c>
      <c r="BY240" s="152" t="inlineStr">
        <is>
          <t>white|White|#f8fafc|0</t>
        </is>
      </c>
      <c r="BZ240" s="152" t="inlineStr"/>
      <c r="CA240" s="156" t="inlineStr">
        <is>
          <t>Add-ons: case; 2 color options; Multi-year extended warranty available</t>
        </is>
      </c>
      <c r="CB240" s="156" t="inlineStr">
        <is>
          <t>12 months manufacturer standard (typical research/commercial humanoid)</t>
        </is>
      </c>
      <c r="CC240" s="154" t="n">
        <v>12</v>
      </c>
      <c r="CD240" s="156" t="inlineStr">
        <is>
          <t>+3 Year Extended ≈24% of configuration (default in configurator)</t>
        </is>
      </c>
      <c r="CE240" s="152" t="inlineStr">
        <is>
          <t>Humanoid category norm 2025–2026</t>
        </is>
      </c>
      <c r="CF240" s="152" t="inlineStr">
        <is>
          <t>Estimated</t>
        </is>
      </c>
      <c r="CG240" s="156" t="inlineStr">
        <is>
          <t>EDU or enterprise packages may differ; confirm on formal quote.</t>
        </is>
      </c>
      <c r="CH240" s="152" t="inlineStr">
        <is>
          <t>10%</t>
        </is>
      </c>
      <c r="CI240" s="152" t="inlineStr">
        <is>
          <t>17%</t>
        </is>
      </c>
      <c r="CJ240" s="152" t="inlineStr">
        <is>
          <t>24%</t>
        </is>
      </c>
      <c r="CK240"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40"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40" s="152" t="inlineStr">
        <is>
          <t>12 months manufacturer standard (typical research/commercial humanoid)</t>
        </is>
      </c>
      <c r="CQ240" s="101" t="inlineStr">
        <is>
          <t>Height: 5 ft 5 in – 5 ft 10 in | Weight: 136.7 | Degrees of Freedom: High | Payload: 33.1 | Max Speed: 3.73 | Battery / Runtime: ~1.5–2</t>
        </is>
      </c>
    </row>
    <row r="241" ht="31.5" customHeight="1" s="102">
      <c r="A241" s="159" t="inlineStr">
        <is>
          <t>x_humanoid_beijing_humanoid_robot_innova_tiangon</t>
        </is>
      </c>
      <c r="B241" s="144" t="inlineStr">
        <is>
          <t>Both</t>
        </is>
      </c>
      <c r="C241" s="152" t="inlineStr">
        <is>
          <t>X-Humanoid</t>
        </is>
      </c>
      <c r="D241" s="152" t="inlineStr">
        <is>
          <t>Tiangong Ultra</t>
        </is>
      </c>
      <c r="E241" s="152" t="inlineStr">
        <is>
          <t>[X-Humanoid] Tiangong Ultra (2025)</t>
        </is>
      </c>
      <c r="F241" s="146" t="inlineStr">
        <is>
          <t>humanoid</t>
        </is>
      </c>
      <c r="G241" s="152" t="inlineStr">
        <is>
          <t>China</t>
        </is>
      </c>
      <c r="H241" s="154" t="n">
        <v>2025</v>
      </c>
      <c r="I241" s="155" t="n">
        <v>41000</v>
      </c>
      <c r="J241" s="152" t="inlineStr">
        <is>
          <t>Robot Price Index Aug 2026 · TianGong band</t>
        </is>
      </c>
      <c r="K241" s="156" t="inlineStr">
        <is>
          <t>Tien Kung 3.0 is a full-size humanoid robot designed for dynamic mobility and open development.</t>
        </is>
      </c>
      <c r="L241" s="101" t="inlineStr">
        <is>
          <t>Tien Kung 3.0 is a full-size humanoid robot designed for dynamic mobility and open development.</t>
        </is>
      </c>
      <c r="M241" s="101" t="inlineStr">
        <is>
          <t>Tiangong Ultra is X-Humanoid's humanoid, introduced around 2025 in China. Tien Kung 3.0 is a full-size humanoid robot designed for dynamic mobility and open development. Public status is listed as featured WHRG 2026 record-setter, and it is positioned for athletic / Research / Ceremony.</t>
        </is>
      </c>
      <c r="N241" s="157" t="inlineStr">
        <is>
          <t>https://humanoid.guide/product/tien-kung-3-0/</t>
        </is>
      </c>
      <c r="O241" s="157" t="inlineStr">
        <is>
          <t>https://www.x-humanoid.com</t>
        </is>
      </c>
      <c r="P241" s="152" t="inlineStr">
        <is>
          <t>5 ft 5 in – 5 ft 10 in</t>
        </is>
      </c>
      <c r="Q241" s="152" t="n">
        <v>169</v>
      </c>
      <c r="R241" s="152" t="n">
        <v>136.7</v>
      </c>
      <c r="S241" s="152" t="n">
        <v>62</v>
      </c>
      <c r="T241" s="156" t="inlineStr">
        <is>
          <t>Not disclosed</t>
        </is>
      </c>
      <c r="U241" s="152" t="n"/>
      <c r="V241" s="152" t="inlineStr">
        <is>
          <t>High</t>
        </is>
      </c>
      <c r="W241" s="156" t="inlineStr">
        <is>
          <t>12</t>
        </is>
      </c>
      <c r="X241" s="152" t="n">
        <v>33.1</v>
      </c>
      <c r="Y241" s="152" t="n">
        <v>15</v>
      </c>
      <c r="Z241" s="152" t="n">
        <v>3.73</v>
      </c>
      <c r="AA241" s="152" t="n">
        <v>6</v>
      </c>
      <c r="AB241" s="152" t="n">
        <v>4</v>
      </c>
      <c r="AC241" s="156" t="inlineStr">
        <is>
          <t>~1.5–2</t>
        </is>
      </c>
      <c r="AD241" s="156" t="inlineStr">
        <is>
          <t>~1.5–2</t>
        </is>
      </c>
      <c r="AE241" s="152" t="n"/>
      <c r="AF241" s="152" t="inlineStr">
        <is>
          <t>Not disclosed</t>
        </is>
      </c>
      <c r="AG241" s="156" t="inlineStr">
        <is>
          <t>Grippers or dexterous hands depending on configuration</t>
        </is>
      </c>
      <c r="AH241" s="152" t="inlineStr">
        <is>
          <t>5 per hand</t>
        </is>
      </c>
      <c r="AI241" s="152" t="n"/>
      <c r="AJ241" s="156" t="inlineStr">
        <is>
          <t>RGB and/or depth cameras for navigation and manipulation (configuration specific)</t>
        </is>
      </c>
      <c r="AK241" s="156" t="n"/>
      <c r="AL241" s="152" t="inlineStr">
        <is>
          <t>Onboard streams for teleoperation and logging when equipped</t>
        </is>
      </c>
      <c r="AM241" s="152" t="n"/>
      <c r="AN241" s="152" t="inlineStr">
        <is>
          <t>Not disclosed</t>
        </is>
      </c>
      <c r="AO241" s="152" t="inlineStr">
        <is>
          <t>Microphone array on interaction-oriented builds</t>
        </is>
      </c>
      <c r="AP241" s="152" t="inlineStr">
        <is>
          <t>Not disclosed</t>
        </is>
      </c>
      <c r="AQ241" s="152" t="inlineStr">
        <is>
          <t>Not disclosed</t>
        </is>
      </c>
      <c r="AR241" s="152" t="n"/>
      <c r="AS241" s="152" t="n"/>
      <c r="AT241" s="156" t="inlineStr">
        <is>
          <t>Not disclosed</t>
        </is>
      </c>
      <c r="AU241" s="156" t="inlineStr">
        <is>
          <t>5G; Ethernet; Wi‑Fi</t>
        </is>
      </c>
      <c r="AV241" s="152" t="inlineStr">
        <is>
          <t>Manufacturer app and/or SDK</t>
        </is>
      </c>
      <c r="AW241" s="156" t="inlineStr">
        <is>
          <t>Bipedal balance and walking controllers</t>
        </is>
      </c>
      <c r="AX241" s="152" t="n"/>
      <c r="AY241" s="156" t="inlineStr">
        <is>
          <t>Custom robotics OS / open-source control stack available</t>
        </is>
      </c>
      <c r="AZ241" s="156" t="inlineStr">
        <is>
          <t>Supported by embodied AI platform (Hui Si Kai Wu)</t>
        </is>
      </c>
      <c r="BA241" s="156" t="n"/>
      <c r="BB241" s="156" t="inlineStr">
        <is>
          <t>High-torque electric actuators</t>
        </is>
      </c>
      <c r="BC241" s="156" t="inlineStr">
        <is>
          <t>Harmonic drive or planetary reduction</t>
        </is>
      </c>
      <c r="BD241" s="152" t="inlineStr">
        <is>
          <t>Lightweight aluminum alloy and composite materials</t>
        </is>
      </c>
      <c r="BE241" s="152" t="inlineStr">
        <is>
          <t>Not disclosed</t>
        </is>
      </c>
      <c r="BF241" s="152" t="n"/>
      <c r="BG241" s="152" t="n"/>
      <c r="BH241" s="152" t="n"/>
      <c r="BI241" s="152" t="n"/>
      <c r="BJ241" s="152" t="n"/>
      <c r="BK241" s="152" t="n"/>
      <c r="BL241" s="152" t="n"/>
      <c r="BM241" s="152" t="inlineStr">
        <is>
          <t>Yes</t>
        </is>
      </c>
      <c r="BN241" s="152" t="inlineStr">
        <is>
          <t>Not disclosed</t>
        </is>
      </c>
      <c r="BO241" s="156" t="inlineStr">
        <is>
          <t>Market: Athletic / Research / Ceremony · Human-safe: Yes · AI: Supported by embodied AI platform (Hui Si Kai Wu) · Actuation: High-torque electric actuators · Peak 6 km/h · Walk 4 km/h · Runtime ~1.5–2</t>
        </is>
      </c>
      <c r="BP241" s="152" t="n"/>
      <c r="BQ241" s="156" t="inlineStr">
        <is>
          <t>Athletic / Research / Ceremony</t>
        </is>
      </c>
      <c r="BR241" s="156" t="inlineStr">
        <is>
          <t>Featured WHRG 2026 record-setter</t>
        </is>
      </c>
      <c r="BS241" s="156" t="inlineStr">
        <is>
          <t>Prototype</t>
        </is>
      </c>
      <c r="BT241" s="152" t="inlineStr">
        <is>
          <t>White</t>
        </is>
      </c>
      <c r="BU241" s="152" t="inlineStr">
        <is>
          <t>Not verified</t>
        </is>
      </c>
      <c r="BV241" s="156" t="inlineStr">
        <is>
          <t>Dominant athletic performer at WHRG 2026 (328 ft 9.39s, high jump 2.289 ft); government-backed Humanoid.guide listed price $125,000.</t>
        </is>
      </c>
      <c r="BW241" s="156" t="inlineStr">
        <is>
          <t>Origin &amp; status — China · Featured WHRG 2026 record-setter · 2025 | Manipulation — Grippers or dexterous hands depending on configuration · 5 per hand fingers · Hand DOF 12 · Payload 33.1 lb (15 kg) | Sensing &amp; software — RGB and/or depth cameras for navigation and manipulation (configuration specific) · Supported by embodied AI platform (Hui Si Kai Wu) · Custom robotics OS /… | Buying notes — From $41,000 · 12 months manufacturer standard (typical research/commercial humanoid) · Best fit: Athletic</t>
        </is>
      </c>
      <c r="BX241" s="156" t="inlineStr">
        <is>
          <t>as_shipped|Tiangong Ultra|41000|As shipped</t>
        </is>
      </c>
      <c r="BY241" s="152" t="inlineStr">
        <is>
          <t>white|White|#f8fafc|0</t>
        </is>
      </c>
      <c r="BZ241" s="152" t="inlineStr"/>
      <c r="CA241" s="156" t="inlineStr">
        <is>
          <t>Add-ons: case; 2 color options; Multi-year extended warranty available</t>
        </is>
      </c>
      <c r="CB241" s="156" t="inlineStr">
        <is>
          <t>12 months manufacturer standard (typical research/commercial humanoid)</t>
        </is>
      </c>
      <c r="CC241" s="154" t="n">
        <v>12</v>
      </c>
      <c r="CD241" s="156" t="inlineStr">
        <is>
          <t>+3 Year Extended ≈24% of configuration (default in configurator)</t>
        </is>
      </c>
      <c r="CE241" s="152" t="inlineStr">
        <is>
          <t>Humanoid category norm 2025–2026</t>
        </is>
      </c>
      <c r="CF241" s="152" t="inlineStr">
        <is>
          <t>Estimated</t>
        </is>
      </c>
      <c r="CG241" s="156" t="inlineStr">
        <is>
          <t>EDU or enterprise packages may differ; confirm on formal quote.</t>
        </is>
      </c>
      <c r="CH241" s="152" t="inlineStr">
        <is>
          <t>10%</t>
        </is>
      </c>
      <c r="CI241" s="152" t="inlineStr">
        <is>
          <t>17%</t>
        </is>
      </c>
      <c r="CJ241" s="152" t="inlineStr">
        <is>
          <t>24%</t>
        </is>
      </c>
      <c r="CK241"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41"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41" s="152" t="inlineStr">
        <is>
          <t>12 months manufacturer standard (typical research/commercial humanoid)</t>
        </is>
      </c>
      <c r="CQ241" s="101" t="inlineStr">
        <is>
          <t>Height: 5 ft 5 in – 5 ft 10 in | Weight: 136.7 | Degrees of Freedom: High | Payload: 33.1 | Max Speed: 3.73 | Battery / Runtime: ~1.5–2</t>
        </is>
      </c>
    </row>
    <row r="242" ht="31.5" customHeight="1" s="102">
      <c r="A242" s="152" t="inlineStr">
        <is>
          <t>xiaomi_cyberone</t>
        </is>
      </c>
      <c r="B242" s="153" t="inlineStr">
        <is>
          <t>Humanoid.guide</t>
        </is>
      </c>
      <c r="C242" s="152" t="inlineStr">
        <is>
          <t>Xiaomi</t>
        </is>
      </c>
      <c r="D242" s="152" t="inlineStr">
        <is>
          <t>CyberOne</t>
        </is>
      </c>
      <c r="E242" s="152" t="inlineStr">
        <is>
          <t>[Xiaomi] CyberOne (2026)</t>
        </is>
      </c>
      <c r="F242" s="146" t="inlineStr">
        <is>
          <t>humanoid</t>
        </is>
      </c>
      <c r="G242" s="152" t="inlineStr">
        <is>
          <t>China</t>
        </is>
      </c>
      <c r="H242" s="152" t="n"/>
      <c r="I242" s="155" t="n">
        <v>100000</v>
      </c>
      <c r="J242" s="152" t="inlineStr">
        <is>
          <t>Humanoid.guide list</t>
        </is>
      </c>
      <c r="K242" s="156" t="inlineStr">
        <is>
          <t>CyberOne is Xiaomi's humanoid — 5 ft 10 in class, 21 DOF, 3.3 lb payload. Aimed at research, commercial pilots, education, and professional deployment.</t>
        </is>
      </c>
      <c r="L242" s="101" t="inlineStr">
        <is>
          <t>CyberOne is Xiaomi's humanoid — 5 ft 10 in class, 21 DOF, 3.3 lb payload. Aimed at research, commercial pilots, education, and professional deployment.</t>
        </is>
      </c>
      <c r="M242" s="101" t="inlineStr">
        <is>
          <t>CyberOne is Xiaomi's humanoid — 5 ft 10 in class, 21 DOF, 3.3 lb payload. Aimed at research, commercial pilots, education, and professional deployment. Public status is listed as prototype.</t>
        </is>
      </c>
      <c r="N242" s="157" t="inlineStr">
        <is>
          <t>https://humanoid.guide/product/cyberone/</t>
        </is>
      </c>
      <c r="O242" s="152" t="inlineStr">
        <is>
          <t>https://www.xiaomi.com</t>
        </is>
      </c>
      <c r="P242" s="152" t="inlineStr">
        <is>
          <t>5 ft 10 in</t>
        </is>
      </c>
      <c r="Q242" s="152" t="n">
        <v>177</v>
      </c>
      <c r="R242" s="152" t="n">
        <v>114.6</v>
      </c>
      <c r="S242" s="152" t="n">
        <v>52</v>
      </c>
      <c r="T242" s="156" t="inlineStr">
        <is>
          <t>Not disclosed</t>
        </is>
      </c>
      <c r="U242" s="152" t="n"/>
      <c r="V242" s="152" t="inlineStr">
        <is>
          <t>21</t>
        </is>
      </c>
      <c r="W242" s="156" t="inlineStr">
        <is>
          <t>Not disclosed</t>
        </is>
      </c>
      <c r="X242" s="152" t="n">
        <v>3.3</v>
      </c>
      <c r="Y242" s="152" t="n">
        <v>1.5</v>
      </c>
      <c r="Z242" s="152" t="n">
        <v>2.49</v>
      </c>
      <c r="AA242" s="152" t="n">
        <v>4</v>
      </c>
      <c r="AB242" s="152" t="n">
        <v>3.6</v>
      </c>
      <c r="AC242" s="156" t="inlineStr">
        <is>
          <t>≈ 3 hours</t>
        </is>
      </c>
      <c r="AD242" s="156" t="inlineStr">
        <is>
          <t>3</t>
        </is>
      </c>
      <c r="AE242" s="152" t="n"/>
      <c r="AF242" s="152" t="inlineStr">
        <is>
          <t>Not disclosed</t>
        </is>
      </c>
      <c r="AG242" s="156" t="inlineStr">
        <is>
          <t>Not disclosed</t>
        </is>
      </c>
      <c r="AH242" s="152" t="inlineStr">
        <is>
          <t>Not disclosed</t>
        </is>
      </c>
      <c r="AI242" s="158" t="n">
        <v>2</v>
      </c>
      <c r="AJ242" s="156" t="inlineStr">
        <is>
          <t>Not disclosed</t>
        </is>
      </c>
      <c r="AK242" s="156" t="n"/>
      <c r="AL242" s="152" t="inlineStr">
        <is>
          <t>Not disclosed</t>
        </is>
      </c>
      <c r="AM242" s="152" t="n"/>
      <c r="AN242" s="152" t="inlineStr">
        <is>
          <t>Not disclosed</t>
        </is>
      </c>
      <c r="AO242" s="152" t="inlineStr">
        <is>
          <t>Not disclosed</t>
        </is>
      </c>
      <c r="AP242" s="152" t="inlineStr">
        <is>
          <t>Not disclosed</t>
        </is>
      </c>
      <c r="AQ242" s="152" t="inlineStr">
        <is>
          <t>Not disclosed</t>
        </is>
      </c>
      <c r="AR242" s="152" t="n"/>
      <c r="AS242" s="152" t="n"/>
      <c r="AT242" s="156" t="inlineStr">
        <is>
          <t>Not disclosed</t>
        </is>
      </c>
      <c r="AU242" s="156" t="inlineStr">
        <is>
          <t>Not disclosed</t>
        </is>
      </c>
      <c r="AV242" s="152" t="inlineStr">
        <is>
          <t>Not disclosed</t>
        </is>
      </c>
      <c r="AW242" s="156" t="inlineStr">
        <is>
          <t>Not disclosed</t>
        </is>
      </c>
      <c r="AX242" s="158" t="n">
        <v>2</v>
      </c>
      <c r="AY242" s="156" t="inlineStr">
        <is>
          <t>Not disclosed</t>
        </is>
      </c>
      <c r="AZ242" s="156" t="inlineStr">
        <is>
          <t>Not disclosed</t>
        </is>
      </c>
      <c r="BA242" s="156" t="n"/>
      <c r="BB242" s="156" t="inlineStr">
        <is>
          <t>Not disclosed</t>
        </is>
      </c>
      <c r="BC242" s="156" t="inlineStr">
        <is>
          <t>Not disclosed</t>
        </is>
      </c>
      <c r="BD242" s="152" t="inlineStr">
        <is>
          <t>Not disclosed</t>
        </is>
      </c>
      <c r="BE242" s="152" t="inlineStr">
        <is>
          <t>Not disclosed</t>
        </is>
      </c>
      <c r="BF242" s="152" t="n"/>
      <c r="BG242" s="152" t="n"/>
      <c r="BH242" s="152" t="n"/>
      <c r="BI242" s="152" t="n"/>
      <c r="BJ242" s="152" t="n"/>
      <c r="BK242" s="152" t="n"/>
      <c r="BL242" s="152" t="n"/>
      <c r="BM242" s="152" t="inlineStr">
        <is>
          <t>Not disclosed</t>
        </is>
      </c>
      <c r="BN242" s="152" t="inlineStr">
        <is>
          <t>Not disclosed</t>
        </is>
      </c>
      <c r="BO242" s="156" t="inlineStr">
        <is>
          <t>Manipulation 2/4 · Navigation 2/4 · Peak 4 km/h · Walk 3.6 km/h · Runtime 3</t>
        </is>
      </c>
      <c r="BP242" s="152" t="n"/>
      <c r="BQ242" s="156" t="inlineStr">
        <is>
          <t>Research labs, commercial pilots, and education programs evaluating a humanoid from Xiaomi (China) now listed as prototype.</t>
        </is>
      </c>
      <c r="BR242" s="156" t="inlineStr">
        <is>
          <t>Prototype</t>
        </is>
      </c>
      <c r="BS242" s="156" t="inlineStr">
        <is>
          <t>Prototype</t>
        </is>
      </c>
      <c r="BT242" s="152" t="n"/>
      <c r="BU242" s="152" t="inlineStr">
        <is>
          <t>Not verified</t>
        </is>
      </c>
      <c r="BV242" s="156" t="n"/>
      <c r="BW242" s="156" t="inlineStr">
        <is>
          <t>Origin &amp; status — China · Prototype · 2026 | Manipulation — Payload 3.3 lb | Sensing &amp; software — Sensor and compute package confirmed on formal quote | Buying notes — From $100,000 · 12 months manufacturer standard (typical research/commercial humanoid)</t>
        </is>
      </c>
      <c r="BX242" s="156" t="inlineStr">
        <is>
          <t>as_shipped|CyberOne|100000|As shipped</t>
        </is>
      </c>
      <c r="BY242" s="152" t="inlineStr">
        <is>
          <t>cyberone|Manufacturer finish|#e2e8f0|0</t>
        </is>
      </c>
      <c r="BZ242" s="152" t="inlineStr"/>
      <c r="CA242" s="156" t="n"/>
      <c r="CB242" s="156" t="inlineStr">
        <is>
          <t>12 months manufacturer standard (typical research/commercial humanoid)</t>
        </is>
      </c>
      <c r="CC242" s="154" t="n">
        <v>12</v>
      </c>
      <c r="CD242" s="156" t="inlineStr">
        <is>
          <t>+3 Year Extended ≈24% of configuration (default in configurator)</t>
        </is>
      </c>
      <c r="CE242" s="152" t="inlineStr">
        <is>
          <t>Humanoid category norm 2025–2026</t>
        </is>
      </c>
      <c r="CF242" s="152" t="inlineStr">
        <is>
          <t>Estimated</t>
        </is>
      </c>
      <c r="CG242" s="156" t="inlineStr">
        <is>
          <t>Confirm on formal OEM quote. EDU or enterprise packages may differ.</t>
        </is>
      </c>
      <c r="CH242" s="152" t="inlineStr">
        <is>
          <t>10%</t>
        </is>
      </c>
      <c r="CI242" s="152" t="inlineStr">
        <is>
          <t>17%</t>
        </is>
      </c>
      <c r="CJ242" s="152" t="inlineStr">
        <is>
          <t>24%</t>
        </is>
      </c>
      <c r="CK242" s="156" t="inlineStr">
        <is>
          <t>+1yr ≈10% | +2yr ≈17% | +3yr ≈24% of selected configuration price (parts &amp; labor beyond manufacturer standard).</t>
        </is>
      </c>
      <c r="CL242"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42" s="152" t="inlineStr">
        <is>
          <t>12 months manufacturer standard (typical research/commercial humanoid)</t>
        </is>
      </c>
      <c r="CQ242" s="101" t="inlineStr">
        <is>
          <t>Height: 5 ft 10 in | Weight: 114.6 | Degrees of Freedom: 21 | Payload: 3.3 | Max Speed: 2.49 | Battery / Runtime: ≈ 3 hours</t>
        </is>
      </c>
    </row>
    <row r="243" ht="31.5" customHeight="1" s="102">
      <c r="A243" s="143" t="inlineStr">
        <is>
          <t>xiaomi_cyberone_tieda_gen_2_factory</t>
        </is>
      </c>
      <c r="B243" s="144" t="inlineStr">
        <is>
          <t>Both</t>
        </is>
      </c>
      <c r="C243" s="145" t="inlineStr">
        <is>
          <t>Xiaomi</t>
        </is>
      </c>
      <c r="D243" s="145" t="inlineStr">
        <is>
          <t>CyberOne v2</t>
        </is>
      </c>
      <c r="E243" s="145" t="inlineStr">
        <is>
          <t>[Xiaomi] CyberOne v2 (2022)</t>
        </is>
      </c>
      <c r="F243" s="146" t="inlineStr">
        <is>
          <t>humanoid</t>
        </is>
      </c>
      <c r="G243" s="145" t="inlineStr">
        <is>
          <t>China</t>
        </is>
      </c>
      <c r="H243" s="147" t="n">
        <v>2022</v>
      </c>
      <c r="I243" s="148" t="n">
        <v>50000</v>
      </c>
      <c r="J243" s="145" t="inlineStr">
        <is>
          <t>Website store</t>
        </is>
      </c>
      <c r="K243" s="149" t="inlineStr">
        <is>
          <t>CyberOne V2 is a humanoid robot by Xiaomi designed to understand human emotions and environments while demonstrating balanced movement and natural interaction.</t>
        </is>
      </c>
      <c r="L243" s="101" t="inlineStr">
        <is>
          <t>CyberOne V2 is a humanoid robot by Xiaomi designed to understand human emotions and environments while demonstrating balanced movement and natural interaction.</t>
        </is>
      </c>
      <c r="M243" s="101" t="inlineStr">
        <is>
          <t>CyberOne V2 is a humanoid robot by Xiaomi designed to understand human emotions and environments while demonstrating balanced movement and natural interaction. Public status is listed as internal factory use only, and it is positioned for manufacturing (Xiaomi EV plants).</t>
        </is>
      </c>
      <c r="N243" s="150" t="inlineStr">
        <is>
          <t>https://humanoid.guide/product/cyberone-v2/</t>
        </is>
      </c>
      <c r="O243" s="145" t="inlineStr">
        <is>
          <t>https://www.xiaomi.com</t>
        </is>
      </c>
      <c r="P243" s="145" t="inlineStr">
        <is>
          <t>5 ft 7 in – 5 ft 10 in</t>
        </is>
      </c>
      <c r="Q243" s="145" t="n">
        <v>177</v>
      </c>
      <c r="R243" s="145" t="n">
        <v>114.6</v>
      </c>
      <c r="S243" s="145" t="n">
        <v>52</v>
      </c>
      <c r="T243" s="149" t="inlineStr">
        <is>
          <t>Not disclosed</t>
        </is>
      </c>
      <c r="U243" s="145" t="n"/>
      <c r="V243" s="145" t="inlineStr">
        <is>
          <t>21–66 (33 in hands latest)</t>
        </is>
      </c>
      <c r="W243" s="149" t="inlineStr">
        <is>
          <t>Not disclosed</t>
        </is>
      </c>
      <c r="X243" s="145" t="inlineStr">
        <is>
          <t>Low–moderate</t>
        </is>
      </c>
      <c r="Y243" s="145" t="n">
        <v>3</v>
      </c>
      <c r="Z243" s="145" t="n">
        <v>2.24</v>
      </c>
      <c r="AA243" s="145" t="n">
        <v>3.6</v>
      </c>
      <c r="AB243" s="145" t="n">
        <v>3.6</v>
      </c>
      <c r="AC243" s="149" t="inlineStr">
        <is>
          <t>≈ 3 hours</t>
        </is>
      </c>
      <c r="AD243" s="149" t="inlineStr">
        <is>
          <t>3</t>
        </is>
      </c>
      <c r="AE243" s="145" t="n"/>
      <c r="AF243" s="145" t="inlineStr">
        <is>
          <t>Not disclosed</t>
        </is>
      </c>
      <c r="AG243" s="149" t="inlineStr">
        <is>
          <t>Grippers or dexterous hands depending on configuration</t>
        </is>
      </c>
      <c r="AH243" s="145" t="inlineStr">
        <is>
          <t>5</t>
        </is>
      </c>
      <c r="AI243" s="145" t="n"/>
      <c r="AJ243" s="149" t="inlineStr">
        <is>
          <t>RGB and/or depth cameras for navigation and manipulation (configuration specific)</t>
        </is>
      </c>
      <c r="AK243" s="149" t="inlineStr">
        <is>
          <t>Not specified (uses 3D spatial vision system)</t>
        </is>
      </c>
      <c r="AL243" s="145" t="inlineStr">
        <is>
          <t>Onboard streams for teleoperation and logging when equipped</t>
        </is>
      </c>
      <c r="AM243" s="145" t="n"/>
      <c r="AN243" s="145" t="inlineStr">
        <is>
          <t>Not disclosed</t>
        </is>
      </c>
      <c r="AO243" s="145" t="inlineStr">
        <is>
          <t>Microphone array on interaction-oriented builds</t>
        </is>
      </c>
      <c r="AP243" s="145" t="inlineStr">
        <is>
          <t>Not disclosed</t>
        </is>
      </c>
      <c r="AQ243" s="145" t="inlineStr">
        <is>
          <t>Not disclosed</t>
        </is>
      </c>
      <c r="AR243" s="145" t="n"/>
      <c r="AS243" s="145" t="n"/>
      <c r="AT243" s="149" t="inlineStr">
        <is>
          <t>Custom AI compute platform (not publicly specified)</t>
        </is>
      </c>
      <c r="AU243" s="149" t="inlineStr">
        <is>
          <t>Ethernet; Wi-Fi</t>
        </is>
      </c>
      <c r="AV243" s="145" t="inlineStr">
        <is>
          <t>Manufacturer app and/or SDK</t>
        </is>
      </c>
      <c r="AW243" s="149" t="inlineStr">
        <is>
          <t>Bipedal balance and walking controllers</t>
        </is>
      </c>
      <c r="AX243" s="145" t="n"/>
      <c r="AY243" s="149" t="inlineStr">
        <is>
          <t>Not disclosed</t>
        </is>
      </c>
      <c r="AZ243" s="149" t="inlineStr">
        <is>
          <t>Not disclosed</t>
        </is>
      </c>
      <c r="BA243" s="149" t="n"/>
      <c r="BB243" s="149" t="inlineStr">
        <is>
          <t>Electric servo motors with torque control</t>
        </is>
      </c>
      <c r="BC243" s="149" t="inlineStr">
        <is>
          <t>Harmonic/reduction gearing</t>
        </is>
      </c>
      <c r="BD243" s="145" t="inlineStr">
        <is>
          <t>Material: Metal + composite (rigid-flexible hybrid)</t>
        </is>
      </c>
      <c r="BE243" s="145" t="inlineStr">
        <is>
          <t>Not disclosed</t>
        </is>
      </c>
      <c r="BF243" s="145" t="n"/>
      <c r="BG243" s="145" t="n"/>
      <c r="BH243" s="145" t="n"/>
      <c r="BI243" s="145" t="n"/>
      <c r="BJ243" s="145" t="n"/>
      <c r="BK243" s="145" t="n"/>
      <c r="BL243" s="145" t="n"/>
      <c r="BM243" s="145" t="inlineStr">
        <is>
          <t>Yes</t>
        </is>
      </c>
      <c r="BN243" s="145" t="inlineStr">
        <is>
          <t>Not disclosed</t>
        </is>
      </c>
      <c r="BO243" s="149" t="inlineStr">
        <is>
          <t>Market: Manufacturing (Xiaomi EV plants) · Human-safe: Yes · Actuation: Electric servo motors with torque control · Peak 3.6 km/h · Walk 3.6 km/h · Runtime 3</t>
        </is>
      </c>
      <c r="BP243" s="145" t="n"/>
      <c r="BQ243" s="149" t="inlineStr">
        <is>
          <t>Manufacturing (Xiaomi EV plants)</t>
        </is>
      </c>
      <c r="BR243" s="149" t="inlineStr">
        <is>
          <t>Internal factory use only</t>
        </is>
      </c>
      <c r="BS243" s="149" t="inlineStr">
        <is>
          <t>Prototype</t>
        </is>
      </c>
      <c r="BT243" s="145" t="inlineStr">
        <is>
          <t>Black</t>
        </is>
      </c>
      <c r="BU243" s="145" t="inlineStr">
        <is>
          <t>Not verified</t>
        </is>
      </c>
      <c r="BV243" s="149" t="inlineStr">
        <is>
          <t>98% success on self-tapping nut installation after 4-month line training; matches 76s takt; not commercial product Humanoid.guide listed price $99,000.</t>
        </is>
      </c>
      <c r="BW243" s="149" t="inlineStr">
        <is>
          <t>Origin &amp; status — China · Internal factory use only · 2022 | Manipulation — Grippers or dexterous hands depending on configuration · 5 fingers · Payload Low–moderate lb | Sensing &amp; software — RGB and/or depth cameras for navigation and manipulation (configuration specific) · Manufacturer app and/or SDK | Buying notes — From $50,000 · 12 months manufacturer standard (typical research/commercial humanoid) · Best fit: Manufacturing (Xiaomi EV plants)</t>
        </is>
      </c>
      <c r="BX243" s="149" t="inlineStr">
        <is>
          <t>as_shipped|CyberOne v2|50000|As shipped</t>
        </is>
      </c>
      <c r="BY243" s="145" t="inlineStr">
        <is>
          <t>black|Black|#111111|0</t>
        </is>
      </c>
      <c r="BZ243" s="145" t="inlineStr"/>
      <c r="CA243" s="149" t="inlineStr">
        <is>
          <t>Add-ons: case; 2 color options; Multi-year extended warranty available</t>
        </is>
      </c>
      <c r="CB243" s="149" t="inlineStr">
        <is>
          <t>12 months manufacturer standard (typical research/commercial humanoid)</t>
        </is>
      </c>
      <c r="CC243" s="147" t="n">
        <v>12</v>
      </c>
      <c r="CD243" s="149" t="inlineStr">
        <is>
          <t>+3 Year Extended ≈24% of configuration (default in configurator)</t>
        </is>
      </c>
      <c r="CE243" s="145" t="inlineStr">
        <is>
          <t>Humanoid category norm 2025–2026</t>
        </is>
      </c>
      <c r="CF243" s="145" t="inlineStr">
        <is>
          <t>Estimated</t>
        </is>
      </c>
      <c r="CG243" s="149" t="inlineStr">
        <is>
          <t>EDU or enterprise packages may differ; confirm on formal quote.</t>
        </is>
      </c>
      <c r="CH243" s="145" t="inlineStr">
        <is>
          <t>10%</t>
        </is>
      </c>
      <c r="CI243" s="145" t="inlineStr">
        <is>
          <t>17%</t>
        </is>
      </c>
      <c r="CJ243" s="145" t="inlineStr">
        <is>
          <t>24%</t>
        </is>
      </c>
      <c r="CK243"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43"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43" s="145" t="inlineStr">
        <is>
          <t>12 months manufacturer standard (typical research/commercial humanoid)</t>
        </is>
      </c>
      <c r="CQ243" s="101" t="inlineStr">
        <is>
          <t>Height: 5 ft 7 in – 5 ft 10 in | Weight: 114.6 | Degrees of Freedom: 21–66 (33 in hands latest) | Payload: Low–moderate | Max Speed: 2.24 | Battery / Runtime: ≈ 3 hours</t>
        </is>
      </c>
    </row>
    <row r="244" ht="31.5" customHeight="1" s="102">
      <c r="A244" s="152" t="inlineStr">
        <is>
          <t>xpeng_iron</t>
        </is>
      </c>
      <c r="B244" s="153" t="inlineStr">
        <is>
          <t>Humanoid.guide</t>
        </is>
      </c>
      <c r="C244" s="152" t="inlineStr">
        <is>
          <t>Xpeng</t>
        </is>
      </c>
      <c r="D244" s="152" t="inlineStr">
        <is>
          <t>IRON</t>
        </is>
      </c>
      <c r="E244" s="152" t="inlineStr">
        <is>
          <t>[Xpeng] IRON (2026)</t>
        </is>
      </c>
      <c r="F244" s="146" t="inlineStr">
        <is>
          <t>humanoid</t>
        </is>
      </c>
      <c r="G244" s="152" t="inlineStr">
        <is>
          <t>China</t>
        </is>
      </c>
      <c r="H244" s="152" t="n"/>
      <c r="I244" s="155" t="n">
        <v>150000</v>
      </c>
      <c r="J244" s="152" t="inlineStr">
        <is>
          <t>Humanoid.guide list</t>
        </is>
      </c>
      <c r="K244" s="156" t="inlineStr">
        <is>
          <t>The Xpeng Iron is a versatile humanoid robot designed by Xpeng Robotics for applications in retail, healthcare, and logistics.</t>
        </is>
      </c>
      <c r="L244" s="101" t="inlineStr">
        <is>
          <t>The Xpeng Iron is a versatile humanoid robot designed by Xpeng Robotics for applications in retail, healthcare, and logistics.</t>
        </is>
      </c>
      <c r="M244" s="101" t="inlineStr">
        <is>
          <t>IRON is Xpeng's humanoid, introduced around 2026 in China. The Xpeng Iron is a versatile humanoid robot designed by Xpeng Robotics for applications in retail, healthcare, and logistics. Public status is listed as prototype.</t>
        </is>
      </c>
      <c r="N244" s="157" t="inlineStr">
        <is>
          <t>https://humanoid.guide/product/iron_prototype/</t>
        </is>
      </c>
      <c r="O244" s="157" t="inlineStr">
        <is>
          <t>https://www.xpeng.com</t>
        </is>
      </c>
      <c r="P244" s="152" t="inlineStr">
        <is>
          <t>5 ft 11 in</t>
        </is>
      </c>
      <c r="Q244" s="152" t="n">
        <v>180</v>
      </c>
      <c r="R244" s="152" t="n">
        <v>198.4</v>
      </c>
      <c r="S244" s="152" t="n">
        <v>90</v>
      </c>
      <c r="T244" s="156" t="inlineStr">
        <is>
          <t>Not disclosed</t>
        </is>
      </c>
      <c r="U244" s="152" t="n"/>
      <c r="V244" s="152" t="inlineStr">
        <is>
          <t>26</t>
        </is>
      </c>
      <c r="W244" s="156" t="inlineStr">
        <is>
          <t>Not disclosed</t>
        </is>
      </c>
      <c r="X244" s="152" t="n">
        <v>44.1</v>
      </c>
      <c r="Y244" s="152" t="n">
        <v>20</v>
      </c>
      <c r="Z244" s="152" t="n">
        <v>3.11</v>
      </c>
      <c r="AA244" s="152" t="n">
        <v>5</v>
      </c>
      <c r="AB244" s="152" t="n">
        <v>4</v>
      </c>
      <c r="AC244" s="156" t="inlineStr">
        <is>
          <t>≈ 4 hours</t>
        </is>
      </c>
      <c r="AD244" s="156" t="inlineStr">
        <is>
          <t>4</t>
        </is>
      </c>
      <c r="AE244" s="152" t="n"/>
      <c r="AF244" s="152" t="inlineStr">
        <is>
          <t>Not disclosed</t>
        </is>
      </c>
      <c r="AG244" s="156" t="inlineStr">
        <is>
          <t>Not disclosed</t>
        </is>
      </c>
      <c r="AH244" s="152" t="inlineStr">
        <is>
          <t>Not disclosed</t>
        </is>
      </c>
      <c r="AI244" s="158" t="n">
        <v>2</v>
      </c>
      <c r="AJ244" s="156" t="inlineStr">
        <is>
          <t>Not disclosed</t>
        </is>
      </c>
      <c r="AK244" s="156" t="n"/>
      <c r="AL244" s="152" t="inlineStr">
        <is>
          <t>Not disclosed</t>
        </is>
      </c>
      <c r="AM244" s="152" t="n"/>
      <c r="AN244" s="152" t="inlineStr">
        <is>
          <t>Not disclosed</t>
        </is>
      </c>
      <c r="AO244" s="152" t="inlineStr">
        <is>
          <t>Not disclosed</t>
        </is>
      </c>
      <c r="AP244" s="152" t="inlineStr">
        <is>
          <t>Not disclosed</t>
        </is>
      </c>
      <c r="AQ244" s="152" t="inlineStr">
        <is>
          <t>Not disclosed</t>
        </is>
      </c>
      <c r="AR244" s="152" t="n"/>
      <c r="AS244" s="152" t="n"/>
      <c r="AT244" s="156" t="inlineStr">
        <is>
          <t>Not disclosed</t>
        </is>
      </c>
      <c r="AU244" s="156" t="inlineStr">
        <is>
          <t>Not disclosed</t>
        </is>
      </c>
      <c r="AV244" s="152" t="inlineStr">
        <is>
          <t>Not disclosed</t>
        </is>
      </c>
      <c r="AW244" s="156" t="inlineStr">
        <is>
          <t>Not disclosed</t>
        </is>
      </c>
      <c r="AX244" s="158" t="n">
        <v>2</v>
      </c>
      <c r="AY244" s="156" t="inlineStr">
        <is>
          <t>Not disclosed</t>
        </is>
      </c>
      <c r="AZ244" s="156" t="inlineStr">
        <is>
          <t>Not disclosed</t>
        </is>
      </c>
      <c r="BA244" s="156" t="n"/>
      <c r="BB244" s="156" t="inlineStr">
        <is>
          <t>Not disclosed</t>
        </is>
      </c>
      <c r="BC244" s="156" t="inlineStr">
        <is>
          <t>Not disclosed</t>
        </is>
      </c>
      <c r="BD244" s="152" t="inlineStr">
        <is>
          <t>Not disclosed</t>
        </is>
      </c>
      <c r="BE244" s="152" t="inlineStr">
        <is>
          <t>Not disclosed</t>
        </is>
      </c>
      <c r="BF244" s="152" t="n"/>
      <c r="BG244" s="152" t="n"/>
      <c r="BH244" s="152" t="n"/>
      <c r="BI244" s="152" t="n"/>
      <c r="BJ244" s="152" t="n"/>
      <c r="BK244" s="152" t="n"/>
      <c r="BL244" s="152" t="n"/>
      <c r="BM244" s="152" t="inlineStr">
        <is>
          <t>Not disclosed</t>
        </is>
      </c>
      <c r="BN244" s="152" t="inlineStr">
        <is>
          <t>Not disclosed</t>
        </is>
      </c>
      <c r="BO244" s="156" t="inlineStr">
        <is>
          <t>Manipulation 2/4 · Navigation 2/4 · Peak 5 km/h · Walk 4 km/h · Runtime 4</t>
        </is>
      </c>
      <c r="BP244" s="152" t="n"/>
      <c r="BQ244" s="156" t="inlineStr">
        <is>
          <t>Research labs, commercial pilots, and education programs evaluating a humanoid from Xpeng (China) now listed as prototype.</t>
        </is>
      </c>
      <c r="BR244" s="156" t="inlineStr">
        <is>
          <t>Prototype</t>
        </is>
      </c>
      <c r="BS244" s="156" t="inlineStr">
        <is>
          <t>Prototype</t>
        </is>
      </c>
      <c r="BT244" s="152" t="n"/>
      <c r="BU244" s="152" t="inlineStr">
        <is>
          <t>Not verified</t>
        </is>
      </c>
      <c r="BV244" s="156" t="n"/>
      <c r="BW244" s="156" t="inlineStr">
        <is>
          <t>Origin &amp; status — China · Prototype · 2026 | Manipulation — Payload 44.1 lb | Sensing &amp; software — Sensor and compute package confirmed on formal quote | Buying notes — From $150,000 · 12 months manufacturer standard (typical research/commercial humanoid)</t>
        </is>
      </c>
      <c r="BX244" s="156" t="inlineStr">
        <is>
          <t>as_shipped|IRON|150000|As shipped</t>
        </is>
      </c>
      <c r="BY244" s="152" t="inlineStr">
        <is>
          <t>iron|Manufacturer finish|#e2e8f0|0</t>
        </is>
      </c>
      <c r="BZ244" s="152" t="inlineStr"/>
      <c r="CA244" s="156" t="n"/>
      <c r="CB244" s="156" t="inlineStr">
        <is>
          <t>12 months manufacturer standard (typical research/commercial humanoid)</t>
        </is>
      </c>
      <c r="CC244" s="154" t="n">
        <v>12</v>
      </c>
      <c r="CD244" s="156" t="inlineStr">
        <is>
          <t>+3 Year Extended ≈24% of configuration (default in configurator)</t>
        </is>
      </c>
      <c r="CE244" s="152" t="inlineStr">
        <is>
          <t>Humanoid category norm 2025–2026</t>
        </is>
      </c>
      <c r="CF244" s="152" t="inlineStr">
        <is>
          <t>Estimated</t>
        </is>
      </c>
      <c r="CG244" s="156" t="inlineStr">
        <is>
          <t>Confirm on formal OEM quote. EDU or enterprise packages may differ.</t>
        </is>
      </c>
      <c r="CH244" s="152" t="inlineStr">
        <is>
          <t>10%</t>
        </is>
      </c>
      <c r="CI244" s="152" t="inlineStr">
        <is>
          <t>17%</t>
        </is>
      </c>
      <c r="CJ244" s="152" t="inlineStr">
        <is>
          <t>24%</t>
        </is>
      </c>
      <c r="CK244" s="156" t="inlineStr">
        <is>
          <t>+1yr ≈10% | +2yr ≈17% | +3yr ≈24% of selected configuration price (parts &amp; labor beyond manufacturer standard).</t>
        </is>
      </c>
      <c r="CL244"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44" s="152" t="inlineStr">
        <is>
          <t>12 months manufacturer standard (typical research/commercial humanoid)</t>
        </is>
      </c>
      <c r="CQ244" s="101" t="inlineStr">
        <is>
          <t>Height: 5 ft 11 in | Weight: 198.4 | Degrees of Freedom: 26 | Payload: 44.1 | Max Speed: 3.11 | Battery / Runtime: ≈ 4 hours</t>
        </is>
      </c>
    </row>
    <row r="245" ht="31.5" customHeight="1" s="102">
      <c r="A245" s="145" t="inlineStr">
        <is>
          <t>xpeng_px5</t>
        </is>
      </c>
      <c r="B245" s="153" t="inlineStr">
        <is>
          <t>Humanoid.guide</t>
        </is>
      </c>
      <c r="C245" s="145" t="inlineStr">
        <is>
          <t>Xpeng</t>
        </is>
      </c>
      <c r="D245" s="145" t="inlineStr">
        <is>
          <t>PX5</t>
        </is>
      </c>
      <c r="E245" s="145" t="inlineStr">
        <is>
          <t>[Xpeng] PX5 (2026)</t>
        </is>
      </c>
      <c r="F245" s="146" t="inlineStr">
        <is>
          <t>humanoid</t>
        </is>
      </c>
      <c r="G245" s="145" t="inlineStr">
        <is>
          <t>China</t>
        </is>
      </c>
      <c r="H245" s="145" t="n"/>
      <c r="I245" s="148" t="n">
        <v>150000</v>
      </c>
      <c r="J245" s="145" t="inlineStr">
        <is>
          <t>Humanoid.guide list</t>
        </is>
      </c>
      <c r="K245" s="149" t="inlineStr">
        <is>
          <t>The PX5 is an advanced humanoid robot developed by XPENG, a Chinese electric vehicle manufacturer that has expanded into robotics.</t>
        </is>
      </c>
      <c r="L245" s="101" t="inlineStr">
        <is>
          <t>The PX5 is an advanced humanoid robot developed by XPENG, a Chinese electric vehicle manufacturer that has expanded into robotics.</t>
        </is>
      </c>
      <c r="M245" s="101" t="inlineStr">
        <is>
          <t>The PX5 is an advanced humanoid robot developed by XPENG, a Chinese electric vehicle manufacturer that has expanded into robotics. Public status is listed as prototype.</t>
        </is>
      </c>
      <c r="N245" s="150" t="inlineStr">
        <is>
          <t>https://humanoid.guide/product/px5/</t>
        </is>
      </c>
      <c r="O245" s="150" t="inlineStr">
        <is>
          <t>https://www.xpeng.com</t>
        </is>
      </c>
      <c r="P245" s="145" t="inlineStr">
        <is>
          <t>4 ft 11 in</t>
        </is>
      </c>
      <c r="Q245" s="145" t="n">
        <v>150</v>
      </c>
      <c r="R245" s="145" t="n">
        <v>240.3</v>
      </c>
      <c r="S245" s="145" t="n">
        <v>109</v>
      </c>
      <c r="T245" s="149" t="inlineStr">
        <is>
          <t>Not disclosed</t>
        </is>
      </c>
      <c r="U245" s="145" t="n"/>
      <c r="V245" s="145" t="inlineStr">
        <is>
          <t>22</t>
        </is>
      </c>
      <c r="W245" s="149" t="inlineStr">
        <is>
          <t>Not disclosed</t>
        </is>
      </c>
      <c r="X245" s="145" t="n">
        <v>26.5</v>
      </c>
      <c r="Y245" s="145" t="n">
        <v>12</v>
      </c>
      <c r="Z245" s="145" t="n">
        <v>3.11</v>
      </c>
      <c r="AA245" s="145" t="n">
        <v>5</v>
      </c>
      <c r="AB245" s="145" t="n">
        <v>3.5</v>
      </c>
      <c r="AC245" s="149" t="inlineStr">
        <is>
          <t>≈ 1.5 hours</t>
        </is>
      </c>
      <c r="AD245" s="149" t="inlineStr">
        <is>
          <t>1.5</t>
        </is>
      </c>
      <c r="AE245" s="145" t="n"/>
      <c r="AF245" s="145" t="inlineStr">
        <is>
          <t>Not disclosed</t>
        </is>
      </c>
      <c r="AG245" s="149" t="inlineStr">
        <is>
          <t>Not disclosed</t>
        </is>
      </c>
      <c r="AH245" s="145" t="inlineStr">
        <is>
          <t>Not disclosed</t>
        </is>
      </c>
      <c r="AI245" s="158" t="n">
        <v>2</v>
      </c>
      <c r="AJ245" s="149" t="inlineStr">
        <is>
          <t>Not disclosed</t>
        </is>
      </c>
      <c r="AK245" s="149" t="n"/>
      <c r="AL245" s="145" t="inlineStr">
        <is>
          <t>Not disclosed</t>
        </is>
      </c>
      <c r="AM245" s="145" t="n"/>
      <c r="AN245" s="145" t="inlineStr">
        <is>
          <t>Not disclosed</t>
        </is>
      </c>
      <c r="AO245" s="145" t="inlineStr">
        <is>
          <t>Not disclosed</t>
        </is>
      </c>
      <c r="AP245" s="145" t="inlineStr">
        <is>
          <t>Not disclosed</t>
        </is>
      </c>
      <c r="AQ245" s="145" t="inlineStr">
        <is>
          <t>Not disclosed</t>
        </is>
      </c>
      <c r="AR245" s="145" t="n"/>
      <c r="AS245" s="145" t="n"/>
      <c r="AT245" s="149" t="inlineStr">
        <is>
          <t>Not disclosed</t>
        </is>
      </c>
      <c r="AU245" s="149" t="inlineStr">
        <is>
          <t>Not disclosed</t>
        </is>
      </c>
      <c r="AV245" s="145" t="inlineStr">
        <is>
          <t>Not disclosed</t>
        </is>
      </c>
      <c r="AW245" s="149" t="inlineStr">
        <is>
          <t>Not disclosed</t>
        </is>
      </c>
      <c r="AX245" s="158" t="n">
        <v>2</v>
      </c>
      <c r="AY245" s="149" t="inlineStr">
        <is>
          <t>Not disclosed</t>
        </is>
      </c>
      <c r="AZ245" s="149" t="inlineStr">
        <is>
          <t>Not disclosed</t>
        </is>
      </c>
      <c r="BA245" s="149" t="n"/>
      <c r="BB245" s="149" t="inlineStr">
        <is>
          <t>Not disclosed</t>
        </is>
      </c>
      <c r="BC245" s="149" t="inlineStr">
        <is>
          <t>Not disclosed</t>
        </is>
      </c>
      <c r="BD245" s="145" t="inlineStr">
        <is>
          <t>Not disclosed</t>
        </is>
      </c>
      <c r="BE245" s="145" t="inlineStr">
        <is>
          <t>Not disclosed</t>
        </is>
      </c>
      <c r="BF245" s="145" t="n"/>
      <c r="BG245" s="145" t="n"/>
      <c r="BH245" s="145" t="n"/>
      <c r="BI245" s="145" t="n"/>
      <c r="BJ245" s="145" t="n"/>
      <c r="BK245" s="145" t="n"/>
      <c r="BL245" s="145" t="n"/>
      <c r="BM245" s="145" t="inlineStr">
        <is>
          <t>Not disclosed</t>
        </is>
      </c>
      <c r="BN245" s="145" t="inlineStr">
        <is>
          <t>Not disclosed</t>
        </is>
      </c>
      <c r="BO245" s="149" t="inlineStr">
        <is>
          <t>Manipulation 2/4 · Navigation 2/4 · Peak 5 km/h · Walk 3.5 km/h · Runtime 1.5</t>
        </is>
      </c>
      <c r="BP245" s="145" t="n"/>
      <c r="BQ245" s="149" t="inlineStr">
        <is>
          <t>Research labs, commercial pilots, and education programs evaluating a humanoid from Xpeng (China) now listed as prototype.</t>
        </is>
      </c>
      <c r="BR245" s="149" t="inlineStr">
        <is>
          <t>Prototype</t>
        </is>
      </c>
      <c r="BS245" s="149" t="inlineStr">
        <is>
          <t>Prototype</t>
        </is>
      </c>
      <c r="BT245" s="145" t="n"/>
      <c r="BU245" s="145" t="inlineStr">
        <is>
          <t>Not verified</t>
        </is>
      </c>
      <c r="BV245" s="149" t="n"/>
      <c r="BW245" s="149" t="inlineStr">
        <is>
          <t>Origin &amp; status — China · Prototype · 2026 | Manipulation — Payload 26.5 lb | Sensing &amp; software — Sensor and compute package confirmed on formal quote | Buying notes — From $150,000 · 12 months manufacturer standard (typical research/commercial humanoid)</t>
        </is>
      </c>
      <c r="BX245" s="149" t="inlineStr">
        <is>
          <t>as_shipped|PX5|150000|As shipped</t>
        </is>
      </c>
      <c r="BY245" s="145" t="inlineStr">
        <is>
          <t>px5|Manufacturer finish|#e2e8f0|0</t>
        </is>
      </c>
      <c r="BZ245" s="145" t="inlineStr"/>
      <c r="CA245" s="149" t="n"/>
      <c r="CB245" s="149" t="inlineStr">
        <is>
          <t>12 months manufacturer standard (typical research/commercial humanoid)</t>
        </is>
      </c>
      <c r="CC245" s="147" t="n">
        <v>12</v>
      </c>
      <c r="CD245" s="149" t="inlineStr">
        <is>
          <t>+3 Year Extended ≈24% of configuration (default in configurator)</t>
        </is>
      </c>
      <c r="CE245" s="145" t="inlineStr">
        <is>
          <t>Humanoid category norm 2025–2026</t>
        </is>
      </c>
      <c r="CF245" s="145" t="inlineStr">
        <is>
          <t>Estimated</t>
        </is>
      </c>
      <c r="CG245" s="149" t="inlineStr">
        <is>
          <t>Confirm on formal OEM quote. EDU or enterprise packages may differ.</t>
        </is>
      </c>
      <c r="CH245" s="145" t="inlineStr">
        <is>
          <t>10%</t>
        </is>
      </c>
      <c r="CI245" s="145" t="inlineStr">
        <is>
          <t>17%</t>
        </is>
      </c>
      <c r="CJ245" s="145" t="inlineStr">
        <is>
          <t>24%</t>
        </is>
      </c>
      <c r="CK245" s="149" t="inlineStr">
        <is>
          <t>+1yr ≈10% | +2yr ≈17% | +3yr ≈24% of selected configuration price (parts &amp; labor beyond manufacturer standard).</t>
        </is>
      </c>
      <c r="CL24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45" s="145" t="inlineStr">
        <is>
          <t>12 months manufacturer standard (typical research/commercial humanoid)</t>
        </is>
      </c>
      <c r="CQ245" s="101" t="inlineStr">
        <is>
          <t>Height: 4 ft 11 in | Weight: 240.3 | Degrees of Freedom: 22 | Payload: 26.5 | Max Speed: 3.11 | Battery / Runtime: ≈ 1.5 hours</t>
        </is>
      </c>
    </row>
    <row r="246" ht="31.5" customHeight="1" s="102">
      <c r="A246" s="159" t="inlineStr">
        <is>
          <t>xpeng_robotics_iron_gen_2_production</t>
        </is>
      </c>
      <c r="B246" s="144" t="inlineStr">
        <is>
          <t>Both</t>
        </is>
      </c>
      <c r="C246" s="152" t="inlineStr">
        <is>
          <t>XPENG Robotics</t>
        </is>
      </c>
      <c r="D246" s="152" t="inlineStr">
        <is>
          <t>IRON Gen 2</t>
        </is>
      </c>
      <c r="E246" s="152" t="inlineStr">
        <is>
          <t>[XPENG] IRON Gen 2 (2024)</t>
        </is>
      </c>
      <c r="F246" s="146" t="inlineStr">
        <is>
          <t>humanoid</t>
        </is>
      </c>
      <c r="G246" s="152" t="inlineStr">
        <is>
          <t>China</t>
        </is>
      </c>
      <c r="H246" s="154" t="n">
        <v>2024</v>
      </c>
      <c r="I246" s="155" t="n">
        <v>50000</v>
      </c>
      <c r="J246" s="152" t="inlineStr">
        <is>
          <t>Website store</t>
        </is>
      </c>
      <c r="K246" s="156" t="inlineStr">
        <is>
          <t>Humanoid robot from XPENG with 200‑DoF mobility, 22‑DoF hands, 720° vision, and Turing‑AI compute for real‑world factory and retail tasks.</t>
        </is>
      </c>
      <c r="L246" s="101" t="inlineStr">
        <is>
          <t>Humanoid robot from XPENG with 200‑DoF mobility, 22‑DoF hands, 720° vision, and Turing‑AI compute for real‑world factory and retail tasks.</t>
        </is>
      </c>
      <c r="M246" s="101" t="inlineStr">
        <is>
          <t>IRON Gen 2 is XPENG Robotics's humanoid, introduced around 2024 in China. Humanoid robot from XPENG with 200‑DoF mobility, 22‑DoF hands, 720° vision, and Turing‑AI compute for real‑world factory and retail tasks. Public status is listed as mass production targeted late 2026; initial internal/store, and it is positioned for service / Retail / Industrial / Showroom.</t>
        </is>
      </c>
      <c r="N246" s="157" t="inlineStr">
        <is>
          <t>https://humanoid.guide/product/iron/</t>
        </is>
      </c>
      <c r="O246" s="157" t="inlineStr">
        <is>
          <t>https://www.xpeng.com</t>
        </is>
      </c>
      <c r="P246" s="152" t="inlineStr">
        <is>
          <t>5 ft 8 in – 5 ft 10 in</t>
        </is>
      </c>
      <c r="Q246" s="152" t="n">
        <v>173</v>
      </c>
      <c r="R246" s="152" t="n">
        <v>154.3</v>
      </c>
      <c r="S246" s="152" t="n">
        <v>70</v>
      </c>
      <c r="T246" s="156" t="inlineStr">
        <is>
          <t>Not disclosed</t>
        </is>
      </c>
      <c r="U246" s="152" t="n"/>
      <c r="V246" s="152" t="inlineStr">
        <is>
          <t>76–82 (21–22 per hand)</t>
        </is>
      </c>
      <c r="W246" s="156" t="inlineStr">
        <is>
          <t>22</t>
        </is>
      </c>
      <c r="X246" s="152" t="inlineStr">
        <is>
          <t>35 lb (reported)</t>
        </is>
      </c>
      <c r="Y246" s="152" t="n">
        <v>20</v>
      </c>
      <c r="Z246" s="152" t="n">
        <v>4.35</v>
      </c>
      <c r="AA246" s="152" t="n">
        <v>7</v>
      </c>
      <c r="AB246" s="152" t="n">
        <v>4</v>
      </c>
      <c r="AC246" s="156" t="inlineStr">
        <is>
          <t>≈ 4 hours</t>
        </is>
      </c>
      <c r="AD246" s="156" t="inlineStr">
        <is>
          <t>4</t>
        </is>
      </c>
      <c r="AE246" s="152" t="n"/>
      <c r="AF246" s="152" t="inlineStr">
        <is>
          <t>Not disclosed</t>
        </is>
      </c>
      <c r="AG246" s="156" t="inlineStr">
        <is>
          <t>Industrial manipulation focus</t>
        </is>
      </c>
      <c r="AH246" s="152" t="inlineStr">
        <is>
          <t>10</t>
        </is>
      </c>
      <c r="AI246" s="151" t="n">
        <v>3</v>
      </c>
      <c r="AJ246" s="156" t="inlineStr">
        <is>
          <t>Automotive-adjacent multi-camera perception</t>
        </is>
      </c>
      <c r="AK246" s="156" t="n"/>
      <c r="AL246" s="152" t="inlineStr">
        <is>
          <t>Not disclosed</t>
        </is>
      </c>
      <c r="AM246" s="152" t="n"/>
      <c r="AN246" s="152" t="inlineStr">
        <is>
          <t>Not disclosed</t>
        </is>
      </c>
      <c r="AO246" s="152" t="inlineStr">
        <is>
          <t>Not disclosed</t>
        </is>
      </c>
      <c r="AP246" s="152" t="inlineStr">
        <is>
          <t>Not disclosed</t>
        </is>
      </c>
      <c r="AQ246" s="152" t="inlineStr">
        <is>
          <t>Not disclosed</t>
        </is>
      </c>
      <c r="AR246" s="152" t="n"/>
      <c r="AS246" s="152" t="n"/>
      <c r="AT246" s="156" t="inlineStr">
        <is>
          <t>XPENG Turing AI chips</t>
        </is>
      </c>
      <c r="AU246" s="156" t="inlineStr">
        <is>
          <t>Cloud‑connected</t>
        </is>
      </c>
      <c r="AV246" s="152" t="inlineStr">
        <is>
          <t>XPENG robotics stack</t>
        </is>
      </c>
      <c r="AW246" s="156" t="inlineStr">
        <is>
          <t>Not disclosed</t>
        </is>
      </c>
      <c r="AX246" s="151" t="n">
        <v>3</v>
      </c>
      <c r="AY246" s="156" t="inlineStr">
        <is>
          <t>Tianji AIOS</t>
        </is>
      </c>
      <c r="AZ246" s="156" t="inlineStr">
        <is>
          <t>Vision‑Language‑Task (VLT)</t>
        </is>
      </c>
      <c r="BA246" s="156" t="n"/>
      <c r="BB246" s="156" t="inlineStr">
        <is>
          <t>Electric servo‑actuator drive (high‑torque servos referenced in coverage; vendor hasn’t posted actuator specs).</t>
        </is>
      </c>
      <c r="BC246" s="156" t="inlineStr">
        <is>
          <t>Not disclosed</t>
        </is>
      </c>
      <c r="BD246" s="152" t="inlineStr">
        <is>
          <t>Not disclosed</t>
        </is>
      </c>
      <c r="BE246" s="152" t="inlineStr">
        <is>
          <t>Not disclosed</t>
        </is>
      </c>
      <c r="BF246" s="152" t="n"/>
      <c r="BG246" s="152" t="n"/>
      <c r="BH246" s="152" t="n"/>
      <c r="BI246" s="152" t="n"/>
      <c r="BJ246" s="152" t="n"/>
      <c r="BK246" s="152" t="n"/>
      <c r="BL246" s="152" t="n"/>
      <c r="BM246" s="152" t="inlineStr">
        <is>
          <t>Not disclosed</t>
        </is>
      </c>
      <c r="BN246" s="152" t="inlineStr">
        <is>
          <t>Not disclosed</t>
        </is>
      </c>
      <c r="BO246" s="156" t="inlineStr">
        <is>
          <t>Market: Service / Retail / Industrial / Showroom · Manipulation 3/4 · Navigation 3/4 · AI: Vision‑Language‑Task (VLT) · Actuation: Electric servo‑actuator drive (high‑torque servos referenced in coverage; vendor hasn’t posted actuator spe… · Peak 7 km/h · Walk 4 km/h · Runtime 4</t>
        </is>
      </c>
      <c r="BP246" s="152" t="n"/>
      <c r="BQ246" s="156" t="inlineStr">
        <is>
          <t>Service / Retail / Industrial / Showroom</t>
        </is>
      </c>
      <c r="BR246" s="156" t="inlineStr">
        <is>
          <t>Mass production targeted late 2026; initial internal/store</t>
        </is>
      </c>
      <c r="BS246" s="156" t="inlineStr">
        <is>
          <t>Prototype</t>
        </is>
      </c>
      <c r="BT246" s="152" t="n"/>
      <c r="BU246" s="152" t="inlineStr">
        <is>
          <t>Not verified</t>
        </is>
      </c>
      <c r="BV246" s="156" t="inlineStr">
        <is>
          <t>Strong funding ($6.3B valuation Aug 2026); 2,250 TOPS Turing chips; flexible lattice skin Humanoid.guide listed price $150,000.</t>
        </is>
      </c>
      <c r="BW246" s="156" t="inlineStr">
        <is>
          <t>Origin &amp; status — China · Mass production targeted late 2026; initial internal/store · 2024 | Manipulation — Industrial manipulation focus · 10 fingers · Hand DOF 22 · Payload 35 lb (reported) | Sensing &amp; software — Automotive-adjacent multi-camera perception · Vision‑Language‑Task (VLT) · Tianji AIOS · XPENG robotics stack | Buying notes — From $50,000 · 12 months manufacturer standard (typical research/commercial humanoid) · Best fit: Service</t>
        </is>
      </c>
      <c r="BX246" s="156" t="inlineStr">
        <is>
          <t>as_shipped|IRON Gen 2|50000|As shipped</t>
        </is>
      </c>
      <c r="BY246" s="152" t="inlineStr">
        <is>
          <t>iron_gen_2|Manufacturer finish|#e2e8f0|0</t>
        </is>
      </c>
      <c r="BZ246" s="152" t="inlineStr"/>
      <c r="CA246" s="156" t="inlineStr">
        <is>
          <t>Add-ons: case; 2 color options; Multi-year extended warranty available</t>
        </is>
      </c>
      <c r="CB246" s="156" t="inlineStr">
        <is>
          <t>12 months manufacturer standard (typical research/commercial humanoid)</t>
        </is>
      </c>
      <c r="CC246" s="154" t="n">
        <v>12</v>
      </c>
      <c r="CD246" s="156" t="inlineStr">
        <is>
          <t>+3 Year Extended ≈24% of configuration (default in configurator)</t>
        </is>
      </c>
      <c r="CE246" s="152" t="inlineStr">
        <is>
          <t>Humanoid category norm 2025–2026</t>
        </is>
      </c>
      <c r="CF246" s="152" t="inlineStr">
        <is>
          <t>Estimated</t>
        </is>
      </c>
      <c r="CG246" s="156" t="inlineStr">
        <is>
          <t>EDU or enterprise packages may differ; confirm on formal quote.</t>
        </is>
      </c>
      <c r="CH246" s="152" t="inlineStr">
        <is>
          <t>10%</t>
        </is>
      </c>
      <c r="CI246" s="152" t="inlineStr">
        <is>
          <t>17%</t>
        </is>
      </c>
      <c r="CJ246" s="152" t="inlineStr">
        <is>
          <t>24%</t>
        </is>
      </c>
      <c r="CK246"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46"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46" s="152" t="inlineStr">
        <is>
          <t>12 months manufacturer standard (typical research/commercial humanoid)</t>
        </is>
      </c>
      <c r="CQ246" s="101" t="inlineStr">
        <is>
          <t>Height: 5 ft 8 in – 5 ft 10 in | Weight: 154.3 | Degrees of Freedom: 76–82 (21–22 per hand) | Payload: 35 lb (reported) | Max Speed: 4.35 | Battery / Runtime: ≈ 4 hours</t>
        </is>
      </c>
    </row>
    <row r="247" ht="31.5" customHeight="1" s="102">
      <c r="A247" s="145" t="inlineStr">
        <is>
          <t>xyz_deux</t>
        </is>
      </c>
      <c r="B247" s="153" t="inlineStr">
        <is>
          <t>Humanoid.guide</t>
        </is>
      </c>
      <c r="C247" s="145" t="inlineStr">
        <is>
          <t>XYZ</t>
        </is>
      </c>
      <c r="D247" s="145" t="inlineStr">
        <is>
          <t>DEUX</t>
        </is>
      </c>
      <c r="E247" s="145" t="inlineStr">
        <is>
          <t>[XYZ] DEUX (2026)</t>
        </is>
      </c>
      <c r="F247" s="146" t="inlineStr">
        <is>
          <t>humanoid</t>
        </is>
      </c>
      <c r="G247" s="145" t="inlineStr">
        <is>
          <t>South Korea</t>
        </is>
      </c>
      <c r="H247" s="145" t="n"/>
      <c r="I247" s="148" t="n">
        <v>29900</v>
      </c>
      <c r="J247" s="145" t="inlineStr">
        <is>
          <t>Humanoid.guide list</t>
        </is>
      </c>
      <c r="K247" s="149" t="inlineStr">
        <is>
          <t>DEUX is XYZ’s semi-humanoid service robot for everyday spaces like stores, offices, and hospitals.</t>
        </is>
      </c>
      <c r="L247" s="101" t="inlineStr">
        <is>
          <t>DEUX is XYZ’s semi-humanoid service robot for everyday spaces like stores, offices, and hospitals.</t>
        </is>
      </c>
      <c r="M247" s="101" t="inlineStr">
        <is>
          <t>DEUX is XYZ’s semi-humanoid service robot for everyday spaces like stores, offices, and hospitals. Public status is listed as in production, and it is positioned for service environments — stores, offices, hospitals, homes.</t>
        </is>
      </c>
      <c r="N247" s="150" t="inlineStr">
        <is>
          <t>https://humanoid.guide/product/deux/</t>
        </is>
      </c>
      <c r="O247" s="150" t="inlineStr">
        <is>
          <t>https://xyzcorp.imweb.me/</t>
        </is>
      </c>
      <c r="P247" s="145" t="inlineStr">
        <is>
          <t>5 ft 1 in</t>
        </is>
      </c>
      <c r="Q247" s="145" t="n">
        <v>155</v>
      </c>
      <c r="R247" s="145" t="n">
        <v>132.3</v>
      </c>
      <c r="S247" s="145" t="n">
        <v>60</v>
      </c>
      <c r="T247" s="149" t="inlineStr">
        <is>
          <t>Not disclosed</t>
        </is>
      </c>
      <c r="U247" s="145" t="n"/>
      <c r="V247" s="145" t="inlineStr">
        <is>
          <t>32</t>
        </is>
      </c>
      <c r="W247" s="149" t="inlineStr">
        <is>
          <t>14</t>
        </is>
      </c>
      <c r="X247" s="145" t="n">
        <v>24.3</v>
      </c>
      <c r="Y247" s="145" t="n">
        <v>11</v>
      </c>
      <c r="Z247" s="145" t="n">
        <v>3.11</v>
      </c>
      <c r="AA247" s="145" t="n">
        <v>5</v>
      </c>
      <c r="AB247" s="145" t="n"/>
      <c r="AC247" s="149" t="inlineStr">
        <is>
          <t>Not disclosed</t>
        </is>
      </c>
      <c r="AD247" s="149" t="n"/>
      <c r="AE247" s="145" t="n"/>
      <c r="AF247" s="145" t="inlineStr">
        <is>
          <t>Not disclosed</t>
        </is>
      </c>
      <c r="AG247" s="149" t="inlineStr">
        <is>
          <t>3 per hand (proprietary)</t>
        </is>
      </c>
      <c r="AH247" s="145" t="inlineStr">
        <is>
          <t>3 per hand (proprietary)</t>
        </is>
      </c>
      <c r="AI247" s="145" t="n"/>
      <c r="AJ247" s="149" t="inlineStr">
        <is>
          <t>Not disclosed</t>
        </is>
      </c>
      <c r="AK247" s="149" t="n"/>
      <c r="AL247" s="145" t="inlineStr">
        <is>
          <t>Not disclosed</t>
        </is>
      </c>
      <c r="AM247" s="145" t="n"/>
      <c r="AN247" s="145" t="inlineStr">
        <is>
          <t>Not disclosed</t>
        </is>
      </c>
      <c r="AO247" s="145" t="inlineStr">
        <is>
          <t>Not disclosed</t>
        </is>
      </c>
      <c r="AP247" s="145" t="inlineStr">
        <is>
          <t>Not disclosed</t>
        </is>
      </c>
      <c r="AQ247" s="145" t="inlineStr">
        <is>
          <t>Not disclosed</t>
        </is>
      </c>
      <c r="AR247" s="145" t="n"/>
      <c r="AS247" s="145" t="n"/>
      <c r="AT247" s="149" t="inlineStr">
        <is>
          <t>NVIDIA Thor</t>
        </is>
      </c>
      <c r="AU247" s="149" t="inlineStr">
        <is>
          <t>1,000 Hz CAN-FD control bus</t>
        </is>
      </c>
      <c r="AV247" s="145" t="inlineStr">
        <is>
          <t>Not disclosed</t>
        </is>
      </c>
      <c r="AW247" s="149" t="inlineStr">
        <is>
          <t>Not disclosed</t>
        </is>
      </c>
      <c r="AX247" s="145" t="n"/>
      <c r="AY247" s="149" t="inlineStr">
        <is>
          <t>ROS 2 (with Python and DEUX Controller)</t>
        </is>
      </c>
      <c r="AZ247" s="149" t="inlineStr">
        <is>
          <t>Brain X — agentic AI with continuously learning behavior models</t>
        </is>
      </c>
      <c r="BA247" s="149" t="n"/>
      <c r="BB247" s="149" t="inlineStr">
        <is>
          <t>Not disclosed</t>
        </is>
      </c>
      <c r="BC247" s="149" t="inlineStr">
        <is>
          <t>Not disclosed</t>
        </is>
      </c>
      <c r="BD247" s="145" t="inlineStr">
        <is>
          <t>Aluminum alloy frame with polymer shell</t>
        </is>
      </c>
      <c r="BE247" s="145" t="inlineStr">
        <is>
          <t>Not disclosed</t>
        </is>
      </c>
      <c r="BF247" s="145" t="n"/>
      <c r="BG247" s="145" t="n"/>
      <c r="BH247" s="145" t="n"/>
      <c r="BI247" s="145" t="n"/>
      <c r="BJ247" s="145" t="n"/>
      <c r="BK247" s="145" t="n"/>
      <c r="BL247" s="145" t="n"/>
      <c r="BM247" s="145" t="inlineStr">
        <is>
          <t>Yes</t>
        </is>
      </c>
      <c r="BN247" s="145" t="inlineStr">
        <is>
          <t>Not disclosed</t>
        </is>
      </c>
      <c r="BO247" s="149" t="inlineStr">
        <is>
          <t>Market: Service environments — stores, offices, hospitals, homes · Human-safe: Yes · AI: Brain X — agentic AI with continuously learning behavior models · Peak 5 km/h</t>
        </is>
      </c>
      <c r="BP247" s="145" t="n"/>
      <c r="BQ247" s="149" t="inlineStr">
        <is>
          <t>Service environments — stores, offices, hospitals, homes</t>
        </is>
      </c>
      <c r="BR247" s="149" t="inlineStr">
        <is>
          <t>In production</t>
        </is>
      </c>
      <c r="BS247" s="149" t="inlineStr">
        <is>
          <t>In production</t>
        </is>
      </c>
      <c r="BT247" s="145" t="n"/>
      <c r="BU247" s="145" t="n"/>
      <c r="BV247" s="149" t="n"/>
      <c r="BW247" s="149" t="inlineStr">
        <is>
          <t>Origin &amp; status — South Korea · In production · 2026 | Manipulation — 3 per hand (proprietary) · 3 per hand (proprietary) fingers · Hand DOF 14 · Payload 24.3 lb | Sensing &amp; software — Brain X — agentic AI with continuously learning behavior models · ROS 2 (with Python and DEUX Controller) | Buying notes — From $29,900 · 12 months manufacturer standard (typical research/commercial humanoid) · Best fit: Service environments — stores, offices, hospitals, homes</t>
        </is>
      </c>
      <c r="BX247" s="149" t="inlineStr">
        <is>
          <t>as_shipped|DEUX|29900|As shipped</t>
        </is>
      </c>
      <c r="BY247" s="145" t="inlineStr">
        <is>
          <t>deux|Manufacturer finish|#e2e8f0|0</t>
        </is>
      </c>
      <c r="BZ247" s="145" t="inlineStr"/>
      <c r="CA247" s="149" t="n"/>
      <c r="CB247" s="149" t="inlineStr">
        <is>
          <t>12 months manufacturer standard (typical research/commercial humanoid)</t>
        </is>
      </c>
      <c r="CC247" s="147" t="n">
        <v>12</v>
      </c>
      <c r="CD247" s="149" t="inlineStr">
        <is>
          <t>+3 Year Extended ≈24% of configuration (default in configurator)</t>
        </is>
      </c>
      <c r="CE247" s="145" t="inlineStr">
        <is>
          <t>Humanoid category norm 2025–2026</t>
        </is>
      </c>
      <c r="CF247" s="145" t="inlineStr">
        <is>
          <t>Estimated</t>
        </is>
      </c>
      <c r="CG247" s="149" t="inlineStr">
        <is>
          <t>Confirm on formal OEM quote. EDU or enterprise packages may differ.</t>
        </is>
      </c>
      <c r="CH247" s="145" t="inlineStr">
        <is>
          <t>10%</t>
        </is>
      </c>
      <c r="CI247" s="145" t="inlineStr">
        <is>
          <t>17%</t>
        </is>
      </c>
      <c r="CJ247" s="145" t="inlineStr">
        <is>
          <t>24%</t>
        </is>
      </c>
      <c r="CK247" s="149" t="inlineStr">
        <is>
          <t>+1yr ≈10% | +2yr ≈17% | +3yr ≈24% of selected configuration price (parts &amp; labor beyond manufacturer standard).</t>
        </is>
      </c>
      <c r="CL247"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47" s="145" t="inlineStr">
        <is>
          <t>12 months manufacturer standard (typical research/commercial humanoid)</t>
        </is>
      </c>
      <c r="CQ247" s="101" t="inlineStr">
        <is>
          <t>Height: 5 ft 1 in | Weight: 132.3 | Degrees of Freedom: 32 | Payload: 24.3 | Max Speed: 3.11 | Battery / Runtime: Not disclosed</t>
        </is>
      </c>
    </row>
    <row r="248" ht="31.5" customHeight="1" s="102">
      <c r="A248" s="152" t="inlineStr">
        <is>
          <t>zerith_robotics_zerith_h1</t>
        </is>
      </c>
      <c r="B248" s="153" t="inlineStr">
        <is>
          <t>Humanoid.guide</t>
        </is>
      </c>
      <c r="C248" s="152" t="inlineStr">
        <is>
          <t>Zerith Robotics</t>
        </is>
      </c>
      <c r="D248" s="152" t="inlineStr">
        <is>
          <t>Zerith H1</t>
        </is>
      </c>
      <c r="E248" s="152" t="inlineStr">
        <is>
          <t>[Zerith Robotics] Zerith H1 (2026)</t>
        </is>
      </c>
      <c r="F248" s="146" t="inlineStr">
        <is>
          <t>humanoid</t>
        </is>
      </c>
      <c r="G248" s="152" t="inlineStr">
        <is>
          <t>China</t>
        </is>
      </c>
      <c r="H248" s="152" t="n"/>
      <c r="I248" s="155" t="n">
        <v>80000</v>
      </c>
      <c r="J248" s="152" t="inlineStr">
        <is>
          <t>Humanoid.guide list</t>
        </is>
      </c>
      <c r="K248" s="156" t="inlineStr">
        <is>
          <t>Zerith H1 is a wheeled humanoid robot designed to autonomously clean, organize, and maintain indoor facilities, especially in hospitality settings.</t>
        </is>
      </c>
      <c r="L248" s="101" t="inlineStr">
        <is>
          <t>Zerith H1 is a wheeled humanoid robot designed to autonomously clean, organize, and maintain indoor facilities, especially in hospitality settings.</t>
        </is>
      </c>
      <c r="M248" s="101" t="inlineStr">
        <is>
          <t>Zerith H1 is a wheeled humanoid robot designed to autonomously clean, organize, and maintain indoor facilities, especially in hospitality settings. Public status is listed as in production, and it is positioned for industrial automation; logistics; manufacturing inspection; Service.</t>
        </is>
      </c>
      <c r="N248" s="157" t="inlineStr">
        <is>
          <t>https://humanoid.guide/product/zerith-h1/</t>
        </is>
      </c>
      <c r="O248" s="157" t="inlineStr">
        <is>
          <t>https://casbot.tech/</t>
        </is>
      </c>
      <c r="P248" s="152" t="inlineStr">
        <is>
          <t>5 ft 11 in</t>
        </is>
      </c>
      <c r="Q248" s="152" t="n">
        <v>180</v>
      </c>
      <c r="R248" s="152" t="n">
        <v>121.3</v>
      </c>
      <c r="S248" s="152" t="n">
        <v>55</v>
      </c>
      <c r="T248" s="156" t="inlineStr">
        <is>
          <t>Not disclosed</t>
        </is>
      </c>
      <c r="U248" s="152" t="n"/>
      <c r="V248" s="152" t="inlineStr">
        <is>
          <t>23</t>
        </is>
      </c>
      <c r="W248" s="156" t="inlineStr">
        <is>
          <t>7</t>
        </is>
      </c>
      <c r="X248" s="152" t="n">
        <v>22</v>
      </c>
      <c r="Y248" s="152" t="n">
        <v>10</v>
      </c>
      <c r="Z248" s="152" t="n">
        <v>3.36</v>
      </c>
      <c r="AA248" s="152" t="n">
        <v>5.4</v>
      </c>
      <c r="AB248" s="152" t="n"/>
      <c r="AC248" s="156" t="inlineStr">
        <is>
          <t>~3.5 – 4</t>
        </is>
      </c>
      <c r="AD248" s="156" t="inlineStr">
        <is>
          <t>~3.5 – 4</t>
        </is>
      </c>
      <c r="AE248" s="152" t="n"/>
      <c r="AF248" s="152" t="inlineStr">
        <is>
          <t>Not disclosed</t>
        </is>
      </c>
      <c r="AG248" s="156" t="inlineStr">
        <is>
          <t>2-finger gripping claws</t>
        </is>
      </c>
      <c r="AH248" s="152" t="inlineStr">
        <is>
          <t>2-finger gripping claws</t>
        </is>
      </c>
      <c r="AI248" s="152" t="n"/>
      <c r="AJ248" s="156" t="inlineStr">
        <is>
          <t>RGB-D + LiDAR</t>
        </is>
      </c>
      <c r="AK248" s="156" t="inlineStr">
        <is>
          <t>RGB-D + LiDAR</t>
        </is>
      </c>
      <c r="AL248" s="152" t="inlineStr">
        <is>
          <t>Not disclosed</t>
        </is>
      </c>
      <c r="AM248" s="152" t="n"/>
      <c r="AN248" s="152" t="inlineStr">
        <is>
          <t>Not disclosed</t>
        </is>
      </c>
      <c r="AO248" s="152" t="inlineStr">
        <is>
          <t>Not disclosed</t>
        </is>
      </c>
      <c r="AP248" s="152" t="inlineStr">
        <is>
          <t>Not disclosed</t>
        </is>
      </c>
      <c r="AQ248" s="152" t="inlineStr">
        <is>
          <t>Not disclosed</t>
        </is>
      </c>
      <c r="AR248" s="152" t="n"/>
      <c r="AS248" s="152" t="n"/>
      <c r="AT248" s="156" t="inlineStr">
        <is>
          <t>Dual Intel Core i7 processors</t>
        </is>
      </c>
      <c r="AU248" s="156" t="inlineStr">
        <is>
          <t>Bluetooth; Ethernet; HDMI; Wi-Fi</t>
        </is>
      </c>
      <c r="AV248" s="152" t="inlineStr">
        <is>
          <t>Not disclosed</t>
        </is>
      </c>
      <c r="AW248" s="156" t="inlineStr">
        <is>
          <t>Not disclosed</t>
        </is>
      </c>
      <c r="AX248" s="152" t="n"/>
      <c r="AY248" s="156" t="inlineStr">
        <is>
          <t>ROS2 framework</t>
        </is>
      </c>
      <c r="AZ248" s="156" t="inlineStr">
        <is>
          <t>Possible via ROS2 stacks but not publicly documented</t>
        </is>
      </c>
      <c r="BA248" s="156" t="inlineStr">
        <is>
          <t>Estimated &amp;lt;100 ms</t>
        </is>
      </c>
      <c r="BB248" s="156" t="inlineStr">
        <is>
          <t>High-torque electric actuators</t>
        </is>
      </c>
      <c r="BC248" s="156" t="inlineStr">
        <is>
          <t>High-precision reduction gears</t>
        </is>
      </c>
      <c r="BD248" s="152" t="inlineStr">
        <is>
          <t>Metal frame + engineering plastics</t>
        </is>
      </c>
      <c r="BE248" s="152" t="inlineStr">
        <is>
          <t>IP20</t>
        </is>
      </c>
      <c r="BF248" s="152" t="inlineStr">
        <is>
          <t>Assumed indoor industrial grade (IP20–IP54)</t>
        </is>
      </c>
      <c r="BG248" s="152" t="n"/>
      <c r="BH248" s="152" t="n"/>
      <c r="BI248" s="152" t="n"/>
      <c r="BJ248" s="152" t="n"/>
      <c r="BK248" s="152" t="n"/>
      <c r="BL248" s="152" t="n"/>
      <c r="BM248" s="152" t="inlineStr">
        <is>
          <t>Yes</t>
        </is>
      </c>
      <c r="BN248" s="152" t="inlineStr">
        <is>
          <t>Not disclosed</t>
        </is>
      </c>
      <c r="BO248" s="156" t="inlineStr">
        <is>
          <t>Market: Industrial automation; logistics; manufacturing inspection; Service · Human-safe: Yes · AI: Possible via ROS2 stacks but not publicly documented · Actuation: High-torque electric actuators · Peak 5.4 km/h · Runtime ~3.5 – 4</t>
        </is>
      </c>
      <c r="BP248" s="152" t="n"/>
      <c r="BQ248" s="156" t="inlineStr">
        <is>
          <t>Industrial automation; logistics; manufacturing inspection; Service</t>
        </is>
      </c>
      <c r="BR248" s="156" t="inlineStr">
        <is>
          <t>In production</t>
        </is>
      </c>
      <c r="BS248" s="156" t="inlineStr">
        <is>
          <t>In production</t>
        </is>
      </c>
      <c r="BT248" s="152" t="inlineStr">
        <is>
          <t>White / industrial service finish</t>
        </is>
      </c>
      <c r="BU248" s="152" t="inlineStr">
        <is>
          <t>Not verified</t>
        </is>
      </c>
      <c r="BV248" s="156" t="n"/>
      <c r="BW248" s="156" t="inlineStr">
        <is>
          <t>Origin &amp; status — China · In production · 2026 | Manipulation — 2-finger gripping claws · Hand DOF 7 · Payload 22 lb | Sensing &amp; software — RGB-D + LiDAR · Possible via ROS2 stacks but not publicly documented · ROS2 framework | Buying notes — From $80,000 · 12 months manufacturer standard (typical research/commercial humanoid) · Best fit: Industrial automation</t>
        </is>
      </c>
      <c r="BX248" s="156" t="inlineStr">
        <is>
          <t>as_shipped|Zerith H1|80000|As shipped</t>
        </is>
      </c>
      <c r="BY248" s="152" t="inlineStr">
        <is>
          <t>white|White|#e2e8f0|0 || industrial_service_finish|industrial service finish|#1e293b|0</t>
        </is>
      </c>
      <c r="BZ248" s="152" t="inlineStr"/>
      <c r="CA248" s="156" t="n"/>
      <c r="CB248" s="156" t="inlineStr">
        <is>
          <t>12 months manufacturer standard (typical research/commercial humanoid)</t>
        </is>
      </c>
      <c r="CC248" s="154" t="n">
        <v>12</v>
      </c>
      <c r="CD248" s="156" t="inlineStr">
        <is>
          <t>+3 Year Extended ≈24% of configuration (default in configurator)</t>
        </is>
      </c>
      <c r="CE248" s="152" t="inlineStr">
        <is>
          <t>Humanoid category norm 2025–2026</t>
        </is>
      </c>
      <c r="CF248" s="152" t="inlineStr">
        <is>
          <t>Estimated</t>
        </is>
      </c>
      <c r="CG248" s="156" t="inlineStr">
        <is>
          <t>Confirm on formal OEM quote. EDU or enterprise packages may differ.</t>
        </is>
      </c>
      <c r="CH248" s="152" t="inlineStr">
        <is>
          <t>10%</t>
        </is>
      </c>
      <c r="CI248" s="152" t="inlineStr">
        <is>
          <t>17%</t>
        </is>
      </c>
      <c r="CJ248" s="152" t="inlineStr">
        <is>
          <t>24%</t>
        </is>
      </c>
      <c r="CK248" s="156" t="inlineStr">
        <is>
          <t>+1yr ≈10% | +2yr ≈17% | +3yr ≈24% of selected configuration price (parts &amp; labor beyond manufacturer standard).</t>
        </is>
      </c>
      <c r="CL248"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48" s="152" t="inlineStr">
        <is>
          <t>12 months manufacturer standard (typical research/commercial humanoid)</t>
        </is>
      </c>
      <c r="CQ248" s="101" t="inlineStr">
        <is>
          <t>Height: 5 ft 11 in | Weight: 121.3 | Degrees of Freedom: 23 | Payload: 22 | Max Speed: 3.36 | Battery / Runtime: ~3.5 – 4</t>
        </is>
      </c>
    </row>
    <row r="249" ht="31.5" customHeight="1" s="102">
      <c r="A249" s="145" t="inlineStr">
        <is>
          <t>zerith_robotics_zerith_z1</t>
        </is>
      </c>
      <c r="B249" s="153" t="inlineStr">
        <is>
          <t>Humanoid.guide</t>
        </is>
      </c>
      <c r="C249" s="145" t="inlineStr">
        <is>
          <t>Zerith Robotics</t>
        </is>
      </c>
      <c r="D249" s="145" t="inlineStr">
        <is>
          <t>Zerith Z1</t>
        </is>
      </c>
      <c r="E249" s="145" t="inlineStr">
        <is>
          <t>[Zerith Robotics] Zerith Z1 (2026)</t>
        </is>
      </c>
      <c r="F249" s="146" t="inlineStr">
        <is>
          <t>humanoid</t>
        </is>
      </c>
      <c r="G249" s="145" t="inlineStr">
        <is>
          <t>China</t>
        </is>
      </c>
      <c r="H249" s="145" t="n"/>
      <c r="I249" s="148" t="n">
        <v>120000</v>
      </c>
      <c r="J249" s="145" t="inlineStr">
        <is>
          <t>Humanoid.guide list</t>
        </is>
      </c>
      <c r="K249" s="149" t="inlineStr">
        <is>
          <t>Zerith Z1 is a bipedal humanoid robot with advanced AI-driven motion, designed for autonomous navigation and human-like interaction in service and commercial environments.</t>
        </is>
      </c>
      <c r="L249" s="101" t="inlineStr">
        <is>
          <t>Zerith Z1 is a bipedal humanoid robot with advanced AI-driven motion, designed for autonomous navigation and human-like interaction in service and commercial environments.</t>
        </is>
      </c>
      <c r="M249" s="101" t="inlineStr">
        <is>
          <t>Zerith Z1 is a bipedal humanoid robot with advanced AI-driven motion, designed for autonomous navigation and human-like interaction in service and commercial environments. Public status is listed as in production, and it is positioned for industrial automation; logistics; manufacturing inspection; Service.</t>
        </is>
      </c>
      <c r="N249" s="150" t="inlineStr">
        <is>
          <t>https://humanoid.guide/product/zerith-z1/</t>
        </is>
      </c>
      <c r="O249" s="150" t="inlineStr">
        <is>
          <t>https://casbot.tech/</t>
        </is>
      </c>
      <c r="P249" s="145" t="inlineStr">
        <is>
          <t>4 ft 9 in</t>
        </is>
      </c>
      <c r="Q249" s="145" t="n">
        <v>145</v>
      </c>
      <c r="R249" s="145" t="n">
        <v>72.8</v>
      </c>
      <c r="S249" s="145" t="n">
        <v>33</v>
      </c>
      <c r="T249" s="149" t="inlineStr">
        <is>
          <t>Not disclosed</t>
        </is>
      </c>
      <c r="U249" s="145" t="n"/>
      <c r="V249" s="145" t="inlineStr">
        <is>
          <t>27</t>
        </is>
      </c>
      <c r="W249" s="149" t="inlineStr">
        <is>
          <t>Not disclosed</t>
        </is>
      </c>
      <c r="X249" s="145" t="n">
        <v>17.6</v>
      </c>
      <c r="Y249" s="145" t="n">
        <v>8</v>
      </c>
      <c r="Z249" s="145" t="n">
        <v>2.49</v>
      </c>
      <c r="AA249" s="145" t="n">
        <v>4</v>
      </c>
      <c r="AB249" s="145" t="n">
        <v>3</v>
      </c>
      <c r="AC249" s="149" t="inlineStr">
        <is>
          <t>≈ 2 hours</t>
        </is>
      </c>
      <c r="AD249" s="149" t="inlineStr">
        <is>
          <t>2</t>
        </is>
      </c>
      <c r="AE249" s="145" t="n"/>
      <c r="AF249" s="145" t="inlineStr">
        <is>
          <t>Not disclosed</t>
        </is>
      </c>
      <c r="AG249" s="149" t="inlineStr">
        <is>
          <t>5 per hand</t>
        </is>
      </c>
      <c r="AH249" s="145" t="inlineStr">
        <is>
          <t>5 per hand</t>
        </is>
      </c>
      <c r="AI249" s="145" t="n"/>
      <c r="AJ249" s="149" t="inlineStr">
        <is>
          <t>RGB + depth sensors, LiDAR, IMU</t>
        </is>
      </c>
      <c r="AK249" s="149" t="inlineStr">
        <is>
          <t>RGB + depth sensors, LiDAR, IMU</t>
        </is>
      </c>
      <c r="AL249" s="145" t="inlineStr">
        <is>
          <t>Not disclosed</t>
        </is>
      </c>
      <c r="AM249" s="145" t="n"/>
      <c r="AN249" s="145" t="inlineStr">
        <is>
          <t>Not disclosed</t>
        </is>
      </c>
      <c r="AO249" s="145" t="inlineStr">
        <is>
          <t>Not disclosed</t>
        </is>
      </c>
      <c r="AP249" s="145" t="inlineStr">
        <is>
          <t>Not disclosed</t>
        </is>
      </c>
      <c r="AQ249" s="145" t="inlineStr">
        <is>
          <t>Not disclosed</t>
        </is>
      </c>
      <c r="AR249" s="145" t="n"/>
      <c r="AS249" s="145" t="n"/>
      <c r="AT249" s="149" t="inlineStr">
        <is>
          <t>Industrial-grade onboard compute</t>
        </is>
      </c>
      <c r="AU249" s="149" t="inlineStr">
        <is>
          <t>Ethernet; ROS network interfaces; Wi-Fi</t>
        </is>
      </c>
      <c r="AV249" s="145" t="inlineStr">
        <is>
          <t>Not disclosed</t>
        </is>
      </c>
      <c r="AW249" s="149" t="inlineStr">
        <is>
          <t>Not disclosed</t>
        </is>
      </c>
      <c r="AX249" s="145" t="n"/>
      <c r="AY249" s="149" t="inlineStr">
        <is>
          <t>Likely Linux/ROS-compatible</t>
        </is>
      </c>
      <c r="AZ249" s="149" t="inlineStr">
        <is>
          <t>Not disclosed</t>
        </is>
      </c>
      <c r="BA249" s="149" t="inlineStr">
        <is>
          <t>Estimated &amp;lt;100 ms</t>
        </is>
      </c>
      <c r="BB249" s="149" t="inlineStr">
        <is>
          <t>Electric joint actuators</t>
        </is>
      </c>
      <c r="BC249" s="149" t="inlineStr">
        <is>
          <t>High-precision reductions</t>
        </is>
      </c>
      <c r="BD249" s="145" t="inlineStr">
        <is>
          <t>Lightweight metal and composite frame</t>
        </is>
      </c>
      <c r="BE249" s="145" t="inlineStr">
        <is>
          <t>IP20</t>
        </is>
      </c>
      <c r="BF249" s="145" t="inlineStr">
        <is>
          <t>Assumed indoor industrial grade (IP20–IP54)</t>
        </is>
      </c>
      <c r="BG249" s="145" t="n"/>
      <c r="BH249" s="145" t="n"/>
      <c r="BI249" s="145" t="n"/>
      <c r="BJ249" s="145" t="n"/>
      <c r="BK249" s="145" t="n"/>
      <c r="BL249" s="145" t="n"/>
      <c r="BM249" s="145" t="inlineStr">
        <is>
          <t>Yes</t>
        </is>
      </c>
      <c r="BN249" s="145" t="inlineStr">
        <is>
          <t>Not disclosed</t>
        </is>
      </c>
      <c r="BO249" s="149" t="inlineStr">
        <is>
          <t>Market: Industrial automation; logistics; manufacturing inspection; Service · Human-safe: Yes · Actuation: Electric joint actuators · Peak 4 km/h · Walk 3 km/h · Runtime 2</t>
        </is>
      </c>
      <c r="BP249" s="145" t="n"/>
      <c r="BQ249" s="149" t="inlineStr">
        <is>
          <t>Industrial automation; logistics; manufacturing inspection; Service</t>
        </is>
      </c>
      <c r="BR249" s="149" t="inlineStr">
        <is>
          <t>In production</t>
        </is>
      </c>
      <c r="BS249" s="149" t="inlineStr">
        <is>
          <t>In production</t>
        </is>
      </c>
      <c r="BT249" s="145" t="inlineStr">
        <is>
          <t>White</t>
        </is>
      </c>
      <c r="BU249" s="145" t="inlineStr">
        <is>
          <t>Not verified</t>
        </is>
      </c>
      <c r="BV249" s="149" t="n"/>
      <c r="BW249" s="149" t="inlineStr">
        <is>
          <t>Origin &amp; status — China · In production · 2026 | Manipulation — 5 per hand · 5 per hand fingers · Payload 17.6 lb | Sensing &amp; software — RGB + depth sensors, LiDAR, IMU · Likely Linux/ROS-compatible | Buying notes — From $120,000 · 12 months manufacturer standard (typical research/commercial humanoid) · Best fit: Industrial automation</t>
        </is>
      </c>
      <c r="BX249" s="149" t="inlineStr">
        <is>
          <t>as_shipped|Zerith Z1|120000|As shipped</t>
        </is>
      </c>
      <c r="BY249" s="145" t="inlineStr">
        <is>
          <t>white|White|#e2e8f0|0</t>
        </is>
      </c>
      <c r="BZ249" s="145" t="inlineStr"/>
      <c r="CA249" s="149" t="n"/>
      <c r="CB249" s="149" t="inlineStr">
        <is>
          <t>12 months manufacturer standard (typical research/commercial humanoid)</t>
        </is>
      </c>
      <c r="CC249" s="147" t="n">
        <v>12</v>
      </c>
      <c r="CD249" s="149" t="inlineStr">
        <is>
          <t>+3 Year Extended ≈24% of configuration (default in configurator)</t>
        </is>
      </c>
      <c r="CE249" s="145" t="inlineStr">
        <is>
          <t>Humanoid category norm 2025–2026</t>
        </is>
      </c>
      <c r="CF249" s="145" t="inlineStr">
        <is>
          <t>Estimated</t>
        </is>
      </c>
      <c r="CG249" s="149" t="inlineStr">
        <is>
          <t>Confirm on formal OEM quote. EDU or enterprise packages may differ.</t>
        </is>
      </c>
      <c r="CH249" s="145" t="inlineStr">
        <is>
          <t>10%</t>
        </is>
      </c>
      <c r="CI249" s="145" t="inlineStr">
        <is>
          <t>17%</t>
        </is>
      </c>
      <c r="CJ249" s="145" t="inlineStr">
        <is>
          <t>24%</t>
        </is>
      </c>
      <c r="CK249" s="149" t="inlineStr">
        <is>
          <t>+1yr ≈10% | +2yr ≈17% | +3yr ≈24% of selected configuration price (parts &amp; labor beyond manufacturer standard).</t>
        </is>
      </c>
      <c r="CL24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49" s="145" t="inlineStr">
        <is>
          <t>12 months manufacturer standard (typical research/commercial humanoid)</t>
        </is>
      </c>
      <c r="CQ249" s="101" t="inlineStr">
        <is>
          <t>Height: 4 ft 9 in | Weight: 72.8 | Degrees of Freedom: 27 | Payload: 17.6 | Max Speed: 2.49 | Battery / Runtime: ≈ 2 hours</t>
        </is>
      </c>
    </row>
    <row r="250" ht="31.5" customHeight="1" s="102">
      <c r="A250" s="152" t="inlineStr">
        <is>
          <t>zeroth_robotics_sean</t>
        </is>
      </c>
      <c r="B250" s="153" t="inlineStr">
        <is>
          <t>Humanoid.guide</t>
        </is>
      </c>
      <c r="C250" s="152" t="inlineStr">
        <is>
          <t>Zeroth Robotics</t>
        </is>
      </c>
      <c r="D250" s="152" t="inlineStr">
        <is>
          <t>Sean</t>
        </is>
      </c>
      <c r="E250" s="152" t="inlineStr">
        <is>
          <t>[Zeroth Robotics] Sean (2026)</t>
        </is>
      </c>
      <c r="F250" s="146" t="inlineStr">
        <is>
          <t>humanoid</t>
        </is>
      </c>
      <c r="G250" s="152" t="inlineStr">
        <is>
          <t>China</t>
        </is>
      </c>
      <c r="H250" s="152" t="n"/>
      <c r="I250" s="155" t="n">
        <v>65000</v>
      </c>
      <c r="J250" s="152" t="inlineStr">
        <is>
          <t>Humanoid.guide list</t>
        </is>
      </c>
      <c r="K250" s="156" t="inlineStr">
        <is>
          <t>Sean is a practical humanoid robot with three-finger grippers, designed for reliable handling and safe human interaction in structured environments.</t>
        </is>
      </c>
      <c r="L250" s="101" t="inlineStr">
        <is>
          <t>Sean is a practical humanoid robot with three-finger grippers, designed for reliable handling and safe human interaction in structured environments.</t>
        </is>
      </c>
      <c r="M250" s="101" t="inlineStr">
        <is>
          <t>Sean is a practical humanoid robot with three-finger grippers, designed for reliable handling and safe human interaction in structured environments. Public status is listed as prototype, and it is positioned for aI development; Home assistance; Research; retail.</t>
        </is>
      </c>
      <c r="N250" s="157" t="inlineStr">
        <is>
          <t>https://humanoid.guide/product/sean/</t>
        </is>
      </c>
      <c r="O250" s="157" t="inlineStr">
        <is>
          <t>https://www.zeroth.bot</t>
        </is>
      </c>
      <c r="P250" s="152" t="inlineStr">
        <is>
          <t>5 ft 1 in</t>
        </is>
      </c>
      <c r="Q250" s="152" t="n">
        <v>155</v>
      </c>
      <c r="R250" s="152" t="n">
        <v>99.2</v>
      </c>
      <c r="S250" s="152" t="n">
        <v>45</v>
      </c>
      <c r="T250" s="156" t="inlineStr">
        <is>
          <t>Not disclosed</t>
        </is>
      </c>
      <c r="U250" s="152" t="n"/>
      <c r="V250" s="152" t="inlineStr">
        <is>
          <t>16</t>
        </is>
      </c>
      <c r="W250" s="156" t="inlineStr">
        <is>
          <t>6</t>
        </is>
      </c>
      <c r="X250" s="152" t="n">
        <v>6.6</v>
      </c>
      <c r="Y250" s="152" t="n">
        <v>3</v>
      </c>
      <c r="Z250" s="152" t="n">
        <v>1.86</v>
      </c>
      <c r="AA250" s="152" t="n">
        <v>3</v>
      </c>
      <c r="AB250" s="152" t="n"/>
      <c r="AC250" s="156" t="inlineStr">
        <is>
          <t>≈ 2 hours</t>
        </is>
      </c>
      <c r="AD250" s="156" t="inlineStr">
        <is>
          <t>2</t>
        </is>
      </c>
      <c r="AE250" s="152" t="n"/>
      <c r="AF250" s="152" t="inlineStr">
        <is>
          <t>Not disclosed</t>
        </is>
      </c>
      <c r="AG250" s="156" t="inlineStr">
        <is>
          <t>3</t>
        </is>
      </c>
      <c r="AH250" s="152" t="inlineStr">
        <is>
          <t>3</t>
        </is>
      </c>
      <c r="AI250" s="152" t="n"/>
      <c r="AJ250" s="156" t="inlineStr">
        <is>
          <t>HD–4K vision system (estimated)</t>
        </is>
      </c>
      <c r="AK250" s="156" t="inlineStr">
        <is>
          <t>HD–4K vision system (estimated)</t>
        </is>
      </c>
      <c r="AL250" s="152" t="inlineStr">
        <is>
          <t>Not disclosed</t>
        </is>
      </c>
      <c r="AM250" s="152" t="n"/>
      <c r="AN250" s="152" t="inlineStr">
        <is>
          <t>Not disclosed</t>
        </is>
      </c>
      <c r="AO250" s="152" t="inlineStr">
        <is>
          <t>Not disclosed</t>
        </is>
      </c>
      <c r="AP250" s="152" t="inlineStr">
        <is>
          <t>Not disclosed</t>
        </is>
      </c>
      <c r="AQ250" s="152" t="inlineStr">
        <is>
          <t>Not disclosed</t>
        </is>
      </c>
      <c r="AR250" s="152" t="n"/>
      <c r="AS250" s="152" t="n"/>
      <c r="AT250" s="156" t="inlineStr">
        <is>
          <t>Likely onboard edge AI compute (e.g., NVIDIA Jetson class, estimated)</t>
        </is>
      </c>
      <c r="AU250" s="156" t="inlineStr">
        <is>
          <t>Ethernet; Wi-Fi</t>
        </is>
      </c>
      <c r="AV250" s="152" t="inlineStr">
        <is>
          <t>Not disclosed</t>
        </is>
      </c>
      <c r="AW250" s="156" t="inlineStr">
        <is>
          <t>Not disclosed</t>
        </is>
      </c>
      <c r="AX250" s="152" t="n"/>
      <c r="AY250" s="156" t="inlineStr">
        <is>
          <t>Not disclosed</t>
        </is>
      </c>
      <c r="AZ250" s="156" t="inlineStr">
        <is>
          <t>Not disclosed</t>
        </is>
      </c>
      <c r="BA250" s="156" t="n"/>
      <c r="BB250" s="156" t="inlineStr">
        <is>
          <t>Electric servo motors</t>
        </is>
      </c>
      <c r="BC250" s="156" t="inlineStr">
        <is>
          <t>Harmonic or planetary gear systems (assumed standard)</t>
        </is>
      </c>
      <c r="BD250" s="152" t="inlineStr">
        <is>
          <t>Aluminum alloy + composite panels</t>
        </is>
      </c>
      <c r="BE250" s="152" t="inlineStr">
        <is>
          <t>Not specified (likely indoor use, low IP rating)</t>
        </is>
      </c>
      <c r="BF250" s="152" t="inlineStr">
        <is>
          <t>Not specified (likely indoor use, low IP rating)</t>
        </is>
      </c>
      <c r="BG250" s="152" t="n"/>
      <c r="BH250" s="152" t="n"/>
      <c r="BI250" s="152" t="n"/>
      <c r="BJ250" s="152" t="n"/>
      <c r="BK250" s="152" t="n"/>
      <c r="BL250" s="152" t="n"/>
      <c r="BM250" s="152" t="inlineStr">
        <is>
          <t>Yes</t>
        </is>
      </c>
      <c r="BN250" s="152" t="inlineStr">
        <is>
          <t>Not disclosed</t>
        </is>
      </c>
      <c r="BO250" s="156" t="inlineStr">
        <is>
          <t>Market: AI development; Home assistance; Research; retail · Human-safe: Yes · Actuation: Electric servo motors · Peak 3 km/h · Runtime 2</t>
        </is>
      </c>
      <c r="BP250" s="152" t="n"/>
      <c r="BQ250" s="156" t="inlineStr">
        <is>
          <t>AI development; Home assistance; Research; retail</t>
        </is>
      </c>
      <c r="BR250" s="156" t="inlineStr">
        <is>
          <t>Prototype</t>
        </is>
      </c>
      <c r="BS250" s="156" t="inlineStr">
        <is>
          <t>Prototype</t>
        </is>
      </c>
      <c r="BT250" s="152" t="inlineStr">
        <is>
          <t>White</t>
        </is>
      </c>
      <c r="BU250" s="152" t="inlineStr">
        <is>
          <t>Not verified</t>
        </is>
      </c>
      <c r="BV250" s="156" t="n"/>
      <c r="BW250" s="156" t="inlineStr">
        <is>
          <t>Origin &amp; status — China · Prototype · 2026 | Manipulation — 3 · 3 fingers · Hand DOF 6 · Payload 6.6 lb | Sensing &amp; software — HD–4K vision system (estimated) | Buying notes — From $65,000 · 12 months manufacturer standard (typical research/commercial humanoid) · Best fit: AI development</t>
        </is>
      </c>
      <c r="BX250" s="156" t="inlineStr">
        <is>
          <t>as_shipped|Sean|65000|As shipped</t>
        </is>
      </c>
      <c r="BY250" s="152" t="inlineStr">
        <is>
          <t>white|White|#e2e8f0|0</t>
        </is>
      </c>
      <c r="BZ250" s="152" t="inlineStr"/>
      <c r="CA250" s="156" t="n"/>
      <c r="CB250" s="156" t="inlineStr">
        <is>
          <t>12 months manufacturer standard (typical research/commercial humanoid)</t>
        </is>
      </c>
      <c r="CC250" s="154" t="n">
        <v>12</v>
      </c>
      <c r="CD250" s="156" t="inlineStr">
        <is>
          <t>+3 Year Extended ≈24% of configuration (default in configurator)</t>
        </is>
      </c>
      <c r="CE250" s="152" t="inlineStr">
        <is>
          <t>Humanoid category norm 2025–2026</t>
        </is>
      </c>
      <c r="CF250" s="152" t="inlineStr">
        <is>
          <t>Estimated</t>
        </is>
      </c>
      <c r="CG250" s="156" t="inlineStr">
        <is>
          <t>Confirm on formal OEM quote. EDU or enterprise packages may differ.</t>
        </is>
      </c>
      <c r="CH250" s="152" t="inlineStr">
        <is>
          <t>10%</t>
        </is>
      </c>
      <c r="CI250" s="152" t="inlineStr">
        <is>
          <t>17%</t>
        </is>
      </c>
      <c r="CJ250" s="152" t="inlineStr">
        <is>
          <t>24%</t>
        </is>
      </c>
      <c r="CK250" s="156" t="inlineStr">
        <is>
          <t>+1yr ≈10% | +2yr ≈17% | +3yr ≈24% of selected configuration price (parts &amp; labor beyond manufacturer standard).</t>
        </is>
      </c>
      <c r="CL250"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50" s="152" t="inlineStr">
        <is>
          <t>12 months manufacturer standard (typical research/commercial humanoid)</t>
        </is>
      </c>
      <c r="CQ250" s="101" t="inlineStr">
        <is>
          <t>Height: 5 ft 1 in | Weight: 99.2 | Degrees of Freedom: 16 | Payload: 6.6 | Max Speed: 1.86 | Battery / Runtime: ≈ 2 hours</t>
        </is>
      </c>
    </row>
    <row r="251" ht="31.5" customHeight="1" s="102">
      <c r="A251" s="145" t="inlineStr">
        <is>
          <t>zhejiang_humanoid_robot_innovation_center_navai</t>
        </is>
      </c>
      <c r="B251" s="153" t="inlineStr">
        <is>
          <t>Humanoid.guide</t>
        </is>
      </c>
      <c r="C251" s="145" t="inlineStr">
        <is>
          <t>Zhejiang Humanoid Robot Innovation Center</t>
        </is>
      </c>
      <c r="D251" s="145" t="inlineStr">
        <is>
          <t>NAVAI-I3</t>
        </is>
      </c>
      <c r="E251" s="145" t="inlineStr">
        <is>
          <t>[Zhejiang Humanoid Robot Innovation Center] NAVAI-I3 (2026)</t>
        </is>
      </c>
      <c r="F251" s="146" t="inlineStr">
        <is>
          <t>humanoid</t>
        </is>
      </c>
      <c r="G251" s="145" t="inlineStr">
        <is>
          <t>China</t>
        </is>
      </c>
      <c r="H251" s="145" t="n"/>
      <c r="I251" s="148" t="n">
        <v>120000</v>
      </c>
      <c r="J251" s="145" t="inlineStr">
        <is>
          <t>Humanoid.guide list</t>
        </is>
      </c>
      <c r="K251" s="149" t="inlineStr">
        <is>
          <t>The Navai-I3 is a Chinese humanoid robot built for stability, mixed-terrain mobility, and research-focused applications.</t>
        </is>
      </c>
      <c r="L251" s="101" t="inlineStr">
        <is>
          <t>The Navai-I3 is a Chinese humanoid robot built for stability, mixed-terrain mobility, and research-focused applications.</t>
        </is>
      </c>
      <c r="M251" s="101" t="inlineStr">
        <is>
          <t>The Navai-I3 is a Chinese humanoid robot built for stability, mixed-terrain mobility, and research-focused applications. Public status is listed as prototype, and it is positioned for research institutions, robotics labs, AI development, demonstrations.</t>
        </is>
      </c>
      <c r="N251" s="150" t="inlineStr">
        <is>
          <t>https://humanoid.guide/product/navai-i3/</t>
        </is>
      </c>
      <c r="O251" s="150" t="inlineStr">
        <is>
          <t>https://www.humanoid.com.cn</t>
        </is>
      </c>
      <c r="P251" s="145" t="inlineStr">
        <is>
          <t>5 ft 11 in</t>
        </is>
      </c>
      <c r="Q251" s="145" t="n">
        <v>180</v>
      </c>
      <c r="R251" s="145" t="n">
        <v>154.3</v>
      </c>
      <c r="S251" s="145" t="n">
        <v>70</v>
      </c>
      <c r="T251" s="149" t="inlineStr">
        <is>
          <t>Not disclosed</t>
        </is>
      </c>
      <c r="U251" s="145" t="inlineStr">
        <is>
          <t>200 × 80 × 60 cm</t>
        </is>
      </c>
      <c r="V251" s="145" t="inlineStr">
        <is>
          <t>44</t>
        </is>
      </c>
      <c r="W251" s="149" t="inlineStr">
        <is>
          <t>14</t>
        </is>
      </c>
      <c r="X251" s="145" t="n">
        <v>22</v>
      </c>
      <c r="Y251" s="145" t="n">
        <v>10</v>
      </c>
      <c r="Z251" s="145" t="n">
        <v>5.59</v>
      </c>
      <c r="AA251" s="145" t="n">
        <v>9</v>
      </c>
      <c r="AB251" s="145" t="n">
        <v>4</v>
      </c>
      <c r="AC251" s="149" t="inlineStr">
        <is>
          <t>≈ 2 hours</t>
        </is>
      </c>
      <c r="AD251" s="149" t="inlineStr">
        <is>
          <t>2</t>
        </is>
      </c>
      <c r="AE251" s="145" t="n"/>
      <c r="AF251" s="145" t="inlineStr">
        <is>
          <t>Not disclosed</t>
        </is>
      </c>
      <c r="AG251" s="149" t="inlineStr">
        <is>
          <t>5 per hand</t>
        </is>
      </c>
      <c r="AH251" s="145" t="inlineStr">
        <is>
          <t>5 per hand</t>
        </is>
      </c>
      <c r="AI251" s="158" t="n">
        <v>2</v>
      </c>
      <c r="AJ251" s="149" t="inlineStr">
        <is>
          <t>1080p RGB + depth camera</t>
        </is>
      </c>
      <c r="AK251" s="149" t="inlineStr">
        <is>
          <t>1080p RGB + depth camera</t>
        </is>
      </c>
      <c r="AL251" s="145" t="inlineStr">
        <is>
          <t>Not disclosed</t>
        </is>
      </c>
      <c r="AM251" s="145" t="n"/>
      <c r="AN251" s="145" t="inlineStr">
        <is>
          <t>Not disclosed</t>
        </is>
      </c>
      <c r="AO251" s="145" t="inlineStr">
        <is>
          <t>Not disclosed</t>
        </is>
      </c>
      <c r="AP251" s="145" t="inlineStr">
        <is>
          <t>Not disclosed</t>
        </is>
      </c>
      <c r="AQ251" s="145" t="inlineStr">
        <is>
          <t>Not disclosed</t>
        </is>
      </c>
      <c r="AR251" s="145" t="n"/>
      <c r="AS251" s="145" t="n"/>
      <c r="AT251" s="149" t="inlineStr">
        <is>
          <t>ARM + embedded GPU</t>
        </is>
      </c>
      <c r="AU251" s="149" t="inlineStr">
        <is>
          <t>Ethernet; Wi-Fi, Bluetooth, 5G</t>
        </is>
      </c>
      <c r="AV251" s="145" t="inlineStr">
        <is>
          <t>Not disclosed</t>
        </is>
      </c>
      <c r="AW251" s="149" t="inlineStr">
        <is>
          <t>Not disclosed</t>
        </is>
      </c>
      <c r="AX251" s="161" t="n">
        <v>4</v>
      </c>
      <c r="AY251" s="149" t="inlineStr">
        <is>
          <t>Likely Linux + custom robot control stack</t>
        </is>
      </c>
      <c r="AZ251" s="149" t="inlineStr">
        <is>
          <t>Not disclosed</t>
        </is>
      </c>
      <c r="BA251" s="149" t="inlineStr">
        <is>
          <t>150–250 ms</t>
        </is>
      </c>
      <c r="BB251" s="149" t="inlineStr">
        <is>
          <t>Electric servo motors</t>
        </is>
      </c>
      <c r="BC251" s="149" t="inlineStr">
        <is>
          <t>Likely harmonic drives for precision</t>
        </is>
      </c>
      <c r="BD251" s="145" t="inlineStr">
        <is>
          <t>Aluminum frame + composite panels</t>
        </is>
      </c>
      <c r="BE251" s="145" t="inlineStr">
        <is>
          <t>IP20</t>
        </is>
      </c>
      <c r="BF251" s="145" t="inlineStr">
        <is>
          <t>IP20</t>
        </is>
      </c>
      <c r="BG251" s="145" t="n"/>
      <c r="BH251" s="145" t="n"/>
      <c r="BI251" s="145" t="n"/>
      <c r="BJ251" s="145" t="n"/>
      <c r="BK251" s="145" t="n"/>
      <c r="BL251" s="145" t="n"/>
      <c r="BM251" s="145" t="inlineStr">
        <is>
          <t>Yes</t>
        </is>
      </c>
      <c r="BN251" s="145" t="inlineStr">
        <is>
          <t>Not disclosed</t>
        </is>
      </c>
      <c r="BO251" s="149" t="inlineStr">
        <is>
          <t>Market: Research institutions, robotics labs, AI development, demonstrations · Manipulation 2/4 · Navigation 4/4 · Human-safe: Yes · Actuation: Electric servo motors · Peak 9 km/h · Walk 4 km/h · Runtime 2</t>
        </is>
      </c>
      <c r="BP251" s="145" t="n"/>
      <c r="BQ251" s="149" t="inlineStr">
        <is>
          <t>Research institutions, robotics labs, AI development, demonstrations</t>
        </is>
      </c>
      <c r="BR251" s="149" t="inlineStr">
        <is>
          <t>Prototype</t>
        </is>
      </c>
      <c r="BS251" s="149" t="inlineStr">
        <is>
          <t>Prototype</t>
        </is>
      </c>
      <c r="BT251" s="145" t="inlineStr">
        <is>
          <t>White/grey (prototype)</t>
        </is>
      </c>
      <c r="BU251" s="145" t="inlineStr">
        <is>
          <t>Not verified</t>
        </is>
      </c>
      <c r="BV251" s="149" t="n"/>
      <c r="BW251" s="149" t="inlineStr">
        <is>
          <t>Origin &amp; status — China · Prototype · 2026 | Manipulation — 5 per hand · 5 per hand fingers · Hand DOF 14 · Payload 22 lb | Sensing &amp; software — 1080p RGB + depth camera · Likely Linux + custom robot control stack | Buying notes — From $120,000 · 12 months manufacturer standard (typical research/commercial humanoid) · Best fit: Research institutions, robotics labs, AI development, demonstra…</t>
        </is>
      </c>
      <c r="BX251" s="149" t="inlineStr">
        <is>
          <t>as_shipped|NAVAI-I3|120000|As shipped</t>
        </is>
      </c>
      <c r="BY251" s="145" t="inlineStr">
        <is>
          <t>white|White|#e2e8f0|0 || grey_prototype|grey (prototype)|#1e293b|0</t>
        </is>
      </c>
      <c r="BZ251" s="145" t="inlineStr"/>
      <c r="CA251" s="149" t="n"/>
      <c r="CB251" s="149" t="inlineStr">
        <is>
          <t>12 months manufacturer standard (typical research/commercial humanoid)</t>
        </is>
      </c>
      <c r="CC251" s="147" t="n">
        <v>12</v>
      </c>
      <c r="CD251" s="149" t="inlineStr">
        <is>
          <t>+3 Year Extended ≈24% of configuration (default in configurator)</t>
        </is>
      </c>
      <c r="CE251" s="145" t="inlineStr">
        <is>
          <t>Humanoid category norm 2025–2026</t>
        </is>
      </c>
      <c r="CF251" s="145" t="inlineStr">
        <is>
          <t>Estimated</t>
        </is>
      </c>
      <c r="CG251" s="149" t="inlineStr">
        <is>
          <t>Confirm on formal OEM quote. EDU or enterprise packages may differ.</t>
        </is>
      </c>
      <c r="CH251" s="145" t="inlineStr">
        <is>
          <t>10%</t>
        </is>
      </c>
      <c r="CI251" s="145" t="inlineStr">
        <is>
          <t>17%</t>
        </is>
      </c>
      <c r="CJ251" s="145" t="inlineStr">
        <is>
          <t>24%</t>
        </is>
      </c>
      <c r="CK251" s="149" t="inlineStr">
        <is>
          <t>+1yr ≈10% | +2yr ≈17% | +3yr ≈24% of selected configuration price (parts &amp; labor beyond manufacturer standard).</t>
        </is>
      </c>
      <c r="CL25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51" s="145" t="inlineStr">
        <is>
          <t>12 months manufacturer standard (typical research/commercial humanoid)</t>
        </is>
      </c>
      <c r="CQ251" s="101" t="inlineStr">
        <is>
          <t>Height: 5 ft 11 in | Weight: 154.3 | Degrees of Freedom: 44 | Payload: 22 | Max Speed: 5.59 | Battery / Runtime: ≈ 2 hours</t>
        </is>
      </c>
    </row>
    <row r="252" ht="31.5" customHeight="1" s="102">
      <c r="A252" s="152" t="inlineStr">
        <is>
          <t>zhejiang_humanoid_robot_innovation_center_naviga</t>
        </is>
      </c>
      <c r="B252" s="153" t="inlineStr">
        <is>
          <t>Humanoid.guide</t>
        </is>
      </c>
      <c r="C252" s="152" t="inlineStr">
        <is>
          <t>Zhejiang Humanoid Robot Innovation Center</t>
        </is>
      </c>
      <c r="D252" s="152" t="inlineStr">
        <is>
          <t>Navigator 2</t>
        </is>
      </c>
      <c r="E252" s="152" t="inlineStr">
        <is>
          <t>[Zhejiang Humanoid Robot Innovation Center] Navigator 2 (2024)</t>
        </is>
      </c>
      <c r="F252" s="146" t="inlineStr">
        <is>
          <t>humanoid</t>
        </is>
      </c>
      <c r="G252" s="152" t="inlineStr">
        <is>
          <t>China</t>
        </is>
      </c>
      <c r="H252" s="154" t="n">
        <v>2024</v>
      </c>
      <c r="I252" s="155" t="n">
        <v>100000</v>
      </c>
      <c r="J252" s="152" t="inlineStr">
        <is>
          <t>Humanoid.guide list</t>
        </is>
      </c>
      <c r="K252" s="156" t="inlineStr">
        <is>
          <t>During the World Robot Conference 2024 in Beijing, Supcon and Haishu’s Zhejiang Humanoid Robot Innovation Center introduced its latest humanoid robot, Navigator 2 NAVIAI.</t>
        </is>
      </c>
      <c r="L252" s="101" t="inlineStr">
        <is>
          <t>During the World Robot Conference 2024 in Beijing, Supcon and Haishu’s Zhejiang Humanoid Robot Innovation Center introduced its latest humanoid robot, Navigator 2 NAVIAI.</t>
        </is>
      </c>
      <c r="M252" s="101" t="inlineStr">
        <is>
          <t>Navigator 2 is Zhejiang Humanoid Robot Innovation Center's humanoid, introduced around 2024 in China. During the World Robot Conference 2024 in Beijing, Supcon and Haishu’s Zhejiang Humanoid Robot Innovation Center introduced its latest humanoid robot, Navigator 2 NAVIAI. Public status is listed as prototype.</t>
        </is>
      </c>
      <c r="N252" s="157" t="inlineStr">
        <is>
          <t>https://humanoid.guide/product/navigator-2/</t>
        </is>
      </c>
      <c r="O252" s="157" t="inlineStr">
        <is>
          <t>https://www.humanoid.com.cn</t>
        </is>
      </c>
      <c r="P252" s="152" t="inlineStr">
        <is>
          <t>5 ft 5 in</t>
        </is>
      </c>
      <c r="Q252" s="152" t="n">
        <v>165</v>
      </c>
      <c r="R252" s="152" t="n">
        <v>132.3</v>
      </c>
      <c r="S252" s="152" t="n">
        <v>60</v>
      </c>
      <c r="T252" s="156" t="inlineStr">
        <is>
          <t>Not disclosed</t>
        </is>
      </c>
      <c r="U252" s="152" t="n"/>
      <c r="V252" s="152" t="inlineStr">
        <is>
          <t>20</t>
        </is>
      </c>
      <c r="W252" s="156" t="inlineStr">
        <is>
          <t>Not disclosed</t>
        </is>
      </c>
      <c r="X252" s="152" t="n">
        <v>11</v>
      </c>
      <c r="Y252" s="152" t="n">
        <v>5</v>
      </c>
      <c r="Z252" s="152" t="n">
        <v>3.73</v>
      </c>
      <c r="AA252" s="152" t="n">
        <v>6</v>
      </c>
      <c r="AB252" s="152" t="n">
        <v>1.6</v>
      </c>
      <c r="AC252" s="156" t="inlineStr">
        <is>
          <t>≈ 2 hours</t>
        </is>
      </c>
      <c r="AD252" s="156" t="inlineStr">
        <is>
          <t>2</t>
        </is>
      </c>
      <c r="AE252" s="152" t="n"/>
      <c r="AF252" s="152" t="inlineStr">
        <is>
          <t>Not disclosed</t>
        </is>
      </c>
      <c r="AG252" s="156" t="inlineStr">
        <is>
          <t>Not disclosed</t>
        </is>
      </c>
      <c r="AH252" s="152" t="inlineStr">
        <is>
          <t>Not disclosed</t>
        </is>
      </c>
      <c r="AI252" s="158" t="n">
        <v>2</v>
      </c>
      <c r="AJ252" s="156" t="inlineStr">
        <is>
          <t>Not disclosed</t>
        </is>
      </c>
      <c r="AK252" s="156" t="n"/>
      <c r="AL252" s="152" t="inlineStr">
        <is>
          <t>Not disclosed</t>
        </is>
      </c>
      <c r="AM252" s="152" t="n"/>
      <c r="AN252" s="152" t="inlineStr">
        <is>
          <t>Not disclosed</t>
        </is>
      </c>
      <c r="AO252" s="152" t="inlineStr">
        <is>
          <t>Not disclosed</t>
        </is>
      </c>
      <c r="AP252" s="152" t="inlineStr">
        <is>
          <t>Not disclosed</t>
        </is>
      </c>
      <c r="AQ252" s="152" t="inlineStr">
        <is>
          <t>Not disclosed</t>
        </is>
      </c>
      <c r="AR252" s="152" t="n"/>
      <c r="AS252" s="152" t="n"/>
      <c r="AT252" s="156" t="inlineStr">
        <is>
          <t>Not disclosed</t>
        </is>
      </c>
      <c r="AU252" s="156" t="inlineStr">
        <is>
          <t>Not disclosed</t>
        </is>
      </c>
      <c r="AV252" s="152" t="inlineStr">
        <is>
          <t>Not disclosed</t>
        </is>
      </c>
      <c r="AW252" s="156" t="inlineStr">
        <is>
          <t>Not disclosed</t>
        </is>
      </c>
      <c r="AX252" s="158" t="n">
        <v>2</v>
      </c>
      <c r="AY252" s="156" t="inlineStr">
        <is>
          <t>Not disclosed</t>
        </is>
      </c>
      <c r="AZ252" s="156" t="inlineStr">
        <is>
          <t>Not disclosed</t>
        </is>
      </c>
      <c r="BA252" s="156" t="n"/>
      <c r="BB252" s="156" t="inlineStr">
        <is>
          <t>Not disclosed</t>
        </is>
      </c>
      <c r="BC252" s="156" t="inlineStr">
        <is>
          <t>Not disclosed</t>
        </is>
      </c>
      <c r="BD252" s="152" t="inlineStr">
        <is>
          <t>Not disclosed</t>
        </is>
      </c>
      <c r="BE252" s="152" t="inlineStr">
        <is>
          <t>Not disclosed</t>
        </is>
      </c>
      <c r="BF252" s="152" t="n"/>
      <c r="BG252" s="152" t="n"/>
      <c r="BH252" s="152" t="n"/>
      <c r="BI252" s="152" t="n"/>
      <c r="BJ252" s="152" t="n"/>
      <c r="BK252" s="152" t="n"/>
      <c r="BL252" s="152" t="n"/>
      <c r="BM252" s="152" t="inlineStr">
        <is>
          <t>Not disclosed</t>
        </is>
      </c>
      <c r="BN252" s="152" t="inlineStr">
        <is>
          <t>Not disclosed</t>
        </is>
      </c>
      <c r="BO252" s="156" t="inlineStr">
        <is>
          <t>Manipulation 2/4 · Navigation 2/4 · Peak 6 km/h · Walk 1.6 km/h · Runtime 2</t>
        </is>
      </c>
      <c r="BP252" s="152" t="n"/>
      <c r="BQ252" s="156" t="inlineStr">
        <is>
          <t>Research labs, commercial pilots, and education programs evaluating a humanoid from Zhejiang Humanoid Robot Innovation Center (China) now listed as prototype.</t>
        </is>
      </c>
      <c r="BR252" s="156" t="inlineStr">
        <is>
          <t>Prototype</t>
        </is>
      </c>
      <c r="BS252" s="156" t="inlineStr">
        <is>
          <t>Prototype</t>
        </is>
      </c>
      <c r="BT252" s="152" t="n"/>
      <c r="BU252" s="152" t="inlineStr">
        <is>
          <t>Not verified</t>
        </is>
      </c>
      <c r="BV252" s="156" t="n"/>
      <c r="BW252" s="156" t="inlineStr">
        <is>
          <t>Origin &amp; status — China · Prototype · 2024 | Manipulation — Payload 11 lb | Sensing &amp; software — Sensor and compute package confirmed on formal quote | Buying notes — From $100,000 · 12 months manufacturer standard (typical research/commercial humanoid)</t>
        </is>
      </c>
      <c r="BX252" s="156" t="inlineStr">
        <is>
          <t>as_shipped|Navigator 2|100000|As shipped</t>
        </is>
      </c>
      <c r="BY252" s="152" t="inlineStr">
        <is>
          <t>navigator_2|Manufacturer finish|#e2e8f0|0</t>
        </is>
      </c>
      <c r="BZ252" s="152" t="inlineStr"/>
      <c r="CA252" s="156" t="n"/>
      <c r="CB252" s="156" t="inlineStr">
        <is>
          <t>12 months manufacturer standard (typical research/commercial humanoid)</t>
        </is>
      </c>
      <c r="CC252" s="154" t="n">
        <v>12</v>
      </c>
      <c r="CD252" s="156" t="inlineStr">
        <is>
          <t>+3 Year Extended ≈24% of configuration (default in configurator)</t>
        </is>
      </c>
      <c r="CE252" s="152" t="inlineStr">
        <is>
          <t>Humanoid category norm 2025–2026</t>
        </is>
      </c>
      <c r="CF252" s="152" t="inlineStr">
        <is>
          <t>Estimated</t>
        </is>
      </c>
      <c r="CG252" s="156" t="inlineStr">
        <is>
          <t>Confirm on formal OEM quote. EDU or enterprise packages may differ.</t>
        </is>
      </c>
      <c r="CH252" s="152" t="inlineStr">
        <is>
          <t>10%</t>
        </is>
      </c>
      <c r="CI252" s="152" t="inlineStr">
        <is>
          <t>17%</t>
        </is>
      </c>
      <c r="CJ252" s="152" t="inlineStr">
        <is>
          <t>24%</t>
        </is>
      </c>
      <c r="CK252" s="156" t="inlineStr">
        <is>
          <t>+1yr ≈10% | +2yr ≈17% | +3yr ≈24% of selected configuration price (parts &amp; labor beyond manufacturer standard).</t>
        </is>
      </c>
      <c r="CL252"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52" s="152" t="inlineStr">
        <is>
          <t>12 months manufacturer standard (typical research/commercial humanoid)</t>
        </is>
      </c>
      <c r="CQ252" s="101" t="inlineStr">
        <is>
          <t>Height: 5 ft 5 in | Weight: 132.3 | Degrees of Freedom: 20 | Payload: 11 | Max Speed: 3.73 | Battery / Runtime: ≈ 2 hours</t>
        </is>
      </c>
    </row>
    <row r="253" ht="36" customHeight="1" s="102">
      <c r="A253" s="204" t="inlineStr">
        <is>
          <t>knowin_x1</t>
        </is>
      </c>
      <c r="B253" s="204" t="inlineStr">
        <is>
          <t>AIXZD</t>
        </is>
      </c>
      <c r="C253" s="204" t="inlineStr">
        <is>
          <t>KNOWIN (Knowin AI)</t>
        </is>
      </c>
      <c r="D253" s="204" t="inlineStr">
        <is>
          <t>Knowin-X1</t>
        </is>
      </c>
      <c r="E253" s="204" t="inlineStr">
        <is>
          <t>[KNOWIN] Knowin-X1 (2026)</t>
        </is>
      </c>
      <c r="F253" s="204" t="inlineStr">
        <is>
          <t>humanoid</t>
        </is>
      </c>
      <c r="G253" s="204" t="inlineStr">
        <is>
          <t>China</t>
        </is>
      </c>
      <c r="H253" s="205" t="n">
        <v>2026</v>
      </c>
      <c r="I253" s="206" t="n">
        <v>45000</v>
      </c>
      <c r="J253" s="204" t="inlineStr">
        <is>
          <t>Directory estimate Aug 2026 (no public list price)</t>
        </is>
      </c>
      <c r="K253" s="204" t="inlineStr">
        <is>
          <t>Knowin-X1 is a folding dual-arm home humanoid that collapses to about 40 cm for storage, then unfolds wheeled dual 7-DoF arms (23 DoF, ~6 kg bimanual payload) for indoor chores, guarding, and continuous household tasks.</t>
        </is>
      </c>
      <c r="N253" s="204" t="n"/>
      <c r="O253" s="204" t="inlineStr">
        <is>
          <t>https://www.knowinai.com</t>
        </is>
      </c>
      <c r="P253" s="204" t="inlineStr">
        <is>
          <t>1 ft 4 in</t>
        </is>
      </c>
      <c r="Q253" s="204" t="n">
        <v>40</v>
      </c>
      <c r="R253" s="204" t="n">
        <v>110.2</v>
      </c>
      <c r="S253" s="204" t="n">
        <v>50</v>
      </c>
      <c r="T253" s="204" t="inlineStr">
        <is>
          <t>Not disclosed</t>
        </is>
      </c>
      <c r="U253" s="204" t="n"/>
      <c r="V253" s="204" t="n">
        <v>23</v>
      </c>
      <c r="W253" s="204" t="n"/>
      <c r="X253" s="204" t="n">
        <v>13.2</v>
      </c>
      <c r="Y253" s="204" t="n">
        <v>6</v>
      </c>
      <c r="Z253" s="204" t="n"/>
      <c r="AA253" s="204" t="n"/>
      <c r="AB253" s="204" t="n"/>
      <c r="AC253" s="204" t="n"/>
      <c r="AD253" s="204" t="n">
        <v>10</v>
      </c>
      <c r="AE253" s="204" t="n"/>
      <c r="AF253" s="204" t="inlineStr">
        <is>
          <t>Not disclosed</t>
        </is>
      </c>
      <c r="AG253" s="204" t="inlineStr">
        <is>
          <t>Not disclosed</t>
        </is>
      </c>
      <c r="AH253" s="204" t="n"/>
      <c r="AI253" s="204" t="n"/>
      <c r="AJ253" s="204" t="inlineStr">
        <is>
          <t>Not disclosed</t>
        </is>
      </c>
      <c r="AK253" s="204" t="n"/>
      <c r="AL253" s="204" t="inlineStr">
        <is>
          <t>Not disclosed</t>
        </is>
      </c>
      <c r="AM253" s="204" t="n"/>
      <c r="AN253" s="204" t="inlineStr">
        <is>
          <t>Not disclosed</t>
        </is>
      </c>
      <c r="AO253" s="204" t="inlineStr">
        <is>
          <t>Not disclosed</t>
        </is>
      </c>
      <c r="AP253" s="204" t="inlineStr">
        <is>
          <t>Not disclosed</t>
        </is>
      </c>
      <c r="AQ253" s="204" t="inlineStr">
        <is>
          <t>Not disclosed</t>
        </is>
      </c>
      <c r="AR253" s="204" t="n"/>
      <c r="AS253" s="204" t="n"/>
      <c r="AT253" s="204" t="inlineStr">
        <is>
          <t>Not disclosed</t>
        </is>
      </c>
      <c r="AU253" s="204" t="inlineStr">
        <is>
          <t>Not disclosed</t>
        </is>
      </c>
      <c r="AV253" s="204" t="inlineStr">
        <is>
          <t>Not disclosed</t>
        </is>
      </c>
      <c r="AW253" s="204" t="inlineStr">
        <is>
          <t>Wheeled indoor base · vision + depth + LiDAR fusion</t>
        </is>
      </c>
      <c r="AX253" s="204" t="n"/>
      <c r="AY253" s="204" t="inlineStr">
        <is>
          <t>Not disclosed</t>
        </is>
      </c>
      <c r="AZ253" s="204" t="inlineStr">
        <is>
          <t>Not disclosed</t>
        </is>
      </c>
      <c r="BA253" s="204" t="n"/>
      <c r="BB253" s="204" t="inlineStr">
        <is>
          <t>Not disclosed</t>
        </is>
      </c>
      <c r="BC253" s="204" t="inlineStr">
        <is>
          <t>Not disclosed</t>
        </is>
      </c>
      <c r="BD253" s="204" t="inlineStr">
        <is>
          <t>Not disclosed</t>
        </is>
      </c>
      <c r="BE253" s="204" t="inlineStr">
        <is>
          <t>Not disclosed</t>
        </is>
      </c>
      <c r="BF253" s="204" t="n"/>
      <c r="BG253" s="204" t="n"/>
      <c r="BH253" s="204" t="n"/>
      <c r="BI253" s="204" t="n"/>
      <c r="BJ253" s="204" t="n"/>
      <c r="BK253" s="204" t="n"/>
      <c r="BL253" s="204" t="n"/>
      <c r="BM253" s="204" t="inlineStr">
        <is>
          <t>Not disclosed</t>
        </is>
      </c>
      <c r="BN253" s="204" t="inlineStr">
        <is>
          <t>Not disclosed</t>
        </is>
      </c>
      <c r="BO253" s="204" t="inlineStr">
        <is>
          <t>Folding dual-arm home robot · 23 DoF · dual 7-axis arms · ~6 kg bimanual payload · 50 kg · 10 h standby · wheeled base</t>
        </is>
      </c>
      <c r="BP253" s="204" t="inlineStr">
        <is>
          <t>Indoor / human environments</t>
        </is>
      </c>
      <c r="BQ253" s="204" t="inlineStr">
        <is>
          <t>Consumer home / indoor service</t>
        </is>
      </c>
      <c r="BR253" s="204" t="inlineStr">
        <is>
          <t>Announced / early commercial</t>
        </is>
      </c>
      <c r="BS253" s="204" t="n"/>
      <c r="BT253" s="204" t="n"/>
      <c r="BU253" s="204" t="n"/>
      <c r="BV253" s="204" t="inlineStr">
        <is>
          <t>Folds to ≤40 cm; standing/working envelope unpublished (tri-fold postures).</t>
        </is>
      </c>
      <c r="BW253" s="204" t="inlineStr">
        <is>
          <t>Height (fully upright): 1 ft 4 in | Operating weight: 110.2 | Degrees of freedom: 23 | Payload capacity: 13.2 | Maximum speed: Not disclosed | Battery / runtime: Not disclosed</t>
        </is>
      </c>
      <c r="BX253" s="204" t="n"/>
      <c r="BY253" s="204" t="n"/>
      <c r="BZ253" s="204" t="n"/>
      <c r="CA253" s="204" t="n"/>
      <c r="CB253" s="204" t="inlineStr">
        <is>
          <t>12 months manufacturer standard (typical research/commercial humanoid)</t>
        </is>
      </c>
      <c r="CC253" s="205" t="n">
        <v>12</v>
      </c>
      <c r="CD253" s="204" t="inlineStr">
        <is>
          <t>+3 Year Extended ≈24% of configuration (default in configurator)</t>
        </is>
      </c>
      <c r="CE253" s="204" t="inlineStr">
        <is>
          <t>Humanoid / companionoid category norm 2025–2026</t>
        </is>
      </c>
      <c r="CF253" s="204" t="inlineStr">
        <is>
          <t>Estimated</t>
        </is>
      </c>
      <c r="CG253" s="204" t="inlineStr">
        <is>
          <t>EDU or enterprise packages may differ; confirm on formal quote. Source mix: AIXZD directory + OEM pages Aug 2026.</t>
        </is>
      </c>
      <c r="CH253" s="204" t="inlineStr">
        <is>
          <t>10%</t>
        </is>
      </c>
      <c r="CI253" s="204" t="inlineStr">
        <is>
          <t>17%</t>
        </is>
      </c>
      <c r="CJ253" s="204" t="inlineStr">
        <is>
          <t>24%</t>
        </is>
      </c>
      <c r="CK253" s="204" t="inlineStr">
        <is>
          <t>Profitable schedule (Aug 2026): +1yr ≈10% / +2yr ≈17% / +3yr ≈24% of configuration price.</t>
        </is>
      </c>
      <c r="CL253" s="204" t="inlineStr">
        <is>
          <t>Same TOR extended-warranty schedule used across the catalog (~45–55% target GM).</t>
        </is>
      </c>
      <c r="CM253" s="204" t="inlineStr">
        <is>
          <t>12 months manufacturer standard (typical research/commercial humanoid)</t>
        </is>
      </c>
      <c r="CN253" s="204" t="inlineStr">
        <is>
          <t>https://aixzd.com/robot/knowin-x1</t>
        </is>
      </c>
      <c r="CO253" s="204" t="inlineStr">
        <is>
          <t>https://theresanaiforthat.com/robots/</t>
        </is>
      </c>
      <c r="CP253" s="204" t="inlineStr">
        <is>
          <t>New platform added 28 Aug 2026 from AIXZD (https://aixzd.com/robots, 644 sitemap robots) and/or TAAFT Robots directory (https://theresanaiforthat.com/robots/, 669 claimed).</t>
        </is>
      </c>
      <c r="CQ253" s="101" t="inlineStr">
        <is>
          <t>Height: 1 ft 4 in | Weight: 110.2 | Degrees of Freedom: 23 | Payload: 13.2 | Max Speed: Not disclosed | Battery / Runtime: Not disclosed</t>
        </is>
      </c>
    </row>
    <row r="254" ht="36" customHeight="1" s="102">
      <c r="A254" s="204" t="inlineStr">
        <is>
          <t>gento_luna</t>
        </is>
      </c>
      <c r="B254" s="204" t="inlineStr">
        <is>
          <t>AIXZD</t>
        </is>
      </c>
      <c r="C254" s="204" t="inlineStr">
        <is>
          <t>Gento Robotics (Tianji Intelligence)</t>
        </is>
      </c>
      <c r="D254" s="204" t="inlineStr">
        <is>
          <t>GENTO Luna</t>
        </is>
      </c>
      <c r="E254" s="204" t="inlineStr">
        <is>
          <t>[Gento] Luna (2026)</t>
        </is>
      </c>
      <c r="F254" s="204" t="inlineStr">
        <is>
          <t>humanoid</t>
        </is>
      </c>
      <c r="G254" s="204" t="inlineStr">
        <is>
          <t>China</t>
        </is>
      </c>
      <c r="H254" s="205" t="n">
        <v>2026</v>
      </c>
      <c r="I254" s="206" t="n">
        <v>80000</v>
      </c>
      <c r="J254" s="204" t="inlineStr">
        <is>
          <t>Directory estimate Aug 2026 (no public list price)</t>
        </is>
      </c>
      <c r="K254" s="204" t="inlineStr">
        <is>
          <t>GENTO Luna (listed on AIXZD as GENTO 绅士) is Tianji Intelligence’s folding wheeled humanoid: 170 cm standing, 79 cm folded for elevators, 26 force-controlled DoF, 5 kg per-arm payload, omnidirectional base and NVIDIA Orin AGX-class compute.</t>
        </is>
      </c>
      <c r="N254" s="204" t="n"/>
      <c r="O254" s="204" t="inlineStr">
        <is>
          <t>https://www.gentorobotics.ai/</t>
        </is>
      </c>
      <c r="P254" s="204" t="inlineStr">
        <is>
          <t>5 ft 7 in</t>
        </is>
      </c>
      <c r="Q254" s="204" t="n">
        <v>170</v>
      </c>
      <c r="R254" s="204" t="n"/>
      <c r="S254" s="204" t="n"/>
      <c r="T254" s="204" t="inlineStr">
        <is>
          <t>Not disclosed</t>
        </is>
      </c>
      <c r="U254" s="204" t="n"/>
      <c r="V254" s="204" t="n">
        <v>26</v>
      </c>
      <c r="W254" s="204" t="n"/>
      <c r="X254" s="204" t="n">
        <v>11</v>
      </c>
      <c r="Y254" s="204" t="n">
        <v>5</v>
      </c>
      <c r="Z254" s="204" t="n">
        <v>3.4</v>
      </c>
      <c r="AA254" s="204" t="n">
        <v>5.4</v>
      </c>
      <c r="AB254" s="204" t="n"/>
      <c r="AC254" s="204" t="n"/>
      <c r="AD254" s="204" t="n">
        <v>5</v>
      </c>
      <c r="AE254" s="204" t="n"/>
      <c r="AF254" s="204" t="inlineStr">
        <is>
          <t>Not disclosed</t>
        </is>
      </c>
      <c r="AG254" s="204" t="inlineStr">
        <is>
          <t>Not disclosed</t>
        </is>
      </c>
      <c r="AH254" s="204" t="n"/>
      <c r="AI254" s="204" t="n"/>
      <c r="AJ254" s="204" t="inlineStr">
        <is>
          <t>Not disclosed</t>
        </is>
      </c>
      <c r="AK254" s="204" t="n"/>
      <c r="AL254" s="204" t="inlineStr">
        <is>
          <t>Not disclosed</t>
        </is>
      </c>
      <c r="AM254" s="204" t="n"/>
      <c r="AN254" s="204" t="inlineStr">
        <is>
          <t>Not disclosed</t>
        </is>
      </c>
      <c r="AO254" s="204" t="inlineStr">
        <is>
          <t>Not disclosed</t>
        </is>
      </c>
      <c r="AP254" s="204" t="inlineStr">
        <is>
          <t>Not disclosed</t>
        </is>
      </c>
      <c r="AQ254" s="204" t="inlineStr">
        <is>
          <t>Not disclosed</t>
        </is>
      </c>
      <c r="AR254" s="204" t="n"/>
      <c r="AS254" s="204" t="n"/>
      <c r="AT254" s="204" t="inlineStr">
        <is>
          <t>Not disclosed</t>
        </is>
      </c>
      <c r="AU254" s="204" t="inlineStr">
        <is>
          <t>Not disclosed</t>
        </is>
      </c>
      <c r="AV254" s="204" t="inlineStr">
        <is>
          <t>Not disclosed</t>
        </is>
      </c>
      <c r="AW254" s="204" t="inlineStr">
        <is>
          <t>Four-wheel omnidirectional base, autonomous obstacle avoidance</t>
        </is>
      </c>
      <c r="AX254" s="204" t="n"/>
      <c r="AY254" s="204" t="inlineStr">
        <is>
          <t>Not disclosed</t>
        </is>
      </c>
      <c r="AZ254" s="204" t="inlineStr">
        <is>
          <t>Not disclosed</t>
        </is>
      </c>
      <c r="BA254" s="204" t="n"/>
      <c r="BB254" s="204" t="inlineStr">
        <is>
          <t>Not disclosed</t>
        </is>
      </c>
      <c r="BC254" s="204" t="inlineStr">
        <is>
          <t>Not disclosed</t>
        </is>
      </c>
      <c r="BD254" s="204" t="inlineStr">
        <is>
          <t>Not disclosed</t>
        </is>
      </c>
      <c r="BE254" s="204" t="inlineStr">
        <is>
          <t>Not disclosed</t>
        </is>
      </c>
      <c r="BF254" s="204" t="n"/>
      <c r="BG254" s="204" t="n"/>
      <c r="BH254" s="204" t="n"/>
      <c r="BI254" s="204" t="n"/>
      <c r="BJ254" s="204" t="n"/>
      <c r="BK254" s="204" t="n"/>
      <c r="BL254" s="204" t="n"/>
      <c r="BM254" s="204" t="inlineStr">
        <is>
          <t>Not disclosed</t>
        </is>
      </c>
      <c r="BN254" s="204" t="inlineStr">
        <is>
          <t>Not disclosed</t>
        </is>
      </c>
      <c r="BO254" s="204" t="inlineStr">
        <is>
          <t>Folding wheeled humanoid · 170 cm / 79 cm folded · 26 DoF force-control · 5 kg/arm · 4–6 h · 275 TOPS Orin AGX</t>
        </is>
      </c>
      <c r="BP254" s="204" t="inlineStr">
        <is>
          <t>Indoor / human environments</t>
        </is>
      </c>
      <c r="BQ254" s="204" t="inlineStr">
        <is>
          <t>Lobby / hospitality / indoor service</t>
        </is>
      </c>
      <c r="BR254" s="204" t="inlineStr">
        <is>
          <t>Commercial (China)</t>
        </is>
      </c>
      <c r="BS254" s="204" t="n"/>
      <c r="BT254" s="204" t="n"/>
      <c r="BU254" s="204" t="n"/>
      <c r="BV254" s="204" t="inlineStr">
        <is>
          <t>Ingested 28 Aug 2026 from AIXZD/TAAFT directories. AIXZD product page + OEM where cited.</t>
        </is>
      </c>
      <c r="BW254" s="204" t="inlineStr">
        <is>
          <t>Height (fully upright): 5 ft 7 in | Operating weight: Not disclosed | Degrees of freedom: 26 | Payload capacity: 11 | Maximum speed: 3.4 | Battery / runtime: Not disclosed</t>
        </is>
      </c>
      <c r="BX254" s="204" t="n"/>
      <c r="BY254" s="204" t="n"/>
      <c r="BZ254" s="204" t="n"/>
      <c r="CA254" s="204" t="n"/>
      <c r="CB254" s="204" t="inlineStr">
        <is>
          <t>12 months manufacturer standard (typical research/commercial humanoid)</t>
        </is>
      </c>
      <c r="CC254" s="205" t="n">
        <v>12</v>
      </c>
      <c r="CD254" s="204" t="inlineStr">
        <is>
          <t>+3 Year Extended ≈24% of configuration (default in configurator)</t>
        </is>
      </c>
      <c r="CE254" s="204" t="inlineStr">
        <is>
          <t>Humanoid / companionoid category norm 2025–2026</t>
        </is>
      </c>
      <c r="CF254" s="204" t="inlineStr">
        <is>
          <t>Estimated</t>
        </is>
      </c>
      <c r="CG254" s="204" t="inlineStr">
        <is>
          <t>EDU or enterprise packages may differ; confirm on formal quote. Source mix: AIXZD directory + OEM pages Aug 2026.</t>
        </is>
      </c>
      <c r="CH254" s="204" t="inlineStr">
        <is>
          <t>10%</t>
        </is>
      </c>
      <c r="CI254" s="204" t="inlineStr">
        <is>
          <t>17%</t>
        </is>
      </c>
      <c r="CJ254" s="204" t="inlineStr">
        <is>
          <t>24%</t>
        </is>
      </c>
      <c r="CK254" s="204" t="inlineStr">
        <is>
          <t>Profitable schedule (Aug 2026): +1yr ≈10% / +2yr ≈17% / +3yr ≈24% of configuration price.</t>
        </is>
      </c>
      <c r="CL254" s="204" t="inlineStr">
        <is>
          <t>Same TOR extended-warranty schedule used across the catalog (~45–55% target GM).</t>
        </is>
      </c>
      <c r="CM254" s="204" t="inlineStr">
        <is>
          <t>12 months manufacturer standard (typical research/commercial humanoid)</t>
        </is>
      </c>
      <c r="CN254" s="204" t="inlineStr">
        <is>
          <t>https://aixzd.com/robot/gento</t>
        </is>
      </c>
      <c r="CO254" s="204" t="inlineStr">
        <is>
          <t>https://theresanaiforthat.com/robots/</t>
        </is>
      </c>
      <c r="CP254" s="204" t="inlineStr">
        <is>
          <t>New platform added 28 Aug 2026 from AIXZD (https://aixzd.com/robots, 644 sitemap robots) and/or TAAFT Robots directory (https://theresanaiforthat.com/robots/, 669 claimed).</t>
        </is>
      </c>
      <c r="CQ254" s="101" t="inlineStr">
        <is>
          <t>Height: 5 ft 7 in | Weight: Not disclosed | Degrees of Freedom: 26 | Payload: 11 | Max Speed: 3.4 | Battery / Runtime: Not disclosed</t>
        </is>
      </c>
    </row>
    <row r="255" ht="36" customHeight="1" s="102">
      <c r="A255" s="204" t="inlineStr">
        <is>
          <t>walker_x</t>
        </is>
      </c>
      <c r="B255" s="204" t="inlineStr">
        <is>
          <t>AIXZD</t>
        </is>
      </c>
      <c r="C255" s="204" t="inlineStr">
        <is>
          <t>UBTECH Robotics</t>
        </is>
      </c>
      <c r="D255" s="204" t="inlineStr">
        <is>
          <t>Walker X</t>
        </is>
      </c>
      <c r="E255" s="204" t="inlineStr">
        <is>
          <t>[UBTECH] Walker X (2021)</t>
        </is>
      </c>
      <c r="F255" s="204" t="inlineStr">
        <is>
          <t>humanoid</t>
        </is>
      </c>
      <c r="G255" s="204" t="inlineStr">
        <is>
          <t>China</t>
        </is>
      </c>
      <c r="H255" s="205" t="n">
        <v>2021</v>
      </c>
      <c r="I255" s="206" t="n">
        <v>150000</v>
      </c>
      <c r="J255" s="204" t="inlineStr">
        <is>
          <t>Used / enterprise estimate Aug 2026 (original service platform, no current MSRP)</t>
        </is>
      </c>
      <c r="K255" s="204" t="inlineStr">
        <is>
          <t>Walker X is UBTECH’s earlier full-size companion humanoid (130 cm, 63 kg, 41 DoF) with indoor visual navigation, 28 emotion classes, and light household manipulation — the predecessor to Walker S / S2 industrial units.</t>
        </is>
      </c>
      <c r="N255" s="204" t="n"/>
      <c r="O255" s="204" t="inlineStr">
        <is>
          <t>https://www.ubtrobot.com/en</t>
        </is>
      </c>
      <c r="P255" s="204" t="inlineStr">
        <is>
          <t>4 ft 3 in</t>
        </is>
      </c>
      <c r="Q255" s="204" t="n">
        <v>130</v>
      </c>
      <c r="R255" s="204" t="n">
        <v>138.9</v>
      </c>
      <c r="S255" s="204" t="n">
        <v>63</v>
      </c>
      <c r="T255" s="204" t="inlineStr">
        <is>
          <t>Not disclosed</t>
        </is>
      </c>
      <c r="U255" s="204" t="n"/>
      <c r="V255" s="204" t="n">
        <v>41</v>
      </c>
      <c r="W255" s="204" t="n"/>
      <c r="X255" s="204" t="n">
        <v>3.3</v>
      </c>
      <c r="Y255" s="204" t="n">
        <v>1.5</v>
      </c>
      <c r="Z255" s="204" t="n">
        <v>1.9</v>
      </c>
      <c r="AA255" s="204" t="n">
        <v>3</v>
      </c>
      <c r="AB255" s="204" t="n"/>
      <c r="AC255" s="204" t="n"/>
      <c r="AD255" s="204" t="n"/>
      <c r="AE255" s="204" t="n"/>
      <c r="AF255" s="204" t="inlineStr">
        <is>
          <t>Not disclosed</t>
        </is>
      </c>
      <c r="AG255" s="204" t="inlineStr">
        <is>
          <t>Not disclosed</t>
        </is>
      </c>
      <c r="AH255" s="204" t="n"/>
      <c r="AI255" s="204" t="n"/>
      <c r="AJ255" s="204" t="inlineStr">
        <is>
          <t>Not disclosed</t>
        </is>
      </c>
      <c r="AK255" s="204" t="n"/>
      <c r="AL255" s="204" t="inlineStr">
        <is>
          <t>Not disclosed</t>
        </is>
      </c>
      <c r="AM255" s="204" t="n"/>
      <c r="AN255" s="204" t="inlineStr">
        <is>
          <t>Not disclosed</t>
        </is>
      </c>
      <c r="AO255" s="204" t="inlineStr">
        <is>
          <t>Not disclosed</t>
        </is>
      </c>
      <c r="AP255" s="204" t="inlineStr">
        <is>
          <t>Not disclosed</t>
        </is>
      </c>
      <c r="AQ255" s="204" t="inlineStr">
        <is>
          <t>Not disclosed</t>
        </is>
      </c>
      <c r="AR255" s="204" t="n"/>
      <c r="AS255" s="204" t="n"/>
      <c r="AT255" s="204" t="inlineStr">
        <is>
          <t>Not disclosed</t>
        </is>
      </c>
      <c r="AU255" s="204" t="inlineStr">
        <is>
          <t>Not disclosed</t>
        </is>
      </c>
      <c r="AV255" s="204" t="inlineStr">
        <is>
          <t>Not disclosed</t>
        </is>
      </c>
      <c r="AW255" s="204" t="inlineStr">
        <is>
          <t>Visual indoor navigation, obstacle crossing</t>
        </is>
      </c>
      <c r="AX255" s="204" t="n"/>
      <c r="AY255" s="204" t="inlineStr">
        <is>
          <t>Not disclosed</t>
        </is>
      </c>
      <c r="AZ255" s="204" t="inlineStr">
        <is>
          <t>Not disclosed</t>
        </is>
      </c>
      <c r="BA255" s="204" t="n"/>
      <c r="BB255" s="204" t="inlineStr">
        <is>
          <t>Not disclosed</t>
        </is>
      </c>
      <c r="BC255" s="204" t="inlineStr">
        <is>
          <t>Not disclosed</t>
        </is>
      </c>
      <c r="BD255" s="204" t="inlineStr">
        <is>
          <t>Not disclosed</t>
        </is>
      </c>
      <c r="BE255" s="204" t="inlineStr">
        <is>
          <t>Not disclosed</t>
        </is>
      </c>
      <c r="BF255" s="204" t="n"/>
      <c r="BG255" s="204" t="n"/>
      <c r="BH255" s="204" t="n"/>
      <c r="BI255" s="204" t="n"/>
      <c r="BJ255" s="204" t="n"/>
      <c r="BK255" s="204" t="n"/>
      <c r="BL255" s="204" t="n"/>
      <c r="BM255" s="204" t="inlineStr">
        <is>
          <t>Not disclosed</t>
        </is>
      </c>
      <c r="BN255" s="204" t="inlineStr">
        <is>
          <t>Not disclosed</t>
        </is>
      </c>
      <c r="BO255" s="204" t="inlineStr">
        <is>
          <t>Prior-gen UBTECH biped · 41 DoF · 3 km/h walk · 1.5 kg/arm · emotion perception · used-market SKU</t>
        </is>
      </c>
      <c r="BP255" s="204" t="inlineStr">
        <is>
          <t>Indoor / human environments</t>
        </is>
      </c>
      <c r="BQ255" s="204" t="inlineStr">
        <is>
          <t>Home companion / reception / research</t>
        </is>
      </c>
      <c r="BR255" s="204" t="inlineStr">
        <is>
          <t>Prior generation (used / resale relevant)</t>
        </is>
      </c>
      <c r="BS255" s="204" t="n"/>
      <c r="BT255" s="204" t="n"/>
      <c r="BU255" s="204" t="n"/>
      <c r="BV255" s="204" t="inlineStr">
        <is>
          <t>Ingested 28 Aug 2026 from AIXZD/TAAFT directories. AIXZD product page + OEM where cited.</t>
        </is>
      </c>
      <c r="BW255" s="204" t="inlineStr">
        <is>
          <t>Height (fully upright): 4 ft 3 in | Operating weight: 138.9 | Degrees of freedom: 41 | Payload capacity: 3.3 | Maximum speed: 1.9 | Battery / runtime: Not disclosed</t>
        </is>
      </c>
      <c r="BX255" s="204" t="n"/>
      <c r="BY255" s="204" t="n"/>
      <c r="BZ255" s="204" t="n"/>
      <c r="CA255" s="204" t="n"/>
      <c r="CB255" s="204" t="inlineStr">
        <is>
          <t>12 months manufacturer standard (typical research/commercial humanoid)</t>
        </is>
      </c>
      <c r="CC255" s="205" t="n">
        <v>12</v>
      </c>
      <c r="CD255" s="204" t="inlineStr">
        <is>
          <t>+3 Year Extended ≈24% of configuration (default in configurator)</t>
        </is>
      </c>
      <c r="CE255" s="204" t="inlineStr">
        <is>
          <t>Humanoid / companionoid category norm 2025–2026</t>
        </is>
      </c>
      <c r="CF255" s="204" t="inlineStr">
        <is>
          <t>Estimated</t>
        </is>
      </c>
      <c r="CG255" s="204" t="inlineStr">
        <is>
          <t>EDU or enterprise packages may differ; confirm on formal quote. Source mix: AIXZD directory + OEM pages Aug 2026.</t>
        </is>
      </c>
      <c r="CH255" s="204" t="inlineStr">
        <is>
          <t>10%</t>
        </is>
      </c>
      <c r="CI255" s="204" t="inlineStr">
        <is>
          <t>17%</t>
        </is>
      </c>
      <c r="CJ255" s="204" t="inlineStr">
        <is>
          <t>24%</t>
        </is>
      </c>
      <c r="CK255" s="204" t="inlineStr">
        <is>
          <t>Profitable schedule (Aug 2026): +1yr ≈10% / +2yr ≈17% / +3yr ≈24% of configuration price.</t>
        </is>
      </c>
      <c r="CL255" s="204" t="inlineStr">
        <is>
          <t>Same TOR extended-warranty schedule used across the catalog (~45–55% target GM).</t>
        </is>
      </c>
      <c r="CM255" s="204" t="inlineStr">
        <is>
          <t>12 months manufacturer standard (typical research/commercial humanoid)</t>
        </is>
      </c>
      <c r="CN255" s="204" t="inlineStr">
        <is>
          <t>https://aixzd.com/robot/walker-x</t>
        </is>
      </c>
      <c r="CO255" s="204" t="inlineStr">
        <is>
          <t>https://theresanaiforthat.com/robots/</t>
        </is>
      </c>
      <c r="CP255" s="204" t="inlineStr">
        <is>
          <t>New platform added 28 Aug 2026 from AIXZD (https://aixzd.com/robots, 644 sitemap robots) and/or TAAFT Robots directory (https://theresanaiforthat.com/robots/, 669 claimed).</t>
        </is>
      </c>
      <c r="CQ255" s="101" t="inlineStr">
        <is>
          <t>Height: 4 ft 3 in | Weight: 138.9 | Degrees of Freedom: 41 | Payload: 3.3 | Max Speed: 1.9 | Battery / Runtime: Not disclosed</t>
        </is>
      </c>
    </row>
    <row r="256" ht="36" customHeight="1" s="102">
      <c r="A256" s="204" t="inlineStr">
        <is>
          <t>alpha_mini</t>
        </is>
      </c>
      <c r="B256" s="204" t="inlineStr">
        <is>
          <t>AIXZD</t>
        </is>
      </c>
      <c r="C256" s="204" t="inlineStr">
        <is>
          <t>UBTECH Robotics</t>
        </is>
      </c>
      <c r="D256" s="204" t="inlineStr">
        <is>
          <t>Alpha Mini</t>
        </is>
      </c>
      <c r="E256" s="204" t="inlineStr">
        <is>
          <t>[UBTECH] Alpha Mini (2019)</t>
        </is>
      </c>
      <c r="F256" s="204" t="inlineStr">
        <is>
          <t>humanoid</t>
        </is>
      </c>
      <c r="G256" s="204" t="inlineStr">
        <is>
          <t>China</t>
        </is>
      </c>
      <c r="H256" s="205" t="n">
        <v>2019</v>
      </c>
      <c r="I256" s="206" t="n">
        <v>599</v>
      </c>
      <c r="J256" s="204" t="inlineStr">
        <is>
          <t>Consumer street / refurb estimate Aug 2026</t>
        </is>
      </c>
      <c r="K256" s="204" t="inlineStr">
        <is>
          <t>Alpha Mini (Wukong) is UBTECH’s pocket-size educational humanoid — bottle-height, 14 joints, 13 MP camera, 4G video call, dance/Tai Chi/programming — a high-velocity used-market SKU for STEM and family buyers.</t>
        </is>
      </c>
      <c r="N256" s="204" t="n"/>
      <c r="O256" s="204" t="inlineStr">
        <is>
          <t>https://www.ubtrobot.com/en</t>
        </is>
      </c>
      <c r="P256" s="204" t="inlineStr">
        <is>
          <t>0 ft 9 in</t>
        </is>
      </c>
      <c r="Q256" s="204" t="n">
        <v>24</v>
      </c>
      <c r="R256" s="204" t="n">
        <v>3.5</v>
      </c>
      <c r="S256" s="204" t="n">
        <v>1.6</v>
      </c>
      <c r="T256" s="204" t="inlineStr">
        <is>
          <t>Not disclosed</t>
        </is>
      </c>
      <c r="U256" s="204" t="n"/>
      <c r="V256" s="204" t="n">
        <v>14</v>
      </c>
      <c r="W256" s="204" t="n"/>
      <c r="X256" s="204" t="n"/>
      <c r="Y256" s="204" t="n"/>
      <c r="Z256" s="204" t="n"/>
      <c r="AA256" s="204" t="n"/>
      <c r="AB256" s="204" t="n"/>
      <c r="AC256" s="204" t="n"/>
      <c r="AD256" s="204" t="n"/>
      <c r="AE256" s="204" t="n"/>
      <c r="AF256" s="204" t="inlineStr">
        <is>
          <t>Not disclosed</t>
        </is>
      </c>
      <c r="AG256" s="204" t="inlineStr">
        <is>
          <t>Not disclosed</t>
        </is>
      </c>
      <c r="AH256" s="204" t="n"/>
      <c r="AI256" s="204" t="n"/>
      <c r="AJ256" s="204" t="inlineStr">
        <is>
          <t>Not disclosed</t>
        </is>
      </c>
      <c r="AK256" s="204" t="n"/>
      <c r="AL256" s="204" t="inlineStr">
        <is>
          <t>Not disclosed</t>
        </is>
      </c>
      <c r="AM256" s="204" t="n"/>
      <c r="AN256" s="204" t="inlineStr">
        <is>
          <t>Not disclosed</t>
        </is>
      </c>
      <c r="AO256" s="204" t="inlineStr">
        <is>
          <t>Not disclosed</t>
        </is>
      </c>
      <c r="AP256" s="204" t="inlineStr">
        <is>
          <t>Not disclosed</t>
        </is>
      </c>
      <c r="AQ256" s="204" t="inlineStr">
        <is>
          <t>Not disclosed</t>
        </is>
      </c>
      <c r="AR256" s="204" t="n"/>
      <c r="AS256" s="204" t="n"/>
      <c r="AT256" s="204" t="inlineStr">
        <is>
          <t>Not disclosed</t>
        </is>
      </c>
      <c r="AU256" s="204" t="inlineStr">
        <is>
          <t>Not disclosed</t>
        </is>
      </c>
      <c r="AV256" s="204" t="inlineStr">
        <is>
          <t>Not disclosed</t>
        </is>
      </c>
      <c r="AW256" s="204" t="inlineStr">
        <is>
          <t>Not disclosed</t>
        </is>
      </c>
      <c r="AX256" s="204" t="n"/>
      <c r="AY256" s="204" t="inlineStr">
        <is>
          <t>Not disclosed</t>
        </is>
      </c>
      <c r="AZ256" s="204" t="inlineStr">
        <is>
          <t>Not disclosed</t>
        </is>
      </c>
      <c r="BA256" s="204" t="n"/>
      <c r="BB256" s="204" t="inlineStr">
        <is>
          <t>Not disclosed</t>
        </is>
      </c>
      <c r="BC256" s="204" t="inlineStr">
        <is>
          <t>Not disclosed</t>
        </is>
      </c>
      <c r="BD256" s="204" t="inlineStr">
        <is>
          <t>Not disclosed</t>
        </is>
      </c>
      <c r="BE256" s="204" t="inlineStr">
        <is>
          <t>Not disclosed</t>
        </is>
      </c>
      <c r="BF256" s="204" t="n"/>
      <c r="BG256" s="204" t="n"/>
      <c r="BH256" s="204" t="n"/>
      <c r="BI256" s="204" t="n"/>
      <c r="BJ256" s="204" t="n"/>
      <c r="BK256" s="204" t="n"/>
      <c r="BL256" s="204" t="n"/>
      <c r="BM256" s="204" t="inlineStr">
        <is>
          <t>Not disclosed</t>
        </is>
      </c>
      <c r="BN256" s="204" t="inlineStr">
        <is>
          <t>Not disclosed</t>
        </is>
      </c>
      <c r="BO256" s="204" t="inlineStr">
        <is>
          <t>Mini educational humanoid · 14 DoF · 13 MP camera · 4G calling · graphical programming</t>
        </is>
      </c>
      <c r="BP256" s="204" t="inlineStr">
        <is>
          <t>Indoor / human environments</t>
        </is>
      </c>
      <c r="BQ256" s="204" t="inlineStr">
        <is>
          <t>STEM education / family entertainment</t>
        </is>
      </c>
      <c r="BR256" s="204" t="inlineStr">
        <is>
          <t>In production / widely available used</t>
        </is>
      </c>
      <c r="BS256" s="204" t="n"/>
      <c r="BT256" s="204" t="n"/>
      <c r="BU256" s="204" t="n"/>
      <c r="BV256" s="204" t="inlineStr">
        <is>
          <t>Ingested 28 Aug 2026 from AIXZD/TAAFT directories. AIXZD product page + OEM where cited.</t>
        </is>
      </c>
      <c r="BW256" s="204" t="inlineStr">
        <is>
          <t>Height (fully upright): 0 ft 9 in | Operating weight: 3.5 | Degrees of freedom: 14 | Payload capacity: Not disclosed | Maximum speed: Not disclosed | Battery / runtime: Not disclosed</t>
        </is>
      </c>
      <c r="BX256" s="204" t="n"/>
      <c r="BY256" s="204" t="n"/>
      <c r="BZ256" s="204" t="n"/>
      <c r="CA256" s="204" t="n"/>
      <c r="CB256" s="204" t="inlineStr">
        <is>
          <t>12 months manufacturer standard (typical research/commercial humanoid)</t>
        </is>
      </c>
      <c r="CC256" s="205" t="n">
        <v>12</v>
      </c>
      <c r="CD256" s="204" t="inlineStr">
        <is>
          <t>+3 Year Extended ≈24% of configuration (default in configurator)</t>
        </is>
      </c>
      <c r="CE256" s="204" t="inlineStr">
        <is>
          <t>Humanoid / companionoid category norm 2025–2026</t>
        </is>
      </c>
      <c r="CF256" s="204" t="inlineStr">
        <is>
          <t>Estimated</t>
        </is>
      </c>
      <c r="CG256" s="204" t="inlineStr">
        <is>
          <t>EDU or enterprise packages may differ; confirm on formal quote. Source mix: AIXZD directory + OEM pages Aug 2026.</t>
        </is>
      </c>
      <c r="CH256" s="204" t="inlineStr">
        <is>
          <t>10%</t>
        </is>
      </c>
      <c r="CI256" s="204" t="inlineStr">
        <is>
          <t>17%</t>
        </is>
      </c>
      <c r="CJ256" s="204" t="inlineStr">
        <is>
          <t>24%</t>
        </is>
      </c>
      <c r="CK256" s="204" t="inlineStr">
        <is>
          <t>Profitable schedule (Aug 2026): +1yr ≈10% / +2yr ≈17% / +3yr ≈24% of configuration price.</t>
        </is>
      </c>
      <c r="CL256" s="204" t="inlineStr">
        <is>
          <t>Same TOR extended-warranty schedule used across the catalog (~45–55% target GM).</t>
        </is>
      </c>
      <c r="CM256" s="204" t="inlineStr">
        <is>
          <t>12 months manufacturer standard (typical research/commercial humanoid)</t>
        </is>
      </c>
      <c r="CN256" s="204" t="inlineStr">
        <is>
          <t>https://aixzd.com/robot/alpha-mini</t>
        </is>
      </c>
      <c r="CO256" s="204" t="inlineStr">
        <is>
          <t>https://theresanaiforthat.com/robots/</t>
        </is>
      </c>
      <c r="CP256" s="204" t="inlineStr">
        <is>
          <t>New platform added 28 Aug 2026 from AIXZD (https://aixzd.com/robots, 644 sitemap robots) and/or TAAFT Robots directory (https://theresanaiforthat.com/robots/, 669 claimed).</t>
        </is>
      </c>
      <c r="CQ256" s="101" t="inlineStr">
        <is>
          <t>Height: 0 ft 9 in | Weight: 3.5 | Degrees of Freedom: 14 | Payload: Not disclosed | Max Speed: Not disclosed | Battery / Runtime: Not disclosed</t>
        </is>
      </c>
    </row>
    <row r="257" ht="36" customHeight="1" s="102">
      <c r="A257" s="204" t="inlineStr">
        <is>
          <t>pnd_adam_u</t>
        </is>
      </c>
      <c r="B257" s="204" t="inlineStr">
        <is>
          <t>AIXZD</t>
        </is>
      </c>
      <c r="C257" s="204" t="inlineStr">
        <is>
          <t>PNDbotics</t>
        </is>
      </c>
      <c r="D257" s="204" t="inlineStr">
        <is>
          <t>Adam-U</t>
        </is>
      </c>
      <c r="E257" s="204" t="inlineStr">
        <is>
          <t>[PNDbotics] Adam-U (2025)</t>
        </is>
      </c>
      <c r="F257" s="204" t="inlineStr">
        <is>
          <t>humanoid</t>
        </is>
      </c>
      <c r="G257" s="204" t="inlineStr">
        <is>
          <t>China</t>
        </is>
      </c>
      <c r="H257" s="205" t="n">
        <v>2025</v>
      </c>
      <c r="I257" s="206" t="n">
        <v>35000</v>
      </c>
      <c r="J257" s="204" t="inlineStr">
        <is>
          <t>Directory estimate Aug 2026 (desktop research platform)</t>
        </is>
      </c>
      <c r="K257" s="204" t="inlineStr">
        <is>
          <t>Adam-U is PNDbotics’ desktop upper-body humanoid: 31 quasi-direct-drive force-controlled joints concentrated in arms, waist, head and fingers, height-adjustable 135–177 cm, 26 kg, ZED Mini + Orin NX, ROS 2 Humble, 1172 Wh battery.</t>
        </is>
      </c>
      <c r="N257" s="204" t="n"/>
      <c r="O257" s="204" t="inlineStr">
        <is>
          <t>https://www.pndbotics.com/</t>
        </is>
      </c>
      <c r="P257" s="204" t="inlineStr">
        <is>
          <t>5 ft 10 in</t>
        </is>
      </c>
      <c r="Q257" s="204" t="n">
        <v>177</v>
      </c>
      <c r="R257" s="204" t="n">
        <v>57.3</v>
      </c>
      <c r="S257" s="204" t="n">
        <v>26</v>
      </c>
      <c r="T257" s="204" t="inlineStr">
        <is>
          <t>Not disclosed</t>
        </is>
      </c>
      <c r="U257" s="204" t="n"/>
      <c r="V257" s="204" t="n">
        <v>31</v>
      </c>
      <c r="W257" s="204" t="n"/>
      <c r="X257" s="204" t="n"/>
      <c r="Y257" s="204" t="n"/>
      <c r="Z257" s="204" t="n"/>
      <c r="AA257" s="204" t="n"/>
      <c r="AB257" s="204" t="n"/>
      <c r="AC257" s="204" t="n"/>
      <c r="AD257" s="204" t="n">
        <v>4</v>
      </c>
      <c r="AE257" s="204" t="n"/>
      <c r="AF257" s="204" t="inlineStr">
        <is>
          <t>Not disclosed</t>
        </is>
      </c>
      <c r="AG257" s="204" t="inlineStr">
        <is>
          <t>Not disclosed</t>
        </is>
      </c>
      <c r="AH257" s="204" t="n"/>
      <c r="AI257" s="204" t="n"/>
      <c r="AJ257" s="204" t="inlineStr">
        <is>
          <t>Not disclosed</t>
        </is>
      </c>
      <c r="AK257" s="204" t="n"/>
      <c r="AL257" s="204" t="inlineStr">
        <is>
          <t>Not disclosed</t>
        </is>
      </c>
      <c r="AM257" s="204" t="n"/>
      <c r="AN257" s="204" t="inlineStr">
        <is>
          <t>Not disclosed</t>
        </is>
      </c>
      <c r="AO257" s="204" t="inlineStr">
        <is>
          <t>Not disclosed</t>
        </is>
      </c>
      <c r="AP257" s="204" t="inlineStr">
        <is>
          <t>Not disclosed</t>
        </is>
      </c>
      <c r="AQ257" s="204" t="inlineStr">
        <is>
          <t>Not disclosed</t>
        </is>
      </c>
      <c r="AR257" s="204" t="n"/>
      <c r="AS257" s="204" t="n"/>
      <c r="AT257" s="204" t="inlineStr">
        <is>
          <t>Not disclosed</t>
        </is>
      </c>
      <c r="AU257" s="204" t="inlineStr">
        <is>
          <t>Not disclosed</t>
        </is>
      </c>
      <c r="AV257" s="204" t="inlineStr">
        <is>
          <t>Not disclosed</t>
        </is>
      </c>
      <c r="AW257" s="204" t="inlineStr">
        <is>
          <t>Not disclosed</t>
        </is>
      </c>
      <c r="AX257" s="204" t="n"/>
      <c r="AY257" s="204" t="inlineStr">
        <is>
          <t>Not disclosed</t>
        </is>
      </c>
      <c r="AZ257" s="204" t="inlineStr">
        <is>
          <t>Not disclosed</t>
        </is>
      </c>
      <c r="BA257" s="204" t="n"/>
      <c r="BB257" s="204" t="inlineStr">
        <is>
          <t>Not disclosed</t>
        </is>
      </c>
      <c r="BC257" s="204" t="inlineStr">
        <is>
          <t>Not disclosed</t>
        </is>
      </c>
      <c r="BD257" s="204" t="inlineStr">
        <is>
          <t>Not disclosed</t>
        </is>
      </c>
      <c r="BE257" s="204" t="inlineStr">
        <is>
          <t>Not disclosed</t>
        </is>
      </c>
      <c r="BF257" s="204" t="n"/>
      <c r="BG257" s="204" t="n"/>
      <c r="BH257" s="204" t="n"/>
      <c r="BI257" s="204" t="n"/>
      <c r="BJ257" s="204" t="n"/>
      <c r="BK257" s="204" t="n"/>
      <c r="BL257" s="204" t="n"/>
      <c r="BM257" s="204" t="inlineStr">
        <is>
          <t>Not disclosed</t>
        </is>
      </c>
      <c r="BN257" s="204" t="inlineStr">
        <is>
          <t>Not disclosed</t>
        </is>
      </c>
      <c r="BO257" s="204" t="inlineStr">
        <is>
          <t>Desktop upper-body · 31 DoF QDD force control · 135–177 cm adjustable · Intel NUC + Orin NX · ROS 2 · 1172 Wh</t>
        </is>
      </c>
      <c r="BP257" s="204" t="inlineStr">
        <is>
          <t>Indoor / human environments</t>
        </is>
      </c>
      <c r="BQ257" s="204" t="inlineStr">
        <is>
          <t>Research / desktop manipulation / data collection</t>
        </is>
      </c>
      <c r="BR257" s="204" t="inlineStr">
        <is>
          <t>Commercial research platform</t>
        </is>
      </c>
      <c r="BS257" s="204" t="n"/>
      <c r="BT257" s="204" t="n"/>
      <c r="BU257" s="204" t="n"/>
      <c r="BV257" s="204" t="inlineStr">
        <is>
          <t>Ingested 28 Aug 2026 from AIXZD/TAAFT directories. AIXZD product page + OEM where cited.</t>
        </is>
      </c>
      <c r="BW257" s="204" t="inlineStr">
        <is>
          <t>Height (fully upright): 5 ft 10 in | Operating weight: 57.3 | Degrees of freedom: 31 | Payload capacity: Not disclosed | Maximum speed: Not disclosed | Battery / runtime: Not disclosed</t>
        </is>
      </c>
      <c r="BX257" s="204" t="n"/>
      <c r="BY257" s="204" t="n"/>
      <c r="BZ257" s="204" t="n"/>
      <c r="CA257" s="204" t="n"/>
      <c r="CB257" s="204" t="inlineStr">
        <is>
          <t>12 months manufacturer standard (typical research/commercial humanoid)</t>
        </is>
      </c>
      <c r="CC257" s="205" t="n">
        <v>12</v>
      </c>
      <c r="CD257" s="204" t="inlineStr">
        <is>
          <t>+3 Year Extended ≈24% of configuration (default in configurator)</t>
        </is>
      </c>
      <c r="CE257" s="204" t="inlineStr">
        <is>
          <t>Humanoid / companionoid category norm 2025–2026</t>
        </is>
      </c>
      <c r="CF257" s="204" t="inlineStr">
        <is>
          <t>Estimated</t>
        </is>
      </c>
      <c r="CG257" s="204" t="inlineStr">
        <is>
          <t>EDU or enterprise packages may differ; confirm on formal quote. Source mix: AIXZD directory + OEM pages Aug 2026.</t>
        </is>
      </c>
      <c r="CH257" s="204" t="inlineStr">
        <is>
          <t>10%</t>
        </is>
      </c>
      <c r="CI257" s="204" t="inlineStr">
        <is>
          <t>17%</t>
        </is>
      </c>
      <c r="CJ257" s="204" t="inlineStr">
        <is>
          <t>24%</t>
        </is>
      </c>
      <c r="CK257" s="204" t="inlineStr">
        <is>
          <t>Profitable schedule (Aug 2026): +1yr ≈10% / +2yr ≈17% / +3yr ≈24% of configuration price.</t>
        </is>
      </c>
      <c r="CL257" s="204" t="inlineStr">
        <is>
          <t>Same TOR extended-warranty schedule used across the catalog (~45–55% target GM).</t>
        </is>
      </c>
      <c r="CM257" s="204" t="inlineStr">
        <is>
          <t>12 months manufacturer standard (typical research/commercial humanoid)</t>
        </is>
      </c>
      <c r="CN257" s="204" t="inlineStr">
        <is>
          <t>https://aixzd.com/robot/adamu</t>
        </is>
      </c>
      <c r="CO257" s="204" t="inlineStr">
        <is>
          <t>https://theresanaiforthat.com/robots/</t>
        </is>
      </c>
      <c r="CP257" s="204" t="inlineStr">
        <is>
          <t>New platform added 28 Aug 2026 from AIXZD (https://aixzd.com/robots, 644 sitemap robots) and/or TAAFT Robots directory (https://theresanaiforthat.com/robots/, 669 claimed).</t>
        </is>
      </c>
      <c r="CQ257" s="101" t="inlineStr">
        <is>
          <t>Height: 5 ft 10 in | Weight: 57.3 | Degrees of Freedom: 31 | Payload: Not disclosed | Max Speed: Not disclosed | Battery / Runtime: Not disclosed</t>
        </is>
      </c>
    </row>
    <row r="258" ht="36" customHeight="1" s="102">
      <c r="A258" s="204" t="inlineStr">
        <is>
          <t>fourier_n1</t>
        </is>
      </c>
      <c r="B258" s="204" t="inlineStr">
        <is>
          <t>AIXZD</t>
        </is>
      </c>
      <c r="C258" s="204" t="inlineStr">
        <is>
          <t>Fourier Intelligence</t>
        </is>
      </c>
      <c r="D258" s="204" t="inlineStr">
        <is>
          <t>Fourier N1</t>
        </is>
      </c>
      <c r="E258" s="204" t="inlineStr">
        <is>
          <t>[Fourier] N1 (2025)</t>
        </is>
      </c>
      <c r="F258" s="204" t="inlineStr">
        <is>
          <t>humanoid</t>
        </is>
      </c>
      <c r="G258" s="204" t="inlineStr">
        <is>
          <t>China</t>
        </is>
      </c>
      <c r="H258" s="205" t="n">
        <v>2025</v>
      </c>
      <c r="I258" s="206" t="n">
        <v>18000</v>
      </c>
      <c r="J258" s="204" t="inlineStr">
        <is>
          <t>Open-source platform estimate Aug 2026 (BOM + build; no single MSRP)</t>
        </is>
      </c>
      <c r="K258" s="204" t="inlineStr">
        <is>
          <t>Fourier N1 is Fourier Intelligence’s first fully open-source compact humanoid (April 2025): 130 cm, ~38–39 kg, 23 actuators, FSA 2.0, 3.5 m/s run, 2 h hot-swap battery, with public BOM, drawings, and control code for researchers.</t>
        </is>
      </c>
      <c r="N258" s="204" t="n"/>
      <c r="O258" s="204" t="inlineStr">
        <is>
          <t>https://www.fftai.com/</t>
        </is>
      </c>
      <c r="P258" s="204" t="inlineStr">
        <is>
          <t>4 ft 3 in</t>
        </is>
      </c>
      <c r="Q258" s="204" t="n">
        <v>130</v>
      </c>
      <c r="R258" s="204" t="n">
        <v>83.8</v>
      </c>
      <c r="S258" s="204" t="n">
        <v>38</v>
      </c>
      <c r="T258" s="204" t="inlineStr">
        <is>
          <t>Not disclosed</t>
        </is>
      </c>
      <c r="U258" s="204" t="n"/>
      <c r="V258" s="204" t="n">
        <v>23</v>
      </c>
      <c r="W258" s="204" t="n"/>
      <c r="X258" s="204" t="n"/>
      <c r="Y258" s="204" t="n"/>
      <c r="Z258" s="204" t="n">
        <v>7.8</v>
      </c>
      <c r="AA258" s="204" t="n">
        <v>12.6</v>
      </c>
      <c r="AB258" s="204" t="n"/>
      <c r="AC258" s="204" t="n"/>
      <c r="AD258" s="204" t="n">
        <v>2</v>
      </c>
      <c r="AE258" s="204" t="n"/>
      <c r="AF258" s="204" t="inlineStr">
        <is>
          <t>Not disclosed</t>
        </is>
      </c>
      <c r="AG258" s="204" t="inlineStr">
        <is>
          <t>Not disclosed</t>
        </is>
      </c>
      <c r="AH258" s="204" t="n"/>
      <c r="AI258" s="204" t="n"/>
      <c r="AJ258" s="204" t="inlineStr">
        <is>
          <t>Not disclosed</t>
        </is>
      </c>
      <c r="AK258" s="204" t="n"/>
      <c r="AL258" s="204" t="inlineStr">
        <is>
          <t>Not disclosed</t>
        </is>
      </c>
      <c r="AM258" s="204" t="n"/>
      <c r="AN258" s="204" t="inlineStr">
        <is>
          <t>Not disclosed</t>
        </is>
      </c>
      <c r="AO258" s="204" t="inlineStr">
        <is>
          <t>Not disclosed</t>
        </is>
      </c>
      <c r="AP258" s="204" t="inlineStr">
        <is>
          <t>Not disclosed</t>
        </is>
      </c>
      <c r="AQ258" s="204" t="inlineStr">
        <is>
          <t>Not disclosed</t>
        </is>
      </c>
      <c r="AR258" s="204" t="n"/>
      <c r="AS258" s="204" t="n"/>
      <c r="AT258" s="204" t="inlineStr">
        <is>
          <t>Not disclosed</t>
        </is>
      </c>
      <c r="AU258" s="204" t="inlineStr">
        <is>
          <t>Not disclosed</t>
        </is>
      </c>
      <c r="AV258" s="204" t="inlineStr">
        <is>
          <t>Not disclosed</t>
        </is>
      </c>
      <c r="AW258" s="204" t="inlineStr">
        <is>
          <t>Not disclosed</t>
        </is>
      </c>
      <c r="AX258" s="204" t="n"/>
      <c r="AY258" s="204" t="inlineStr">
        <is>
          <t>Not disclosed</t>
        </is>
      </c>
      <c r="AZ258" s="204" t="inlineStr">
        <is>
          <t>Not disclosed</t>
        </is>
      </c>
      <c r="BA258" s="204" t="n"/>
      <c r="BB258" s="204" t="inlineStr">
        <is>
          <t>Not disclosed</t>
        </is>
      </c>
      <c r="BC258" s="204" t="inlineStr">
        <is>
          <t>Not disclosed</t>
        </is>
      </c>
      <c r="BD258" s="204" t="inlineStr">
        <is>
          <t>Not disclosed</t>
        </is>
      </c>
      <c r="BE258" s="204" t="inlineStr">
        <is>
          <t>Not disclosed</t>
        </is>
      </c>
      <c r="BF258" s="204" t="n"/>
      <c r="BG258" s="204" t="n"/>
      <c r="BH258" s="204" t="n"/>
      <c r="BI258" s="204" t="n"/>
      <c r="BJ258" s="204" t="n"/>
      <c r="BK258" s="204" t="n"/>
      <c r="BL258" s="204" t="n"/>
      <c r="BM258" s="204" t="inlineStr">
        <is>
          <t>Not disclosed</t>
        </is>
      </c>
      <c r="BN258" s="204" t="inlineStr">
        <is>
          <t>Not disclosed</t>
        </is>
      </c>
      <c r="BO258" s="204" t="inlineStr">
        <is>
          <t>Open-source compact biped · 23 DoF · 3.5 m/s · FSA 2.0 · 2 h · full BOM + GitHub</t>
        </is>
      </c>
      <c r="BP258" s="204" t="inlineStr">
        <is>
          <t>Indoor / human environments</t>
        </is>
      </c>
      <c r="BQ258" s="204" t="inlineStr">
        <is>
          <t>Research / open-source developers / EDU</t>
        </is>
      </c>
      <c r="BR258" s="204" t="inlineStr">
        <is>
          <t>Open-source release (Apr 2025)</t>
        </is>
      </c>
      <c r="BS258" s="204" t="n"/>
      <c r="BT258" s="204" t="n"/>
      <c r="BU258" s="204" t="n"/>
      <c r="BV258" s="204" t="inlineStr">
        <is>
          <t>Ingested 28 Aug 2026 from AIXZD/TAAFT directories. AIXZD product page + OEM where cited.</t>
        </is>
      </c>
      <c r="BW258" s="204" t="inlineStr">
        <is>
          <t>Height (fully upright): 4 ft 3 in | Operating weight: 83.8 | Degrees of freedom: 23 | Payload capacity: Not disclosed | Maximum speed: 7.8 | Battery / runtime: Not disclosed</t>
        </is>
      </c>
      <c r="BX258" s="204" t="n"/>
      <c r="BY258" s="204" t="n"/>
      <c r="BZ258" s="204" t="n"/>
      <c r="CA258" s="204" t="n"/>
      <c r="CB258" s="204" t="inlineStr">
        <is>
          <t>12 months manufacturer standard (typical research/commercial humanoid)</t>
        </is>
      </c>
      <c r="CC258" s="205" t="n">
        <v>12</v>
      </c>
      <c r="CD258" s="204" t="inlineStr">
        <is>
          <t>+3 Year Extended ≈24% of configuration (default in configurator)</t>
        </is>
      </c>
      <c r="CE258" s="204" t="inlineStr">
        <is>
          <t>Humanoid / companionoid category norm 2025–2026</t>
        </is>
      </c>
      <c r="CF258" s="204" t="inlineStr">
        <is>
          <t>Estimated</t>
        </is>
      </c>
      <c r="CG258" s="204" t="inlineStr">
        <is>
          <t>EDU or enterprise packages may differ; confirm on formal quote. Source mix: AIXZD directory + OEM pages Aug 2026.</t>
        </is>
      </c>
      <c r="CH258" s="204" t="inlineStr">
        <is>
          <t>10%</t>
        </is>
      </c>
      <c r="CI258" s="204" t="inlineStr">
        <is>
          <t>17%</t>
        </is>
      </c>
      <c r="CJ258" s="204" t="inlineStr">
        <is>
          <t>24%</t>
        </is>
      </c>
      <c r="CK258" s="204" t="inlineStr">
        <is>
          <t>Profitable schedule (Aug 2026): +1yr ≈10% / +2yr ≈17% / +3yr ≈24% of configuration price.</t>
        </is>
      </c>
      <c r="CL258" s="204" t="inlineStr">
        <is>
          <t>Same TOR extended-warranty schedule used across the catalog (~45–55% target GM).</t>
        </is>
      </c>
      <c r="CM258" s="204" t="inlineStr">
        <is>
          <t>12 months manufacturer standard (typical research/commercial humanoid)</t>
        </is>
      </c>
      <c r="CN258" s="204" t="inlineStr">
        <is>
          <t>https://aixzd.com/robot/fourier-n1</t>
        </is>
      </c>
      <c r="CO258" s="204" t="inlineStr">
        <is>
          <t>https://theresanaiforthat.com/robots/</t>
        </is>
      </c>
      <c r="CP258" s="204" t="inlineStr">
        <is>
          <t>New platform added 28 Aug 2026 from AIXZD (https://aixzd.com/robots, 644 sitemap robots) and/or TAAFT Robots directory (https://theresanaiforthat.com/robots/, 669 claimed).</t>
        </is>
      </c>
      <c r="CQ258" s="101" t="inlineStr">
        <is>
          <t>Height: 4 ft 3 in | Weight: 83.8 | Degrees of Freedom: 23 | Payload: Not disclosed | Max Speed: 7.8 | Battery / Runtime: Not disclosed</t>
        </is>
      </c>
    </row>
    <row r="259" ht="36" customHeight="1" s="102">
      <c r="A259" s="204" t="inlineStr">
        <is>
          <t>songyan_bumi</t>
        </is>
      </c>
      <c r="B259" s="204" t="inlineStr">
        <is>
          <t>AIXZD</t>
        </is>
      </c>
      <c r="C259" s="204" t="inlineStr">
        <is>
          <t>Songyan Power (松延动力)</t>
        </is>
      </c>
      <c r="D259" s="204" t="inlineStr">
        <is>
          <t>Bumi</t>
        </is>
      </c>
      <c r="E259" s="204" t="inlineStr">
        <is>
          <t>[Songyan] Bumi (2025)</t>
        </is>
      </c>
      <c r="F259" s="204" t="inlineStr">
        <is>
          <t>humanoid</t>
        </is>
      </c>
      <c r="G259" s="204" t="inlineStr">
        <is>
          <t>China</t>
        </is>
      </c>
      <c r="H259" s="205" t="n">
        <v>2025</v>
      </c>
      <c r="I259" s="206" t="n">
        <v>1400</v>
      </c>
      <c r="J259" s="204" t="inlineStr">
        <is>
          <t>AIXZD / China list ≈ ¥9,998 consumer · EDU ≈ ¥24,900</t>
        </is>
      </c>
      <c r="K259" s="204" t="inlineStr">
        <is>
          <t>Bumi (小布米) is Songyan Power’s sub-$1,500-class bipedal humanoid: 98 cm, 17 kg, 21 DoF, walk/run/dance plus voice and graphical programming — aimed at family companion and youth education, with an EDU tier at ≈ $3,500.</t>
        </is>
      </c>
      <c r="N259" s="204" t="n"/>
      <c r="O259" s="204" t="n"/>
      <c r="P259" s="204" t="inlineStr">
        <is>
          <t>3 ft 3 in</t>
        </is>
      </c>
      <c r="Q259" s="204" t="n">
        <v>98</v>
      </c>
      <c r="R259" s="204" t="n">
        <v>37.5</v>
      </c>
      <c r="S259" s="204" t="n">
        <v>17</v>
      </c>
      <c r="T259" s="204" t="inlineStr">
        <is>
          <t>Not disclosed</t>
        </is>
      </c>
      <c r="U259" s="204" t="n"/>
      <c r="V259" s="204" t="n">
        <v>21</v>
      </c>
      <c r="W259" s="204" t="n"/>
      <c r="X259" s="204" t="n"/>
      <c r="Y259" s="204" t="n"/>
      <c r="Z259" s="204" t="n"/>
      <c r="AA259" s="204" t="n"/>
      <c r="AB259" s="204" t="n"/>
      <c r="AC259" s="204" t="n"/>
      <c r="AD259" s="204" t="n"/>
      <c r="AE259" s="204" t="n"/>
      <c r="AF259" s="204" t="inlineStr">
        <is>
          <t>Not disclosed</t>
        </is>
      </c>
      <c r="AG259" s="204" t="inlineStr">
        <is>
          <t>Not disclosed</t>
        </is>
      </c>
      <c r="AH259" s="204" t="n"/>
      <c r="AI259" s="204" t="n"/>
      <c r="AJ259" s="204" t="inlineStr">
        <is>
          <t>Not disclosed</t>
        </is>
      </c>
      <c r="AK259" s="204" t="n"/>
      <c r="AL259" s="204" t="inlineStr">
        <is>
          <t>Not disclosed</t>
        </is>
      </c>
      <c r="AM259" s="204" t="n"/>
      <c r="AN259" s="204" t="inlineStr">
        <is>
          <t>Not disclosed</t>
        </is>
      </c>
      <c r="AO259" s="204" t="inlineStr">
        <is>
          <t>Not disclosed</t>
        </is>
      </c>
      <c r="AP259" s="204" t="inlineStr">
        <is>
          <t>Not disclosed</t>
        </is>
      </c>
      <c r="AQ259" s="204" t="inlineStr">
        <is>
          <t>Not disclosed</t>
        </is>
      </c>
      <c r="AR259" s="204" t="n"/>
      <c r="AS259" s="204" t="n"/>
      <c r="AT259" s="204" t="inlineStr">
        <is>
          <t>Not disclosed</t>
        </is>
      </c>
      <c r="AU259" s="204" t="inlineStr">
        <is>
          <t>Not disclosed</t>
        </is>
      </c>
      <c r="AV259" s="204" t="inlineStr">
        <is>
          <t>Not disclosed</t>
        </is>
      </c>
      <c r="AW259" s="204" t="inlineStr">
        <is>
          <t>Not disclosed</t>
        </is>
      </c>
      <c r="AX259" s="204" t="n"/>
      <c r="AY259" s="204" t="inlineStr">
        <is>
          <t>Not disclosed</t>
        </is>
      </c>
      <c r="AZ259" s="204" t="inlineStr">
        <is>
          <t>Not disclosed</t>
        </is>
      </c>
      <c r="BA259" s="204" t="n"/>
      <c r="BB259" s="204" t="inlineStr">
        <is>
          <t>Not disclosed</t>
        </is>
      </c>
      <c r="BC259" s="204" t="inlineStr">
        <is>
          <t>Not disclosed</t>
        </is>
      </c>
      <c r="BD259" s="204" t="inlineStr">
        <is>
          <t>Not disclosed</t>
        </is>
      </c>
      <c r="BE259" s="204" t="inlineStr">
        <is>
          <t>Not disclosed</t>
        </is>
      </c>
      <c r="BF259" s="204" t="n"/>
      <c r="BG259" s="204" t="n"/>
      <c r="BH259" s="204" t="n"/>
      <c r="BI259" s="204" t="n"/>
      <c r="BJ259" s="204" t="n"/>
      <c r="BK259" s="204" t="n"/>
      <c r="BL259" s="204" t="n"/>
      <c r="BM259" s="204" t="inlineStr">
        <is>
          <t>Not disclosed</t>
        </is>
      </c>
      <c r="BN259" s="204" t="inlineStr">
        <is>
          <t>Not disclosed</t>
        </is>
      </c>
      <c r="BO259" s="204" t="inlineStr">
        <is>
          <t>Entry biped · 98 cm · 17 kg · 21 DoF · consumer ¥9,998 / EDU ¥24,900</t>
        </is>
      </c>
      <c r="BP259" s="204" t="inlineStr">
        <is>
          <t>Indoor / human environments</t>
        </is>
      </c>
      <c r="BQ259" s="204" t="inlineStr">
        <is>
          <t>Family companion / youth education</t>
        </is>
      </c>
      <c r="BR259" s="204" t="inlineStr">
        <is>
          <t>In production (China retail)</t>
        </is>
      </c>
      <c r="BS259" s="204" t="n"/>
      <c r="BT259" s="204" t="n"/>
      <c r="BU259" s="204" t="n"/>
      <c r="BV259" s="204" t="inlineStr">
        <is>
          <t>Ingested 28 Aug 2026 from AIXZD/TAAFT directories. AIXZD product page + OEM where cited.</t>
        </is>
      </c>
      <c r="BW259" s="204" t="inlineStr">
        <is>
          <t>Height (fully upright): 3 ft 3 in | Operating weight: 37.5 | Degrees of freedom: 21 | Payload capacity: Not disclosed | Maximum speed: Not disclosed | Battery / runtime: Not disclosed</t>
        </is>
      </c>
      <c r="BX259" s="204" t="n"/>
      <c r="BY259" s="204" t="n"/>
      <c r="BZ259" s="204" t="n"/>
      <c r="CA259" s="204" t="n"/>
      <c r="CB259" s="204" t="inlineStr">
        <is>
          <t>12 months manufacturer standard (typical research/commercial humanoid)</t>
        </is>
      </c>
      <c r="CC259" s="205" t="n">
        <v>12</v>
      </c>
      <c r="CD259" s="204" t="inlineStr">
        <is>
          <t>+3 Year Extended ≈24% of configuration (default in configurator)</t>
        </is>
      </c>
      <c r="CE259" s="204" t="inlineStr">
        <is>
          <t>Humanoid / companionoid category norm 2025–2026</t>
        </is>
      </c>
      <c r="CF259" s="204" t="inlineStr">
        <is>
          <t>Estimated</t>
        </is>
      </c>
      <c r="CG259" s="204" t="inlineStr">
        <is>
          <t>EDU or enterprise packages may differ; confirm on formal quote. Source mix: AIXZD directory + OEM pages Aug 2026.</t>
        </is>
      </c>
      <c r="CH259" s="204" t="inlineStr">
        <is>
          <t>10%</t>
        </is>
      </c>
      <c r="CI259" s="204" t="inlineStr">
        <is>
          <t>17%</t>
        </is>
      </c>
      <c r="CJ259" s="204" t="inlineStr">
        <is>
          <t>24%</t>
        </is>
      </c>
      <c r="CK259" s="204" t="inlineStr">
        <is>
          <t>Profitable schedule (Aug 2026): +1yr ≈10% / +2yr ≈17% / +3yr ≈24% of configuration price.</t>
        </is>
      </c>
      <c r="CL259" s="204" t="inlineStr">
        <is>
          <t>Same TOR extended-warranty schedule used across the catalog (~45–55% target GM).</t>
        </is>
      </c>
      <c r="CM259" s="204" t="inlineStr">
        <is>
          <t>12 months manufacturer standard (typical research/commercial humanoid)</t>
        </is>
      </c>
      <c r="CN259" s="204" t="inlineStr">
        <is>
          <t>https://aixzd.com/robot/bumi</t>
        </is>
      </c>
      <c r="CO259" s="204" t="inlineStr">
        <is>
          <t>https://theresanaiforthat.com/robots/</t>
        </is>
      </c>
      <c r="CP259" s="204" t="inlineStr">
        <is>
          <t>New platform added 28 Aug 2026 from AIXZD (https://aixzd.com/robots, 644 sitemap robots) and/or TAAFT Robots directory (https://theresanaiforthat.com/robots/, 669 claimed).</t>
        </is>
      </c>
      <c r="CQ259" s="101" t="inlineStr">
        <is>
          <t>Height: 3 ft 3 in | Weight: 37.5 | Degrees of Freedom: 21 | Payload: Not disclosed | Max Speed: Not disclosed | Battery / Runtime: Not disclosed</t>
        </is>
      </c>
    </row>
    <row r="260" ht="36" customHeight="1" s="102">
      <c r="A260" s="204" t="inlineStr">
        <is>
          <t>engineered_arts_azi</t>
        </is>
      </c>
      <c r="B260" s="204" t="inlineStr">
        <is>
          <t>AIXZD</t>
        </is>
      </c>
      <c r="C260" s="204" t="inlineStr">
        <is>
          <t>Engineered Arts</t>
        </is>
      </c>
      <c r="D260" s="204" t="inlineStr">
        <is>
          <t>Azi</t>
        </is>
      </c>
      <c r="E260" s="204" t="inlineStr">
        <is>
          <t>[Engineered Arts] Azi (2024)</t>
        </is>
      </c>
      <c r="F260" s="204" t="inlineStr">
        <is>
          <t>humanoid</t>
        </is>
      </c>
      <c r="G260" s="204" t="inlineStr">
        <is>
          <t>United Kingdom</t>
        </is>
      </c>
      <c r="H260" s="205" t="n">
        <v>2024</v>
      </c>
      <c r="I260" s="206" t="n">
        <v>15000</v>
      </c>
      <c r="J260" s="204" t="inlineStr">
        <is>
          <t>Directory estimate Aug 2026 (desktop social; quote required)</t>
        </is>
      </c>
      <c r="K260" s="204" t="inlineStr">
        <is>
          <t>Azi is Engineered Arts’ desktop social humanoid — 52.5 cm, 8.5 kg, 32 actuators for expressive face/gesture, GPT-4o-class conversation — a compact sibling to Ameca for lobby, education, and entertainment deployments.</t>
        </is>
      </c>
      <c r="N260" s="204" t="n"/>
      <c r="O260" s="204" t="inlineStr">
        <is>
          <t>https://www.engineeredarts.com</t>
        </is>
      </c>
      <c r="P260" s="204" t="inlineStr">
        <is>
          <t>1 ft 9 in</t>
        </is>
      </c>
      <c r="Q260" s="204" t="n">
        <v>52.5</v>
      </c>
      <c r="R260" s="204" t="n">
        <v>18.7</v>
      </c>
      <c r="S260" s="204" t="n">
        <v>8.5</v>
      </c>
      <c r="T260" s="204" t="inlineStr">
        <is>
          <t>Not disclosed</t>
        </is>
      </c>
      <c r="U260" s="204" t="n"/>
      <c r="V260" s="204" t="n">
        <v>32</v>
      </c>
      <c r="W260" s="204" t="n"/>
      <c r="X260" s="204" t="n"/>
      <c r="Y260" s="204" t="n"/>
      <c r="Z260" s="204" t="n"/>
      <c r="AA260" s="204" t="n"/>
      <c r="AB260" s="204" t="n"/>
      <c r="AC260" s="204" t="n"/>
      <c r="AD260" s="204" t="n"/>
      <c r="AE260" s="204" t="n"/>
      <c r="AF260" s="204" t="inlineStr">
        <is>
          <t>Not disclosed</t>
        </is>
      </c>
      <c r="AG260" s="204" t="inlineStr">
        <is>
          <t>Not disclosed</t>
        </is>
      </c>
      <c r="AH260" s="204" t="n"/>
      <c r="AI260" s="204" t="n"/>
      <c r="AJ260" s="204" t="inlineStr">
        <is>
          <t>Not disclosed</t>
        </is>
      </c>
      <c r="AK260" s="204" t="n"/>
      <c r="AL260" s="204" t="inlineStr">
        <is>
          <t>Not disclosed</t>
        </is>
      </c>
      <c r="AM260" s="204" t="n"/>
      <c r="AN260" s="204" t="inlineStr">
        <is>
          <t>Not disclosed</t>
        </is>
      </c>
      <c r="AO260" s="204" t="inlineStr">
        <is>
          <t>Not disclosed</t>
        </is>
      </c>
      <c r="AP260" s="204" t="inlineStr">
        <is>
          <t>Not disclosed</t>
        </is>
      </c>
      <c r="AQ260" s="204" t="inlineStr">
        <is>
          <t>Not disclosed</t>
        </is>
      </c>
      <c r="AR260" s="204" t="n"/>
      <c r="AS260" s="204" t="n"/>
      <c r="AT260" s="204" t="inlineStr">
        <is>
          <t>Not disclosed</t>
        </is>
      </c>
      <c r="AU260" s="204" t="inlineStr">
        <is>
          <t>Not disclosed</t>
        </is>
      </c>
      <c r="AV260" s="204" t="inlineStr">
        <is>
          <t>Not disclosed</t>
        </is>
      </c>
      <c r="AW260" s="204" t="inlineStr">
        <is>
          <t>Not disclosed</t>
        </is>
      </c>
      <c r="AX260" s="204" t="n"/>
      <c r="AY260" s="204" t="inlineStr">
        <is>
          <t>Not disclosed</t>
        </is>
      </c>
      <c r="AZ260" s="204" t="inlineStr">
        <is>
          <t>Not disclosed</t>
        </is>
      </c>
      <c r="BA260" s="204" t="n"/>
      <c r="BB260" s="204" t="inlineStr">
        <is>
          <t>Not disclosed</t>
        </is>
      </c>
      <c r="BC260" s="204" t="inlineStr">
        <is>
          <t>Not disclosed</t>
        </is>
      </c>
      <c r="BD260" s="204" t="inlineStr">
        <is>
          <t>Not disclosed</t>
        </is>
      </c>
      <c r="BE260" s="204" t="inlineStr">
        <is>
          <t>Not disclosed</t>
        </is>
      </c>
      <c r="BF260" s="204" t="n"/>
      <c r="BG260" s="204" t="n"/>
      <c r="BH260" s="204" t="n"/>
      <c r="BI260" s="204" t="n"/>
      <c r="BJ260" s="204" t="n"/>
      <c r="BK260" s="204" t="n"/>
      <c r="BL260" s="204" t="n"/>
      <c r="BM260" s="204" t="inlineStr">
        <is>
          <t>Not disclosed</t>
        </is>
      </c>
      <c r="BN260" s="204" t="inlineStr">
        <is>
          <t>Not disclosed</t>
        </is>
      </c>
      <c r="BO260" s="204" t="inlineStr">
        <is>
          <t>Desktop social humanoid · 32 DoF face/gesture · GPT-4o dialogue · 8.5 kg</t>
        </is>
      </c>
      <c r="BP260" s="204" t="inlineStr">
        <is>
          <t>Indoor / human environments</t>
        </is>
      </c>
      <c r="BQ260" s="204" t="inlineStr">
        <is>
          <t>Desktop social / education / entertainment</t>
        </is>
      </c>
      <c r="BR260" s="204" t="inlineStr">
        <is>
          <t>Commercial</t>
        </is>
      </c>
      <c r="BS260" s="204" t="n"/>
      <c r="BT260" s="204" t="n"/>
      <c r="BU260" s="204" t="n"/>
      <c r="BV260" s="204" t="inlineStr">
        <is>
          <t>Ingested 28 Aug 2026 from AIXZD/TAAFT directories. AIXZD product page + OEM where cited.</t>
        </is>
      </c>
      <c r="BW260" s="204" t="inlineStr">
        <is>
          <t>Height (fully upright): 1 ft 9 in | Operating weight: 18.7 | Degrees of freedom: 32 | Payload capacity: Not disclosed | Maximum speed: Not disclosed | Battery / runtime: Not disclosed</t>
        </is>
      </c>
      <c r="BX260" s="204" t="n"/>
      <c r="BY260" s="204" t="n"/>
      <c r="BZ260" s="204" t="n"/>
      <c r="CA260" s="204" t="n"/>
      <c r="CB260" s="204" t="inlineStr">
        <is>
          <t>12 months manufacturer standard (typical research/commercial humanoid)</t>
        </is>
      </c>
      <c r="CC260" s="205" t="n">
        <v>12</v>
      </c>
      <c r="CD260" s="204" t="inlineStr">
        <is>
          <t>+3 Year Extended ≈24% of configuration (default in configurator)</t>
        </is>
      </c>
      <c r="CE260" s="204" t="inlineStr">
        <is>
          <t>Humanoid / companionoid category norm 2025–2026</t>
        </is>
      </c>
      <c r="CF260" s="204" t="inlineStr">
        <is>
          <t>Estimated</t>
        </is>
      </c>
      <c r="CG260" s="204" t="inlineStr">
        <is>
          <t>EDU or enterprise packages may differ; confirm on formal quote. Source mix: AIXZD directory + OEM pages Aug 2026.</t>
        </is>
      </c>
      <c r="CH260" s="204" t="inlineStr">
        <is>
          <t>10%</t>
        </is>
      </c>
      <c r="CI260" s="204" t="inlineStr">
        <is>
          <t>17%</t>
        </is>
      </c>
      <c r="CJ260" s="204" t="inlineStr">
        <is>
          <t>24%</t>
        </is>
      </c>
      <c r="CK260" s="204" t="inlineStr">
        <is>
          <t>Profitable schedule (Aug 2026): +1yr ≈10% / +2yr ≈17% / +3yr ≈24% of configuration price.</t>
        </is>
      </c>
      <c r="CL260" s="204" t="inlineStr">
        <is>
          <t>Same TOR extended-warranty schedule used across the catalog (~45–55% target GM).</t>
        </is>
      </c>
      <c r="CM260" s="204" t="inlineStr">
        <is>
          <t>12 months manufacturer standard (typical research/commercial humanoid)</t>
        </is>
      </c>
      <c r="CN260" s="204" t="inlineStr">
        <is>
          <t>https://aixzd.com/robot/azi</t>
        </is>
      </c>
      <c r="CO260" s="204" t="inlineStr">
        <is>
          <t>https://theresanaiforthat.com/robots/</t>
        </is>
      </c>
      <c r="CP260" s="204" t="inlineStr">
        <is>
          <t>New platform added 28 Aug 2026 from AIXZD (https://aixzd.com/robots, 644 sitemap robots) and/or TAAFT Robots directory (https://theresanaiforthat.com/robots/, 669 claimed).</t>
        </is>
      </c>
      <c r="CQ260" s="101" t="inlineStr">
        <is>
          <t>Height: 1 ft 9 in | Weight: 18.7 | Degrees of Freedom: 32 | Payload: Not disclosed | Max Speed: Not disclosed | Battery / Runtime: Not disclosed</t>
        </is>
      </c>
    </row>
    <row r="261" ht="36" customHeight="1" s="102">
      <c r="A261" s="204" t="inlineStr">
        <is>
          <t>softbank_pepper</t>
        </is>
      </c>
      <c r="B261" s="204" t="inlineStr">
        <is>
          <t>AIXZD</t>
        </is>
      </c>
      <c r="C261" s="204" t="inlineStr">
        <is>
          <t>SoftBank Robotics / Aldebaran (United Robotics Group)</t>
        </is>
      </c>
      <c r="D261" s="204" t="inlineStr">
        <is>
          <t>Pepper</t>
        </is>
      </c>
      <c r="E261" s="204" t="inlineStr">
        <is>
          <t>[SoftBank] Pepper (2014)</t>
        </is>
      </c>
      <c r="F261" s="204" t="inlineStr">
        <is>
          <t>humanoid</t>
        </is>
      </c>
      <c r="G261" s="204" t="inlineStr">
        <is>
          <t>France / Japan</t>
        </is>
      </c>
      <c r="H261" s="205" t="n">
        <v>2014</v>
      </c>
      <c r="I261" s="206" t="n">
        <v>12000</v>
      </c>
      <c r="J261" s="204" t="inlineStr">
        <is>
          <t>Used / refurbished marketplace estimate Aug 2026 (OEM new production ended)</t>
        </is>
      </c>
      <c r="K261" s="204" t="inlineStr">
        <is>
          <t>Pepper is the canonical wheeled service humanoid (120 cm, 28 kg, 20 DoF) used globally in retail, healthcare greeting, and education — a cornerstone used-robot SKU now supported in the aftermarket after SoftBank halted new production.</t>
        </is>
      </c>
      <c r="N261" s="204" t="n"/>
      <c r="O261" s="204" t="inlineStr">
        <is>
          <t>https://www.aldebaran.com/en/pepper</t>
        </is>
      </c>
      <c r="P261" s="204" t="inlineStr">
        <is>
          <t>3 ft 11 in</t>
        </is>
      </c>
      <c r="Q261" s="204" t="n">
        <v>120</v>
      </c>
      <c r="R261" s="204" t="n">
        <v>61.7</v>
      </c>
      <c r="S261" s="204" t="n">
        <v>28</v>
      </c>
      <c r="T261" s="204" t="inlineStr">
        <is>
          <t>Not disclosed</t>
        </is>
      </c>
      <c r="U261" s="204" t="n"/>
      <c r="V261" s="204" t="n">
        <v>20</v>
      </c>
      <c r="W261" s="204" t="n"/>
      <c r="X261" s="204" t="n"/>
      <c r="Y261" s="204" t="n"/>
      <c r="Z261" s="204" t="n"/>
      <c r="AA261" s="204" t="n"/>
      <c r="AB261" s="204" t="n"/>
      <c r="AC261" s="204" t="n"/>
      <c r="AD261" s="204" t="n"/>
      <c r="AE261" s="204" t="n"/>
      <c r="AF261" s="204" t="inlineStr">
        <is>
          <t>Not disclosed</t>
        </is>
      </c>
      <c r="AG261" s="204" t="inlineStr">
        <is>
          <t>Not disclosed</t>
        </is>
      </c>
      <c r="AH261" s="204" t="n"/>
      <c r="AI261" s="204" t="n"/>
      <c r="AJ261" s="204" t="inlineStr">
        <is>
          <t>Not disclosed</t>
        </is>
      </c>
      <c r="AK261" s="204" t="n"/>
      <c r="AL261" s="204" t="inlineStr">
        <is>
          <t>Not disclosed</t>
        </is>
      </c>
      <c r="AM261" s="204" t="n"/>
      <c r="AN261" s="204" t="inlineStr">
        <is>
          <t>Not disclosed</t>
        </is>
      </c>
      <c r="AO261" s="204" t="inlineStr">
        <is>
          <t>Not disclosed</t>
        </is>
      </c>
      <c r="AP261" s="204" t="inlineStr">
        <is>
          <t>Not disclosed</t>
        </is>
      </c>
      <c r="AQ261" s="204" t="inlineStr">
        <is>
          <t>Not disclosed</t>
        </is>
      </c>
      <c r="AR261" s="204" t="n"/>
      <c r="AS261" s="204" t="n"/>
      <c r="AT261" s="204" t="inlineStr">
        <is>
          <t>Not disclosed</t>
        </is>
      </c>
      <c r="AU261" s="204" t="inlineStr">
        <is>
          <t>Not disclosed</t>
        </is>
      </c>
      <c r="AV261" s="204" t="inlineStr">
        <is>
          <t>Not disclosed</t>
        </is>
      </c>
      <c r="AW261" s="204" t="inlineStr">
        <is>
          <t>Not disclosed</t>
        </is>
      </c>
      <c r="AX261" s="204" t="n"/>
      <c r="AY261" s="204" t="inlineStr">
        <is>
          <t>Not disclosed</t>
        </is>
      </c>
      <c r="AZ261" s="204" t="inlineStr">
        <is>
          <t>Not disclosed</t>
        </is>
      </c>
      <c r="BA261" s="204" t="n"/>
      <c r="BB261" s="204" t="inlineStr">
        <is>
          <t>Not disclosed</t>
        </is>
      </c>
      <c r="BC261" s="204" t="inlineStr">
        <is>
          <t>Not disclosed</t>
        </is>
      </c>
      <c r="BD261" s="204" t="inlineStr">
        <is>
          <t>Not disclosed</t>
        </is>
      </c>
      <c r="BE261" s="204" t="inlineStr">
        <is>
          <t>Not disclosed</t>
        </is>
      </c>
      <c r="BF261" s="204" t="n"/>
      <c r="BG261" s="204" t="n"/>
      <c r="BH261" s="204" t="n"/>
      <c r="BI261" s="204" t="n"/>
      <c r="BJ261" s="204" t="n"/>
      <c r="BK261" s="204" t="n"/>
      <c r="BL261" s="204" t="n"/>
      <c r="BM261" s="204" t="inlineStr">
        <is>
          <t>Not disclosed</t>
        </is>
      </c>
      <c r="BN261" s="204" t="inlineStr">
        <is>
          <t>Not disclosed</t>
        </is>
      </c>
      <c r="BO261" s="204" t="inlineStr">
        <is>
          <t>Wheeled service humanoid · 20 DoF · tablet chest · used-market liquidity</t>
        </is>
      </c>
      <c r="BP261" s="204" t="inlineStr">
        <is>
          <t>Indoor / human environments</t>
        </is>
      </c>
      <c r="BQ261" s="204" t="inlineStr">
        <is>
          <t>Retail greeting / education / healthcare reception</t>
        </is>
      </c>
      <c r="BR261" s="204" t="inlineStr">
        <is>
          <t>Out of new production · active used market</t>
        </is>
      </c>
      <c r="BS261" s="204" t="n"/>
      <c r="BT261" s="204" t="n"/>
      <c r="BU261" s="204" t="n"/>
      <c r="BV261" s="204" t="inlineStr">
        <is>
          <t>Ingested 28 Aug 2026 from AIXZD/TAAFT directories. AIXZD product page + OEM where cited.</t>
        </is>
      </c>
      <c r="BW261" s="204" t="inlineStr">
        <is>
          <t>Height (fully upright): 3 ft 11 in | Operating weight: 61.7 | Degrees of freedom: 20 | Payload capacity: Not disclosed | Maximum speed: Not disclosed | Battery / runtime: Not disclosed</t>
        </is>
      </c>
      <c r="BX261" s="204" t="n"/>
      <c r="BY261" s="204" t="n"/>
      <c r="BZ261" s="204" t="n"/>
      <c r="CA261" s="204" t="n"/>
      <c r="CB261" s="204" t="inlineStr">
        <is>
          <t>12 months manufacturer standard (typical research/commercial humanoid)</t>
        </is>
      </c>
      <c r="CC261" s="205" t="n">
        <v>12</v>
      </c>
      <c r="CD261" s="204" t="inlineStr">
        <is>
          <t>+3 Year Extended ≈24% of configuration (default in configurator)</t>
        </is>
      </c>
      <c r="CE261" s="204" t="inlineStr">
        <is>
          <t>Humanoid / companionoid category norm 2025–2026</t>
        </is>
      </c>
      <c r="CF261" s="204" t="inlineStr">
        <is>
          <t>Estimated</t>
        </is>
      </c>
      <c r="CG261" s="204" t="inlineStr">
        <is>
          <t>EDU or enterprise packages may differ; confirm on formal quote. Source mix: AIXZD directory + OEM pages Aug 2026.</t>
        </is>
      </c>
      <c r="CH261" s="204" t="inlineStr">
        <is>
          <t>10%</t>
        </is>
      </c>
      <c r="CI261" s="204" t="inlineStr">
        <is>
          <t>17%</t>
        </is>
      </c>
      <c r="CJ261" s="204" t="inlineStr">
        <is>
          <t>24%</t>
        </is>
      </c>
      <c r="CK261" s="204" t="inlineStr">
        <is>
          <t>Profitable schedule (Aug 2026): +1yr ≈10% / +2yr ≈17% / +3yr ≈24% of configuration price.</t>
        </is>
      </c>
      <c r="CL261" s="204" t="inlineStr">
        <is>
          <t>Same TOR extended-warranty schedule used across the catalog (~45–55% target GM).</t>
        </is>
      </c>
      <c r="CM261" s="204" t="inlineStr">
        <is>
          <t>12 months manufacturer standard (typical research/commercial humanoid)</t>
        </is>
      </c>
      <c r="CN261" s="204" t="inlineStr">
        <is>
          <t>https://aixzd.com/robot/cloud-pepper</t>
        </is>
      </c>
      <c r="CO261" s="204" t="inlineStr">
        <is>
          <t>https://theresanaiforthat.com/robots/</t>
        </is>
      </c>
      <c r="CP261" s="204" t="inlineStr">
        <is>
          <t>New platform added 28 Aug 2026 from AIXZD (https://aixzd.com/robots, 644 sitemap robots) and/or TAAFT Robots directory (https://theresanaiforthat.com/robots/, 669 claimed).</t>
        </is>
      </c>
      <c r="CQ261" s="101" t="inlineStr">
        <is>
          <t>Height: 3 ft 11 in | Weight: 61.7 | Degrees of Freedom: 20 | Payload: Not disclosed | Max Speed: Not disclosed | Battery / Runtime: Not disclosed</t>
        </is>
      </c>
    </row>
    <row r="262" ht="36" customHeight="1" s="102">
      <c r="A262" s="204" t="inlineStr">
        <is>
          <t>aldebaran_nao6</t>
        </is>
      </c>
      <c r="B262" s="204" t="inlineStr">
        <is>
          <t>AIXZD</t>
        </is>
      </c>
      <c r="C262" s="204" t="inlineStr">
        <is>
          <t>Aldebaran (United Robotics Group)</t>
        </is>
      </c>
      <c r="D262" s="204" t="inlineStr">
        <is>
          <t>NAO6</t>
        </is>
      </c>
      <c r="E262" s="204" t="inlineStr">
        <is>
          <t>[Aldebaran] NAO6 (2018)</t>
        </is>
      </c>
      <c r="F262" s="204" t="inlineStr">
        <is>
          <t>humanoid</t>
        </is>
      </c>
      <c r="G262" s="204" t="inlineStr">
        <is>
          <t>France</t>
        </is>
      </c>
      <c r="H262" s="205" t="n">
        <v>2018</v>
      </c>
      <c r="I262" s="206" t="n">
        <v>11000</v>
      </c>
      <c r="J262" s="204" t="inlineStr">
        <is>
          <t>Education list / used estimate Aug 2026</t>
        </is>
      </c>
      <c r="K262" s="204" t="inlineStr">
        <is>
          <t>NAO6 is Aldebaran’s sixth-generation 58 cm educational biped (25 DoF) — the standard platform for university HRI, RoboCup SPL, and K-12 labs, with strong global used-market volume.</t>
        </is>
      </c>
      <c r="N262" s="204" t="n"/>
      <c r="O262" s="204" t="inlineStr">
        <is>
          <t>https://www.aldebaran.com/en/nao</t>
        </is>
      </c>
      <c r="P262" s="204" t="inlineStr">
        <is>
          <t>1 ft 11 in</t>
        </is>
      </c>
      <c r="Q262" s="204" t="n">
        <v>58</v>
      </c>
      <c r="R262" s="204" t="n">
        <v>12.1</v>
      </c>
      <c r="S262" s="204" t="n">
        <v>5.5</v>
      </c>
      <c r="T262" s="204" t="inlineStr">
        <is>
          <t>Not disclosed</t>
        </is>
      </c>
      <c r="U262" s="204" t="n"/>
      <c r="V262" s="204" t="n">
        <v>25</v>
      </c>
      <c r="W262" s="204" t="n"/>
      <c r="X262" s="204" t="n"/>
      <c r="Y262" s="204" t="n"/>
      <c r="Z262" s="204" t="n"/>
      <c r="AA262" s="204" t="n"/>
      <c r="AB262" s="204" t="n"/>
      <c r="AC262" s="204" t="n"/>
      <c r="AD262" s="204" t="n"/>
      <c r="AE262" s="204" t="n"/>
      <c r="AF262" s="204" t="inlineStr">
        <is>
          <t>Not disclosed</t>
        </is>
      </c>
      <c r="AG262" s="204" t="inlineStr">
        <is>
          <t>Not disclosed</t>
        </is>
      </c>
      <c r="AH262" s="204" t="n"/>
      <c r="AI262" s="204" t="n"/>
      <c r="AJ262" s="204" t="inlineStr">
        <is>
          <t>Not disclosed</t>
        </is>
      </c>
      <c r="AK262" s="204" t="n"/>
      <c r="AL262" s="204" t="inlineStr">
        <is>
          <t>Not disclosed</t>
        </is>
      </c>
      <c r="AM262" s="204" t="n"/>
      <c r="AN262" s="204" t="inlineStr">
        <is>
          <t>Not disclosed</t>
        </is>
      </c>
      <c r="AO262" s="204" t="inlineStr">
        <is>
          <t>Not disclosed</t>
        </is>
      </c>
      <c r="AP262" s="204" t="inlineStr">
        <is>
          <t>Not disclosed</t>
        </is>
      </c>
      <c r="AQ262" s="204" t="inlineStr">
        <is>
          <t>Not disclosed</t>
        </is>
      </c>
      <c r="AR262" s="204" t="n"/>
      <c r="AS262" s="204" t="n"/>
      <c r="AT262" s="204" t="inlineStr">
        <is>
          <t>Not disclosed</t>
        </is>
      </c>
      <c r="AU262" s="204" t="inlineStr">
        <is>
          <t>Not disclosed</t>
        </is>
      </c>
      <c r="AV262" s="204" t="inlineStr">
        <is>
          <t>Not disclosed</t>
        </is>
      </c>
      <c r="AW262" s="204" t="inlineStr">
        <is>
          <t>Not disclosed</t>
        </is>
      </c>
      <c r="AX262" s="204" t="n"/>
      <c r="AY262" s="204" t="inlineStr">
        <is>
          <t>Not disclosed</t>
        </is>
      </c>
      <c r="AZ262" s="204" t="inlineStr">
        <is>
          <t>Not disclosed</t>
        </is>
      </c>
      <c r="BA262" s="204" t="n"/>
      <c r="BB262" s="204" t="inlineStr">
        <is>
          <t>Not disclosed</t>
        </is>
      </c>
      <c r="BC262" s="204" t="inlineStr">
        <is>
          <t>Not disclosed</t>
        </is>
      </c>
      <c r="BD262" s="204" t="inlineStr">
        <is>
          <t>Not disclosed</t>
        </is>
      </c>
      <c r="BE262" s="204" t="inlineStr">
        <is>
          <t>Not disclosed</t>
        </is>
      </c>
      <c r="BF262" s="204" t="n"/>
      <c r="BG262" s="204" t="n"/>
      <c r="BH262" s="204" t="n"/>
      <c r="BI262" s="204" t="n"/>
      <c r="BJ262" s="204" t="n"/>
      <c r="BK262" s="204" t="n"/>
      <c r="BL262" s="204" t="n"/>
      <c r="BM262" s="204" t="inlineStr">
        <is>
          <t>Not disclosed</t>
        </is>
      </c>
      <c r="BN262" s="204" t="inlineStr">
        <is>
          <t>Not disclosed</t>
        </is>
      </c>
      <c r="BO262" s="204" t="inlineStr">
        <is>
          <t>Educational biped · 58 cm · 25 DoF · NAOqi · global EDU installed base</t>
        </is>
      </c>
      <c r="BP262" s="204" t="inlineStr">
        <is>
          <t>Indoor / human environments</t>
        </is>
      </c>
      <c r="BQ262" s="204" t="inlineStr">
        <is>
          <t>Education / research / RoboCup</t>
        </is>
      </c>
      <c r="BR262" s="204" t="inlineStr">
        <is>
          <t>In production (education channel) + used market</t>
        </is>
      </c>
      <c r="BS262" s="204" t="n"/>
      <c r="BT262" s="204" t="n"/>
      <c r="BU262" s="204" t="n"/>
      <c r="BV262" s="204" t="inlineStr">
        <is>
          <t>Ingested 28 Aug 2026 from AIXZD/TAAFT directories. AIXZD product page + OEM where cited.</t>
        </is>
      </c>
      <c r="BW262" s="204" t="inlineStr">
        <is>
          <t>Height (fully upright): 1 ft 11 in | Operating weight: 12.1 | Degrees of freedom: 25 | Payload capacity: Not disclosed | Maximum speed: Not disclosed | Battery / runtime: Not disclosed</t>
        </is>
      </c>
      <c r="BX262" s="204" t="n"/>
      <c r="BY262" s="204" t="n"/>
      <c r="BZ262" s="204" t="n"/>
      <c r="CA262" s="204" t="n"/>
      <c r="CB262" s="204" t="inlineStr">
        <is>
          <t>12 months manufacturer standard (typical research/commercial humanoid)</t>
        </is>
      </c>
      <c r="CC262" s="205" t="n">
        <v>12</v>
      </c>
      <c r="CD262" s="204" t="inlineStr">
        <is>
          <t>+3 Year Extended ≈24% of configuration (default in configurator)</t>
        </is>
      </c>
      <c r="CE262" s="204" t="inlineStr">
        <is>
          <t>Humanoid / companionoid category norm 2025–2026</t>
        </is>
      </c>
      <c r="CF262" s="204" t="inlineStr">
        <is>
          <t>Estimated</t>
        </is>
      </c>
      <c r="CG262" s="204" t="inlineStr">
        <is>
          <t>EDU or enterprise packages may differ; confirm on formal quote. Source mix: AIXZD directory + OEM pages Aug 2026.</t>
        </is>
      </c>
      <c r="CH262" s="204" t="inlineStr">
        <is>
          <t>10%</t>
        </is>
      </c>
      <c r="CI262" s="204" t="inlineStr">
        <is>
          <t>17%</t>
        </is>
      </c>
      <c r="CJ262" s="204" t="inlineStr">
        <is>
          <t>24%</t>
        </is>
      </c>
      <c r="CK262" s="204" t="inlineStr">
        <is>
          <t>Profitable schedule (Aug 2026): +1yr ≈10% / +2yr ≈17% / +3yr ≈24% of configuration price.</t>
        </is>
      </c>
      <c r="CL262" s="204" t="inlineStr">
        <is>
          <t>Same TOR extended-warranty schedule used across the catalog (~45–55% target GM).</t>
        </is>
      </c>
      <c r="CM262" s="204" t="inlineStr">
        <is>
          <t>12 months manufacturer standard (typical research/commercial humanoid)</t>
        </is>
      </c>
      <c r="CN262" s="204" t="n"/>
      <c r="CO262" s="204" t="inlineStr">
        <is>
          <t>https://theresanaiforthat.com/robots/</t>
        </is>
      </c>
      <c r="CP262" s="204" t="inlineStr">
        <is>
          <t>New platform added 28 Aug 2026 from AIXZD (https://aixzd.com/robots, 644 sitemap robots) and/or TAAFT Robots directory (https://theresanaiforthat.com/robots/, 669 claimed).</t>
        </is>
      </c>
      <c r="CQ262" s="101" t="inlineStr">
        <is>
          <t>Height: 1 ft 11 in | Weight: 12.1 | Degrees of Freedom: 25 | Payload: Not disclosed | Max Speed: Not disclosed | Battery / Runtime: Not disclosed</t>
        </is>
      </c>
    </row>
    <row r="263" ht="36" customHeight="1" s="102">
      <c r="A263" s="204" t="inlineStr">
        <is>
          <t>hmnd_01_wheeled</t>
        </is>
      </c>
      <c r="B263" s="204" t="inlineStr">
        <is>
          <t>TAAFT</t>
        </is>
      </c>
      <c r="C263" s="204" t="inlineStr">
        <is>
          <t>Humanoid (UK)</t>
        </is>
      </c>
      <c r="D263" s="204" t="inlineStr">
        <is>
          <t>HMND 01 Alpha Wheeled</t>
        </is>
      </c>
      <c r="E263" s="204" t="inlineStr">
        <is>
          <t>[Humanoid] HMND 01 Alpha Wheeled (2025)</t>
        </is>
      </c>
      <c r="F263" s="204" t="inlineStr">
        <is>
          <t>humanoid</t>
        </is>
      </c>
      <c r="G263" s="204" t="inlineStr">
        <is>
          <t>United Kingdom</t>
        </is>
      </c>
      <c r="H263" s="205" t="n">
        <v>2025</v>
      </c>
      <c r="I263" s="206" t="n">
        <v>100000</v>
      </c>
      <c r="J263" s="204" t="inlineStr">
        <is>
          <t>TAAFT listing · Pilot $100,000 (Sep 2025)</t>
        </is>
      </c>
      <c r="K263" s="204" t="inlineStr">
        <is>
          <t>HMND 01 Alpha Wheeled is Humanoid Ltd’s modular industrial humanoid on a wheeled base — same 175–179 cm, ~70 kg, 41 DoF upper body as the bipedal Alpha, trading legs for smooth-floor factory and retail pilots.</t>
        </is>
      </c>
      <c r="N263" s="204" t="n"/>
      <c r="O263" s="204" t="inlineStr">
        <is>
          <t>https://www.humanoid.inc/</t>
        </is>
      </c>
      <c r="P263" s="204" t="inlineStr">
        <is>
          <t>5 ft 9 in</t>
        </is>
      </c>
      <c r="Q263" s="204" t="n">
        <v>175</v>
      </c>
      <c r="R263" s="204" t="n">
        <v>154.3</v>
      </c>
      <c r="S263" s="204" t="n">
        <v>70</v>
      </c>
      <c r="T263" s="204" t="inlineStr">
        <is>
          <t>Not disclosed</t>
        </is>
      </c>
      <c r="U263" s="204" t="n"/>
      <c r="V263" s="204" t="n">
        <v>41</v>
      </c>
      <c r="W263" s="204" t="n"/>
      <c r="X263" s="204" t="n">
        <v>33.1</v>
      </c>
      <c r="Y263" s="204" t="n">
        <v>15</v>
      </c>
      <c r="Z263" s="204" t="n"/>
      <c r="AA263" s="204" t="n"/>
      <c r="AB263" s="204" t="n"/>
      <c r="AC263" s="204" t="n"/>
      <c r="AD263" s="204" t="n"/>
      <c r="AE263" s="204" t="n"/>
      <c r="AF263" s="204" t="inlineStr">
        <is>
          <t>Not disclosed</t>
        </is>
      </c>
      <c r="AG263" s="204" t="inlineStr">
        <is>
          <t>Not disclosed</t>
        </is>
      </c>
      <c r="AH263" s="204" t="n"/>
      <c r="AI263" s="204" t="n"/>
      <c r="AJ263" s="204" t="inlineStr">
        <is>
          <t>Not disclosed</t>
        </is>
      </c>
      <c r="AK263" s="204" t="n"/>
      <c r="AL263" s="204" t="inlineStr">
        <is>
          <t>Not disclosed</t>
        </is>
      </c>
      <c r="AM263" s="204" t="n"/>
      <c r="AN263" s="204" t="inlineStr">
        <is>
          <t>Not disclosed</t>
        </is>
      </c>
      <c r="AO263" s="204" t="inlineStr">
        <is>
          <t>Not disclosed</t>
        </is>
      </c>
      <c r="AP263" s="204" t="inlineStr">
        <is>
          <t>Not disclosed</t>
        </is>
      </c>
      <c r="AQ263" s="204" t="inlineStr">
        <is>
          <t>Not disclosed</t>
        </is>
      </c>
      <c r="AR263" s="204" t="n"/>
      <c r="AS263" s="204" t="n"/>
      <c r="AT263" s="204" t="inlineStr">
        <is>
          <t>Not disclosed</t>
        </is>
      </c>
      <c r="AU263" s="204" t="inlineStr">
        <is>
          <t>Not disclosed</t>
        </is>
      </c>
      <c r="AV263" s="204" t="inlineStr">
        <is>
          <t>Not disclosed</t>
        </is>
      </c>
      <c r="AW263" s="204" t="inlineStr">
        <is>
          <t>Not disclosed</t>
        </is>
      </c>
      <c r="AX263" s="204" t="n"/>
      <c r="AY263" s="204" t="inlineStr">
        <is>
          <t>Not disclosed</t>
        </is>
      </c>
      <c r="AZ263" s="204" t="inlineStr">
        <is>
          <t>Not disclosed</t>
        </is>
      </c>
      <c r="BA263" s="204" t="n"/>
      <c r="BB263" s="204" t="inlineStr">
        <is>
          <t>Not disclosed</t>
        </is>
      </c>
      <c r="BC263" s="204" t="inlineStr">
        <is>
          <t>Not disclosed</t>
        </is>
      </c>
      <c r="BD263" s="204" t="inlineStr">
        <is>
          <t>Not disclosed</t>
        </is>
      </c>
      <c r="BE263" s="204" t="inlineStr">
        <is>
          <t>Not disclosed</t>
        </is>
      </c>
      <c r="BF263" s="204" t="n"/>
      <c r="BG263" s="204" t="n"/>
      <c r="BH263" s="204" t="n"/>
      <c r="BI263" s="204" t="n"/>
      <c r="BJ263" s="204" t="n"/>
      <c r="BK263" s="204" t="n"/>
      <c r="BL263" s="204" t="n"/>
      <c r="BM263" s="204" t="inlineStr">
        <is>
          <t>Not disclosed</t>
        </is>
      </c>
      <c r="BN263" s="204" t="inlineStr">
        <is>
          <t>Not disclosed</t>
        </is>
      </c>
      <c r="BO263" s="204" t="inlineStr">
        <is>
          <t>Wheeled industrial humanoid · 41 DoF · modular hands · UK OEM · $100k pilot list on TAAFT</t>
        </is>
      </c>
      <c r="BP263" s="204" t="inlineStr">
        <is>
          <t>Indoor / human environments</t>
        </is>
      </c>
      <c r="BQ263" s="204" t="inlineStr">
        <is>
          <t>Industrial / retail pilots (smooth floors)</t>
        </is>
      </c>
      <c r="BR263" s="204" t="inlineStr">
        <is>
          <t>Pilot</t>
        </is>
      </c>
      <c r="BS263" s="204" t="n"/>
      <c r="BT263" s="204" t="n"/>
      <c r="BU263" s="204" t="n"/>
      <c r="BV263" s="204" t="inlineStr">
        <is>
          <t>Ingested 28 Aug 2026 from AIXZD/TAAFT directories. Listed in TAAFT Robots directory (669 entries, 13 categories; Humanoid / Companion / Industrial filters). Individual tool URLs gated Aug 2026.</t>
        </is>
      </c>
      <c r="BW263" s="204" t="inlineStr">
        <is>
          <t>Height (fully upright): 5 ft 9 in | Operating weight: 154.3 | Degrees of freedom: 41 | Payload capacity: 33.1 | Maximum speed: Not disclosed | Battery / runtime: Not disclosed</t>
        </is>
      </c>
      <c r="BX263" s="204" t="n"/>
      <c r="BY263" s="204" t="n"/>
      <c r="BZ263" s="204" t="n"/>
      <c r="CA263" s="204" t="n"/>
      <c r="CB263" s="204" t="inlineStr">
        <is>
          <t>12 months manufacturer standard (typical research/commercial humanoid)</t>
        </is>
      </c>
      <c r="CC263" s="205" t="n">
        <v>12</v>
      </c>
      <c r="CD263" s="204" t="inlineStr">
        <is>
          <t>+3 Year Extended ≈24% of configuration (default in configurator)</t>
        </is>
      </c>
      <c r="CE263" s="204" t="inlineStr">
        <is>
          <t>Humanoid / companionoid category norm 2025–2026</t>
        </is>
      </c>
      <c r="CF263" s="204" t="inlineStr">
        <is>
          <t>Estimated</t>
        </is>
      </c>
      <c r="CG263" s="204" t="inlineStr">
        <is>
          <t>EDU or enterprise packages may differ; confirm on formal quote. Source mix: AIXZD directory + OEM pages Aug 2026.</t>
        </is>
      </c>
      <c r="CH263" s="204" t="inlineStr">
        <is>
          <t>10%</t>
        </is>
      </c>
      <c r="CI263" s="204" t="inlineStr">
        <is>
          <t>17%</t>
        </is>
      </c>
      <c r="CJ263" s="204" t="inlineStr">
        <is>
          <t>24%</t>
        </is>
      </c>
      <c r="CK263" s="204" t="inlineStr">
        <is>
          <t>Profitable schedule (Aug 2026): +1yr ≈10% / +2yr ≈17% / +3yr ≈24% of configuration price.</t>
        </is>
      </c>
      <c r="CL263" s="204" t="inlineStr">
        <is>
          <t>Same TOR extended-warranty schedule used across the catalog (~45–55% target GM).</t>
        </is>
      </c>
      <c r="CM263" s="204" t="inlineStr">
        <is>
          <t>12 months manufacturer standard (typical research/commercial humanoid)</t>
        </is>
      </c>
      <c r="CN263" s="204" t="n"/>
      <c r="CO263" s="204" t="inlineStr">
        <is>
          <t>https://theresanaiforthat.com/robots/</t>
        </is>
      </c>
      <c r="CP263" s="204" t="inlineStr">
        <is>
          <t>New platform added 28 Aug 2026 from AIXZD (https://aixzd.com/robots, 644 sitemap robots) and/or TAAFT Robots directory (https://theresanaiforthat.com/robots/, 669 claimed).</t>
        </is>
      </c>
      <c r="CQ263" s="101" t="inlineStr">
        <is>
          <t>Height: 5 ft 9 in | Weight: 154.3 | Degrees of Freedom: 41 | Payload: 33.1 | Max Speed: Not disclosed | Battery / Runtime: Not disclosed</t>
        </is>
      </c>
    </row>
    <row r="264" ht="36" customHeight="1" s="102">
      <c r="A264" s="204" t="inlineStr">
        <is>
          <t>hmnd_01_bipedal</t>
        </is>
      </c>
      <c r="B264" s="204" t="inlineStr">
        <is>
          <t>TAAFT</t>
        </is>
      </c>
      <c r="C264" s="204" t="inlineStr">
        <is>
          <t>Humanoid (UK)</t>
        </is>
      </c>
      <c r="D264" s="204" t="inlineStr">
        <is>
          <t>HMND 01 Alpha Bipedal</t>
        </is>
      </c>
      <c r="E264" s="204" t="inlineStr">
        <is>
          <t>[Humanoid] HMND 01 Alpha Bipedal (2025)</t>
        </is>
      </c>
      <c r="F264" s="204" t="inlineStr">
        <is>
          <t>humanoid</t>
        </is>
      </c>
      <c r="G264" s="204" t="inlineStr">
        <is>
          <t>United Kingdom</t>
        </is>
      </c>
      <c r="H264" s="205" t="n">
        <v>2025</v>
      </c>
      <c r="I264" s="206" t="n">
        <v>100000</v>
      </c>
      <c r="J264" s="204" t="inlineStr">
        <is>
          <t>TAAFT / press · prototype-to-pilot 2025–2026</t>
        </is>
      </c>
      <c r="K264" s="204" t="inlineStr">
        <is>
          <t>HMND 01 Alpha Bipedal is the walking variant of Humanoid Ltd’s first platform: 179 cm, ~15 kg carry, 41 DoF, simulation-trained gait that reached stable walking two days after assembly — targeting industrial and home workspaces.</t>
        </is>
      </c>
      <c r="N264" s="204" t="n"/>
      <c r="O264" s="204" t="inlineStr">
        <is>
          <t>https://www.humanoid.inc/</t>
        </is>
      </c>
      <c r="P264" s="204" t="inlineStr">
        <is>
          <t>5 ft 10 in</t>
        </is>
      </c>
      <c r="Q264" s="204" t="n">
        <v>179</v>
      </c>
      <c r="R264" s="204" t="n">
        <v>154.3</v>
      </c>
      <c r="S264" s="204" t="n">
        <v>70</v>
      </c>
      <c r="T264" s="204" t="inlineStr">
        <is>
          <t>Not disclosed</t>
        </is>
      </c>
      <c r="U264" s="204" t="n"/>
      <c r="V264" s="204" t="n">
        <v>41</v>
      </c>
      <c r="W264" s="204" t="n"/>
      <c r="X264" s="204" t="n">
        <v>33.1</v>
      </c>
      <c r="Y264" s="204" t="n">
        <v>15</v>
      </c>
      <c r="Z264" s="204" t="n"/>
      <c r="AA264" s="204" t="n"/>
      <c r="AB264" s="204" t="n"/>
      <c r="AC264" s="204" t="n"/>
      <c r="AD264" s="204" t="n"/>
      <c r="AE264" s="204" t="n"/>
      <c r="AF264" s="204" t="inlineStr">
        <is>
          <t>Not disclosed</t>
        </is>
      </c>
      <c r="AG264" s="204" t="inlineStr">
        <is>
          <t>Not disclosed</t>
        </is>
      </c>
      <c r="AH264" s="204" t="n"/>
      <c r="AI264" s="204" t="n"/>
      <c r="AJ264" s="204" t="inlineStr">
        <is>
          <t>Not disclosed</t>
        </is>
      </c>
      <c r="AK264" s="204" t="n"/>
      <c r="AL264" s="204" t="inlineStr">
        <is>
          <t>Not disclosed</t>
        </is>
      </c>
      <c r="AM264" s="204" t="n"/>
      <c r="AN264" s="204" t="inlineStr">
        <is>
          <t>Not disclosed</t>
        </is>
      </c>
      <c r="AO264" s="204" t="inlineStr">
        <is>
          <t>Not disclosed</t>
        </is>
      </c>
      <c r="AP264" s="204" t="inlineStr">
        <is>
          <t>Not disclosed</t>
        </is>
      </c>
      <c r="AQ264" s="204" t="inlineStr">
        <is>
          <t>Not disclosed</t>
        </is>
      </c>
      <c r="AR264" s="204" t="n"/>
      <c r="AS264" s="204" t="n"/>
      <c r="AT264" s="204" t="inlineStr">
        <is>
          <t>Not disclosed</t>
        </is>
      </c>
      <c r="AU264" s="204" t="inlineStr">
        <is>
          <t>Not disclosed</t>
        </is>
      </c>
      <c r="AV264" s="204" t="inlineStr">
        <is>
          <t>Not disclosed</t>
        </is>
      </c>
      <c r="AW264" s="204" t="inlineStr">
        <is>
          <t>Not disclosed</t>
        </is>
      </c>
      <c r="AX264" s="204" t="n"/>
      <c r="AY264" s="204" t="inlineStr">
        <is>
          <t>Not disclosed</t>
        </is>
      </c>
      <c r="AZ264" s="204" t="inlineStr">
        <is>
          <t>Not disclosed</t>
        </is>
      </c>
      <c r="BA264" s="204" t="n"/>
      <c r="BB264" s="204" t="inlineStr">
        <is>
          <t>Not disclosed</t>
        </is>
      </c>
      <c r="BC264" s="204" t="inlineStr">
        <is>
          <t>Not disclosed</t>
        </is>
      </c>
      <c r="BD264" s="204" t="inlineStr">
        <is>
          <t>Not disclosed</t>
        </is>
      </c>
      <c r="BE264" s="204" t="inlineStr">
        <is>
          <t>Not disclosed</t>
        </is>
      </c>
      <c r="BF264" s="204" t="n"/>
      <c r="BG264" s="204" t="n"/>
      <c r="BH264" s="204" t="n"/>
      <c r="BI264" s="204" t="n"/>
      <c r="BJ264" s="204" t="n"/>
      <c r="BK264" s="204" t="n"/>
      <c r="BL264" s="204" t="n"/>
      <c r="BM264" s="204" t="inlineStr">
        <is>
          <t>Not disclosed</t>
        </is>
      </c>
      <c r="BN264" s="204" t="inlineStr">
        <is>
          <t>Not disclosed</t>
        </is>
      </c>
      <c r="BO264" s="204" t="inlineStr">
        <is>
          <t>UK bipedal humanoid · 179 cm · 41 DoF · 15 kg carry · Isaac Lab trained gait</t>
        </is>
      </c>
      <c r="BP264" s="204" t="inlineStr">
        <is>
          <t>Indoor / human environments</t>
        </is>
      </c>
      <c r="BQ264" s="204" t="inlineStr">
        <is>
          <t>Industrial / home pilot</t>
        </is>
      </c>
      <c r="BR264" s="204" t="inlineStr">
        <is>
          <t>Prototype / pilot</t>
        </is>
      </c>
      <c r="BS264" s="204" t="n"/>
      <c r="BT264" s="204" t="n"/>
      <c r="BU264" s="204" t="n"/>
      <c r="BV264" s="204" t="inlineStr">
        <is>
          <t>Ingested 28 Aug 2026 from AIXZD/TAAFT directories. Listed in TAAFT Robots directory (669 entries, 13 categories; Humanoid / Companion / Industrial filters). Individual tool URLs gated Aug 2026.</t>
        </is>
      </c>
      <c r="BW264" s="204" t="inlineStr">
        <is>
          <t>Height (fully upright): 5 ft 10 in | Operating weight: 154.3 | Degrees of freedom: 41 | Payload capacity: 33.1 | Maximum speed: Not disclosed | Battery / runtime: Not disclosed</t>
        </is>
      </c>
      <c r="BX264" s="204" t="n"/>
      <c r="BY264" s="204" t="n"/>
      <c r="BZ264" s="204" t="n"/>
      <c r="CA264" s="204" t="n"/>
      <c r="CB264" s="204" t="inlineStr">
        <is>
          <t>12 months manufacturer standard (typical research/commercial humanoid)</t>
        </is>
      </c>
      <c r="CC264" s="205" t="n">
        <v>12</v>
      </c>
      <c r="CD264" s="204" t="inlineStr">
        <is>
          <t>+3 Year Extended ≈24% of configuration (default in configurator)</t>
        </is>
      </c>
      <c r="CE264" s="204" t="inlineStr">
        <is>
          <t>Humanoid / companionoid category norm 2025–2026</t>
        </is>
      </c>
      <c r="CF264" s="204" t="inlineStr">
        <is>
          <t>Estimated</t>
        </is>
      </c>
      <c r="CG264" s="204" t="inlineStr">
        <is>
          <t>EDU or enterprise packages may differ; confirm on formal quote. Source mix: AIXZD directory + OEM pages Aug 2026.</t>
        </is>
      </c>
      <c r="CH264" s="204" t="inlineStr">
        <is>
          <t>10%</t>
        </is>
      </c>
      <c r="CI264" s="204" t="inlineStr">
        <is>
          <t>17%</t>
        </is>
      </c>
      <c r="CJ264" s="204" t="inlineStr">
        <is>
          <t>24%</t>
        </is>
      </c>
      <c r="CK264" s="204" t="inlineStr">
        <is>
          <t>Profitable schedule (Aug 2026): +1yr ≈10% / +2yr ≈17% / +3yr ≈24% of configuration price.</t>
        </is>
      </c>
      <c r="CL264" s="204" t="inlineStr">
        <is>
          <t>Same TOR extended-warranty schedule used across the catalog (~45–55% target GM).</t>
        </is>
      </c>
      <c r="CM264" s="204" t="inlineStr">
        <is>
          <t>12 months manufacturer standard (typical research/commercial humanoid)</t>
        </is>
      </c>
      <c r="CN264" s="204" t="n"/>
      <c r="CO264" s="204" t="inlineStr">
        <is>
          <t>https://theresanaiforthat.com/robots/</t>
        </is>
      </c>
      <c r="CP264" s="204" t="inlineStr">
        <is>
          <t>New platform added 28 Aug 2026 from AIXZD (https://aixzd.com/robots, 644 sitemap robots) and/or TAAFT Robots directory (https://theresanaiforthat.com/robots/, 669 claimed).</t>
        </is>
      </c>
      <c r="CQ264" s="101" t="inlineStr">
        <is>
          <t>Height: 5 ft 10 in | Weight: 154.3 | Degrees of Freedom: 41 | Payload: 33.1 | Max Speed: Not disclosed | Battery / Runtime: Not disclosed</t>
        </is>
      </c>
    </row>
    <row r="265" ht="36" customHeight="1" s="102">
      <c r="A265" s="204" t="inlineStr">
        <is>
          <t>dexmal_apex</t>
        </is>
      </c>
      <c r="B265" s="204" t="inlineStr">
        <is>
          <t>AIXZD</t>
        </is>
      </c>
      <c r="C265" s="204" t="inlineStr">
        <is>
          <t>Dexmal (原力灵机)</t>
        </is>
      </c>
      <c r="D265" s="204" t="inlineStr">
        <is>
          <t>Apex</t>
        </is>
      </c>
      <c r="E265" s="204" t="inlineStr">
        <is>
          <t>[Dexmal] Apex (2026)</t>
        </is>
      </c>
      <c r="F265" s="204" t="inlineStr">
        <is>
          <t>humanoid</t>
        </is>
      </c>
      <c r="G265" s="204" t="inlineStr">
        <is>
          <t>China</t>
        </is>
      </c>
      <c r="H265" s="205" t="n">
        <v>2026</v>
      </c>
      <c r="I265" s="206" t="n">
        <v>120000</v>
      </c>
      <c r="J265" s="204" t="inlineStr">
        <is>
          <t>Directory estimate Aug 2026 (industrial wheeled dual-arm)</t>
        </is>
      </c>
      <c r="K265" s="204" t="inlineStr">
        <is>
          <t>Dexmal Apex is a wheeled dual-arm factory humanoid with 2 m reach per arm, 3 kg payload, 30-second hot-swap batteries, 60-second tool change, 1500 TOPS onboard compute and 7×24 duty — shown assembling an 80,000-brick Great Wall at WAIC 2026.</t>
        </is>
      </c>
      <c r="N265" s="204" t="n"/>
      <c r="O265" s="204" t="n"/>
      <c r="P265" s="204" t="n"/>
      <c r="Q265" s="204" t="n"/>
      <c r="R265" s="204" t="n"/>
      <c r="S265" s="204" t="n"/>
      <c r="T265" s="204" t="inlineStr">
        <is>
          <t>Not disclosed</t>
        </is>
      </c>
      <c r="U265" s="204" t="n"/>
      <c r="V265" s="204" t="n"/>
      <c r="W265" s="204" t="n"/>
      <c r="X265" s="204" t="n">
        <v>6.6</v>
      </c>
      <c r="Y265" s="204" t="n">
        <v>3</v>
      </c>
      <c r="Z265" s="204" t="n"/>
      <c r="AA265" s="204" t="n"/>
      <c r="AB265" s="204" t="n"/>
      <c r="AC265" s="204" t="n"/>
      <c r="AD265" s="204" t="n"/>
      <c r="AE265" s="204" t="n"/>
      <c r="AF265" s="204" t="inlineStr">
        <is>
          <t>Not disclosed</t>
        </is>
      </c>
      <c r="AG265" s="204" t="inlineStr">
        <is>
          <t>Not disclosed</t>
        </is>
      </c>
      <c r="AH265" s="204" t="n"/>
      <c r="AI265" s="204" t="n"/>
      <c r="AJ265" s="204" t="inlineStr">
        <is>
          <t>Not disclosed</t>
        </is>
      </c>
      <c r="AK265" s="204" t="n"/>
      <c r="AL265" s="204" t="inlineStr">
        <is>
          <t>Not disclosed</t>
        </is>
      </c>
      <c r="AM265" s="204" t="n"/>
      <c r="AN265" s="204" t="inlineStr">
        <is>
          <t>Not disclosed</t>
        </is>
      </c>
      <c r="AO265" s="204" t="inlineStr">
        <is>
          <t>Not disclosed</t>
        </is>
      </c>
      <c r="AP265" s="204" t="inlineStr">
        <is>
          <t>Not disclosed</t>
        </is>
      </c>
      <c r="AQ265" s="204" t="inlineStr">
        <is>
          <t>Not disclosed</t>
        </is>
      </c>
      <c r="AR265" s="204" t="n"/>
      <c r="AS265" s="204" t="n"/>
      <c r="AT265" s="204" t="inlineStr">
        <is>
          <t>Not disclosed</t>
        </is>
      </c>
      <c r="AU265" s="204" t="inlineStr">
        <is>
          <t>Not disclosed</t>
        </is>
      </c>
      <c r="AV265" s="204" t="inlineStr">
        <is>
          <t>Not disclosed</t>
        </is>
      </c>
      <c r="AW265" s="204" t="inlineStr">
        <is>
          <t>Not disclosed</t>
        </is>
      </c>
      <c r="AX265" s="204" t="n"/>
      <c r="AY265" s="204" t="inlineStr">
        <is>
          <t>Not disclosed</t>
        </is>
      </c>
      <c r="AZ265" s="204" t="inlineStr">
        <is>
          <t>Not disclosed</t>
        </is>
      </c>
      <c r="BA265" s="204" t="n"/>
      <c r="BB265" s="204" t="inlineStr">
        <is>
          <t>Not disclosed</t>
        </is>
      </c>
      <c r="BC265" s="204" t="inlineStr">
        <is>
          <t>Not disclosed</t>
        </is>
      </c>
      <c r="BD265" s="204" t="inlineStr">
        <is>
          <t>Not disclosed</t>
        </is>
      </c>
      <c r="BE265" s="204" t="inlineStr">
        <is>
          <t>Not disclosed</t>
        </is>
      </c>
      <c r="BF265" s="204" t="n"/>
      <c r="BG265" s="204" t="n"/>
      <c r="BH265" s="204" t="n"/>
      <c r="BI265" s="204" t="n"/>
      <c r="BJ265" s="204" t="n"/>
      <c r="BK265" s="204" t="n"/>
      <c r="BL265" s="204" t="n"/>
      <c r="BM265" s="204" t="inlineStr">
        <is>
          <t>Not disclosed</t>
        </is>
      </c>
      <c r="BN265" s="204" t="inlineStr">
        <is>
          <t>Not disclosed</t>
        </is>
      </c>
      <c r="BO265" s="204" t="inlineStr">
        <is>
          <t>Wheeled dual-arm industrial · 2 m reach · 3 kg/arm · 30 s battery swap · 1500 TOPS · 7×24</t>
        </is>
      </c>
      <c r="BP265" s="204" t="inlineStr">
        <is>
          <t>Indoor / human environments</t>
        </is>
      </c>
      <c r="BQ265" s="204" t="inlineStr">
        <is>
          <t>Factory / industrial dual-arm mobile</t>
        </is>
      </c>
      <c r="BR265" s="204" t="inlineStr">
        <is>
          <t>Commercial demo / early deploy</t>
        </is>
      </c>
      <c r="BS265" s="204" t="n"/>
      <c r="BT265" s="204" t="n"/>
      <c r="BU265" s="204" t="n"/>
      <c r="BV265" s="204" t="inlineStr">
        <is>
          <t>Ingested 28 Aug 2026 from AIXZD/TAAFT directories. AIXZD product page + OEM where cited.</t>
        </is>
      </c>
      <c r="BW265" s="204" t="inlineStr">
        <is>
          <t>Height (fully upright): Not disclosed | Operating weight: Not disclosed | Degrees of freedom: Not disclosed | Payload capacity: 6.6 | Maximum speed: Not disclosed | Battery / runtime: Not disclosed</t>
        </is>
      </c>
      <c r="BX265" s="204" t="n"/>
      <c r="BY265" s="204" t="n"/>
      <c r="BZ265" s="204" t="n"/>
      <c r="CA265" s="204" t="n"/>
      <c r="CB265" s="204" t="inlineStr">
        <is>
          <t>12 months manufacturer standard (typical research/commercial humanoid)</t>
        </is>
      </c>
      <c r="CC265" s="205" t="n">
        <v>12</v>
      </c>
      <c r="CD265" s="204" t="inlineStr">
        <is>
          <t>+3 Year Extended ≈24% of configuration (default in configurator)</t>
        </is>
      </c>
      <c r="CE265" s="204" t="inlineStr">
        <is>
          <t>Humanoid / companionoid category norm 2025–2026</t>
        </is>
      </c>
      <c r="CF265" s="204" t="inlineStr">
        <is>
          <t>Estimated</t>
        </is>
      </c>
      <c r="CG265" s="204" t="inlineStr">
        <is>
          <t>EDU or enterprise packages may differ; confirm on formal quote. Source mix: AIXZD directory + OEM pages Aug 2026.</t>
        </is>
      </c>
      <c r="CH265" s="204" t="inlineStr">
        <is>
          <t>10%</t>
        </is>
      </c>
      <c r="CI265" s="204" t="inlineStr">
        <is>
          <t>17%</t>
        </is>
      </c>
      <c r="CJ265" s="204" t="inlineStr">
        <is>
          <t>24%</t>
        </is>
      </c>
      <c r="CK265" s="204" t="inlineStr">
        <is>
          <t>Profitable schedule (Aug 2026): +1yr ≈10% / +2yr ≈17% / +3yr ≈24% of configuration price.</t>
        </is>
      </c>
      <c r="CL265" s="204" t="inlineStr">
        <is>
          <t>Same TOR extended-warranty schedule used across the catalog (~45–55% target GM).</t>
        </is>
      </c>
      <c r="CM265" s="204" t="inlineStr">
        <is>
          <t>12 months manufacturer standard (typical research/commercial humanoid)</t>
        </is>
      </c>
      <c r="CN265" s="204" t="inlineStr">
        <is>
          <t>https://aixzd.com/robot/apex</t>
        </is>
      </c>
      <c r="CO265" s="204" t="inlineStr">
        <is>
          <t>https://theresanaiforthat.com/robots/</t>
        </is>
      </c>
      <c r="CP265" s="204" t="inlineStr">
        <is>
          <t>New platform added 28 Aug 2026 from AIXZD (https://aixzd.com/robots, 644 sitemap robots) and/or TAAFT Robots directory (https://theresanaiforthat.com/robots/, 669 claimed).</t>
        </is>
      </c>
      <c r="CQ265" s="101" t="inlineStr">
        <is>
          <t>Height: Not disclosed | Weight: Not disclosed | Degrees of Freedom: Not disclosed | Payload: 6.6 | Max Speed: Not disclosed | Battery / Runtime: Not disclosed</t>
        </is>
      </c>
    </row>
    <row r="266" ht="36" customHeight="1" s="102">
      <c r="A266" s="204" t="inlineStr">
        <is>
          <t>padbot_p3</t>
        </is>
      </c>
      <c r="B266" s="204" t="inlineStr">
        <is>
          <t>AIXZD</t>
        </is>
      </c>
      <c r="C266" s="204" t="inlineStr">
        <is>
          <t>PadBot (派宝机器人)</t>
        </is>
      </c>
      <c r="D266" s="204" t="inlineStr">
        <is>
          <t>PadBot P3</t>
        </is>
      </c>
      <c r="E266" s="204" t="inlineStr">
        <is>
          <t>[PadBot] P3 (2024)</t>
        </is>
      </c>
      <c r="F266" s="204" t="inlineStr">
        <is>
          <t>humanoid</t>
        </is>
      </c>
      <c r="G266" s="204" t="inlineStr">
        <is>
          <t>China</t>
        </is>
      </c>
      <c r="H266" s="205" t="n">
        <v>2024</v>
      </c>
      <c r="I266" s="206" t="n">
        <v>8000</v>
      </c>
      <c r="J266" s="204" t="inlineStr">
        <is>
          <t>Service-robot street estimate Aug 2026</t>
        </is>
      </c>
      <c r="K266" s="204" t="inlineStr">
        <is>
          <t>PadBot P3 is a wheeled reception humanoid that greets, dances, and answers questions — 5 m far-field mics, face recognition that calls regulars by name, ~10 h duty — a high-turnover used/resale service SKU for lobbies and retail.</t>
        </is>
      </c>
      <c r="N266" s="204" t="n"/>
      <c r="O266" s="204" t="inlineStr">
        <is>
          <t>https://www.padbot.com/</t>
        </is>
      </c>
      <c r="P266" s="204" t="n"/>
      <c r="Q266" s="204" t="n"/>
      <c r="R266" s="204" t="n"/>
      <c r="S266" s="204" t="n"/>
      <c r="T266" s="204" t="inlineStr">
        <is>
          <t>Not disclosed</t>
        </is>
      </c>
      <c r="U266" s="204" t="n"/>
      <c r="V266" s="204" t="n"/>
      <c r="W266" s="204" t="n"/>
      <c r="X266" s="204" t="n"/>
      <c r="Y266" s="204" t="n"/>
      <c r="Z266" s="204" t="n"/>
      <c r="AA266" s="204" t="n"/>
      <c r="AB266" s="204" t="n"/>
      <c r="AC266" s="204" t="n"/>
      <c r="AD266" s="204" t="n">
        <v>10</v>
      </c>
      <c r="AE266" s="204" t="n"/>
      <c r="AF266" s="204" t="inlineStr">
        <is>
          <t>Not disclosed</t>
        </is>
      </c>
      <c r="AG266" s="204" t="inlineStr">
        <is>
          <t>Not disclosed</t>
        </is>
      </c>
      <c r="AH266" s="204" t="n"/>
      <c r="AI266" s="204" t="n"/>
      <c r="AJ266" s="204" t="inlineStr">
        <is>
          <t>Not disclosed</t>
        </is>
      </c>
      <c r="AK266" s="204" t="n"/>
      <c r="AL266" s="204" t="inlineStr">
        <is>
          <t>Not disclosed</t>
        </is>
      </c>
      <c r="AM266" s="204" t="n"/>
      <c r="AN266" s="204" t="inlineStr">
        <is>
          <t>Not disclosed</t>
        </is>
      </c>
      <c r="AO266" s="204" t="inlineStr">
        <is>
          <t>Not disclosed</t>
        </is>
      </c>
      <c r="AP266" s="204" t="inlineStr">
        <is>
          <t>Not disclosed</t>
        </is>
      </c>
      <c r="AQ266" s="204" t="inlineStr">
        <is>
          <t>Not disclosed</t>
        </is>
      </c>
      <c r="AR266" s="204" t="n"/>
      <c r="AS266" s="204" t="n"/>
      <c r="AT266" s="204" t="inlineStr">
        <is>
          <t>Not disclosed</t>
        </is>
      </c>
      <c r="AU266" s="204" t="inlineStr">
        <is>
          <t>Not disclosed</t>
        </is>
      </c>
      <c r="AV266" s="204" t="inlineStr">
        <is>
          <t>Not disclosed</t>
        </is>
      </c>
      <c r="AW266" s="204" t="inlineStr">
        <is>
          <t>Not disclosed</t>
        </is>
      </c>
      <c r="AX266" s="204" t="n"/>
      <c r="AY266" s="204" t="inlineStr">
        <is>
          <t>Not disclosed</t>
        </is>
      </c>
      <c r="AZ266" s="204" t="inlineStr">
        <is>
          <t>Not disclosed</t>
        </is>
      </c>
      <c r="BA266" s="204" t="n"/>
      <c r="BB266" s="204" t="inlineStr">
        <is>
          <t>Not disclosed</t>
        </is>
      </c>
      <c r="BC266" s="204" t="inlineStr">
        <is>
          <t>Not disclosed</t>
        </is>
      </c>
      <c r="BD266" s="204" t="inlineStr">
        <is>
          <t>Not disclosed</t>
        </is>
      </c>
      <c r="BE266" s="204" t="inlineStr">
        <is>
          <t>Not disclosed</t>
        </is>
      </c>
      <c r="BF266" s="204" t="n"/>
      <c r="BG266" s="204" t="n"/>
      <c r="BH266" s="204" t="n"/>
      <c r="BI266" s="204" t="n"/>
      <c r="BJ266" s="204" t="n"/>
      <c r="BK266" s="204" t="n"/>
      <c r="BL266" s="204" t="n"/>
      <c r="BM266" s="204" t="inlineStr">
        <is>
          <t>Not disclosed</t>
        </is>
      </c>
      <c r="BN266" s="204" t="inlineStr">
        <is>
          <t>Not disclosed</t>
        </is>
      </c>
      <c r="BO266" s="204" t="inlineStr">
        <is>
          <t>Wheeled reception humanoid · face ID · far-field audio · ~10 h · dance/greeting</t>
        </is>
      </c>
      <c r="BP266" s="204" t="inlineStr">
        <is>
          <t>Indoor / human environments</t>
        </is>
      </c>
      <c r="BQ266" s="204" t="inlineStr">
        <is>
          <t>Reception / retail greeting</t>
        </is>
      </c>
      <c r="BR266" s="204" t="inlineStr">
        <is>
          <t>In production</t>
        </is>
      </c>
      <c r="BS266" s="204" t="n"/>
      <c r="BT266" s="204" t="n"/>
      <c r="BU266" s="204" t="n"/>
      <c r="BV266" s="204" t="inlineStr">
        <is>
          <t>Ingested 28 Aug 2026 from AIXZD/TAAFT directories. AIXZD product page + OEM where cited.</t>
        </is>
      </c>
      <c r="BW266" s="204" t="inlineStr">
        <is>
          <t>Height (fully upright): Not disclosed | Operating weight: Not disclosed | Degrees of freedom: Not disclosed | Payload capacity: Not disclosed | Maximum speed: Not disclosed | Battery / runtime: Not disclosed</t>
        </is>
      </c>
      <c r="BX266" s="204" t="n"/>
      <c r="BY266" s="204" t="n"/>
      <c r="BZ266" s="204" t="n"/>
      <c r="CA266" s="204" t="n"/>
      <c r="CB266" s="204" t="inlineStr">
        <is>
          <t>12 months manufacturer standard (typical research/commercial humanoid)</t>
        </is>
      </c>
      <c r="CC266" s="205" t="n">
        <v>12</v>
      </c>
      <c r="CD266" s="204" t="inlineStr">
        <is>
          <t>+3 Year Extended ≈24% of configuration (default in configurator)</t>
        </is>
      </c>
      <c r="CE266" s="204" t="inlineStr">
        <is>
          <t>Humanoid / companionoid category norm 2025–2026</t>
        </is>
      </c>
      <c r="CF266" s="204" t="inlineStr">
        <is>
          <t>Estimated</t>
        </is>
      </c>
      <c r="CG266" s="204" t="inlineStr">
        <is>
          <t>EDU or enterprise packages may differ; confirm on formal quote. Source mix: AIXZD directory + OEM pages Aug 2026.</t>
        </is>
      </c>
      <c r="CH266" s="204" t="inlineStr">
        <is>
          <t>10%</t>
        </is>
      </c>
      <c r="CI266" s="204" t="inlineStr">
        <is>
          <t>17%</t>
        </is>
      </c>
      <c r="CJ266" s="204" t="inlineStr">
        <is>
          <t>24%</t>
        </is>
      </c>
      <c r="CK266" s="204" t="inlineStr">
        <is>
          <t>Profitable schedule (Aug 2026): +1yr ≈10% / +2yr ≈17% / +3yr ≈24% of configuration price.</t>
        </is>
      </c>
      <c r="CL266" s="204" t="inlineStr">
        <is>
          <t>Same TOR extended-warranty schedule used across the catalog (~45–55% target GM).</t>
        </is>
      </c>
      <c r="CM266" s="204" t="inlineStr">
        <is>
          <t>12 months manufacturer standard (typical research/commercial humanoid)</t>
        </is>
      </c>
      <c r="CN266" s="204" t="inlineStr">
        <is>
          <t>https://aixzd.com/robot/p3</t>
        </is>
      </c>
      <c r="CO266" s="204" t="inlineStr">
        <is>
          <t>https://theresanaiforthat.com/robots/</t>
        </is>
      </c>
      <c r="CP266" s="204" t="inlineStr">
        <is>
          <t>New platform added 28 Aug 2026 from AIXZD (https://aixzd.com/robots, 644 sitemap robots) and/or TAAFT Robots directory (https://theresanaiforthat.com/robots/, 669 claimed).</t>
        </is>
      </c>
      <c r="CQ266" s="101" t="inlineStr">
        <is>
          <t>Height: Not disclosed | Weight: Not disclosed | Degrees of Freedom: Not disclosed | Payload: Not disclosed | Max Speed: Not disclosed | Battery / Runtime: Not disclosed</t>
        </is>
      </c>
    </row>
    <row r="267" ht="31.5" customHeight="1" s="102">
      <c r="A267" s="218" t="inlineStr">
        <is>
          <t>persona_ai_industrial_humanoid</t>
        </is>
      </c>
      <c r="B267" s="219" t="inlineStr">
        <is>
          <t>Major-player brief 11 Sep 2026</t>
        </is>
      </c>
      <c r="C267" s="220" t="inlineStr">
        <is>
          <t>Persona AI</t>
        </is>
      </c>
      <c r="D267" s="220" t="inlineStr">
        <is>
          <t>Industrial Humanoid</t>
        </is>
      </c>
      <c r="E267" s="220" t="inlineStr">
        <is>
          <t>[Persona AI] Industrial Humanoid (2026)</t>
        </is>
      </c>
      <c r="F267" s="219" t="inlineStr">
        <is>
          <t>humanoid</t>
        </is>
      </c>
      <c r="G267" s="220" t="inlineStr">
        <is>
          <t>USA</t>
        </is>
      </c>
      <c r="H267" s="221" t="n">
        <v>2026</v>
      </c>
      <c r="I267" t="n">
        <v>150000</v>
      </c>
      <c r="J267" t="inlineStr">
        <is>
          <t>Estimated starting industrial configuration; Persona publishes RaaS / Constructor, no list price. [2026-09-12]</t>
        </is>
      </c>
      <c r="K267" s="222" t="inlineStr">
        <is>
          <t>Persona AI is developing humanoids for shipyards, welding, fabrication, inspection and other heavy industrial environments.</t>
        </is>
      </c>
      <c r="L267" s="101" t="inlineStr">
        <is>
          <t>Persona AI is developing humanoids for shipyards, welding, fabrication, inspection and other heavy industrial environments.</t>
        </is>
      </c>
      <c r="M267" s="101" t="inlineStr">
        <is>
          <t>Persona AI is developing industrial humanoids for shipyards, welding, fabrication, and inspection. The company has pointed to heavy-industry partners and a robotics-as-a-service path rather than a consumer product.</t>
        </is>
      </c>
      <c r="O267" s="101" t="inlineStr">
        <is>
          <t>https://persona.ai</t>
        </is>
      </c>
      <c r="BQ267" s="222" t="inlineStr">
        <is>
          <t>Shipyards, welding, fabrication, inspection, heavy industry</t>
        </is>
      </c>
      <c r="BX267" t="inlineStr">
        <is>
          <t>constructor|Constructor program — estimated|150000|Enterprise quote || raas|Multi-year RaaS — quote|200000|Lease program</t>
        </is>
      </c>
    </row>
    <row r="268" ht="31.5" customHeight="1" s="102">
      <c r="A268" s="218" t="inlineStr">
        <is>
          <t>richtech_robotics_dex</t>
        </is>
      </c>
      <c r="B268" s="219" t="inlineStr">
        <is>
          <t>Major-player brief 11 Sep 2026</t>
        </is>
      </c>
      <c r="C268" s="220" t="inlineStr">
        <is>
          <t>Richtech Robotics</t>
        </is>
      </c>
      <c r="D268" s="220" t="inlineStr">
        <is>
          <t>DEX</t>
        </is>
      </c>
      <c r="E268" s="220" t="inlineStr">
        <is>
          <t>[Richtech Robotics] DEX (2025)</t>
        </is>
      </c>
      <c r="F268" s="219" t="inlineStr">
        <is>
          <t>humanoid</t>
        </is>
      </c>
      <c r="G268" s="220" t="inlineStr">
        <is>
          <t>USA</t>
        </is>
      </c>
      <c r="H268" s="221" t="n">
        <v>2025</v>
      </c>
      <c r="I268" t="n">
        <v>150000</v>
      </c>
      <c r="J268" t="inlineStr">
        <is>
          <t>Third-party industrial range $150,000–$250,000; Richtech has not published an official DEX list price. [2026-09-12]</t>
        </is>
      </c>
      <c r="K268" s="222" t="inlineStr">
        <is>
          <t>DEX is an industrial mobile manipulator that can operate on wheels or from a stationary base, with skills trained in simulation before deployment.</t>
        </is>
      </c>
      <c r="L268" s="101" t="inlineStr">
        <is>
          <t>DEX is an industrial mobile manipulator that can operate on wheels or from a stationary base, with skills trained in simulation before deployment.</t>
        </is>
      </c>
      <c r="M268" s="101" t="inlineStr">
        <is>
          <t>Richtech Robotics, already known for ADAM service robots and Titan AMRs, unveiled DEX in 2025 as its industrial mobile manipulator. DEX can roll on a wheeled base or sit on a stationary pedestal, and skills are trained in simulation before they reach a factory floor.</t>
        </is>
      </c>
      <c r="O268" s="101" t="inlineStr">
        <is>
          <t>https://www.richtechrobotics.com</t>
        </is>
      </c>
      <c r="BQ268" s="222" t="inlineStr">
        <is>
          <t>Industrial mobile manipulation — wheels or stationary</t>
        </is>
      </c>
      <c r="BX268" t="inlineStr">
        <is>
          <t>pilot|Industrial pilot — estimated|150000|Starting estimate || deploy|Full industrial deployment — estimated|250000|Configured estimate</t>
        </is>
      </c>
    </row>
    <row r="269" ht="31.5" customHeight="1" s="102">
      <c r="A269" s="218" t="inlineStr">
        <is>
          <t>starforge_robotics_buildo</t>
        </is>
      </c>
      <c r="B269" s="219" t="inlineStr">
        <is>
          <t>Major-player brief 11 Sep 2026</t>
        </is>
      </c>
      <c r="C269" s="220" t="inlineStr">
        <is>
          <t>STARFORGE Robotics</t>
        </is>
      </c>
      <c r="D269" s="220" t="inlineStr">
        <is>
          <t>Buildo</t>
        </is>
      </c>
      <c r="E269" s="220" t="inlineStr">
        <is>
          <t>[STARFORGE Robotics] Buildo (2026)</t>
        </is>
      </c>
      <c r="F269" s="219" t="inlineStr">
        <is>
          <t>humanoid</t>
        </is>
      </c>
      <c r="G269" s="220" t="inlineStr">
        <is>
          <t>USA</t>
        </is>
      </c>
      <c r="H269" s="221" t="n">
        <v>2026</v>
      </c>
      <c r="I269" t="n">
        <v>25000</v>
      </c>
      <c r="J269" t="inlineStr">
        <is>
          <t>Estimated developer-platform starting quote; STARFORGE has not published a list price. [2026-09-12]</t>
        </is>
      </c>
      <c r="K269" s="222" t="inlineStr">
        <is>
          <t>Buildo is aimed at developers and researchers who want to build, train and test their own physical AI applications.</t>
        </is>
      </c>
      <c r="L269" s="101" t="inlineStr">
        <is>
          <t>Buildo is aimed at developers and researchers who want to build, train and test their own physical AI applications.</t>
        </is>
      </c>
      <c r="M269" s="101" t="inlineStr">
        <is>
          <t>STARFORGE Robotics built Buildo for developers and researchers who want to train and test physical AI applications rather than buy a finished chore robot.</t>
        </is>
      </c>
      <c r="O269" s="101" t="inlineStr">
        <is>
          <t>https://starforgerobotics.com</t>
        </is>
      </c>
      <c r="BQ269" s="222" t="inlineStr">
        <is>
          <t>Developer and research physical-AI applications</t>
        </is>
      </c>
      <c r="BX269" t="inlineStr">
        <is>
          <t>dev|Developer platform — estimated|25000|Research quote || lab|Lab bundle — estimated|40000|Research bundle</t>
        </is>
      </c>
    </row>
    <row r="270" ht="31.5" customHeight="1" s="102">
      <c r="A270" s="218" t="inlineStr">
        <is>
          <t>nori_robotics_nori_a3</t>
        </is>
      </c>
      <c r="B270" s="219" t="inlineStr">
        <is>
          <t>Major-player brief 11 Sep 2026</t>
        </is>
      </c>
      <c r="C270" s="220" t="inlineStr">
        <is>
          <t>Nori Robotics</t>
        </is>
      </c>
      <c r="D270" s="220" t="inlineStr">
        <is>
          <t>NORI A3</t>
        </is>
      </c>
      <c r="E270" s="220" t="inlineStr">
        <is>
          <t>[Nori Robotics] NORI A3 (2026)</t>
        </is>
      </c>
      <c r="F270" s="219" t="inlineStr">
        <is>
          <t>humanoid</t>
        </is>
      </c>
      <c r="G270" s="220" t="inlineStr">
        <is>
          <t>USA</t>
        </is>
      </c>
      <c r="H270" s="221" t="n">
        <v>2026</v>
      </c>
      <c r="I270" s="223" t="n">
        <v>1688</v>
      </c>
      <c r="K270" s="222" t="inlineStr">
        <is>
          <t>NORI A3 is a small wheeled home robot with an unusually low advertised price and an open approach to user-trained skills.</t>
        </is>
      </c>
      <c r="L270" s="101" t="inlineStr">
        <is>
          <t>NORI A3 is a small wheeled home robot with an unusually low advertised price and an open approach to user-trained skills.</t>
        </is>
      </c>
      <c r="M270" s="101" t="inlineStr">
        <is>
          <t>Nori Robotics, a San Francisco startup, designed NORI A3 as a 19-DoF wheeled bimanual manipulator that ships assembled for $1,688. It has been shipping since July 2026 and treats user-trained skills as part of the product, not an afterthought.</t>
        </is>
      </c>
      <c r="O270" s="101" t="inlineStr">
        <is>
          <t>https://norirobotics.com</t>
        </is>
      </c>
      <c r="BQ270" s="222" t="inlineStr">
        <is>
          <t>Home chores and user-trained skills</t>
        </is>
      </c>
    </row>
    <row r="271" ht="31.5" customHeight="1" s="102">
      <c r="A271" s="218" t="inlineStr">
        <is>
          <t>aeolus_robotics_aeo</t>
        </is>
      </c>
      <c r="B271" s="219" t="inlineStr">
        <is>
          <t>Major-player brief 11 Sep 2026</t>
        </is>
      </c>
      <c r="C271" s="220" t="inlineStr">
        <is>
          <t>Aeolus Robotics</t>
        </is>
      </c>
      <c r="D271" s="220" t="inlineStr">
        <is>
          <t>aeo</t>
        </is>
      </c>
      <c r="E271" s="220" t="inlineStr">
        <is>
          <t>[Aeolus Robotics] aeo (2023)</t>
        </is>
      </c>
      <c r="F271" s="219" t="inlineStr">
        <is>
          <t>humanoid</t>
        </is>
      </c>
      <c r="G271" s="220" t="inlineStr">
        <is>
          <t>Japan</t>
        </is>
      </c>
      <c r="H271" s="221" t="n">
        <v>2023</v>
      </c>
      <c r="I271" t="n">
        <v>80000</v>
      </c>
      <c r="J271" t="inlineStr">
        <is>
          <t>Estimated first-year RaaS deployment equivalent; aeo is lease/subscription, no public list SKU. [2026-09-12]</t>
        </is>
      </c>
      <c r="K271" s="222" t="inlineStr">
        <is>
          <t>aeo is a wheeled service robot designed for healthcare, eldercare, delivery, security and disinfection tasks.</t>
        </is>
      </c>
      <c r="L271" s="101" t="inlineStr">
        <is>
          <t>aeo is a wheeled service robot designed for healthcare, eldercare, delivery, security and disinfection tasks.</t>
        </is>
      </c>
      <c r="M271" s="101" t="inlineStr">
        <is>
          <t>Aeolus Robotics first deployed service robots in Japan in 2019 and showed aeo as a dual-arm wheeled platform at CES 2023. aeo is used in healthcare, eldercare, delivery, security, and disinfection, including elevator riding without shaft retrofits.</t>
        </is>
      </c>
      <c r="O271" s="101" t="inlineStr">
        <is>
          <t>https://aeolusbot.com</t>
        </is>
      </c>
      <c r="BQ271" s="222" t="inlineStr">
        <is>
          <t>Healthcare, eldercare, delivery, security, disinfection</t>
        </is>
      </c>
      <c r="BX271" t="inlineStr">
        <is>
          <t>raas|RaaS deployment — estimated|80000|Service deployment || fleet|Multi-unit care / security — quote|120000|Fleet quote</t>
        </is>
      </c>
    </row>
    <row r="272" ht="31.5" customHeight="1" s="102">
      <c r="A272" s="218" t="inlineStr">
        <is>
          <t>robotics_center_rc_m1</t>
        </is>
      </c>
      <c r="B272" s="219" t="inlineStr">
        <is>
          <t>Major-player brief 11 Sep 2026</t>
        </is>
      </c>
      <c r="C272" s="220" t="inlineStr">
        <is>
          <t>Robotics Center</t>
        </is>
      </c>
      <c r="D272" s="220" t="inlineStr">
        <is>
          <t>RC M1</t>
        </is>
      </c>
      <c r="E272" s="220" t="inlineStr">
        <is>
          <t>[Robotics Center] RC M1 (2026)</t>
        </is>
      </c>
      <c r="F272" s="219" t="inlineStr">
        <is>
          <t>humanoid</t>
        </is>
      </c>
      <c r="G272" s="220" t="inlineStr">
        <is>
          <t>USA</t>
        </is>
      </c>
      <c r="H272" s="221" t="n">
        <v>2026</v>
      </c>
      <c r="I272" t="n">
        <v>30000</v>
      </c>
      <c r="J272" t="inlineStr">
        <is>
          <t>Official Robotics Center floor: base unit from $30,000; configured RCSV M1 listed at $50,000. [2026-09-12]</t>
        </is>
      </c>
      <c r="K272" s="222" t="inlineStr">
        <is>
          <t>RC M1 is a wheeled dual-arm platform built primarily for teleoperation, research and the collection of robot training data.</t>
        </is>
      </c>
      <c r="L272" s="101" t="inlineStr">
        <is>
          <t>RC M1 is a wheeled dual-arm platform built primarily for teleoperation, research and the collection of robot training data.</t>
        </is>
      </c>
      <c r="M272" s="101" t="inlineStr">
        <is>
          <t>Robotics Center built RC M1 as a wheeled dual-arm platform for teleoperation, research, and collecting robot training data. It is sold and leased into labs that record demonstrations and train policies rather than into homes.</t>
        </is>
      </c>
      <c r="O272" s="101" t="inlineStr">
        <is>
          <t>https://www.roboticscenter.ai</t>
        </is>
      </c>
      <c r="BQ272" s="222" t="inlineStr">
        <is>
          <t>Teleoperation, research, training-data collection</t>
        </is>
      </c>
      <c r="BX272" t="inlineStr">
        <is>
          <t>pilot|Founding-partner pilot|30000|Official floor || configured|Configured research unit|50000|Store listing</t>
        </is>
      </c>
    </row>
    <row r="273" ht="31.5" customHeight="1" s="102"/>
    <row r="274" ht="31.5" customHeight="1" s="102"/>
    <row r="275" ht="31.5" customHeight="1" s="102"/>
    <row r="276" ht="31.5" customHeight="1" s="102"/>
    <row r="277" ht="31.5" customHeight="1" s="102"/>
    <row r="278" ht="31.5" customHeight="1" s="102"/>
    <row r="279" ht="31.5" customHeight="1" s="102"/>
    <row r="280" ht="31.5" customHeight="1" s="102"/>
    <row r="281" ht="31.5" customHeight="1" s="102"/>
    <row r="282" ht="31.5" customHeight="1" s="102"/>
    <row r="283" ht="31.5" customHeight="1" s="102"/>
    <row r="284" ht="31.5" customHeight="1" s="102"/>
    <row r="285" ht="31.5" customHeight="1" s="102"/>
    <row r="286" ht="31.5" customHeight="1" s="102"/>
    <row r="287" ht="31.5" customHeight="1" s="102"/>
    <row r="288" ht="31.5" customHeight="1" s="102"/>
    <row r="289" ht="31.5" customHeight="1" s="102"/>
    <row r="290" ht="31.5" customHeight="1" s="102"/>
    <row r="291" ht="31.5" customHeight="1" s="102"/>
    <row r="292" ht="31.5" customHeight="1" s="102"/>
    <row r="293" ht="31.5" customHeight="1" s="102"/>
    <row r="294" ht="31.5" customHeight="1" s="102"/>
    <row r="295" ht="31.5" customHeight="1" s="102"/>
    <row r="296" ht="31.5" customHeight="1" s="102"/>
    <row r="297" ht="31.5" customHeight="1" s="102"/>
    <row r="298" ht="31.5" customHeight="1" s="102"/>
    <row r="299" ht="31.5" customHeight="1" s="102"/>
    <row r="300" ht="31.5" customHeight="1" s="102"/>
    <row r="301" ht="31.5" customHeight="1" s="102"/>
    <row r="302" ht="31.5" customHeight="1" s="102"/>
    <row r="303" ht="31.5" customHeight="1" s="102"/>
    <row r="304" ht="31.5" customHeight="1" s="102"/>
    <row r="305" ht="31.5" customHeight="1" s="102"/>
    <row r="306" ht="31.5" customHeight="1" s="102"/>
    <row r="307" ht="31.5" customHeight="1" s="102"/>
    <row r="308" ht="31.5" customHeight="1" s="102"/>
    <row r="309" ht="31.5" customHeight="1" s="102"/>
    <row r="310" ht="31.5" customHeight="1" s="102"/>
    <row r="311" ht="31.5" customHeight="1" s="102"/>
    <row r="312" ht="31.5" customHeight="1" s="102"/>
    <row r="313" ht="31.5" customHeight="1" s="102"/>
    <row r="314" ht="31.5" customHeight="1" s="102"/>
    <row r="315" ht="31.5" customHeight="1" s="102"/>
    <row r="316" ht="31.5" customHeight="1" s="102"/>
    <row r="317" ht="31.5" customHeight="1" s="102"/>
    <row r="318" ht="31.5" customHeight="1" s="102"/>
    <row r="319" ht="31.5" customHeight="1" s="102"/>
    <row r="320" ht="31.5" customHeight="1" s="102"/>
    <row r="321" ht="31.5" customHeight="1" s="102"/>
    <row r="322" ht="31.5" customHeight="1" s="102"/>
    <row r="323" ht="31.5" customHeight="1" s="102"/>
    <row r="324" ht="31.5" customHeight="1" s="102"/>
    <row r="325" ht="31.5" customHeight="1" s="102"/>
    <row r="326" ht="31.5" customHeight="1" s="102"/>
    <row r="327" ht="31.5" customHeight="1" s="102"/>
    <row r="328" ht="31.5" customHeight="1" s="102"/>
    <row r="329" ht="31.5" customHeight="1" s="102"/>
    <row r="330" ht="31.5" customHeight="1" s="102"/>
    <row r="331" ht="31.5" customHeight="1" s="102"/>
    <row r="332" ht="31.5" customHeight="1" s="102"/>
    <row r="333" ht="31.5" customHeight="1" s="102"/>
    <row r="334" ht="31.5" customHeight="1" s="102"/>
    <row r="335" ht="31.5" customHeight="1" s="102"/>
    <row r="336" ht="31.5" customHeight="1" s="102"/>
    <row r="337" ht="31.5" customHeight="1" s="102"/>
    <row r="338" ht="31.5" customHeight="1" s="102"/>
    <row r="339" ht="31.5" customHeight="1" s="102"/>
    <row r="340" ht="31.5" customHeight="1" s="102"/>
    <row r="341" ht="31.5" customHeight="1" s="102"/>
    <row r="342" ht="31.5" customHeight="1" s="102"/>
    <row r="343" ht="31.5" customHeight="1" s="102"/>
    <row r="344" ht="31.5" customHeight="1" s="102"/>
    <row r="345" ht="31.5" customHeight="1" s="102"/>
    <row r="346" ht="31.5" customHeight="1" s="102"/>
    <row r="347" ht="31.5" customHeight="1" s="102"/>
    <row r="348" ht="31.5" customHeight="1" s="102"/>
    <row r="349" ht="31.5" customHeight="1" s="102"/>
    <row r="350" ht="31.5" customHeight="1" s="102"/>
    <row r="351" ht="31.5" customHeight="1" s="102"/>
    <row r="352" ht="31.5" customHeight="1" s="102"/>
    <row r="353" ht="31.5" customHeight="1" s="102"/>
    <row r="354" ht="31.5" customHeight="1" s="102"/>
    <row r="355" ht="31.5" customHeight="1" s="102"/>
    <row r="356" ht="31.5" customHeight="1" s="102"/>
    <row r="357" ht="31.5" customHeight="1" s="102"/>
    <row r="358" ht="31.5" customHeight="1" s="102"/>
    <row r="359" ht="31.5" customHeight="1" s="102"/>
    <row r="360" ht="31.5" customHeight="1" s="102"/>
    <row r="361" ht="31.5" customHeight="1" s="102"/>
    <row r="362" ht="31.5" customHeight="1" s="102"/>
    <row r="363" ht="31.5" customHeight="1" s="102"/>
    <row r="364" ht="31.5" customHeight="1" s="102"/>
    <row r="365" ht="31.5" customHeight="1" s="102"/>
    <row r="366" ht="31.5" customHeight="1" s="102"/>
    <row r="367" ht="31.5" customHeight="1" s="102"/>
    <row r="368" ht="31.5" customHeight="1" s="102"/>
    <row r="369" ht="31.5" customHeight="1" s="102"/>
    <row r="370" ht="31.5" customHeight="1" s="102"/>
    <row r="371" ht="31.5" customHeight="1" s="102"/>
    <row r="372" ht="31.5" customHeight="1" s="102"/>
    <row r="373" ht="31.5" customHeight="1" s="102"/>
    <row r="374" ht="31.5" customHeight="1" s="102"/>
    <row r="375" ht="31.5" customHeight="1" s="102"/>
    <row r="376" ht="31.5" customHeight="1" s="102"/>
    <row r="377" ht="31.5" customHeight="1" s="102"/>
    <row r="378" ht="31.5" customHeight="1" s="102"/>
    <row r="379" ht="31.5" customHeight="1" s="102"/>
    <row r="380" ht="31.5" customHeight="1" s="102"/>
    <row r="381" ht="31.5" customHeight="1" s="102"/>
    <row r="382" ht="31.5" customHeight="1" s="102"/>
    <row r="383" ht="31.5" customHeight="1" s="102"/>
    <row r="384" ht="31.5" customHeight="1" s="102"/>
    <row r="385" ht="31.5" customHeight="1" s="102"/>
    <row r="386" ht="31.5" customHeight="1" s="102"/>
    <row r="387" ht="31.5" customHeight="1" s="102"/>
    <row r="388" ht="31.5" customHeight="1" s="102"/>
    <row r="389" ht="31.5" customHeight="1" s="102"/>
    <row r="390" ht="31.5" customHeight="1" s="102"/>
    <row r="391" ht="31.5" customHeight="1" s="102"/>
    <row r="392" ht="31.5" customHeight="1" s="102"/>
    <row r="393" ht="31.5" customHeight="1" s="102"/>
    <row r="394" ht="31.5" customHeight="1" s="102"/>
    <row r="395" ht="31.5" customHeight="1" s="102"/>
    <row r="396" ht="31.5" customHeight="1" s="102"/>
    <row r="397" ht="31.5" customHeight="1" s="102"/>
    <row r="398" ht="31.5" customHeight="1" s="102"/>
    <row r="399" ht="31.5" customHeight="1" s="102"/>
    <row r="400" ht="31.5" customHeight="1" s="102"/>
    <row r="401" ht="31.5" customHeight="1" s="102"/>
    <row r="402" ht="31.5" customHeight="1" s="102"/>
    <row r="403" ht="31.5" customHeight="1" s="102"/>
    <row r="404" ht="31.5" customHeight="1" s="102"/>
    <row r="405" ht="31.5" customHeight="1" s="102"/>
    <row r="406" ht="31.5" customHeight="1" s="102"/>
    <row r="407" ht="31.5" customHeight="1" s="102"/>
    <row r="408" ht="31.5" customHeight="1" s="102"/>
    <row r="409" ht="31.5" customHeight="1" s="102"/>
    <row r="410" ht="31.5" customHeight="1" s="102"/>
    <row r="411" ht="31.5" customHeight="1" s="102"/>
    <row r="412" ht="31.5" customHeight="1" s="102"/>
    <row r="413" ht="31.5" customHeight="1" s="102"/>
    <row r="414" ht="31.5" customHeight="1" s="102"/>
    <row r="415" ht="31.5" customHeight="1" s="102"/>
    <row r="416" ht="31.5" customHeight="1" s="102"/>
    <row r="417" ht="31.5" customHeight="1" s="102"/>
    <row r="418" ht="31.5" customHeight="1" s="102"/>
    <row r="419" ht="31.5" customHeight="1" s="102"/>
    <row r="420" ht="31.5" customHeight="1" s="102"/>
    <row r="421" ht="31.5" customHeight="1" s="102"/>
    <row r="422" ht="31.5" customHeight="1" s="102"/>
    <row r="423" ht="31.5" customHeight="1" s="102"/>
    <row r="424" ht="31.5" customHeight="1" s="102"/>
    <row r="425" ht="31.5" customHeight="1" s="102"/>
    <row r="426" ht="31.5" customHeight="1" s="102"/>
    <row r="427" ht="31.5" customHeight="1" s="102"/>
    <row r="428" ht="31.5" customHeight="1" s="102"/>
    <row r="429" ht="31.5" customHeight="1" s="102"/>
    <row r="430" ht="31.5" customHeight="1" s="102"/>
    <row r="431" ht="31.5" customHeight="1" s="102"/>
    <row r="432" ht="31.5" customHeight="1" s="102"/>
    <row r="433" ht="31.5" customHeight="1" s="102"/>
    <row r="434" ht="31.5" customHeight="1" s="102"/>
    <row r="435" ht="31.5" customHeight="1" s="102"/>
    <row r="436" ht="31.5" customHeight="1" s="102"/>
    <row r="437" ht="31.5" customHeight="1" s="102"/>
    <row r="438" ht="31.5" customHeight="1" s="102"/>
    <row r="439" ht="31.5" customHeight="1" s="102"/>
    <row r="440" ht="31.5" customHeight="1" s="102"/>
    <row r="441" ht="31.5" customHeight="1" s="102"/>
    <row r="442" ht="31.5" customHeight="1" s="102"/>
    <row r="443" ht="31.5" customHeight="1" s="102"/>
    <row r="444" ht="31.5" customHeight="1" s="102"/>
    <row r="445" ht="31.5" customHeight="1" s="102"/>
    <row r="446" ht="31.5" customHeight="1" s="102"/>
    <row r="447" ht="31.5" customHeight="1" s="102"/>
    <row r="448" ht="31.5" customHeight="1" s="102"/>
    <row r="449" ht="31.5" customHeight="1" s="102"/>
    <row r="450" ht="31.5" customHeight="1" s="102"/>
    <row r="451" ht="31.5" customHeight="1" s="102"/>
    <row r="452" ht="31.5" customHeight="1" s="102"/>
    <row r="453" ht="31.5" customHeight="1" s="102"/>
    <row r="454" ht="31.5" customHeight="1" s="102"/>
  </sheetData>
  <autoFilter ref="A4:CK252">
    <sortState ref="A5:CK252">
      <sortCondition ref="A5:A252" customList=""/>
    </sortState>
  </autoFilter>
  <mergeCells count="14">
    <mergeCell ref="AH3:AP3"/>
    <mergeCell ref="CL3:CN3"/>
    <mergeCell ref="A2:L2"/>
    <mergeCell ref="BP3:BU3"/>
    <mergeCell ref="AQ3:AY3"/>
    <mergeCell ref="BK3:BO3"/>
    <mergeCell ref="AZ3:BJ3"/>
    <mergeCell ref="A1:L1"/>
    <mergeCell ref="BZ3:CK3"/>
    <mergeCell ref="A3:M3"/>
    <mergeCell ref="AE3:AG3"/>
    <mergeCell ref="BV3:BY3"/>
    <mergeCell ref="N3:S3"/>
    <mergeCell ref="T3:AD3"/>
  </mergeCells>
  <hyperlinks>
    <hyperlink xmlns:r="http://schemas.openxmlformats.org/officeDocument/2006/relationships" ref="L5" display="https://humanoid.guide/product/neo/" r:id="rId1"/>
    <hyperlink xmlns:r="http://schemas.openxmlformats.org/officeDocument/2006/relationships" ref="M5" display="https://www.1x.tech" r:id="rId2"/>
    <hyperlink xmlns:r="http://schemas.openxmlformats.org/officeDocument/2006/relationships" ref="L6" display="https://humanoid.guide/product/neo-beta/" r:id="rId3"/>
    <hyperlink xmlns:r="http://schemas.openxmlformats.org/officeDocument/2006/relationships" ref="M6" display="https://www.1x.tech/androids/neo" r:id="rId4"/>
    <hyperlink xmlns:r="http://schemas.openxmlformats.org/officeDocument/2006/relationships" ref="L7" display="https://humanoid.guide/product/neo-gamma/" r:id="rId5"/>
    <hyperlink xmlns:r="http://schemas.openxmlformats.org/officeDocument/2006/relationships" ref="M7" display="https://www.1x.tech" r:id="rId6"/>
    <hyperlink xmlns:r="http://schemas.openxmlformats.org/officeDocument/2006/relationships" ref="L8" display="https://humanoid.guide/product/alice/" r:id="rId7"/>
    <hyperlink xmlns:r="http://schemas.openxmlformats.org/officeDocument/2006/relationships" ref="M8" display="https://arobot4all.com/" r:id="rId8"/>
    <hyperlink xmlns:r="http://schemas.openxmlformats.org/officeDocument/2006/relationships" ref="L9" display="https://humanoid.guide/product/alice-m1/" r:id="rId9"/>
    <hyperlink xmlns:r="http://schemas.openxmlformats.org/officeDocument/2006/relationships" ref="M9" display="https://arobot4all.com/" r:id="rId10"/>
    <hyperlink xmlns:r="http://schemas.openxmlformats.org/officeDocument/2006/relationships" ref="L10" display="https://humanoid.guide/product/a2/" r:id="rId11"/>
    <hyperlink xmlns:r="http://schemas.openxmlformats.org/officeDocument/2006/relationships" ref="M10" display="https://www.agibot.com/" r:id="rId12"/>
    <hyperlink xmlns:r="http://schemas.openxmlformats.org/officeDocument/2006/relationships" ref="L11" display="https://humanoid.guide/product/a2-max/" r:id="rId13"/>
    <hyperlink xmlns:r="http://schemas.openxmlformats.org/officeDocument/2006/relationships" ref="M11" display="https://www.agibot.com/" r:id="rId14"/>
    <hyperlink xmlns:r="http://schemas.openxmlformats.org/officeDocument/2006/relationships" ref="L12" display="https://humanoid.guide/product/agibot-a2-w/" r:id="rId15"/>
    <hyperlink xmlns:r="http://schemas.openxmlformats.org/officeDocument/2006/relationships" ref="M12" display="https://www.agibot.com" r:id="rId16"/>
    <hyperlink xmlns:r="http://schemas.openxmlformats.org/officeDocument/2006/relationships" ref="L13" display="https://humanoid.guide/product/agibot-a3/" r:id="rId17"/>
    <hyperlink xmlns:r="http://schemas.openxmlformats.org/officeDocument/2006/relationships" ref="M13" display="https://www.agibot.com" r:id="rId18"/>
    <hyperlink xmlns:r="http://schemas.openxmlformats.org/officeDocument/2006/relationships" ref="L14" display="https://humanoid.guide/product/agibot-g1/" r:id="rId19"/>
    <hyperlink xmlns:r="http://schemas.openxmlformats.org/officeDocument/2006/relationships" ref="M14" display="https://www.agibot.com" r:id="rId20"/>
    <hyperlink xmlns:r="http://schemas.openxmlformats.org/officeDocument/2006/relationships" ref="L15" display="https://humanoid.guide/product/agibot-x1/" r:id="rId21"/>
    <hyperlink xmlns:r="http://schemas.openxmlformats.org/officeDocument/2006/relationships" ref="M15" display="https://www.agibot.com" r:id="rId22"/>
    <hyperlink xmlns:r="http://schemas.openxmlformats.org/officeDocument/2006/relationships" ref="L16" display="https://humanoid.guide/product/g2-genie/" r:id="rId23"/>
    <hyperlink xmlns:r="http://schemas.openxmlformats.org/officeDocument/2006/relationships" ref="M16" display="https://www.agibot.com" r:id="rId24"/>
    <hyperlink xmlns:r="http://schemas.openxmlformats.org/officeDocument/2006/relationships" ref="L17" display="https://humanoid.guide/product/g2-max/" r:id="rId25"/>
    <hyperlink xmlns:r="http://schemas.openxmlformats.org/officeDocument/2006/relationships" ref="M17" display="https://www.agibot.com/" r:id="rId26"/>
    <hyperlink xmlns:r="http://schemas.openxmlformats.org/officeDocument/2006/relationships" ref="L18" display="https://humanoid.guide/product/quester1-q1/" r:id="rId27"/>
    <hyperlink xmlns:r="http://schemas.openxmlformats.org/officeDocument/2006/relationships" ref="M18" display="https://www.agibot.com" r:id="rId28"/>
    <hyperlink xmlns:r="http://schemas.openxmlformats.org/officeDocument/2006/relationships" ref="L19" display="https://humanoid.guide/product/raise-a1/" r:id="rId29"/>
    <hyperlink xmlns:r="http://schemas.openxmlformats.org/officeDocument/2006/relationships" ref="M19" display="https://www.agibot.com" r:id="rId30"/>
    <hyperlink xmlns:r="http://schemas.openxmlformats.org/officeDocument/2006/relationships" ref="L21" display="https://humanoid.guide/product/agibot-x2/" r:id="rId31"/>
    <hyperlink xmlns:r="http://schemas.openxmlformats.org/officeDocument/2006/relationships" ref="M21" display="https://www.agibot.com/products/X2" r:id="rId32"/>
    <hyperlink xmlns:r="http://schemas.openxmlformats.org/officeDocument/2006/relationships" ref="L22" display="https://humanoid.guide/product/agile-one/" r:id="rId33"/>
    <hyperlink xmlns:r="http://schemas.openxmlformats.org/officeDocument/2006/relationships" ref="M22" display="https://www.agile-robots.com/" r:id="rId34"/>
    <hyperlink xmlns:r="http://schemas.openxmlformats.org/officeDocument/2006/relationships" ref="L23" display="https://humanoid.guide/product/digit/" r:id="rId35"/>
    <hyperlink xmlns:r="http://schemas.openxmlformats.org/officeDocument/2006/relationships" ref="M23" display="https://agilityrobotics.com/" r:id="rId36"/>
    <hyperlink xmlns:r="http://schemas.openxmlformats.org/officeDocument/2006/relationships" ref="L24" display="https://humanoid.guide/product/akinci-5/" r:id="rId37"/>
    <hyperlink xmlns:r="http://schemas.openxmlformats.org/officeDocument/2006/relationships" ref="M24" display="https://www.akinrobotics.com/" r:id="rId38"/>
    <hyperlink xmlns:r="http://schemas.openxmlformats.org/officeDocument/2006/relationships" ref="L25" display="https://humanoid.guide/product/abi/" r:id="rId39"/>
    <hyperlink xmlns:r="http://schemas.openxmlformats.org/officeDocument/2006/relationships" ref="M25" display="https://andromedarobotics.ai/" r:id="rId40"/>
    <hyperlink xmlns:r="http://schemas.openxmlformats.org/officeDocument/2006/relationships" ref="L26" display="https://humanoid.guide/product/apollo/" r:id="rId41"/>
    <hyperlink xmlns:r="http://schemas.openxmlformats.org/officeDocument/2006/relationships" ref="M26" display="https://apptronik.com/apollo" r:id="rId42"/>
    <hyperlink xmlns:r="http://schemas.openxmlformats.org/officeDocument/2006/relationships" ref="L27" display="https://humanoid.guide/product/apollo-2/" r:id="rId43"/>
    <hyperlink xmlns:r="http://schemas.openxmlformats.org/officeDocument/2006/relationships" ref="M27" display="https://apptronik.com/" r:id="rId44"/>
    <hyperlink xmlns:r="http://schemas.openxmlformats.org/officeDocument/2006/relationships" ref="L28" display="https://humanoid.guide/product/astra/" r:id="rId45"/>
    <hyperlink xmlns:r="http://schemas.openxmlformats.org/officeDocument/2006/relationships" ref="M28" display="https://apptronik.com/" r:id="rId46"/>
    <hyperlink xmlns:r="http://schemas.openxmlformats.org/officeDocument/2006/relationships" ref="L29" display="https://humanoid.guide/product/qdh/" r:id="rId47"/>
    <hyperlink xmlns:r="http://schemas.openxmlformats.org/officeDocument/2006/relationships" ref="M29" display="https://apptronik.com/" r:id="rId48"/>
    <hyperlink xmlns:r="http://schemas.openxmlformats.org/officeDocument/2006/relationships" ref="L30" display="https://humanoid.guide/product/aidol/" r:id="rId49"/>
    <hyperlink xmlns:r="http://schemas.openxmlformats.org/officeDocument/2006/relationships" ref="M30" display="https://aidoltech.ru/" r:id="rId50"/>
    <hyperlink xmlns:r="http://schemas.openxmlformats.org/officeDocument/2006/relationships" ref="L31" display="https://humanoid.guide/product/astribot-s1/" r:id="rId51"/>
    <hyperlink xmlns:r="http://schemas.openxmlformats.org/officeDocument/2006/relationships" ref="M31" display="https://www.astribot.com/en/product" r:id="rId52"/>
    <hyperlink xmlns:r="http://schemas.openxmlformats.org/officeDocument/2006/relationships" ref="L32" display="https://humanoid.guide/product/astribot-t1/" r:id="rId53"/>
    <hyperlink xmlns:r="http://schemas.openxmlformats.org/officeDocument/2006/relationships" ref="M32" display="https://www.astribot.com/en/product" r:id="rId54"/>
    <hyperlink xmlns:r="http://schemas.openxmlformats.org/officeDocument/2006/relationships" ref="L33" display="https://humanoid.guide/product/galbot-et1/" r:id="rId55"/>
    <hyperlink xmlns:r="http://schemas.openxmlformats.org/officeDocument/2006/relationships" ref="M33" display="https://www.galbot.com/" r:id="rId56"/>
    <hyperlink xmlns:r="http://schemas.openxmlformats.org/officeDocument/2006/relationships" ref="L34" display="https://humanoid.guide/product/galbot-s1/" r:id="rId57"/>
    <hyperlink xmlns:r="http://schemas.openxmlformats.org/officeDocument/2006/relationships" ref="M34" display="https://www.galbot.com/" r:id="rId58"/>
    <hyperlink xmlns:r="http://schemas.openxmlformats.org/officeDocument/2006/relationships" ref="L35" display="https://humanoid.guide/product/booster-t1/" r:id="rId59"/>
    <hyperlink xmlns:r="http://schemas.openxmlformats.org/officeDocument/2006/relationships" ref="M35" display="https://www.boosterobotics.com/" r:id="rId60"/>
    <hyperlink xmlns:r="http://schemas.openxmlformats.org/officeDocument/2006/relationships" ref="L36" display="https://humanoid.guide/product/booster-t2/" r:id="rId61"/>
    <hyperlink xmlns:r="http://schemas.openxmlformats.org/officeDocument/2006/relationships" ref="M36" display="http://booster.tech/" r:id="rId62"/>
    <hyperlink xmlns:r="http://schemas.openxmlformats.org/officeDocument/2006/relationships" ref="L37" display="https://humanoid.guide/product/k1/" r:id="rId63"/>
    <hyperlink xmlns:r="http://schemas.openxmlformats.org/officeDocument/2006/relationships" ref="M37" display="http://booster.tech/" r:id="rId64"/>
    <hyperlink xmlns:r="http://schemas.openxmlformats.org/officeDocument/2006/relationships" ref="L38" display="https://humanoid.guide/product/borg-01/" r:id="rId65"/>
    <hyperlink xmlns:r="http://schemas.openxmlformats.org/officeDocument/2006/relationships" ref="M38" display="https://www.borgrobotic.com/" r:id="rId66"/>
    <hyperlink xmlns:r="http://schemas.openxmlformats.org/officeDocument/2006/relationships" ref="L39" display="https://humanoid.guide/product/dexbot/" r:id="rId67"/>
    <hyperlink xmlns:r="http://schemas.openxmlformats.org/officeDocument/2006/relationships" ref="M39" display="https://en.boshi.cn/" r:id="rId68"/>
    <hyperlink xmlns:r="http://schemas.openxmlformats.org/officeDocument/2006/relationships" ref="L40" display="https://humanoid.guide/product/atlas/" r:id="rId69"/>
    <hyperlink xmlns:r="http://schemas.openxmlformats.org/officeDocument/2006/relationships" ref="M40" display="https://bostondynamics.com/" r:id="rId70"/>
    <hyperlink xmlns:r="http://schemas.openxmlformats.org/officeDocument/2006/relationships" ref="L41" display="https://humanoid.guide/product/atlas-2013/" r:id="rId71"/>
    <hyperlink xmlns:r="http://schemas.openxmlformats.org/officeDocument/2006/relationships" ref="M41" display="https://bostondynamics.com/atlas/" r:id="rId72"/>
    <hyperlink xmlns:r="http://schemas.openxmlformats.org/officeDocument/2006/relationships" ref="L42" display="https://humanoid.guide/product/yogi/" r:id="rId73"/>
    <hyperlink xmlns:r="http://schemas.openxmlformats.org/officeDocument/2006/relationships" ref="M42" display="https://www.cartwheelrobotics.com/" r:id="rId74"/>
    <hyperlink xmlns:r="http://schemas.openxmlformats.org/officeDocument/2006/relationships" ref="L43" display="https://humanoid.guide/product/casbot-02/" r:id="rId75"/>
    <hyperlink xmlns:r="http://schemas.openxmlformats.org/officeDocument/2006/relationships" ref="M43" display="https://casbot.tech/" r:id="rId76"/>
    <hyperlink xmlns:r="http://schemas.openxmlformats.org/officeDocument/2006/relationships" ref="L44" display="https://humanoid.guide/product/casbot-w1/" r:id="rId77"/>
    <hyperlink xmlns:r="http://schemas.openxmlformats.org/officeDocument/2006/relationships" ref="M44" display="https://casbot.tech/" r:id="rId78"/>
    <hyperlink xmlns:r="http://schemas.openxmlformats.org/officeDocument/2006/relationships" ref="L45" display="https://humanoid.guide/product/casivibot/" r:id="rId79"/>
    <hyperlink xmlns:r="http://schemas.openxmlformats.org/officeDocument/2006/relationships" ref="M45" display="https://en.zhongkehuiyuan.com/" r:id="rId80"/>
    <hyperlink xmlns:r="http://schemas.openxmlformats.org/officeDocument/2006/relationships" ref="L46" display="https://humanoid.guide/product/clone-alpha/" r:id="rId81"/>
    <hyperlink xmlns:r="http://schemas.openxmlformats.org/officeDocument/2006/relationships" ref="L47" display="https://humanoid.guide/product/orca/" r:id="rId82"/>
    <hyperlink xmlns:r="http://schemas.openxmlformats.org/officeDocument/2006/relationships" ref="L49" display="https://humanoid.guide/product/dr01/" r:id="rId83"/>
    <hyperlink xmlns:r="http://schemas.openxmlformats.org/officeDocument/2006/relationships" ref="M49" display="https://www.deeprobotics.cn/en" r:id="rId84"/>
    <hyperlink xmlns:r="http://schemas.openxmlformats.org/officeDocument/2006/relationships" ref="L50" display="https://humanoid.guide/product/dr02/" r:id="rId85"/>
    <hyperlink xmlns:r="http://schemas.openxmlformats.org/officeDocument/2006/relationships" ref="M50" display="https://www.deeprobotics.cn/" r:id="rId86"/>
    <hyperlink xmlns:r="http://schemas.openxmlformats.org/officeDocument/2006/relationships" ref="L51" display="https://humanoid.guide/product/w1-pro/" r:id="rId87"/>
    <hyperlink xmlns:r="http://schemas.openxmlformats.org/officeDocument/2006/relationships" ref="M51" display="https://en.dexforce.com/" r:id="rId88"/>
    <hyperlink xmlns:r="http://schemas.openxmlformats.org/officeDocument/2006/relationships" ref="L52" display="https://humanoid.guide/product/vega/" r:id="rId89"/>
    <hyperlink xmlns:r="http://schemas.openxmlformats.org/officeDocument/2006/relationships" ref="L53" display="https://humanoid.guide/product/nezha-p01/" r:id="rId90"/>
    <hyperlink xmlns:r="http://schemas.openxmlformats.org/officeDocument/2006/relationships" ref="M53" display="https://www.digit.com.cn" r:id="rId91"/>
    <hyperlink xmlns:r="http://schemas.openxmlformats.org/officeDocument/2006/relationships" ref="L54" display="https://humanoid.guide/product/xialan-s0/" r:id="rId92"/>
    <hyperlink xmlns:r="http://schemas.openxmlformats.org/officeDocument/2006/relationships" ref="M54" display="https://www.digit.com.cn" r:id="rId93"/>
    <hyperlink xmlns:r="http://schemas.openxmlformats.org/officeDocument/2006/relationships" ref="L55" display="https://humanoid.guide/product/xiaqi/" r:id="rId94"/>
    <hyperlink xmlns:r="http://schemas.openxmlformats.org/officeDocument/2006/relationships" ref="M55" display="https://www.digit.com.cn" r:id="rId95"/>
    <hyperlink xmlns:r="http://schemas.openxmlformats.org/officeDocument/2006/relationships" ref="L56" display="https://humanoid.guide/product/atom-2/" r:id="rId96"/>
    <hyperlink xmlns:r="http://schemas.openxmlformats.org/officeDocument/2006/relationships" ref="M56" display="https://www.dobot-robots.com/​" r:id="rId97"/>
    <hyperlink xmlns:r="http://schemas.openxmlformats.org/officeDocument/2006/relationships" ref="L57" display="https://humanoid.guide/product/atom-max/" r:id="rId98"/>
    <hyperlink xmlns:r="http://schemas.openxmlformats.org/officeDocument/2006/relationships" ref="M57" display="https://www.dobot-robots.com" r:id="rId99"/>
    <hyperlink xmlns:r="http://schemas.openxmlformats.org/officeDocument/2006/relationships" ref="L58" display="https://humanoid.guide/product/cinnamon-1/" r:id="rId100"/>
    <hyperlink xmlns:r="http://schemas.openxmlformats.org/officeDocument/2006/relationships" ref="M58" display="https://www.donutrobotics.com/en" r:id="rId101"/>
    <hyperlink xmlns:r="http://schemas.openxmlformats.org/officeDocument/2006/relationships" ref="L59" display="https://humanoid.guide/product/duatic-alpha/" r:id="rId102"/>
    <hyperlink xmlns:r="http://schemas.openxmlformats.org/officeDocument/2006/relationships" ref="M59" display="https://www.duatic.com/" r:id="rId103"/>
    <hyperlink xmlns:r="http://schemas.openxmlformats.org/officeDocument/2006/relationships" ref="L60" display="https://humanoid.guide/product/skywalker-2/" r:id="rId104"/>
    <hyperlink xmlns:r="http://schemas.openxmlformats.org/officeDocument/2006/relationships" ref="M60" display="https://www.eir.com.cn/" r:id="rId105"/>
    <hyperlink xmlns:r="http://schemas.openxmlformats.org/officeDocument/2006/relationships" ref="L61" display="https://humanoid.guide/product/astrodroid-ad-01/" r:id="rId106"/>
    <hyperlink xmlns:r="http://schemas.openxmlformats.org/officeDocument/2006/relationships" ref="M61" display="http://www.elu-ai.com" r:id="rId107"/>
    <hyperlink xmlns:r="http://schemas.openxmlformats.org/officeDocument/2006/relationships" ref="L62" display="https://humanoid.guide/product/mirokai/" r:id="rId108"/>
    <hyperlink xmlns:r="http://schemas.openxmlformats.org/officeDocument/2006/relationships" ref="M62" display="https://enchanted.tools/" r:id="rId109"/>
    <hyperlink xmlns:r="http://schemas.openxmlformats.org/officeDocument/2006/relationships" ref="L63" display="https://humanoid.guide/product/pm01/" r:id="rId110"/>
    <hyperlink xmlns:r="http://schemas.openxmlformats.org/officeDocument/2006/relationships" ref="M63" display="https://www.engineai.com.cn/" r:id="rId111"/>
    <hyperlink xmlns:r="http://schemas.openxmlformats.org/officeDocument/2006/relationships" ref="L64" display="https://humanoid.guide/product/sao2/" r:id="rId112"/>
    <hyperlink xmlns:r="http://schemas.openxmlformats.org/officeDocument/2006/relationships" ref="M64" display="https://www.engineai.com.cn/" r:id="rId113"/>
    <hyperlink xmlns:r="http://schemas.openxmlformats.org/officeDocument/2006/relationships" ref="L65" display="https://humanoid.guide/product/se01/" r:id="rId114"/>
    <hyperlink xmlns:r="http://schemas.openxmlformats.org/officeDocument/2006/relationships" ref="M65" display="https://www.engineai.com.cn/" r:id="rId115"/>
    <hyperlink xmlns:r="http://schemas.openxmlformats.org/officeDocument/2006/relationships" ref="L66" display="https://humanoid.guide/product/t800/" r:id="rId116"/>
    <hyperlink xmlns:r="http://schemas.openxmlformats.org/officeDocument/2006/relationships" ref="M66" display="https://www.engineai.com.cn/" r:id="rId117"/>
    <hyperlink xmlns:r="http://schemas.openxmlformats.org/officeDocument/2006/relationships" ref="L68" display="https://humanoid.guide/product/futurist/" r:id="rId118"/>
    <hyperlink xmlns:r="http://schemas.openxmlformats.org/officeDocument/2006/relationships" ref="M68" display="https://robotics.ff.com/us/" r:id="rId119"/>
    <hyperlink xmlns:r="http://schemas.openxmlformats.org/officeDocument/2006/relationships" ref="L69" display="https://humanoid.guide/product/master/" r:id="rId120"/>
    <hyperlink xmlns:r="http://schemas.openxmlformats.org/officeDocument/2006/relationships" ref="M69" display="https://robotics.ff.com/us/" r:id="rId121"/>
    <hyperlink xmlns:r="http://schemas.openxmlformats.org/officeDocument/2006/relationships" ref="L70" display="https://humanoid.guide/product/sprout/" r:id="rId122"/>
    <hyperlink xmlns:r="http://schemas.openxmlformats.org/officeDocument/2006/relationships" ref="M70" display="https://faunarobotics.com/" r:id="rId123"/>
    <hyperlink xmlns:r="http://schemas.openxmlformats.org/officeDocument/2006/relationships" ref="L71" display="https://humanoid.guide/product/figure-02/" r:id="rId124"/>
    <hyperlink xmlns:r="http://schemas.openxmlformats.org/officeDocument/2006/relationships" ref="M71" display="https://www.figure.ai/" r:id="rId125"/>
    <hyperlink xmlns:r="http://schemas.openxmlformats.org/officeDocument/2006/relationships" ref="L72" display="https://humanoid.guide/product/figure-03/" r:id="rId126"/>
    <hyperlink xmlns:r="http://schemas.openxmlformats.org/officeDocument/2006/relationships" ref="M72" display="https://www.figure.ai/" r:id="rId127"/>
    <hyperlink xmlns:r="http://schemas.openxmlformats.org/officeDocument/2006/relationships" ref="L73" display="https://humanoid.guide/product/aico-2/" r:id="rId128"/>
    <hyperlink xmlns:r="http://schemas.openxmlformats.org/officeDocument/2006/relationships" ref="M73" display="https://flexiv.com/" r:id="rId129"/>
    <hyperlink xmlns:r="http://schemas.openxmlformats.org/officeDocument/2006/relationships" ref="L74" display="https://humanoid.guide/product/mico/" r:id="rId130"/>
    <hyperlink xmlns:r="http://schemas.openxmlformats.org/officeDocument/2006/relationships" ref="M74" display="https://flexiv.com/" r:id="rId131"/>
    <hyperlink xmlns:r="http://schemas.openxmlformats.org/officeDocument/2006/relationships" ref="L75" display="https://humanoid.guide/product/phantom-mk1/" r:id="rId132"/>
    <hyperlink xmlns:r="http://schemas.openxmlformats.org/officeDocument/2006/relationships" ref="L76" display="https://humanoid.guide/product/gr-1/" r:id="rId133"/>
    <hyperlink xmlns:r="http://schemas.openxmlformats.org/officeDocument/2006/relationships" ref="M76" display="https://fourierintelligence.com/gr1/" r:id="rId134"/>
    <hyperlink xmlns:r="http://schemas.openxmlformats.org/officeDocument/2006/relationships" ref="L77" display="https://humanoid.guide/product/gr-2/" r:id="rId135"/>
    <hyperlink xmlns:r="http://schemas.openxmlformats.org/officeDocument/2006/relationships" ref="M77" display="https://www.fftai.com/products-gr2" r:id="rId136"/>
    <hyperlink xmlns:r="http://schemas.openxmlformats.org/officeDocument/2006/relationships" ref="L78" display="https://humanoid.guide/product/fourier-gr-3/" r:id="rId137"/>
    <hyperlink xmlns:r="http://schemas.openxmlformats.org/officeDocument/2006/relationships" ref="M78" display="https://www.fftai.com/" r:id="rId138"/>
    <hyperlink xmlns:r="http://schemas.openxmlformats.org/officeDocument/2006/relationships" ref="L79" display="https://humanoid.guide/product/futuring-2/" r:id="rId139"/>
    <hyperlink xmlns:r="http://schemas.openxmlformats.org/officeDocument/2006/relationships" ref="M79" display="https://futuringrobot.com/" r:id="rId140"/>
    <hyperlink xmlns:r="http://schemas.openxmlformats.org/officeDocument/2006/relationships" ref="L80" display="https://humanoid.guide/product/kengo/" r:id="rId141"/>
    <hyperlink xmlns:r="http://schemas.openxmlformats.org/officeDocument/2006/relationships" ref="M80" display="https://galaxea-dynamics.com/" r:id="rId142"/>
    <hyperlink xmlns:r="http://schemas.openxmlformats.org/officeDocument/2006/relationships" ref="L81" display="https://humanoid.guide/product/r1-pro/" r:id="rId143"/>
    <hyperlink xmlns:r="http://schemas.openxmlformats.org/officeDocument/2006/relationships" ref="M81" display="https://galaxea-dynamics.com/" r:id="rId144"/>
    <hyperlink xmlns:r="http://schemas.openxmlformats.org/officeDocument/2006/relationships" ref="L82" display="https://humanoid.guide/product/galbot/" r:id="rId145"/>
    <hyperlink xmlns:r="http://schemas.openxmlformats.org/officeDocument/2006/relationships" ref="M82" display="https://www.galbot.com/" r:id="rId146"/>
    <hyperlink xmlns:r="http://schemas.openxmlformats.org/officeDocument/2006/relationships" ref="L83" display="https://humanoid.guide/product/galbot/" r:id="rId147"/>
    <hyperlink xmlns:r="http://schemas.openxmlformats.org/officeDocument/2006/relationships" ref="M83" display="https://www.galbot.com/" r:id="rId148"/>
    <hyperlink xmlns:r="http://schemas.openxmlformats.org/officeDocument/2006/relationships" ref="L84" display="https://humanoid.guide/product/eno/" r:id="rId149"/>
    <hyperlink xmlns:r="http://schemas.openxmlformats.org/officeDocument/2006/relationships" ref="M84" display="https://www.genesis.ai/" r:id="rId150"/>
    <hyperlink xmlns:r="http://schemas.openxmlformats.org/officeDocument/2006/relationships" ref="L85" display="https://humanoid.guide/product/maker-h01/" r:id="rId151"/>
    <hyperlink xmlns:r="http://schemas.openxmlformats.org/officeDocument/2006/relationships" ref="L86" display="https://humanoid.guide/product/hiva-haiwa/" r:id="rId152"/>
    <hyperlink xmlns:r="http://schemas.openxmlformats.org/officeDocument/2006/relationships" ref="M86" display="https://www.haier.com/" r:id="rId153"/>
    <hyperlink xmlns:r="http://schemas.openxmlformats.org/officeDocument/2006/relationships" ref="L87" display="https://humanoid.guide/product/aeon/" r:id="rId154"/>
    <hyperlink xmlns:r="http://schemas.openxmlformats.org/officeDocument/2006/relationships" ref="M87" display="https://robotics.hexagon.com/product/" r:id="rId155"/>
    <hyperlink xmlns:r="http://schemas.openxmlformats.org/officeDocument/2006/relationships" ref="L88" display="https://humanoid.guide/product/friday/" r:id="rId156"/>
    <hyperlink xmlns:r="http://schemas.openxmlformats.org/officeDocument/2006/relationships" ref="L89" display="https://humanoid.guide/product/honor/" r:id="rId157"/>
    <hyperlink xmlns:r="http://schemas.openxmlformats.org/officeDocument/2006/relationships" ref="M89" display="https://www.hihonor.com" r:id="rId158"/>
    <hyperlink xmlns:r="http://schemas.openxmlformats.org/officeDocument/2006/relationships" ref="L90" display="https://humanoid.guide/product/honor/" r:id="rId159"/>
    <hyperlink xmlns:r="http://schemas.openxmlformats.org/officeDocument/2006/relationships" ref="M90" display="https://www.hihonor.com" r:id="rId160"/>
    <hyperlink xmlns:r="http://schemas.openxmlformats.org/officeDocument/2006/relationships" ref="L91" display="https://humanoid.guide/product/honor/" r:id="rId161"/>
    <hyperlink xmlns:r="http://schemas.openxmlformats.org/officeDocument/2006/relationships" ref="M91" display="https://www.hihonor.com" r:id="rId162"/>
    <hyperlink xmlns:r="http://schemas.openxmlformats.org/officeDocument/2006/relationships" ref="L92" display="https://humanoid.guide/product/tara-gen1/" r:id="rId163"/>
    <hyperlink xmlns:r="http://schemas.openxmlformats.org/officeDocument/2006/relationships" ref="M92" display="https://www.ihubrobotics.com/" r:id="rId164"/>
    <hyperlink xmlns:r="http://schemas.openxmlformats.org/officeDocument/2006/relationships" ref="L93" display="https://humanoid.guide/product/pib-pro/" r:id="rId165"/>
    <hyperlink xmlns:r="http://schemas.openxmlformats.org/officeDocument/2006/relationships" ref="M93" display="https://pib.rocks" r:id="rId166"/>
    <hyperlink xmlns:r="http://schemas.openxmlformats.org/officeDocument/2006/relationships" ref="L94" display="https://humanoid.guide/product/jaka-%cf%80/" r:id="rId167"/>
    <hyperlink xmlns:r="http://schemas.openxmlformats.org/officeDocument/2006/relationships" ref="M94" display="https://www.jaka.com" r:id="rId168"/>
    <hyperlink xmlns:r="http://schemas.openxmlformats.org/officeDocument/2006/relationships" ref="L95" display="https://humanoid.guide/product/jaka-k1/" r:id="rId169"/>
    <hyperlink xmlns:r="http://schemas.openxmlformats.org/officeDocument/2006/relationships" ref="M95" display="https://www.jaka.com/" r:id="rId170"/>
    <hyperlink xmlns:r="http://schemas.openxmlformats.org/officeDocument/2006/relationships" ref="L96" display="https://humanoid.guide/product/jaka-kargo/" r:id="rId171"/>
    <hyperlink xmlns:r="http://schemas.openxmlformats.org/officeDocument/2006/relationships" ref="M96" display="https://www.jaka.com" r:id="rId172"/>
    <hyperlink xmlns:r="http://schemas.openxmlformats.org/officeDocument/2006/relationships" ref="L97" display="https://humanoid.guide/product/keenon-xman-r1/" r:id="rId173"/>
    <hyperlink xmlns:r="http://schemas.openxmlformats.org/officeDocument/2006/relationships" ref="M97" display="https://www.keenon.com/" r:id="rId174"/>
    <hyperlink xmlns:r="http://schemas.openxmlformats.org/officeDocument/2006/relationships" ref="L98" display="https://humanoid.guide/product/k2-bumblebee/" r:id="rId175"/>
    <hyperlink xmlns:r="http://schemas.openxmlformats.org/officeDocument/2006/relationships" ref="M98" display="https://www.gotokepler.com/home" r:id="rId176"/>
    <hyperlink xmlns:r="http://schemas.openxmlformats.org/officeDocument/2006/relationships" ref="L99" display="https://humanoid.guide/product/kepler/" r:id="rId177"/>
    <hyperlink xmlns:r="http://schemas.openxmlformats.org/officeDocument/2006/relationships" ref="M99" display="https://www.gotokepler.com/home" r:id="rId178"/>
    <hyperlink xmlns:r="http://schemas.openxmlformats.org/officeDocument/2006/relationships" ref="L100" display="https://humanoid.guide/product/kepler-k2/" r:id="rId179"/>
    <hyperlink xmlns:r="http://schemas.openxmlformats.org/officeDocument/2006/relationships" ref="M100" display="https://www.gotokepler.com/home" r:id="rId180"/>
    <hyperlink xmlns:r="http://schemas.openxmlformats.org/officeDocument/2006/relationships" ref="L101" display="https://humanoid.guide/product/kai/" r:id="rId181"/>
    <hyperlink xmlns:r="http://schemas.openxmlformats.org/officeDocument/2006/relationships" ref="M101" display="https://www.kinetixai.tech/en/" r:id="rId182"/>
    <hyperlink xmlns:r="http://schemas.openxmlformats.org/officeDocument/2006/relationships" ref="L102" display="https://humanoid.guide/product/kinisi-01/" r:id="rId183"/>
    <hyperlink xmlns:r="http://schemas.openxmlformats.org/officeDocument/2006/relationships" ref="M102" display="https://www.kinisi.com/" r:id="rId184"/>
    <hyperlink xmlns:r="http://schemas.openxmlformats.org/officeDocument/2006/relationships" ref="L103" display="https://humanoid.guide/product/kinisi-kr1/" r:id="rId185"/>
    <hyperlink xmlns:r="http://schemas.openxmlformats.org/officeDocument/2006/relationships" ref="M103" display="https://www.kinisi.com/" r:id="rId186"/>
    <hyperlink xmlns:r="http://schemas.openxmlformats.org/officeDocument/2006/relationships" ref="L104" display="https://humanoid.guide/product/vb1-i/" r:id="rId187"/>
    <hyperlink xmlns:r="http://schemas.openxmlformats.org/officeDocument/2006/relationships" ref="M104" display="https://www.lanxinrobotics.com/" r:id="rId188"/>
    <hyperlink xmlns:r="http://schemas.openxmlformats.org/officeDocument/2006/relationships" ref="L105" display="https://humanoid.guide/product/vb2/" r:id="rId189"/>
    <hyperlink xmlns:r="http://schemas.openxmlformats.org/officeDocument/2006/relationships" ref="M105" display="https://www.lanxinrobotics.com/" r:id="rId190"/>
    <hyperlink xmlns:r="http://schemas.openxmlformats.org/officeDocument/2006/relationships" ref="L106" display="https://humanoid.guide/product/versabot-vb-1/" r:id="rId191"/>
    <hyperlink xmlns:r="http://schemas.openxmlformats.org/officeDocument/2006/relationships" ref="M106" display="https://www.lanxinrobotics.com/" r:id="rId192"/>
    <hyperlink xmlns:r="http://schemas.openxmlformats.org/officeDocument/2006/relationships" ref="L107" display="https://humanoid.guide/product/kuavo-5/" r:id="rId193"/>
    <hyperlink xmlns:r="http://schemas.openxmlformats.org/officeDocument/2006/relationships" ref="M107" display="https://www.lejurobot.com/en" r:id="rId194"/>
    <hyperlink xmlns:r="http://schemas.openxmlformats.org/officeDocument/2006/relationships" ref="L108" display="https://humanoid.guide/product/roban-2/" r:id="rId195"/>
    <hyperlink xmlns:r="http://schemas.openxmlformats.org/officeDocument/2006/relationships" ref="M108" display="https://www.lejurobot.com/en" r:id="rId196"/>
    <hyperlink xmlns:r="http://schemas.openxmlformats.org/officeDocument/2006/relationships" ref="L110" display="https://humanoid.guide/product/kuavo-my/" r:id="rId197"/>
    <hyperlink xmlns:r="http://schemas.openxmlformats.org/officeDocument/2006/relationships" ref="M110" display="https://www.lejurobot.com/en/application/kuavo-my" r:id="rId198"/>
    <hyperlink xmlns:r="http://schemas.openxmlformats.org/officeDocument/2006/relationships" ref="L111" display="https://humanoid.guide/product/xtron-kuavo-my/" r:id="rId199"/>
    <hyperlink xmlns:r="http://schemas.openxmlformats.org/officeDocument/2006/relationships" ref="M111" display="https://www.foxtechrobotics.com/" r:id="rId200"/>
    <hyperlink xmlns:r="http://schemas.openxmlformats.org/officeDocument/2006/relationships" ref="L112" display="https://humanoid.guide/product/cloid/" r:id="rId201"/>
    <hyperlink xmlns:r="http://schemas.openxmlformats.org/officeDocument/2006/relationships" ref="M112" display="https://www.lg.com/" r:id="rId202"/>
    <hyperlink xmlns:r="http://schemas.openxmlformats.org/officeDocument/2006/relationships" ref="L113" display="https://humanoid.guide/product/kapex/" r:id="rId203"/>
    <hyperlink xmlns:r="http://schemas.openxmlformats.org/officeDocument/2006/relationships" ref="M113" display="https://www.lg.com/" r:id="rId204"/>
    <hyperlink xmlns:r="http://schemas.openxmlformats.org/officeDocument/2006/relationships" ref="L114" display="https://humanoid.guide/product/limx/" r:id="rId205"/>
    <hyperlink xmlns:r="http://schemas.openxmlformats.org/officeDocument/2006/relationships" ref="M114" display="https://www.limxdynamics.com/en" r:id="rId206"/>
    <hyperlink xmlns:r="http://schemas.openxmlformats.org/officeDocument/2006/relationships" ref="L115" display="https://humanoid.guide/product/limx-cl-series/" r:id="rId207"/>
    <hyperlink xmlns:r="http://schemas.openxmlformats.org/officeDocument/2006/relationships" ref="M115" display="https://www.limxdynamics.com/" r:id="rId208"/>
    <hyperlink xmlns:r="http://schemas.openxmlformats.org/officeDocument/2006/relationships" ref="L116" display="https://humanoid.guide/product/limx-oli/" r:id="rId209"/>
    <hyperlink xmlns:r="http://schemas.openxmlformats.org/officeDocument/2006/relationships" ref="M116" display="https://www.limxdynamics.com/" r:id="rId210"/>
    <hyperlink xmlns:r="http://schemas.openxmlformats.org/officeDocument/2006/relationships" ref="L117" display="https://humanoid.guide/product/limx-oli/" r:id="rId211"/>
    <hyperlink xmlns:r="http://schemas.openxmlformats.org/officeDocument/2006/relationships" ref="M117" display="https://www.limxdynamics.com/" r:id="rId212"/>
    <hyperlink xmlns:r="http://schemas.openxmlformats.org/officeDocument/2006/relationships" ref="L118" display="https://humanoid.guide/product/limx-oli/" r:id="rId213"/>
    <hyperlink xmlns:r="http://schemas.openxmlformats.org/officeDocument/2006/relationships" ref="M118" display="https://www.limxdynamics.com/" r:id="rId214"/>
    <hyperlink xmlns:r="http://schemas.openxmlformats.org/officeDocument/2006/relationships" ref="L119" display="https://humanoid.guide/product/nix/" r:id="rId215"/>
    <hyperlink xmlns:r="http://schemas.openxmlformats.org/officeDocument/2006/relationships" ref="M119" display="https://lumosbot.tech" r:id="rId216"/>
    <hyperlink xmlns:r="http://schemas.openxmlformats.org/officeDocument/2006/relationships" ref="L120" display="https://humanoid.guide/product/magicbot/" r:id="rId217"/>
    <hyperlink xmlns:r="http://schemas.openxmlformats.org/officeDocument/2006/relationships" ref="M120" display="https://www.magiclab.top/" r:id="rId218"/>
    <hyperlink xmlns:r="http://schemas.openxmlformats.org/officeDocument/2006/relationships" ref="L121" display="https://humanoid.guide/product/magicbot-x1/" r:id="rId219"/>
    <hyperlink xmlns:r="http://schemas.openxmlformats.org/officeDocument/2006/relationships" ref="M121" display="https://www.magiclab.top/" r:id="rId220"/>
    <hyperlink xmlns:r="http://schemas.openxmlformats.org/officeDocument/2006/relationships" ref="L122" display="https://humanoid.guide/product/magicbot-z1/" r:id="rId221"/>
    <hyperlink xmlns:r="http://schemas.openxmlformats.org/officeDocument/2006/relationships" ref="M122" display="https://www.magiclab.top/" r:id="rId222"/>
    <hyperlink xmlns:r="http://schemas.openxmlformats.org/officeDocument/2006/relationships" ref="L123" display="https://humanoid.guide/product/matrix-1/" r:id="rId223"/>
    <hyperlink xmlns:r="http://schemas.openxmlformats.org/officeDocument/2006/relationships" ref="M123" display="https://www.matrixrobotics.ai/" r:id="rId224"/>
    <hyperlink xmlns:r="http://schemas.openxmlformats.org/officeDocument/2006/relationships" ref="L124" display="https://humanoid.guide/product/matrix-3/" r:id="rId225"/>
    <hyperlink xmlns:r="http://schemas.openxmlformats.org/officeDocument/2006/relationships" ref="M124" display="https://matrixrobotics.ai/" r:id="rId226"/>
    <hyperlink xmlns:r="http://schemas.openxmlformats.org/officeDocument/2006/relationships" ref="L125" display="https://humanoid.guide/product/asimov/" r:id="rId227"/>
    <hyperlink xmlns:r="http://schemas.openxmlformats.org/officeDocument/2006/relationships" ref="M125" display="https://menlo.ai/" r:id="rId228"/>
    <hyperlink xmlns:r="http://schemas.openxmlformats.org/officeDocument/2006/relationships" ref="L126" display="https://humanoid.guide/product/asimov-one/" r:id="rId229"/>
    <hyperlink xmlns:r="http://schemas.openxmlformats.org/officeDocument/2006/relationships" ref="M126" display="https://menlo.ai/" r:id="rId230"/>
    <hyperlink xmlns:r="http://schemas.openxmlformats.org/officeDocument/2006/relationships" ref="L127" display="https://humanoid.guide/product/asimov-two/" r:id="rId231"/>
    <hyperlink xmlns:r="http://schemas.openxmlformats.org/officeDocument/2006/relationships" ref="M127" display="https://menlo.ai/" r:id="rId232"/>
    <hyperlink xmlns:r="http://schemas.openxmlformats.org/officeDocument/2006/relationships" ref="L128" display="https://humanoid.guide/product/menteebot/" r:id="rId233"/>
    <hyperlink xmlns:r="http://schemas.openxmlformats.org/officeDocument/2006/relationships" ref="M128" display="https://www.menteebot.com/" r:id="rId234"/>
    <hyperlink xmlns:r="http://schemas.openxmlformats.org/officeDocument/2006/relationships" ref="L129" display="https://humanoid.guide/product/menteebot-v3/" r:id="rId235"/>
    <hyperlink xmlns:r="http://schemas.openxmlformats.org/officeDocument/2006/relationships" ref="M129" display="https://www.menteebot.com/" r:id="rId236"/>
    <hyperlink xmlns:r="http://schemas.openxmlformats.org/officeDocument/2006/relationships" ref="L130" display="https://humanoid.guide/product/miro/" r:id="rId237"/>
    <hyperlink xmlns:r="http://schemas.openxmlformats.org/officeDocument/2006/relationships" ref="M130" display="https://www.midea.com.cn/en" r:id="rId238"/>
    <hyperlink xmlns:r="http://schemas.openxmlformats.org/officeDocument/2006/relationships" ref="L131" display="https://humanoid.guide/product/mh3/" r:id="rId239"/>
    <hyperlink xmlns:r="http://schemas.openxmlformats.org/officeDocument/2006/relationships" ref="L132" display="https://humanoid.guide/product/l1/" r:id="rId240"/>
    <hyperlink xmlns:r="http://schemas.openxmlformats.org/officeDocument/2006/relationships" ref="L133" display="https://humanoid.guide/product/spaceo-m1/" r:id="rId241"/>
    <hyperlink xmlns:r="http://schemas.openxmlformats.org/officeDocument/2006/relationships" ref="L134" display="https://humanoid.guide/product/spaceo-pro/" r:id="rId242"/>
    <hyperlink xmlns:r="http://schemas.openxmlformats.org/officeDocument/2006/relationships" ref="L136" display="https://humanoid.guide/product/ambidex/" r:id="rId243"/>
    <hyperlink xmlns:r="http://schemas.openxmlformats.org/officeDocument/2006/relationships" ref="M136" display="https://www.naverlabs.com/ambidex" r:id="rId244"/>
    <hyperlink xmlns:r="http://schemas.openxmlformats.org/officeDocument/2006/relationships" ref="L137" display="https://humanoid.guide/product/4ne-1/" r:id="rId245"/>
    <hyperlink xmlns:r="http://schemas.openxmlformats.org/officeDocument/2006/relationships" ref="M137" display="http://neura-robotics.com/" r:id="rId246"/>
    <hyperlink xmlns:r="http://schemas.openxmlformats.org/officeDocument/2006/relationships" ref="L138" display="https://humanoid.guide/product/4ne1/" r:id="rId247"/>
    <hyperlink xmlns:r="http://schemas.openxmlformats.org/officeDocument/2006/relationships" ref="M138" display="https://neura-robotics.com/" r:id="rId248"/>
    <hyperlink xmlns:r="http://schemas.openxmlformats.org/officeDocument/2006/relationships" ref="L139" display="https://humanoid.guide/product/raynex-g3/" r:id="rId249"/>
    <hyperlink xmlns:r="http://schemas.openxmlformats.org/officeDocument/2006/relationships" ref="M139" display="https://www.nineraygroup.com/" r:id="rId250"/>
    <hyperlink xmlns:r="http://schemas.openxmlformats.org/officeDocument/2006/relationships" ref="L140" display="https://humanoid.guide/product/moby/" r:id="rId251"/>
    <hyperlink xmlns:r="http://schemas.openxmlformats.org/officeDocument/2006/relationships" ref="M140" display="https://www.noblemachines.ai/" r:id="rId252"/>
    <hyperlink xmlns:r="http://schemas.openxmlformats.org/officeDocument/2006/relationships" ref="L141" display="https://humanoid.guide/product/dora/" r:id="rId253"/>
    <hyperlink xmlns:r="http://schemas.openxmlformats.org/officeDocument/2006/relationships" ref="M141" display="https://en.noetixrobotics.com" r:id="rId254"/>
    <hyperlink xmlns:r="http://schemas.openxmlformats.org/officeDocument/2006/relationships" ref="L142" display="https://humanoid.guide/product/hobbs/" r:id="rId255"/>
    <hyperlink xmlns:r="http://schemas.openxmlformats.org/officeDocument/2006/relationships" ref="M142" display="https://en.noetixrobotics.com/products-279.html" r:id="rId256"/>
    <hyperlink xmlns:r="http://schemas.openxmlformats.org/officeDocument/2006/relationships" ref="L143" display="https://humanoid.guide/product/n2/" r:id="rId257"/>
    <hyperlink xmlns:r="http://schemas.openxmlformats.org/officeDocument/2006/relationships" ref="M143" display="https://en.noetixrobotics.com" r:id="rId258"/>
    <hyperlink xmlns:r="http://schemas.openxmlformats.org/officeDocument/2006/relationships" ref="L144" display="https://humanoid.guide/product/n2/" r:id="rId259"/>
    <hyperlink xmlns:r="http://schemas.openxmlformats.org/officeDocument/2006/relationships" ref="M144" display="https://en.noetixrobotics.com" r:id="rId260"/>
    <hyperlink xmlns:r="http://schemas.openxmlformats.org/officeDocument/2006/relationships" ref="L145" display="https://humanoid.guide/product/n2/" r:id="rId261"/>
    <hyperlink xmlns:r="http://schemas.openxmlformats.org/officeDocument/2006/relationships" ref="M145" display="https://en.noetixrobotics.com" r:id="rId262"/>
    <hyperlink xmlns:r="http://schemas.openxmlformats.org/officeDocument/2006/relationships" ref="L146" display="https://humanoid.guide/product/modular/" r:id="rId263"/>
    <hyperlink xmlns:r="http://schemas.openxmlformats.org/officeDocument/2006/relationships" ref="M146" display="https://o-id.net/" r:id="rId264"/>
    <hyperlink xmlns:r="http://schemas.openxmlformats.org/officeDocument/2006/relationships" ref="L147" display="https://humanoid.guide/product/openarm-02/" r:id="rId265"/>
    <hyperlink xmlns:r="http://schemas.openxmlformats.org/officeDocument/2006/relationships" ref="M147" display="https://openarm.dev/" r:id="rId266"/>
    <hyperlink xmlns:r="http://schemas.openxmlformats.org/officeDocument/2006/relationships" ref="L148" display="https://humanoid.guide/product/qinglong-v3-0/" r:id="rId267"/>
    <hyperlink xmlns:r="http://schemas.openxmlformats.org/officeDocument/2006/relationships" ref="M148" display="https://www.openloong.net/" r:id="rId268"/>
    <hyperlink xmlns:r="http://schemas.openxmlformats.org/officeDocument/2006/relationships" ref="L150" display="https://humanoid.guide/product/helios/" r:id="rId269"/>
    <hyperlink xmlns:r="http://schemas.openxmlformats.org/officeDocument/2006/relationships" ref="M150" display="https://www.orbitrobotics.ch/" r:id="rId270"/>
    <hyperlink xmlns:r="http://schemas.openxmlformats.org/officeDocument/2006/relationships" ref="L151" display="https://humanoid.guide/product/robee/" r:id="rId271"/>
    <hyperlink xmlns:r="http://schemas.openxmlformats.org/officeDocument/2006/relationships" ref="M151" display="https://www.oversonicrobotics.com" r:id="rId272"/>
    <hyperlink xmlns:r="http://schemas.openxmlformats.org/officeDocument/2006/relationships" ref="L152" display="https://humanoid.guide/product/kangaroo/" r:id="rId273"/>
    <hyperlink xmlns:r="http://schemas.openxmlformats.org/officeDocument/2006/relationships" ref="M152" display="https://pal-robotics.com/robot/kangaroo/" r:id="rId274"/>
    <hyperlink xmlns:r="http://schemas.openxmlformats.org/officeDocument/2006/relationships" ref="L153" display="https://humanoid.guide/product/tora-doubleone/" r:id="rId275"/>
    <hyperlink xmlns:r="http://schemas.openxmlformats.org/officeDocument/2006/relationships" ref="M153" display="https://paxini.com/robot/doubleOne" r:id="rId276"/>
    <hyperlink xmlns:r="http://schemas.openxmlformats.org/officeDocument/2006/relationships" ref="L154" display="https://humanoid.guide/product/pr-34d/" r:id="rId277"/>
    <hyperlink xmlns:r="http://schemas.openxmlformats.org/officeDocument/2006/relationships" ref="M154" display="https://www.perceptyne.com/" r:id="rId278"/>
    <hyperlink xmlns:r="http://schemas.openxmlformats.org/officeDocument/2006/relationships" ref="L155" display="https://humanoid.guide/product/phybot-c1/" r:id="rId279"/>
    <hyperlink xmlns:r="http://schemas.openxmlformats.org/officeDocument/2006/relationships" ref="M155" display="https://www.phybot.tech/" r:id="rId280"/>
    <hyperlink xmlns:r="http://schemas.openxmlformats.org/officeDocument/2006/relationships" ref="L156" display="https://humanoid.guide/product/phybot-m1/" r:id="rId281"/>
    <hyperlink xmlns:r="http://schemas.openxmlformats.org/officeDocument/2006/relationships" ref="M156" display="https://www.phybot.tech/" r:id="rId282"/>
    <hyperlink xmlns:r="http://schemas.openxmlformats.org/officeDocument/2006/relationships" ref="L157" display="https://humanoid.guide/product/prowhite/" r:id="rId283"/>
    <hyperlink xmlns:r="http://schemas.openxmlformats.org/officeDocument/2006/relationships" ref="M157" display="https://en.pl-universe.com/" r:id="rId284"/>
    <hyperlink xmlns:r="http://schemas.openxmlformats.org/officeDocument/2006/relationships" ref="L158" display="https://humanoid.guide/product/zeus-1/" r:id="rId285"/>
    <hyperlink xmlns:r="http://schemas.openxmlformats.org/officeDocument/2006/relationships" ref="M158" display="https://en.pl-universe.com/" r:id="rId286"/>
    <hyperlink xmlns:r="http://schemas.openxmlformats.org/officeDocument/2006/relationships" ref="L159" display="https://humanoid.guide/product/adam/" r:id="rId287"/>
    <hyperlink xmlns:r="http://schemas.openxmlformats.org/officeDocument/2006/relationships" ref="M159" display="https://pndbotics.com/" r:id="rId288"/>
    <hyperlink xmlns:r="http://schemas.openxmlformats.org/officeDocument/2006/relationships" ref="L160" display="https://humanoid.guide/product/adamsp/" r:id="rId289"/>
    <hyperlink xmlns:r="http://schemas.openxmlformats.org/officeDocument/2006/relationships" ref="M160" display="https://pndbotics.com/" r:id="rId290"/>
    <hyperlink xmlns:r="http://schemas.openxmlformats.org/officeDocument/2006/relationships" ref="L161" display="https://humanoid.guide/product/reachy-2/" r:id="rId291"/>
    <hyperlink xmlns:r="http://schemas.openxmlformats.org/officeDocument/2006/relationships" ref="M161" display="https://www.pollen-robotics.com/" r:id="rId292"/>
    <hyperlink xmlns:r="http://schemas.openxmlformats.org/officeDocument/2006/relationships" ref="L162" display="https://humanoid.guide/product/primebot-q1/" r:id="rId293"/>
    <hyperlink xmlns:r="http://schemas.openxmlformats.org/officeDocument/2006/relationships" ref="M162" display="https://www.primebot.cn/" r:id="rId294"/>
    <hyperlink xmlns:r="http://schemas.openxmlformats.org/officeDocument/2006/relationships" ref="L163" display="https://humanoid.guide/product/primebot-t1/" r:id="rId295"/>
    <hyperlink xmlns:r="http://schemas.openxmlformats.org/officeDocument/2006/relationships" ref="M163" display="https://www.primebot.cn/" r:id="rId296"/>
    <hyperlink xmlns:r="http://schemas.openxmlformats.org/officeDocument/2006/relationships" ref="L164" display="https://humanoid.guide/product/psi-v1/" r:id="rId297"/>
    <hyperlink xmlns:r="http://schemas.openxmlformats.org/officeDocument/2006/relationships" ref="M164" display="https://www.psibot.ai/" r:id="rId298"/>
    <hyperlink xmlns:r="http://schemas.openxmlformats.org/officeDocument/2006/relationships" ref="L165" display="https://humanoid.guide/product/%cf%88-synrobot/" r:id="rId299"/>
    <hyperlink xmlns:r="http://schemas.openxmlformats.org/officeDocument/2006/relationships" ref="M165" display="https://www.psibot.ai/" r:id="rId300"/>
    <hyperlink xmlns:r="http://schemas.openxmlformats.org/officeDocument/2006/relationships" ref="L166" display="https://humanoid.guide/product/flashbot-arm/" r:id="rId301"/>
    <hyperlink xmlns:r="http://schemas.openxmlformats.org/officeDocument/2006/relationships" ref="M166" display="https://www.pudurobotics.com/" r:id="rId302"/>
    <hyperlink xmlns:r="http://schemas.openxmlformats.org/officeDocument/2006/relationships" ref="L167" display="https://humanoid.guide/product/pudu-d7/" r:id="rId303"/>
    <hyperlink xmlns:r="http://schemas.openxmlformats.org/officeDocument/2006/relationships" ref="M167" display="https://www.pudurobotics.com/" r:id="rId304"/>
    <hyperlink xmlns:r="http://schemas.openxmlformats.org/officeDocument/2006/relationships" ref="L168" display="https://humanoid.guide/product/pudu-d9/" r:id="rId305"/>
    <hyperlink xmlns:r="http://schemas.openxmlformats.org/officeDocument/2006/relationships" ref="M168" display="https://www.pudurobotics.com/" r:id="rId306"/>
    <hyperlink xmlns:r="http://schemas.openxmlformats.org/officeDocument/2006/relationships" ref="L169" display="https://humanoid.guide/product/rb-y1/" r:id="rId307"/>
    <hyperlink xmlns:r="http://schemas.openxmlformats.org/officeDocument/2006/relationships" ref="M169" display="https://www.rainbow-robotics.com/en_main" r:id="rId308"/>
    <hyperlink xmlns:r="http://schemas.openxmlformats.org/officeDocument/2006/relationships" ref="L170" display="https://humanoid.guide/product/reflex/" r:id="rId309"/>
    <hyperlink xmlns:r="http://schemas.openxmlformats.org/officeDocument/2006/relationships" ref="L171" display="https://humanoid.guide/product/robbyant-r1/" r:id="rId310"/>
    <hyperlink xmlns:r="http://schemas.openxmlformats.org/officeDocument/2006/relationships" ref="M171" display="https://www.antgroup.com/en" r:id="rId311"/>
    <hyperlink xmlns:r="http://schemas.openxmlformats.org/officeDocument/2006/relationships" ref="L172" display="https://humanoid.guide/product/robo-t1/" r:id="rId312"/>
    <hyperlink xmlns:r="http://schemas.openxmlformats.org/officeDocument/2006/relationships" ref="L173" display="https://humanoid.guide/product/titan/" r:id="rId313"/>
    <hyperlink xmlns:r="http://schemas.openxmlformats.org/officeDocument/2006/relationships" ref="M173" display="http://www.roboforce.ai" r:id="rId314"/>
    <hyperlink xmlns:r="http://schemas.openxmlformats.org/officeDocument/2006/relationships" ref="L174" display="https://humanoid.guide/product/robin/" r:id="rId315"/>
    <hyperlink xmlns:r="http://schemas.openxmlformats.org/officeDocument/2006/relationships" ref="M174" display="https://www.roboligent.com/" r:id="rId316"/>
    <hyperlink xmlns:r="http://schemas.openxmlformats.org/officeDocument/2006/relationships" ref="L175" display="https://humanoid.guide/product/r-noid/" r:id="rId317"/>
    <hyperlink xmlns:r="http://schemas.openxmlformats.org/officeDocument/2006/relationships" ref="M175" display="https://www.robot.com/" r:id="rId318"/>
    <hyperlink xmlns:r="http://schemas.openxmlformats.org/officeDocument/2006/relationships" ref="L176" display="https://humanoid.guide/product/robotera-l7/" r:id="rId319"/>
    <hyperlink xmlns:r="http://schemas.openxmlformats.org/officeDocument/2006/relationships" ref="M176" display="https://www.robotera.com/" r:id="rId320"/>
    <hyperlink xmlns:r="http://schemas.openxmlformats.org/officeDocument/2006/relationships" ref="L177" display="https://humanoid.guide/product/robotera-m7/" r:id="rId321"/>
    <hyperlink xmlns:r="http://schemas.openxmlformats.org/officeDocument/2006/relationships" ref="M177" display="https://www.robotera.com/" r:id="rId322"/>
    <hyperlink xmlns:r="http://schemas.openxmlformats.org/officeDocument/2006/relationships" ref="L178" display="https://humanoid.guide/product/robotera-q5/" r:id="rId323"/>
    <hyperlink xmlns:r="http://schemas.openxmlformats.org/officeDocument/2006/relationships" ref="M178" display="https://www.robotera.com/" r:id="rId324"/>
    <hyperlink xmlns:r="http://schemas.openxmlformats.org/officeDocument/2006/relationships" ref="L179" display="https://humanoid.guide/product/star1/" r:id="rId325"/>
    <hyperlink xmlns:r="http://schemas.openxmlformats.org/officeDocument/2006/relationships" ref="M179" display="https://www.robotera.com/en" r:id="rId326"/>
    <hyperlink xmlns:r="http://schemas.openxmlformats.org/officeDocument/2006/relationships" ref="L180" display="https://humanoid.guide/product/ai-sapiens-k1/" r:id="rId327"/>
    <hyperlink xmlns:r="http://schemas.openxmlformats.org/officeDocument/2006/relationships" ref="M180" display="https://www.robotis.us/" r:id="rId328"/>
    <hyperlink xmlns:r="http://schemas.openxmlformats.org/officeDocument/2006/relationships" ref="L181" display="https://humanoid.guide/product/ai-worker/" r:id="rId329"/>
    <hyperlink xmlns:r="http://schemas.openxmlformats.org/officeDocument/2006/relationships" ref="M181" display="https://ai.robotis.com/" r:id="rId330"/>
    <hyperlink xmlns:r="http://schemas.openxmlformats.org/officeDocument/2006/relationships" ref="L182" display="https://humanoid.guide/product/k0-by-robotis/" r:id="rId331"/>
    <hyperlink xmlns:r="http://schemas.openxmlformats.org/officeDocument/2006/relationships" ref="M182" display="https://ai.robotis.com/" r:id="rId332"/>
    <hyperlink xmlns:r="http://schemas.openxmlformats.org/officeDocument/2006/relationships" ref="L183" display="https://humanoid.guide/product/igris-c/" r:id="rId333"/>
    <hyperlink xmlns:r="http://schemas.openxmlformats.org/officeDocument/2006/relationships" ref="M183" display="https://www.robros.co.kr/en" r:id="rId334"/>
    <hyperlink xmlns:r="http://schemas.openxmlformats.org/officeDocument/2006/relationships" ref="L184" display="https://humanoid.guide/product/phoenix/" r:id="rId335"/>
    <hyperlink xmlns:r="http://schemas.openxmlformats.org/officeDocument/2006/relationships" ref="M184" display="https://sanctuary.ai/product/" r:id="rId336"/>
    <hyperlink xmlns:r="http://schemas.openxmlformats.org/officeDocument/2006/relationships" ref="L185" display="https://humanoid.guide/product/roboto-origin/" r:id="rId337"/>
    <hyperlink xmlns:r="http://schemas.openxmlformats.org/officeDocument/2006/relationships" ref="M185" display="https://www.roboparty.com/" r:id="rId338"/>
    <hyperlink xmlns:r="http://schemas.openxmlformats.org/officeDocument/2006/relationships" ref="L186" display="https://humanoid.guide/product/duco/" r:id="rId339"/>
    <hyperlink xmlns:r="http://schemas.openxmlformats.org/officeDocument/2006/relationships" ref="M186" display="https://www.siasun.com" r:id="rId340"/>
    <hyperlink xmlns:r="http://schemas.openxmlformats.org/officeDocument/2006/relationships" ref="L187" display="https://humanoid.guide/product/songxing/" r:id="rId341"/>
    <hyperlink xmlns:r="http://schemas.openxmlformats.org/officeDocument/2006/relationships" ref="M187" display="https://en.siasun.com/" r:id="rId342"/>
    <hyperlink xmlns:r="http://schemas.openxmlformats.org/officeDocument/2006/relationships" ref="L188" display="https://humanoid.guide/product/simplexity-robotics-i-series/" r:id="rId343"/>
    <hyperlink xmlns:r="http://schemas.openxmlformats.org/officeDocument/2006/relationships" ref="L189" display="https://humanoid.guide/product/moz1/" r:id="rId344"/>
    <hyperlink xmlns:r="http://schemas.openxmlformats.org/officeDocument/2006/relationships" ref="M189" display="https://spirit-ai.com/" r:id="rId345"/>
    <hyperlink xmlns:r="http://schemas.openxmlformats.org/officeDocument/2006/relationships" ref="L190" display="https://humanoid.guide/product/steve/" r:id="rId346"/>
    <hyperlink xmlns:r="http://schemas.openxmlformats.org/officeDocument/2006/relationships" ref="M190" display="https://jandecoster.com/" r:id="rId347"/>
    <hyperlink xmlns:r="http://schemas.openxmlformats.org/officeDocument/2006/relationships" ref="L191" display="https://humanoid.guide/product/memo/" r:id="rId348"/>
    <hyperlink xmlns:r="http://schemas.openxmlformats.org/officeDocument/2006/relationships" ref="M191" display="https://www.sunday.ai" r:id="rId349"/>
    <hyperlink xmlns:r="http://schemas.openxmlformats.org/officeDocument/2006/relationships" ref="L192" display="https://humanoid.guide/product/bimanual/" r:id="rId350"/>
    <hyperlink xmlns:r="http://schemas.openxmlformats.org/officeDocument/2006/relationships" ref="M192" display="https://svayarobotics.com/" r:id="rId351"/>
    <hyperlink xmlns:r="http://schemas.openxmlformats.org/officeDocument/2006/relationships" ref="L193" display="https://humanoid.guide/product/onero-h1/" r:id="rId352"/>
    <hyperlink xmlns:r="http://schemas.openxmlformats.org/officeDocument/2006/relationships" ref="M193" display="https://www.switch-bot.com" r:id="rId353"/>
    <hyperlink xmlns:r="http://schemas.openxmlformats.org/officeDocument/2006/relationships" ref="L194" display="https://humanoid.guide/product/eggie/" r:id="rId354"/>
    <hyperlink xmlns:r="http://schemas.openxmlformats.org/officeDocument/2006/relationships" ref="M194" display="https://tangiblerobots.ai/" r:id="rId355"/>
    <hyperlink xmlns:r="http://schemas.openxmlformats.org/officeDocument/2006/relationships" ref="L195" display="https://humanoid.guide/product/tars/" r:id="rId356"/>
    <hyperlink xmlns:r="http://schemas.openxmlformats.org/officeDocument/2006/relationships" ref="M195" display="https://www.tarsupv.com/" r:id="rId357"/>
    <hyperlink xmlns:r="http://schemas.openxmlformats.org/officeDocument/2006/relationships" ref="L196" display="https://humanoid.guide/product/tm-xplore-1/" r:id="rId358"/>
    <hyperlink xmlns:r="http://schemas.openxmlformats.org/officeDocument/2006/relationships" ref="M196" display="https://www.tm-robot.com/en/" r:id="rId359"/>
    <hyperlink xmlns:r="http://schemas.openxmlformats.org/officeDocument/2006/relationships" ref="L197" display="https://humanoid.guide/product/alpha/" r:id="rId360"/>
    <hyperlink xmlns:r="http://schemas.openxmlformats.org/officeDocument/2006/relationships" ref="M197" display="https://www.tekntrash.com/" r:id="rId361"/>
    <hyperlink xmlns:r="http://schemas.openxmlformats.org/officeDocument/2006/relationships" ref="L198" display="https://humanoid.guide/product/xiao-liu/" r:id="rId362"/>
    <hyperlink xmlns:r="http://schemas.openxmlformats.org/officeDocument/2006/relationships" ref="M198" display="https://www.tencent.com/" r:id="rId363"/>
    <hyperlink xmlns:r="http://schemas.openxmlformats.org/officeDocument/2006/relationships" ref="L199" display="https://humanoid.guide/product/optimus/" r:id="rId364"/>
    <hyperlink xmlns:r="http://schemas.openxmlformats.org/officeDocument/2006/relationships" ref="M199" display="https://www.tesla.com/en_eu/AI" r:id="rId365"/>
    <hyperlink xmlns:r="http://schemas.openxmlformats.org/officeDocument/2006/relationships" ref="L200" display="https://humanoid.guide/product/optimus-gen-3/" r:id="rId366"/>
    <hyperlink xmlns:r="http://schemas.openxmlformats.org/officeDocument/2006/relationships" ref="M200" display="https://www.tesla.com/en_in/AI" r:id="rId367"/>
    <hyperlink xmlns:r="http://schemas.openxmlformats.org/officeDocument/2006/relationships" ref="L201" display="https://humanoid.guide/product/optimus-gen2/" r:id="rId368"/>
    <hyperlink xmlns:r="http://schemas.openxmlformats.org/officeDocument/2006/relationships" ref="M201" display="https://www.tesla.com/en_eu/AI" r:id="rId369"/>
    <hyperlink xmlns:r="http://schemas.openxmlformats.org/officeDocument/2006/relationships" ref="L202" display="https://humanoid.guide/product/tesla-optimus-v2-5/" r:id="rId370"/>
    <hyperlink xmlns:r="http://schemas.openxmlformats.org/officeDocument/2006/relationships" ref="M202" display="https://www.tesla.com/en_in/AI" r:id="rId371"/>
    <hyperlink xmlns:r="http://schemas.openxmlformats.org/officeDocument/2006/relationships" ref="L203" display="https://humanoid.guide/product/toraone/" r:id="rId372"/>
    <hyperlink xmlns:r="http://schemas.openxmlformats.org/officeDocument/2006/relationships" ref="M203" display="https://paxini.com/robot" r:id="rId373"/>
    <hyperlink xmlns:r="http://schemas.openxmlformats.org/officeDocument/2006/relationships" ref="L204" display="https://humanoid.guide/product/torobo/" r:id="rId374"/>
    <hyperlink xmlns:r="http://schemas.openxmlformats.org/officeDocument/2006/relationships" ref="M204" display="https://robotics.tokyo/" r:id="rId375"/>
    <hyperlink xmlns:r="http://schemas.openxmlformats.org/officeDocument/2006/relationships" ref="L205" display="https://humanoid.guide/product/xiao-tuo/" r:id="rId376"/>
    <hyperlink xmlns:r="http://schemas.openxmlformats.org/officeDocument/2006/relationships" ref="M205" display="https://www.topstarmachine.com/" r:id="rId377"/>
    <hyperlink xmlns:r="http://schemas.openxmlformats.org/officeDocument/2006/relationships" ref="L206" display="https://humanoid.guide/product/cue7/" r:id="rId378"/>
    <hyperlink xmlns:r="http://schemas.openxmlformats.org/officeDocument/2006/relationships" ref="M206" display="https://global.toyota/en/" r:id="rId379"/>
    <hyperlink xmlns:r="http://schemas.openxmlformats.org/officeDocument/2006/relationships" ref="L207" display="https://humanoid.guide/product/tobi/" r:id="rId380"/>
    <hyperlink xmlns:r="http://schemas.openxmlformats.org/officeDocument/2006/relationships" ref="M207" display="https://www.twolabs.ai/" r:id="rId381"/>
    <hyperlink xmlns:r="http://schemas.openxmlformats.org/officeDocument/2006/relationships" ref="L208" display="https://humanoid.guide/product/walker-s2/" r:id="rId382"/>
    <hyperlink xmlns:r="http://schemas.openxmlformats.org/officeDocument/2006/relationships" ref="M208" display="https://www.commercial.ubtrobot.com/" r:id="rId383"/>
    <hyperlink xmlns:r="http://schemas.openxmlformats.org/officeDocument/2006/relationships" ref="L209" display="https://humanoid.guide/product/cruzr-s2/" r:id="rId384"/>
    <hyperlink xmlns:r="http://schemas.openxmlformats.org/officeDocument/2006/relationships" ref="M209" display="https://www.ubtrobot.com/en/" r:id="rId385"/>
    <hyperlink xmlns:r="http://schemas.openxmlformats.org/officeDocument/2006/relationships" ref="L210" display="https://humanoid.guide/product/cruzr-y1/" r:id="rId386"/>
    <hyperlink xmlns:r="http://schemas.openxmlformats.org/officeDocument/2006/relationships" ref="M210" display="https://www.ubtrobot.com/en/" r:id="rId387"/>
    <hyperlink xmlns:r="http://schemas.openxmlformats.org/officeDocument/2006/relationships" ref="L211" display="https://humanoid.guide/product/u1-pro/" r:id="rId388"/>
    <hyperlink xmlns:r="http://schemas.openxmlformats.org/officeDocument/2006/relationships" ref="M211" display="https://www.ubtrobot.com/en/" r:id="rId389"/>
    <hyperlink xmlns:r="http://schemas.openxmlformats.org/officeDocument/2006/relationships" ref="L212" display="https://humanoid.guide/product/walker-c/" r:id="rId390"/>
    <hyperlink xmlns:r="http://schemas.openxmlformats.org/officeDocument/2006/relationships" ref="M212" display="https://www.ubtrobot.com/en/" r:id="rId391"/>
    <hyperlink xmlns:r="http://schemas.openxmlformats.org/officeDocument/2006/relationships" ref="L213" display="https://humanoid.guide/product/walker-c1/" r:id="rId392"/>
    <hyperlink xmlns:r="http://schemas.openxmlformats.org/officeDocument/2006/relationships" ref="M213" display="https://www.ubtrobot.com/en/" r:id="rId393"/>
    <hyperlink xmlns:r="http://schemas.openxmlformats.org/officeDocument/2006/relationships" ref="L214" display="https://humanoid.guide/product/walker-s1/" r:id="rId394"/>
    <hyperlink xmlns:r="http://schemas.openxmlformats.org/officeDocument/2006/relationships" ref="M214" display="https://www.commercial.ubtrobot.com/" r:id="rId395"/>
    <hyperlink xmlns:r="http://schemas.openxmlformats.org/officeDocument/2006/relationships" ref="L215" display="https://humanoid.guide/product/operator-op1/" r:id="rId396"/>
    <hyperlink xmlns:r="http://schemas.openxmlformats.org/officeDocument/2006/relationships" ref="M215" display="https://www.ultra.tech/" r:id="rId397"/>
    <hyperlink xmlns:r="http://schemas.openxmlformats.org/officeDocument/2006/relationships" ref="L216" display="https://humanoid.guide/product/northstar/" r:id="rId398"/>
    <hyperlink xmlns:r="http://schemas.openxmlformats.org/officeDocument/2006/relationships" ref="M216" display="https://uma.bot/" r:id="rId399"/>
    <hyperlink xmlns:r="http://schemas.openxmlformats.org/officeDocument/2006/relationships" ref="L217" display="https://humanoid.guide/product/moby-old/" r:id="rId400"/>
    <hyperlink xmlns:r="http://schemas.openxmlformats.org/officeDocument/2006/relationships" ref="M217" display="https://www.undercontrol.ai/" r:id="rId401"/>
    <hyperlink xmlns:r="http://schemas.openxmlformats.org/officeDocument/2006/relationships" ref="L218" display="https://humanoid.guide/product/g1/" r:id="rId402"/>
    <hyperlink xmlns:r="http://schemas.openxmlformats.org/officeDocument/2006/relationships" ref="M218" display="https://www.unitree.com/g1/" r:id="rId403"/>
    <hyperlink xmlns:r="http://schemas.openxmlformats.org/officeDocument/2006/relationships" ref="L219" display="https://humanoid.guide/product/h1-2/" r:id="rId404"/>
    <hyperlink xmlns:r="http://schemas.openxmlformats.org/officeDocument/2006/relationships" ref="M219" display="https://www.unitree.com/" r:id="rId405"/>
    <hyperlink xmlns:r="http://schemas.openxmlformats.org/officeDocument/2006/relationships" ref="L220" display="https://humanoid.guide/product/h2/" r:id="rId406"/>
    <hyperlink xmlns:r="http://schemas.openxmlformats.org/officeDocument/2006/relationships" ref="M220" display="https://www.unitree.com/" r:id="rId407"/>
    <hyperlink xmlns:r="http://schemas.openxmlformats.org/officeDocument/2006/relationships" ref="L221" display="https://humanoid.guide/product/unitree-r1/" r:id="rId408"/>
    <hyperlink xmlns:r="http://schemas.openxmlformats.org/officeDocument/2006/relationships" ref="M221" display="https://www.unitree.com/" r:id="rId409"/>
    <hyperlink xmlns:r="http://schemas.openxmlformats.org/officeDocument/2006/relationships" ref="L222" display="https://humanoid.guide/product/h2-plus/" r:id="rId410"/>
    <hyperlink xmlns:r="http://schemas.openxmlformats.org/officeDocument/2006/relationships" ref="M222" display="https://www.unitree.com/" r:id="rId411"/>
    <hyperlink xmlns:r="http://schemas.openxmlformats.org/officeDocument/2006/relationships" ref="L223" display="https://humanoid.guide/product/superman/" r:id="rId412"/>
    <hyperlink xmlns:r="http://schemas.openxmlformats.org/officeDocument/2006/relationships" ref="M223" display="https://www.unitree.com/" r:id="rId413"/>
    <hyperlink xmlns:r="http://schemas.openxmlformats.org/officeDocument/2006/relationships" ref="L224" display="https://humanoid.guide/product/martian/" r:id="rId414"/>
    <hyperlink xmlns:r="http://schemas.openxmlformats.org/officeDocument/2006/relationships" ref="M224" display="https://www.unix-group.ai" r:id="rId415"/>
    <hyperlink xmlns:r="http://schemas.openxmlformats.org/officeDocument/2006/relationships" ref="L225" display="https://humanoid.guide/product/panther/" r:id="rId416"/>
    <hyperlink xmlns:r="http://schemas.openxmlformats.org/officeDocument/2006/relationships" ref="M225" display="https://www.unix-group.ai" r:id="rId417"/>
    <hyperlink xmlns:r="http://schemas.openxmlformats.org/officeDocument/2006/relationships" ref="L226" display="https://humanoid.guide/product/wanda-2-0/" r:id="rId418"/>
    <hyperlink xmlns:r="http://schemas.openxmlformats.org/officeDocument/2006/relationships" ref="M226" display="https://www.unix-group.ai" r:id="rId419"/>
    <hyperlink xmlns:r="http://schemas.openxmlformats.org/officeDocument/2006/relationships" ref="L228" display="https://humanoid.guide/product/motion-2/" r:id="rId420"/>
    <hyperlink xmlns:r="http://schemas.openxmlformats.org/officeDocument/2006/relationships" ref="M228" display="https://vinmotion.net/" r:id="rId421"/>
    <hyperlink xmlns:r="http://schemas.openxmlformats.org/officeDocument/2006/relationships" ref="L230" display="https://humanoid.guide/product/calvin-40/" r:id="rId422"/>
    <hyperlink xmlns:r="http://schemas.openxmlformats.org/officeDocument/2006/relationships" ref="M230" display="https://en.wandercraft.eu/" r:id="rId423"/>
    <hyperlink xmlns:r="http://schemas.openxmlformats.org/officeDocument/2006/relationships" ref="L231" display="https://humanoid.guide/product/isaac-0/" r:id="rId424"/>
    <hyperlink xmlns:r="http://schemas.openxmlformats.org/officeDocument/2006/relationships" ref="M231" display="https://www.weaverobotics.com" r:id="rId425"/>
    <hyperlink xmlns:r="http://schemas.openxmlformats.org/officeDocument/2006/relationships" ref="L232" display="https://humanoid.guide/product/isaac-1/" r:id="rId426"/>
    <hyperlink xmlns:r="http://schemas.openxmlformats.org/officeDocument/2006/relationships" ref="M232" display="https://www.weaverobotics.com" r:id="rId427"/>
    <hyperlink xmlns:r="http://schemas.openxmlformats.org/officeDocument/2006/relationships" ref="L233" display="https://humanoid.guide/product/themis-v2/" r:id="rId428"/>
    <hyperlink xmlns:r="http://schemas.openxmlformats.org/officeDocument/2006/relationships" ref="M233" display="https://www.westwoodrobotics.io/" r:id="rId429"/>
    <hyperlink xmlns:r="http://schemas.openxmlformats.org/officeDocument/2006/relationships" ref="L234" display="https://humanoid.guide/product/allex/" r:id="rId430"/>
    <hyperlink xmlns:r="http://schemas.openxmlformats.org/officeDocument/2006/relationships" ref="L235" display="https://humanoid.guide/product/totan-o1/" r:id="rId431"/>
    <hyperlink xmlns:r="http://schemas.openxmlformats.org/officeDocument/2006/relationships" ref="M235" display="https://wlrobo.com/" r:id="rId432"/>
    <hyperlink xmlns:r="http://schemas.openxmlformats.org/officeDocument/2006/relationships" ref="L236" display="https://humanoid.guide/product/syntro/" r:id="rId433"/>
    <hyperlink xmlns:r="http://schemas.openxmlformats.org/officeDocument/2006/relationships" ref="M236" display="https://www.workfar.com/" r:id="rId434"/>
    <hyperlink xmlns:r="http://schemas.openxmlformats.org/officeDocument/2006/relationships" ref="L237" display="https://humanoid.guide/product/omni/" r:id="rId435"/>
    <hyperlink xmlns:r="http://schemas.openxmlformats.org/officeDocument/2006/relationships" ref="M237" display="https://www.x-humanoid.com/" r:id="rId436"/>
    <hyperlink xmlns:r="http://schemas.openxmlformats.org/officeDocument/2006/relationships" ref="L238" display="https://humanoid.guide/product/tian-yi-2-0/" r:id="rId437"/>
    <hyperlink xmlns:r="http://schemas.openxmlformats.org/officeDocument/2006/relationships" ref="M238" display="https://www.x-humanoid.com/detail/tianyi.html" r:id="rId438"/>
    <hyperlink xmlns:r="http://schemas.openxmlformats.org/officeDocument/2006/relationships" ref="L239" display="https://humanoid.guide/product/tien-kung-2-0/" r:id="rId439"/>
    <hyperlink xmlns:r="http://schemas.openxmlformats.org/officeDocument/2006/relationships" ref="M239" display="https://www.x-humanoid.com/detail/jstg.html" r:id="rId440"/>
    <hyperlink xmlns:r="http://schemas.openxmlformats.org/officeDocument/2006/relationships" ref="L240" display="https://humanoid.guide/product/tien-kung-3-0/" r:id="rId441"/>
    <hyperlink xmlns:r="http://schemas.openxmlformats.org/officeDocument/2006/relationships" ref="M240" display="https://www.x-humanoid.com/" r:id="rId442"/>
    <hyperlink xmlns:r="http://schemas.openxmlformats.org/officeDocument/2006/relationships" ref="L241" display="https://humanoid.guide/product/tien-kung-3-0/" r:id="rId443"/>
    <hyperlink xmlns:r="http://schemas.openxmlformats.org/officeDocument/2006/relationships" ref="L242" display="https://humanoid.guide/product/cyberone/" r:id="rId444"/>
    <hyperlink xmlns:r="http://schemas.openxmlformats.org/officeDocument/2006/relationships" ref="L243" display="https://humanoid.guide/product/cyberone-v2/" r:id="rId445"/>
    <hyperlink xmlns:r="http://schemas.openxmlformats.org/officeDocument/2006/relationships" ref="L244" display="https://humanoid.guide/product/iron_prototype/" r:id="rId446"/>
    <hyperlink xmlns:r="http://schemas.openxmlformats.org/officeDocument/2006/relationships" ref="M244" display="https://www.pxing.com/en/index" r:id="rId447"/>
    <hyperlink xmlns:r="http://schemas.openxmlformats.org/officeDocument/2006/relationships" ref="L245" display="https://humanoid.guide/product/px5/" r:id="rId448"/>
    <hyperlink xmlns:r="http://schemas.openxmlformats.org/officeDocument/2006/relationships" ref="M245" display="https://www.xpeng.com/" r:id="rId449"/>
    <hyperlink xmlns:r="http://schemas.openxmlformats.org/officeDocument/2006/relationships" ref="L246" display="https://humanoid.guide/product/iron/" r:id="rId450"/>
    <hyperlink xmlns:r="http://schemas.openxmlformats.org/officeDocument/2006/relationships" ref="M246" display="https://www.pxing.com/en/index" r:id="rId451"/>
    <hyperlink xmlns:r="http://schemas.openxmlformats.org/officeDocument/2006/relationships" ref="L247" display="https://humanoid.guide/product/deux/" r:id="rId452"/>
    <hyperlink xmlns:r="http://schemas.openxmlformats.org/officeDocument/2006/relationships" ref="M247" display="https://xyzcorp.imweb.me/" r:id="rId453"/>
    <hyperlink xmlns:r="http://schemas.openxmlformats.org/officeDocument/2006/relationships" ref="L248" display="https://humanoid.guide/product/zerith-h1/" r:id="rId454"/>
    <hyperlink xmlns:r="http://schemas.openxmlformats.org/officeDocument/2006/relationships" ref="M248" display="https://casbot.tech/" r:id="rId455"/>
    <hyperlink xmlns:r="http://schemas.openxmlformats.org/officeDocument/2006/relationships" ref="L249" display="https://humanoid.guide/product/zerith-z1/" r:id="rId456"/>
    <hyperlink xmlns:r="http://schemas.openxmlformats.org/officeDocument/2006/relationships" ref="M249" display="https://casbot.tech/" r:id="rId457"/>
    <hyperlink xmlns:r="http://schemas.openxmlformats.org/officeDocument/2006/relationships" ref="L250" display="https://humanoid.guide/product/sean/" r:id="rId458"/>
    <hyperlink xmlns:r="http://schemas.openxmlformats.org/officeDocument/2006/relationships" ref="M250" display="https://www.zeroth0.com/" r:id="rId459"/>
    <hyperlink xmlns:r="http://schemas.openxmlformats.org/officeDocument/2006/relationships" ref="L251" display="https://humanoid.guide/product/navai-i3/" r:id="rId460"/>
    <hyperlink xmlns:r="http://schemas.openxmlformats.org/officeDocument/2006/relationships" ref="M251" display="https://www.zj-humanoid.com/" r:id="rId461"/>
    <hyperlink xmlns:r="http://schemas.openxmlformats.org/officeDocument/2006/relationships" ref="L252" display="https://humanoid.guide/product/navigator-2/" r:id="rId462"/>
    <hyperlink xmlns:r="http://schemas.openxmlformats.org/officeDocument/2006/relationships" ref="M252" display="https://www.zj-humanoid.com/" r:id="rId463"/>
  </hyperlinks>
  <printOptions horizontalCentered="0" verticalCentered="0" headings="0" gridLines="0" gridLinesSet="1"/>
  <pageMargins left="0.75" right="0.75" top="1" bottom="1" header="0.5" footer="0.5"/>
  <pageSetup orientation="landscape" paperSize="3" scale="100" fitToHeight="0" fitToWidth="1" pageOrder="downThenOver" blackAndWhite="0" draft="0" horizontalDpi="300" verticalDpi="300" copies="1"/>
  <headerFooter differentOddEven="0" differentFirst="0">
    <oddHeader>&amp;LThe Official Robot™</oddHeader>
    <oddFooter>&amp;LHUMANOID ROBOTS&amp;RConfidential  |  August 2026</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filterMode="0">
    <outlinePr summaryBelow="1" summaryRight="1"/>
    <pageSetUpPr fitToPage="1"/>
  </sheetPr>
  <dimension ref="A1:CP32"/>
  <sheetViews>
    <sheetView showFormulas="0" showGridLines="0" showRowColHeaders="1" showZeros="1" rightToLeft="0" tabSelected="0" showOutlineSymbols="1" defaultGridColor="1" view="normal" topLeftCell="A1" colorId="64" zoomScale="90" zoomScaleNormal="90" zoomScalePageLayoutView="100" workbookViewId="0">
      <selection pane="topLeft" activeCell="A1" activeCellId="0" sqref="A1"/>
    </sheetView>
  </sheetViews>
  <sheetFormatPr baseColWidth="8" defaultColWidth="8.6796875" defaultRowHeight="15" zeroHeight="0" outlineLevelRow="0"/>
  <cols>
    <col width="28" customWidth="1" style="101" min="1" max="1"/>
    <col width="16" customWidth="1" style="101" min="2" max="2"/>
    <col width="28" customWidth="1" style="101" min="3" max="3"/>
    <col width="26" customWidth="1" style="101" min="4" max="4"/>
    <col width="36" customWidth="1" style="101" min="5" max="5"/>
    <col width="14" customWidth="1" style="101" min="6" max="6"/>
    <col width="16" customWidth="1" style="101" min="7" max="7"/>
    <col width="12" customWidth="1" style="101" min="8" max="8"/>
    <col width="16" customWidth="1" style="101" min="9" max="9"/>
    <col width="20" customWidth="1" style="101" min="10" max="10"/>
    <col width="56" customWidth="1" style="101" min="11" max="11"/>
    <col width="48" customWidth="1" style="101" min="12" max="12"/>
    <col width="32" customWidth="1" style="101" min="13" max="13"/>
    <col width="14" customWidth="1" style="101" min="14" max="14"/>
    <col width="12" customWidth="1" style="101" min="15" max="17"/>
    <col width="26" customWidth="1" style="101" min="18" max="18"/>
    <col width="16" customWidth="1" style="101" min="19" max="19"/>
    <col width="22" customWidth="1" style="101" min="20" max="20"/>
    <col width="28" customWidth="1" style="101" min="21" max="21"/>
    <col width="12" customWidth="1" style="101" min="22" max="22"/>
    <col width="13" customWidth="1" style="101" min="23" max="23"/>
    <col width="14" customWidth="1" style="101" min="24" max="24"/>
    <col width="15" customWidth="1" style="101" min="25" max="25"/>
    <col width="18" customWidth="1" style="101" min="26" max="26"/>
    <col width="28" customWidth="1" style="101" min="27" max="27"/>
    <col width="22" customWidth="1" style="101" min="28" max="28"/>
    <col width="16" customWidth="1" style="101" min="29" max="29"/>
    <col width="22" customWidth="1" style="101" min="30" max="30"/>
    <col width="28" customWidth="1" style="101" min="31" max="31"/>
    <col width="16" customWidth="1" style="101" min="32" max="32"/>
    <col width="22" customWidth="1" style="101" min="33" max="33"/>
    <col width="36" customWidth="1" style="101" min="34" max="34"/>
    <col width="32" customWidth="1" style="101" min="35" max="35"/>
    <col width="22" customWidth="1" style="101" min="36" max="36"/>
    <col width="14" customWidth="1" style="101" min="37" max="37"/>
    <col width="18" customWidth="1" style="101" min="38" max="38"/>
    <col width="20" customWidth="1" style="101" min="39" max="39"/>
    <col width="28" customWidth="1" style="101" min="40" max="40"/>
    <col width="22" customWidth="1" style="101" min="41" max="42"/>
    <col width="20" customWidth="1" style="101" min="43" max="43"/>
    <col width="36" customWidth="1" style="101" min="44" max="44"/>
    <col width="28" customWidth="1" style="101" min="45" max="45"/>
    <col width="24" customWidth="1" style="101" min="46" max="46"/>
    <col width="28" customWidth="1" style="101" min="47" max="47"/>
    <col width="22" customWidth="1" style="101" min="48" max="48"/>
    <col width="28" customWidth="1" style="101" min="49" max="49"/>
    <col width="40" customWidth="1" style="101" min="50" max="50"/>
    <col width="32" customWidth="1" style="101" min="51" max="52"/>
    <col width="28" customWidth="1" style="101" min="53" max="53"/>
    <col width="24" customWidth="1" style="101" min="54" max="54"/>
    <col width="14" customWidth="1" style="101" min="55" max="55"/>
    <col width="18" customWidth="1" style="101" min="56" max="56"/>
    <col width="14" customWidth="1" style="101" min="57" max="61"/>
    <col width="18" customWidth="1" style="101" min="62" max="62"/>
    <col width="16" customWidth="1" style="101" min="63" max="63"/>
    <col width="22" customWidth="1" style="101" min="64" max="64"/>
    <col width="64" customWidth="1" style="101" min="65" max="65"/>
    <col width="22" customWidth="1" style="101" min="66" max="66"/>
    <col width="36" customWidth="1" style="101" min="67" max="67"/>
    <col width="28" customWidth="1" style="101" min="68" max="69"/>
    <col width="20" customWidth="1" style="101" min="70" max="70"/>
    <col width="14" customWidth="1" style="101" min="71" max="71"/>
    <col width="36" customWidth="1" style="101" min="72" max="74"/>
    <col width="32" customWidth="1" style="101" min="75" max="75"/>
    <col width="22" customWidth="1" style="101" min="76" max="76"/>
    <col width="36" customWidth="1" style="101" min="77" max="78"/>
    <col width="16" customWidth="1" style="101" min="79" max="79"/>
    <col width="36" customWidth="1" style="101" min="80" max="80"/>
    <col width="28" customWidth="1" style="101" min="81" max="81"/>
    <col width="16" customWidth="1" style="101" min="82" max="82"/>
    <col width="32" customWidth="1" style="101" min="83" max="83"/>
    <col width="18" customWidth="1" style="101" min="84" max="86"/>
    <col width="36" customWidth="1" style="101" min="87" max="87"/>
    <col width="40" customWidth="1" style="101" min="88" max="88"/>
    <col width="28" customWidth="1" style="101" min="89" max="89"/>
    <col width="42" customWidth="1" style="102" min="90" max="90"/>
    <col width="42" customWidth="1" style="102" min="91" max="91"/>
    <col width="48" customWidth="1" style="102" min="92" max="92"/>
  </cols>
  <sheetData>
    <row r="1" ht="27.75" customHeight="1" s="102">
      <c r="A1" s="128" t="inlineStr">
        <is>
          <t>QUADRUPED / CAMPANIONOID ROBOTS</t>
        </is>
      </c>
      <c r="O1" s="129" t="n"/>
      <c r="P1" s="129" t="n"/>
      <c r="Q1" s="129" t="n"/>
      <c r="R1" s="129" t="n"/>
      <c r="S1" s="129" t="n"/>
      <c r="T1" s="129" t="n"/>
      <c r="U1" s="129" t="n"/>
      <c r="V1" s="129" t="n"/>
      <c r="W1" s="129" t="n"/>
      <c r="X1" s="129" t="n"/>
      <c r="Y1" s="129" t="n"/>
      <c r="Z1" s="129" t="n"/>
      <c r="AA1" s="129" t="n"/>
      <c r="AB1" s="129" t="n"/>
      <c r="AC1" s="129" t="n"/>
      <c r="AD1" s="129" t="n"/>
      <c r="AE1" s="129" t="n"/>
      <c r="AF1" s="129" t="n"/>
      <c r="AG1" s="129" t="n"/>
      <c r="AH1" s="129" t="n"/>
      <c r="AI1" s="129" t="n"/>
      <c r="AJ1" s="129" t="n"/>
      <c r="AK1" s="129" t="n"/>
      <c r="AL1" s="129" t="n"/>
      <c r="AM1" s="129" t="n"/>
      <c r="AN1" s="129" t="n"/>
      <c r="AO1" s="129" t="n"/>
      <c r="AP1" s="129" t="n"/>
      <c r="AQ1" s="129" t="n"/>
      <c r="AR1" s="129" t="n"/>
      <c r="AS1" s="129" t="n"/>
      <c r="AT1" s="129" t="n"/>
      <c r="AU1" s="129" t="n"/>
      <c r="AV1" s="129" t="n"/>
      <c r="AW1" s="129" t="n"/>
      <c r="AX1" s="129" t="n"/>
      <c r="AY1" s="129" t="n"/>
      <c r="AZ1" s="129" t="n"/>
      <c r="BA1" s="129" t="n"/>
      <c r="BB1" s="129" t="n"/>
      <c r="BC1" s="129" t="n"/>
      <c r="BD1" s="129" t="n"/>
      <c r="BE1" s="129" t="n"/>
      <c r="BF1" s="129" t="n"/>
      <c r="BG1" s="129" t="n"/>
      <c r="BH1" s="129" t="n"/>
      <c r="BI1" s="129" t="n"/>
      <c r="BJ1" s="129" t="n"/>
      <c r="BK1" s="129" t="n"/>
      <c r="BL1" s="129" t="n"/>
      <c r="BM1" s="129" t="n"/>
      <c r="BN1" s="129" t="n"/>
      <c r="BO1" s="129" t="n"/>
      <c r="BP1" s="129" t="n"/>
      <c r="BQ1" s="129" t="n"/>
      <c r="BR1" s="129" t="n"/>
      <c r="BS1" s="129" t="n"/>
      <c r="BT1" s="129" t="n"/>
      <c r="BU1" s="129" t="n"/>
      <c r="BV1" s="129" t="n"/>
      <c r="BW1" s="129" t="n"/>
      <c r="BX1" s="129" t="n"/>
      <c r="BY1" s="129" t="n"/>
      <c r="BZ1" s="129" t="n"/>
      <c r="CA1" s="129" t="n"/>
      <c r="CB1" s="129" t="n"/>
      <c r="CC1" s="129" t="n"/>
      <c r="CD1" s="129" t="n"/>
      <c r="CE1" s="129" t="n"/>
      <c r="CF1" s="129" t="n"/>
      <c r="CG1" s="129" t="n"/>
      <c r="CH1" s="129" t="n"/>
      <c r="CI1" s="129" t="n"/>
      <c r="CJ1" s="129" t="n"/>
      <c r="CK1" s="129" t="n"/>
      <c r="CL1" s="129" t="n"/>
      <c r="CM1" s="129" t="n"/>
    </row>
    <row r="2" ht="18" customHeight="1" s="102">
      <c r="A2" s="130" t="inlineStr">
        <is>
          <t>28 quadruped/companionoid  ·  includes AIXZD net-new 28 Aug 2026</t>
        </is>
      </c>
      <c r="O2" s="131" t="n"/>
      <c r="P2" s="131" t="n"/>
      <c r="Q2" s="131" t="n"/>
      <c r="R2" s="131" t="n"/>
      <c r="S2" s="131" t="n"/>
      <c r="T2" s="131" t="n"/>
      <c r="U2" s="131" t="n"/>
      <c r="V2" s="131" t="n"/>
      <c r="W2" s="131" t="n"/>
      <c r="X2" s="131" t="n"/>
      <c r="Y2" s="131" t="n"/>
      <c r="Z2" s="131" t="n"/>
      <c r="AA2" s="131" t="n"/>
      <c r="AB2" s="131" t="n"/>
      <c r="AC2" s="131" t="n"/>
      <c r="AD2" s="131" t="n"/>
      <c r="AE2" s="131" t="n"/>
      <c r="AF2" s="131" t="n"/>
      <c r="AG2" s="131" t="n"/>
      <c r="AH2" s="131" t="n"/>
      <c r="AI2" s="131" t="n"/>
      <c r="AJ2" s="131" t="n"/>
      <c r="AK2" s="131" t="n"/>
      <c r="AL2" s="131" t="n"/>
      <c r="AM2" s="131" t="n"/>
      <c r="AN2" s="131" t="n"/>
      <c r="AO2" s="131" t="n"/>
      <c r="AP2" s="131" t="n"/>
      <c r="AQ2" s="131" t="n"/>
      <c r="AR2" s="131" t="n"/>
      <c r="AS2" s="131" t="n"/>
      <c r="AT2" s="131" t="n"/>
      <c r="AU2" s="131" t="n"/>
      <c r="AV2" s="131" t="n"/>
      <c r="AW2" s="131" t="n"/>
      <c r="AX2" s="131" t="n"/>
      <c r="AY2" s="131" t="n"/>
      <c r="AZ2" s="131" t="n"/>
      <c r="BA2" s="131" t="n"/>
      <c r="BB2" s="131" t="n"/>
      <c r="BC2" s="131" t="n"/>
      <c r="BD2" s="131" t="n"/>
      <c r="BE2" s="131" t="n"/>
      <c r="BF2" s="131" t="n"/>
      <c r="BG2" s="131" t="n"/>
      <c r="BH2" s="131" t="n"/>
      <c r="BI2" s="131" t="n"/>
      <c r="BJ2" s="131" t="n"/>
      <c r="BK2" s="131" t="n"/>
      <c r="BL2" s="131" t="n"/>
      <c r="BM2" s="131" t="n"/>
      <c r="BN2" s="131" t="n"/>
      <c r="BO2" s="131" t="n"/>
      <c r="BP2" s="131" t="n"/>
      <c r="BQ2" s="131" t="n"/>
      <c r="BR2" s="131" t="n"/>
      <c r="BS2" s="131" t="n"/>
      <c r="BT2" s="131" t="n"/>
      <c r="BU2" s="131" t="n"/>
      <c r="BV2" s="131" t="n"/>
      <c r="BW2" s="131" t="n"/>
      <c r="BX2" s="131" t="n"/>
      <c r="BY2" s="131" t="n"/>
      <c r="BZ2" s="131" t="n"/>
      <c r="CA2" s="131" t="n"/>
      <c r="CB2" s="131" t="n"/>
      <c r="CC2" s="131" t="n"/>
      <c r="CD2" s="131" t="n"/>
      <c r="CE2" s="131" t="n"/>
      <c r="CF2" s="131" t="n"/>
      <c r="CG2" s="131" t="n"/>
      <c r="CH2" s="131" t="n"/>
      <c r="CI2" s="131" t="n"/>
      <c r="CJ2" s="131" t="n"/>
      <c r="CK2" s="131" t="n"/>
      <c r="CL2" s="131" t="n"/>
      <c r="CM2" s="131" t="n"/>
    </row>
    <row r="3" ht="18" customHeight="1" s="102">
      <c r="A3" s="132" t="inlineStr">
        <is>
          <t>IDENTITY</t>
        </is>
      </c>
    </row>
    <row r="4" ht="36" customHeight="1" s="102">
      <c r="A4" s="193" t="inlineStr">
        <is>
          <t>Website ID</t>
        </is>
      </c>
      <c r="B4" s="193" t="inlineStr">
        <is>
          <t>Catalog Source</t>
        </is>
      </c>
      <c r="C4" s="193" t="inlineStr">
        <is>
          <t>Manufacturer</t>
        </is>
      </c>
      <c r="D4" s="193" t="inlineStr">
        <is>
          <t>Model Name</t>
        </is>
      </c>
      <c r="E4" s="193" t="inlineStr">
        <is>
          <t>Model Name (Website)</t>
        </is>
      </c>
      <c r="F4" s="193" t="inlineStr">
        <is>
          <t>Type</t>
        </is>
      </c>
      <c r="G4" s="193" t="inlineStr">
        <is>
          <t>Country of Origin</t>
        </is>
      </c>
      <c r="H4" s="193" t="inlineStr">
        <is>
          <t>First Year (YYYY)</t>
        </is>
      </c>
      <c r="I4" s="193" t="inlineStr">
        <is>
          <t>Approx. Cost (USD)</t>
        </is>
      </c>
      <c r="J4" s="193" t="inlineStr">
        <is>
          <t>Price Source</t>
        </is>
      </c>
      <c r="K4" s="193" t="inlineStr">
        <is>
          <t>Description (1 sentence)</t>
        </is>
      </c>
      <c r="L4" s="193" t="inlineStr">
        <is>
          <t>Unique Summary</t>
        </is>
      </c>
      <c r="M4" s="193" t="inlineStr">
        <is>
          <t>Bio / History</t>
        </is>
      </c>
      <c r="N4" s="193" t="inlineStr">
        <is>
          <t>Humanoid.guide URL</t>
        </is>
      </c>
      <c r="O4" s="193" t="inlineStr">
        <is>
          <t>OEM Website</t>
        </is>
      </c>
      <c r="P4" s="193" t="inlineStr">
        <is>
          <t>Height (ft in)</t>
        </is>
      </c>
      <c r="Q4" s="193" t="inlineStr">
        <is>
          <t>Height (cm)</t>
        </is>
      </c>
      <c r="R4" s="193" t="inlineStr">
        <is>
          <t>Weight (lb)</t>
        </is>
      </c>
      <c r="S4" s="193" t="inlineStr">
        <is>
          <t>Weight (kg)</t>
        </is>
      </c>
      <c r="T4" s="193" t="inlineStr">
        <is>
          <t>Standing Size / Envelope (in)</t>
        </is>
      </c>
      <c r="U4" s="193" t="inlineStr">
        <is>
          <t>Shipping Size</t>
        </is>
      </c>
      <c r="V4" s="193" t="inlineStr">
        <is>
          <t>Degrees of Freedom (DOF)</t>
        </is>
      </c>
      <c r="W4" s="193" t="inlineStr">
        <is>
          <t>DOF Hands</t>
        </is>
      </c>
      <c r="X4" s="193" t="inlineStr">
        <is>
          <t>Payload (lb)</t>
        </is>
      </c>
      <c r="Y4" s="193" t="inlineStr">
        <is>
          <t>Strength (kg)</t>
        </is>
      </c>
      <c r="Z4" s="193" t="inlineStr">
        <is>
          <t>Max Speed (mph)</t>
        </is>
      </c>
      <c r="AA4" s="193" t="inlineStr">
        <is>
          <t>Max Speed (km/h)</t>
        </is>
      </c>
      <c r="AB4" s="193" t="inlineStr">
        <is>
          <t>Walking Speed (km/h)</t>
        </is>
      </c>
      <c r="AC4" s="193" t="inlineStr">
        <is>
          <t>Battery / Runtime (Wh / h)</t>
        </is>
      </c>
      <c r="AD4" s="193" t="inlineStr">
        <is>
          <t>Runtime (hours)</t>
        </is>
      </c>
      <c r="AE4" s="193" t="inlineStr">
        <is>
          <t>Flight Time (min)</t>
        </is>
      </c>
      <c r="AF4" s="193" t="inlineStr">
        <is>
          <t>Charging</t>
        </is>
      </c>
      <c r="AG4" s="193" t="inlineStr">
        <is>
          <t>Hands / End-effectors</t>
        </is>
      </c>
      <c r="AH4" s="193" t="inlineStr">
        <is>
          <t>Number of Fingers</t>
        </is>
      </c>
      <c r="AI4" s="193" t="inlineStr">
        <is>
          <t>Manipulation Performance (1–4)</t>
        </is>
      </c>
      <c r="AJ4" s="193" t="inlineStr">
        <is>
          <t>Camera / Vision</t>
        </is>
      </c>
      <c r="AK4" s="193" t="inlineStr">
        <is>
          <t>Camera Resolution</t>
        </is>
      </c>
      <c r="AL4" s="193" t="inlineStr">
        <is>
          <t>Video</t>
        </is>
      </c>
      <c r="AM4" s="193" t="inlineStr">
        <is>
          <t>Gimbal</t>
        </is>
      </c>
      <c r="AN4" s="193" t="inlineStr">
        <is>
          <t>LiDAR</t>
        </is>
      </c>
      <c r="AO4" s="193" t="inlineStr">
        <is>
          <t>Audio</t>
        </is>
      </c>
      <c r="AP4" s="193" t="inlineStr">
        <is>
          <t>Sensors</t>
        </is>
      </c>
      <c r="AQ4" s="193" t="inlineStr">
        <is>
          <t>Tactile / Force Sensors</t>
        </is>
      </c>
      <c r="AR4" s="193" t="inlineStr">
        <is>
          <t>Obstacle Sensing</t>
        </is>
      </c>
      <c r="AS4" s="193" t="inlineStr">
        <is>
          <t>Compute (TOPS / class)</t>
        </is>
      </c>
      <c r="AT4" s="193" t="inlineStr">
        <is>
          <t>CPU / GPU</t>
        </is>
      </c>
      <c r="AU4" s="193" t="inlineStr">
        <is>
          <t>Connectivity</t>
        </is>
      </c>
      <c r="AV4" s="193" t="inlineStr">
        <is>
          <t>Control Interface</t>
        </is>
      </c>
      <c r="AW4" s="193" t="inlineStr">
        <is>
          <t>Navigation</t>
        </is>
      </c>
      <c r="AX4" s="193" t="inlineStr">
        <is>
          <t>Navigation Performance (1–4)</t>
        </is>
      </c>
      <c r="AY4" s="193" t="inlineStr">
        <is>
          <t>Operating System</t>
        </is>
      </c>
      <c r="AZ4" s="193" t="inlineStr">
        <is>
          <t>LLM Integration</t>
        </is>
      </c>
      <c r="BA4" s="193" t="inlineStr">
        <is>
          <t>Latency Glass-to-Action</t>
        </is>
      </c>
      <c r="BB4" s="193" t="inlineStr">
        <is>
          <t>Motor Tech</t>
        </is>
      </c>
      <c r="BC4" s="193" t="inlineStr">
        <is>
          <t>Gear Tech</t>
        </is>
      </c>
      <c r="BD4" s="193" t="inlineStr">
        <is>
          <t>Main Structural Material</t>
        </is>
      </c>
      <c r="BE4" s="193" t="inlineStr">
        <is>
          <t>IP Rating (IPxx)</t>
        </is>
      </c>
      <c r="BF4" s="193" t="inlineStr">
        <is>
          <t>Ingress Protection</t>
        </is>
      </c>
      <c r="BG4" s="193" t="inlineStr">
        <is>
          <t>Depth Rating (ft)</t>
        </is>
      </c>
      <c r="BH4" s="193" t="inlineStr">
        <is>
          <t>Range / Link (mi)</t>
        </is>
      </c>
      <c r="BI4" s="193" t="inlineStr">
        <is>
          <t>Lights</t>
        </is>
      </c>
      <c r="BJ4" s="193" t="inlineStr">
        <is>
          <t>Thrusters</t>
        </is>
      </c>
      <c r="BK4" s="193" t="inlineStr">
        <is>
          <t>Tether</t>
        </is>
      </c>
      <c r="BL4" s="193" t="inlineStr">
        <is>
          <t>Protection</t>
        </is>
      </c>
      <c r="BM4" s="193" t="inlineStr">
        <is>
          <t>Safe with Humans</t>
        </is>
      </c>
      <c r="BN4" s="193" t="inlineStr">
        <is>
          <t>Capable of Rising After Fall</t>
        </is>
      </c>
      <c r="BO4" s="193" t="inlineStr">
        <is>
          <t>Capabilities / Skills Summary</t>
        </is>
      </c>
      <c r="BP4" s="193" t="inlineStr">
        <is>
          <t>Operating Environment</t>
        </is>
      </c>
      <c r="BQ4" s="193" t="inlineStr">
        <is>
          <t>Primary Use / Main Market</t>
        </is>
      </c>
      <c r="BR4" s="193" t="inlineStr">
        <is>
          <t>Commercial Status</t>
        </is>
      </c>
      <c r="BS4" s="193" t="inlineStr">
        <is>
          <t>Availability (HG)</t>
        </is>
      </c>
      <c r="BT4" s="193" t="inlineStr">
        <is>
          <t>Color Options (HG)</t>
        </is>
      </c>
      <c r="BU4" s="193" t="inlineStr">
        <is>
          <t>Verified (HG)</t>
        </is>
      </c>
      <c r="BV4" s="193" t="inlineStr">
        <is>
          <t>Notes</t>
        </is>
      </c>
      <c r="BW4" s="193" t="inlineStr">
        <is>
          <t>Bullet Highlights</t>
        </is>
      </c>
      <c r="BX4" s="193" t="inlineStr">
        <is>
          <t>Variants (id|name|price|desc)</t>
        </is>
      </c>
      <c r="BY4" s="193" t="inlineStr">
        <is>
          <t>Colors (id|name|hex|premium)</t>
        </is>
      </c>
      <c r="BZ4" s="193" t="inlineStr">
        <is>
          <t>Platform Add-ons (IDs)</t>
        </is>
      </c>
      <c r="CA4" s="193" t="inlineStr">
        <is>
          <t>Key Upgrades / Accessories Summary</t>
        </is>
      </c>
      <c r="CB4" s="193" t="inlineStr">
        <is>
          <t>Manufacturer Warranty (label)</t>
        </is>
      </c>
      <c r="CC4" s="193" t="inlineStr">
        <is>
          <t>Manufacturer Warranty (months)</t>
        </is>
      </c>
      <c r="CD4" s="193" t="inlineStr">
        <is>
          <t>Default Extended Warranty</t>
        </is>
      </c>
      <c r="CE4" s="193" t="inlineStr">
        <is>
          <t>Warranty Source</t>
        </is>
      </c>
      <c r="CF4" s="193" t="inlineStr">
        <is>
          <t>Warranty Confidence</t>
        </is>
      </c>
      <c r="CG4" s="193" t="inlineStr">
        <is>
          <t>Warranty Notes</t>
        </is>
      </c>
      <c r="CH4" s="193" t="inlineStr">
        <is>
          <t>Extended Warranty +1yr (% of config)</t>
        </is>
      </c>
      <c r="CI4" s="193" t="inlineStr">
        <is>
          <t>Extended Warranty +2yr (% of config)</t>
        </is>
      </c>
      <c r="CJ4" s="193" t="inlineStr">
        <is>
          <t>Extended Warranty +3yr (% of config)</t>
        </is>
      </c>
      <c r="CK4" s="193" t="inlineStr">
        <is>
          <t>Extended Warranty Options</t>
        </is>
      </c>
      <c r="CL4" s="193" t="inlineStr">
        <is>
          <t>Extended Warranty Pricing Rationale</t>
        </is>
      </c>
      <c r="CM4" s="193" t="inlineStr">
        <is>
          <t>Warranty</t>
        </is>
      </c>
      <c r="CN4" s="202" t="inlineStr">
        <is>
          <t>AIXZD URL</t>
        </is>
      </c>
      <c r="CO4" s="202" t="inlineStr">
        <is>
          <t>TAAFT Directory</t>
        </is>
      </c>
      <c r="CP4" s="202" t="inlineStr">
        <is>
          <t>External Directory Notes</t>
        </is>
      </c>
    </row>
    <row r="5" ht="31.5" customHeight="1" s="102">
      <c r="A5" s="143" t="inlineStr">
        <is>
          <t>d1</t>
        </is>
      </c>
      <c r="B5" s="160" t="inlineStr">
        <is>
          <t>Website</t>
        </is>
      </c>
      <c r="C5" s="145" t="inlineStr">
        <is>
          <t>AgiBot</t>
        </is>
      </c>
      <c r="D5" s="145" t="inlineStr">
        <is>
          <t>D1</t>
        </is>
      </c>
      <c r="E5" s="145" t="inlineStr">
        <is>
          <t>[AgiBot] D1 (2025)</t>
        </is>
      </c>
      <c r="F5" s="163" t="inlineStr">
        <is>
          <t>campanionoid</t>
        </is>
      </c>
      <c r="G5" s="145" t="inlineStr">
        <is>
          <t>China</t>
        </is>
      </c>
      <c r="H5" s="147" t="n">
        <v>2025</v>
      </c>
      <c r="I5" s="148" t="n">
        <v>3200</v>
      </c>
      <c r="J5" s="145" t="inlineStr">
        <is>
          <t>Website store</t>
        </is>
      </c>
      <c r="K5" s="149" t="inlineStr">
        <is>
          <t>D1 is AgiBot (Zhiyuan)'s quadruped. Vision suite for service and interaction tasks; aimed at education, entertainment, entry AgiBot quadruped fleets.</t>
        </is>
      </c>
      <c r="L5" s="101" t="inlineStr">
        <is>
          <t>D1 is AgiBot (Zhiyuan)'s quadruped. Vision suite for service and interaction tasks; aimed at education, entertainment, entry AgiBot quadruped fleets.</t>
        </is>
      </c>
      <c r="M5" s="101" t="inlineStr">
        <is>
          <t>D1 is AgiBot (Zhiyuan)'s quadruped. Vision suite for service and interaction tasks; aimed at education, entertainment, entry AgiBot quadruped fleets. It is positioned for education, entertainment, and teams wanting an AgiBot quadruped with clearer tier pricing.</t>
        </is>
      </c>
      <c r="N5" s="145" t="n"/>
      <c r="O5" s="145" t="inlineStr">
        <is>
          <t>https://www.agibot.com</t>
        </is>
      </c>
      <c r="P5" s="145" t="inlineStr">
        <is>
          <t>Not disclosed</t>
        </is>
      </c>
      <c r="Q5" s="145" t="n"/>
      <c r="R5" s="145" t="inlineStr">
        <is>
          <t>Not disclosed</t>
        </is>
      </c>
      <c r="S5" s="145" t="n"/>
      <c r="T5" s="149" t="inlineStr">
        <is>
          <t>Not disclosed</t>
        </is>
      </c>
      <c r="U5" s="145" t="n"/>
      <c r="V5" s="145" t="inlineStr">
        <is>
          <t>Not disclosed</t>
        </is>
      </c>
      <c r="W5" s="149" t="n"/>
      <c r="X5" s="145" t="inlineStr">
        <is>
          <t>Not disclosed</t>
        </is>
      </c>
      <c r="Y5" s="145" t="n"/>
      <c r="Z5" s="145" t="inlineStr">
        <is>
          <t>Not disclosed</t>
        </is>
      </c>
      <c r="AA5" s="145" t="n"/>
      <c r="AB5" s="145" t="n"/>
      <c r="AC5" s="149" t="inlineStr">
        <is>
          <t>Not disclosed</t>
        </is>
      </c>
      <c r="AD5" s="149" t="n"/>
      <c r="AE5" s="145" t="n"/>
      <c r="AF5" s="145" t="inlineStr">
        <is>
          <t>Not disclosed</t>
        </is>
      </c>
      <c r="AG5" s="149" t="n"/>
      <c r="AH5" s="145" t="n"/>
      <c r="AI5" s="145" t="n"/>
      <c r="AJ5" s="149" t="inlineStr">
        <is>
          <t>Vision suite for service and interaction tasks</t>
        </is>
      </c>
      <c r="AK5" s="149" t="n"/>
      <c r="AL5" s="145" t="inlineStr">
        <is>
          <t>Not disclosed</t>
        </is>
      </c>
      <c r="AM5" s="145" t="n"/>
      <c r="AN5" s="145" t="inlineStr">
        <is>
          <t>Not disclosed</t>
        </is>
      </c>
      <c r="AO5" s="145" t="n"/>
      <c r="AP5" s="145" t="inlineStr">
        <is>
          <t>Not disclosed</t>
        </is>
      </c>
      <c r="AQ5" s="145" t="n"/>
      <c r="AR5" s="145" t="inlineStr">
        <is>
          <t>Not disclosed</t>
        </is>
      </c>
      <c r="AS5" s="145" t="inlineStr">
        <is>
          <t>Not disclosed</t>
        </is>
      </c>
      <c r="AT5" s="149" t="n"/>
      <c r="AU5" s="149" t="inlineStr">
        <is>
          <t>Not disclosed</t>
        </is>
      </c>
      <c r="AV5" s="145" t="inlineStr">
        <is>
          <t>Service-robot software stack</t>
        </is>
      </c>
      <c r="AW5" s="149" t="inlineStr">
        <is>
          <t>Not disclosed</t>
        </is>
      </c>
      <c r="AX5" s="145" t="n"/>
      <c r="AY5" s="149" t="n"/>
      <c r="AZ5" s="149" t="n"/>
      <c r="BA5" s="149" t="n"/>
      <c r="BB5" s="149" t="inlineStr">
        <is>
          <t>Not disclosed</t>
        </is>
      </c>
      <c r="BC5" s="149" t="n"/>
      <c r="BD5" s="145" t="n"/>
      <c r="BE5" s="145" t="inlineStr">
        <is>
          <t>Not disclosed</t>
        </is>
      </c>
      <c r="BF5" s="145" t="n"/>
      <c r="BG5" s="145" t="n"/>
      <c r="BH5" s="145" t="n"/>
      <c r="BI5" s="145" t="n"/>
      <c r="BJ5" s="145" t="n"/>
      <c r="BK5" s="145" t="n"/>
      <c r="BL5" s="145" t="n"/>
      <c r="BM5" s="145" t="n"/>
      <c r="BN5" s="145" t="n"/>
      <c r="BO5" s="149" t="n"/>
      <c r="BP5" s="145" t="inlineStr">
        <is>
          <t>Not disclosed</t>
        </is>
      </c>
      <c r="BQ5" s="149" t="inlineStr">
        <is>
          <t>Education, entertainment, and teams wanting an AgiBot quadruped with clearer tier pricing.</t>
        </is>
      </c>
      <c r="BR5" s="149" t="inlineStr">
        <is>
          <t>Not disclosed</t>
        </is>
      </c>
      <c r="BS5" s="149" t="n"/>
      <c r="BT5" s="145" t="n"/>
      <c r="BU5" s="145" t="n"/>
      <c r="BV5" s="149" t="n"/>
      <c r="BW5" s="149" t="inlineStr">
        <is>
          <t>Origin &amp; status — China · 2025 | Mobility — Payload Not disclosed · Top speed Not disclosed | Sensing &amp; software — Vision suite for service and interaction tasks | Buying notes — $3,200 · 12 months manufacturer standard (typical by tier) · Best fit: Education, entertainment, entry AgiBot quadruped fleets</t>
        </is>
      </c>
      <c r="BX5" s="149" t="inlineStr">
        <is>
          <t>pro|D1 Pro|3200|Consumer / entry || edu|D1 Edu|6080|Education || ultra|D1 Ultra|7680|Flagship compact quadruped</t>
        </is>
      </c>
      <c r="BY5" s="145" t="inlineStr">
        <is>
          <t>default|Factory finish|#e2e8f0|0</t>
        </is>
      </c>
      <c r="BZ5" s="145" t="inlineStr">
        <is>
          <t>battery_d1, skin_d1</t>
        </is>
      </c>
      <c r="CA5" s="149" t="inlineStr">
        <is>
          <t>3 configuration tiers; Add-ons: battery_d1, skin_d1, case; 2 color options; Multi-year extended warranty available</t>
        </is>
      </c>
      <c r="CB5" s="149" t="inlineStr">
        <is>
          <t>12 months manufacturer standard (typical by tier)</t>
        </is>
      </c>
      <c r="CC5" s="147" t="n">
        <v>12</v>
      </c>
      <c r="CD5" s="149" t="inlineStr">
        <is>
          <t>+3 Year Extended ≈24% of configuration (default in configurator)</t>
        </is>
      </c>
      <c r="CE5" s="145" t="inlineStr">
        <is>
          <t>Category norm for AgiBot commercial platforms</t>
        </is>
      </c>
      <c r="CF5" s="145" t="inlineStr">
        <is>
          <t>Estimated</t>
        </is>
      </c>
      <c r="CG5" s="149" t="inlineStr">
        <is>
          <t>Confirm tier-specific term on formal quote.</t>
        </is>
      </c>
      <c r="CH5" s="145" t="inlineStr">
        <is>
          <t>10%</t>
        </is>
      </c>
      <c r="CI5" s="145" t="inlineStr">
        <is>
          <t>17%</t>
        </is>
      </c>
      <c r="CJ5" s="145" t="inlineStr">
        <is>
          <t>24%</t>
        </is>
      </c>
      <c r="CK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5" s="145" t="inlineStr">
        <is>
          <t>12 months manufacturer standard (typical by tier)</t>
        </is>
      </c>
    </row>
    <row r="6" ht="31.5" customHeight="1" s="102">
      <c r="A6" s="143" t="inlineStr">
        <is>
          <t>d1_coolto</t>
        </is>
      </c>
      <c r="B6" s="160" t="inlineStr">
        <is>
          <t>Website</t>
        </is>
      </c>
      <c r="C6" s="145" t="inlineStr">
        <is>
          <t>AgiBot (Zhiyuan)</t>
        </is>
      </c>
      <c r="D6" s="145" t="inlineStr">
        <is>
          <t>Coolto</t>
        </is>
      </c>
      <c r="E6" s="145" t="inlineStr">
        <is>
          <t>[AgiBot] Coolto (2025)</t>
        </is>
      </c>
      <c r="F6" s="163" t="inlineStr">
        <is>
          <t>campanionoid</t>
        </is>
      </c>
      <c r="G6" s="145" t="inlineStr">
        <is>
          <t>China</t>
        </is>
      </c>
      <c r="H6" s="147" t="n">
        <v>2025</v>
      </c>
      <c r="I6" s="148" t="n">
        <v>3200</v>
      </c>
      <c r="J6" s="145" t="inlineStr">
        <is>
          <t>Website store</t>
        </is>
      </c>
      <c r="K6" s="149" t="inlineStr">
        <is>
          <t>The Coolto is a campanionoid platform from AgiBot (Zhiyuan).</t>
        </is>
      </c>
      <c r="N6" s="145" t="n"/>
      <c r="O6" s="145" t="inlineStr">
        <is>
          <t>https://www.agibot.com</t>
        </is>
      </c>
      <c r="P6" s="145" t="n"/>
      <c r="Q6" s="145" t="n"/>
      <c r="R6" s="145" t="n"/>
      <c r="S6" s="145" t="n"/>
      <c r="T6" s="149" t="n"/>
      <c r="U6" s="145" t="n"/>
      <c r="V6" s="145" t="n"/>
      <c r="W6" s="149" t="n"/>
      <c r="X6" s="145" t="n"/>
      <c r="Y6" s="145" t="n"/>
      <c r="Z6" s="145" t="n"/>
      <c r="AA6" s="145" t="n"/>
      <c r="AB6" s="145" t="n"/>
      <c r="AC6" s="149" t="n"/>
      <c r="AD6" s="149" t="n"/>
      <c r="AE6" s="145" t="n"/>
      <c r="AF6" s="145" t="n"/>
      <c r="AG6" s="149" t="n"/>
      <c r="AH6" s="145" t="n"/>
      <c r="AI6" s="145" t="n"/>
      <c r="AJ6" s="149" t="inlineStr">
        <is>
          <t>Vision suite for service and interaction tasks</t>
        </is>
      </c>
      <c r="AK6" s="149" t="n"/>
      <c r="AL6" s="145" t="n"/>
      <c r="AM6" s="145" t="n"/>
      <c r="AN6" s="145" t="n"/>
      <c r="AO6" s="145" t="n"/>
      <c r="AP6" s="145" t="n"/>
      <c r="AQ6" s="145" t="n"/>
      <c r="AR6" s="145" t="n"/>
      <c r="AS6" s="145" t="n"/>
      <c r="AT6" s="149" t="n"/>
      <c r="AU6" s="149" t="n"/>
      <c r="AV6" s="145" t="inlineStr">
        <is>
          <t>Service-robot software stack</t>
        </is>
      </c>
      <c r="AW6" s="149" t="n"/>
      <c r="AX6" s="145" t="n"/>
      <c r="AY6" s="149" t="n"/>
      <c r="AZ6" s="149" t="n"/>
      <c r="BA6" s="149" t="n"/>
      <c r="BB6" s="149" t="n"/>
      <c r="BC6" s="149" t="n"/>
      <c r="BD6" s="145" t="n"/>
      <c r="BE6" s="145" t="n"/>
      <c r="BF6" s="145" t="n"/>
      <c r="BG6" s="145" t="n"/>
      <c r="BH6" s="145" t="n"/>
      <c r="BI6" s="145" t="n"/>
      <c r="BJ6" s="145" t="n"/>
      <c r="BK6" s="145" t="n"/>
      <c r="BL6" s="145" t="n"/>
      <c r="BM6" s="145" t="n"/>
      <c r="BN6" s="145" t="n"/>
      <c r="BO6" s="149" t="n"/>
      <c r="BP6" s="145" t="n"/>
      <c r="BQ6" s="149" t="n"/>
      <c r="BR6" s="149" t="n"/>
      <c r="BS6" s="149" t="n"/>
      <c r="BT6" s="145" t="n"/>
      <c r="BU6" s="145" t="n"/>
      <c r="BV6" s="149" t="n"/>
      <c r="BW6" s="149" t="inlineStr">
        <is>
          <t>Weight, height, width, and length (fully upright): documented on formal configuration sheets | Camera / vision: Vision suite for service and interaction tasks | Control interface: Service-robot software stack</t>
        </is>
      </c>
      <c r="BX6" s="149" t="inlineStr">
        <is>
          <t>pro|D1 Pro|3200|Accessible companion / demo || edu|D1 Edu|6080|Education package || ultra|D1 Ultra|7680|Higher performance</t>
        </is>
      </c>
      <c r="BY6" s="145" t="inlineStr">
        <is>
          <t>default|Standard Finish|#e2e8f0|0 || theme|Themed Skin|#f59e0b|1200</t>
        </is>
      </c>
      <c r="BZ6" s="145" t="inlineStr">
        <is>
          <t>battery_d1, skin_d1, case, warranty_d1</t>
        </is>
      </c>
      <c r="CA6" s="149" t="inlineStr">
        <is>
          <t>3 configuration tiers; Add-ons: battery_d1, skin_d1, case; 2 color options; Multi-year extended warranty available</t>
        </is>
      </c>
      <c r="CB6" s="149" t="inlineStr">
        <is>
          <t>12 months manufacturer standard (typical by tier)</t>
        </is>
      </c>
      <c r="CC6" s="147" t="n">
        <v>12</v>
      </c>
      <c r="CD6" s="149" t="inlineStr">
        <is>
          <t>+3 Year Extended ≈24% of configuration (default in configurator)</t>
        </is>
      </c>
      <c r="CE6" s="145" t="inlineStr">
        <is>
          <t>Category norm for AgiBot commercial platforms</t>
        </is>
      </c>
      <c r="CF6" s="145" t="inlineStr">
        <is>
          <t>Estimated</t>
        </is>
      </c>
      <c r="CG6" s="149" t="inlineStr">
        <is>
          <t>Confirm tier-specific term on formal quote.</t>
        </is>
      </c>
      <c r="CH6" s="145" t="inlineStr">
        <is>
          <t>10%</t>
        </is>
      </c>
      <c r="CI6" s="145" t="inlineStr">
        <is>
          <t>17%</t>
        </is>
      </c>
      <c r="CJ6" s="145" t="inlineStr">
        <is>
          <t>24%</t>
        </is>
      </c>
      <c r="CK6"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6"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6" s="145" t="inlineStr">
        <is>
          <t>12 months manufacturer standard (typical by tier)</t>
        </is>
      </c>
    </row>
    <row r="7" ht="31.5" customHeight="1" s="102">
      <c r="A7" s="143" t="inlineStr">
        <is>
          <t>anybotics_anymal_d_anymal_x</t>
        </is>
      </c>
      <c r="B7" s="160" t="inlineStr">
        <is>
          <t>Website</t>
        </is>
      </c>
      <c r="C7" s="145" t="inlineStr">
        <is>
          <t>ANYbotics</t>
        </is>
      </c>
      <c r="D7" s="145" t="inlineStr">
        <is>
          <t>ANYmal D</t>
        </is>
      </c>
      <c r="E7" s="145" t="inlineStr">
        <is>
          <t>[ANYbotics] ANYmal D (2019)</t>
        </is>
      </c>
      <c r="F7" s="163" t="inlineStr">
        <is>
          <t>campanionoid</t>
        </is>
      </c>
      <c r="G7" s="145" t="inlineStr">
        <is>
          <t>Switzerland</t>
        </is>
      </c>
      <c r="H7" s="147" t="n">
        <v>2019</v>
      </c>
      <c r="I7" s="148" t="n">
        <v>150000</v>
      </c>
      <c r="J7" s="145" t="inlineStr">
        <is>
          <t>Robot Price Index Aug 2026 · enterprise typical</t>
        </is>
      </c>
      <c r="K7" s="149" t="inlineStr">
        <is>
          <t>[ANYbotics] ANYmal D (2019) is a quadruped from ANYbotics (Switzerland, 2019), positioned for industrial inspection (oil.</t>
        </is>
      </c>
      <c r="L7" s="101" t="inlineStr">
        <is>
          <t>[ANYbotics] ANYmal D (2019) is a quadruped from ANYbotics (Switzerland, 2019), positioned for industrial inspection (oil.</t>
        </is>
      </c>
      <c r="M7" s="101" t="inlineStr">
        <is>
          <t>ANYmal D is ANYbotics's quadruped, introduced around 2019 in Switzerland. [ANYbotics] ANYmal D (2019) is a quadruped from ANYbotics (Switzerland, 2019), positioned for industrial inspection (oil. Public status is listed as commercial / ATEX-IECEx certified, and it is positioned for industrial inspection (oil/gas, chemical, power).</t>
        </is>
      </c>
      <c r="N7" s="145" t="n"/>
      <c r="O7" s="145" t="inlineStr">
        <is>
          <t>https://www.anybotics.com</t>
        </is>
      </c>
      <c r="P7" s="145" t="inlineStr">
        <is>
          <t>Not disclosed</t>
        </is>
      </c>
      <c r="Q7" s="145" t="n"/>
      <c r="R7" s="145" t="inlineStr">
        <is>
          <t>≈ 66–110 lb class</t>
        </is>
      </c>
      <c r="S7" s="145" t="n"/>
      <c r="T7" s="149" t="inlineStr">
        <is>
          <t>Not disclosed</t>
        </is>
      </c>
      <c r="U7" s="145" t="n"/>
      <c r="V7" s="145" t="inlineStr">
        <is>
          <t>12 DOF</t>
        </is>
      </c>
      <c r="W7" s="149" t="n"/>
      <c r="X7" s="145" t="inlineStr">
        <is>
          <t>≈ 22–33 lb class</t>
        </is>
      </c>
      <c r="Y7" s="145" t="n"/>
      <c r="Z7" s="145" t="inlineStr">
        <is>
          <t>~2.2 mph</t>
        </is>
      </c>
      <c r="AA7" s="145" t="n"/>
      <c r="AB7" s="145" t="n"/>
      <c r="AC7" s="149" t="inlineStr">
        <is>
          <t>Not disclosed</t>
        </is>
      </c>
      <c r="AD7" s="149" t="n"/>
      <c r="AE7" s="145" t="n"/>
      <c r="AF7" s="145" t="inlineStr">
        <is>
          <t>Not disclosed</t>
        </is>
      </c>
      <c r="AG7" s="149" t="n"/>
      <c r="AH7" s="145" t="n"/>
      <c r="AI7" s="145" t="n"/>
      <c r="AJ7" s="149" t="inlineStr">
        <is>
          <t>Industrial inspection cameras</t>
        </is>
      </c>
      <c r="AK7" s="149" t="n"/>
      <c r="AL7" s="145" t="inlineStr">
        <is>
          <t>Not disclosed</t>
        </is>
      </c>
      <c r="AM7" s="145" t="n"/>
      <c r="AN7" s="145" t="inlineStr">
        <is>
          <t>3D LiDAR for autonomous inspection</t>
        </is>
      </c>
      <c r="AO7" s="145" t="n"/>
      <c r="AP7" s="145" t="inlineStr">
        <is>
          <t>Not disclosed</t>
        </is>
      </c>
      <c r="AQ7" s="145" t="n"/>
      <c r="AR7" s="145" t="inlineStr">
        <is>
          <t>Not disclosed</t>
        </is>
      </c>
      <c r="AS7" s="145" t="inlineStr">
        <is>
          <t>Not disclosed</t>
        </is>
      </c>
      <c r="AT7" s="149" t="n"/>
      <c r="AU7" s="149" t="inlineStr">
        <is>
          <t>Not disclosed</t>
        </is>
      </c>
      <c r="AV7" s="145" t="inlineStr">
        <is>
          <t>ANYbotics Data Navigator and autonomy stack</t>
        </is>
      </c>
      <c r="AW7" s="149" t="inlineStr">
        <is>
          <t>Autonomous industrial inspection routes</t>
        </is>
      </c>
      <c r="AX7" s="145" t="n"/>
      <c r="AY7" s="149" t="n"/>
      <c r="AZ7" s="149" t="n"/>
      <c r="BA7" s="149" t="n"/>
      <c r="BB7" s="149" t="inlineStr">
        <is>
          <t>Not disclosed</t>
        </is>
      </c>
      <c r="BC7" s="149" t="n"/>
      <c r="BD7" s="145" t="n"/>
      <c r="BE7" s="145" t="inlineStr">
        <is>
          <t>IP67</t>
        </is>
      </c>
      <c r="BF7" s="145" t="n"/>
      <c r="BG7" s="145" t="n"/>
      <c r="BH7" s="145" t="n"/>
      <c r="BI7" s="145" t="n"/>
      <c r="BJ7" s="145" t="n"/>
      <c r="BK7" s="145" t="n"/>
      <c r="BL7" s="145" t="n"/>
      <c r="BM7" s="145" t="n"/>
      <c r="BN7" s="145" t="n"/>
      <c r="BO7" s="149" t="n"/>
      <c r="BP7" s="145" t="inlineStr">
        <is>
          <t>Not disclosed</t>
        </is>
      </c>
      <c r="BQ7" s="149" t="inlineStr">
        <is>
          <t>Industrial inspection (oil/gas, chemical, power)</t>
        </is>
      </c>
      <c r="BR7" s="149" t="inlineStr">
        <is>
          <t>Commercial / ATEX-IECEx certified</t>
        </is>
      </c>
      <c r="BS7" s="149" t="n"/>
      <c r="BT7" s="145" t="n"/>
      <c r="BU7" s="145" t="n"/>
      <c r="BV7" s="149" t="inlineStr">
        <is>
          <t>Only commercial explosion-proof quadruped; strong offshore record</t>
        </is>
      </c>
      <c r="BW7" s="149" t="inlineStr">
        <is>
          <t>Origin &amp; status — Switzerland · Commercial / ATEX-IECEx certified · 2019 | Mobility — 12 DOF · Payload ≈ 22–33 lb class · Top speed ~2.2 mph · IP67 | Sensing &amp; software — 3D LiDAR for autonomous inspection | Buying notes — Enterprise quote ($150k+) · 12 months manufacturer standard (typical) · Best fit: Only commercial explosion-proof quadruped; strong offshore record</t>
        </is>
      </c>
      <c r="BX7" s="149" t="inlineStr">
        <is>
          <t>as_shipped|ANYmal D|150000|As shipped</t>
        </is>
      </c>
      <c r="BY7" s="145" t="inlineStr">
        <is>
          <t>anymal_d|Manufacturer finish|#e2e8f0|0</t>
        </is>
      </c>
      <c r="BZ7" s="145" t="inlineStr"/>
      <c r="CA7" s="149" t="inlineStr">
        <is>
          <t>Add-ons: case; 2 color options; Multi-year extended warranty available</t>
        </is>
      </c>
      <c r="CB7" s="149" t="inlineStr">
        <is>
          <t>12 months manufacturer standard (typical)</t>
        </is>
      </c>
      <c r="CC7" s="147" t="n">
        <v>12</v>
      </c>
      <c r="CD7" s="149" t="inlineStr">
        <is>
          <t>+3 Year Extended ≈24% of configuration (default in configurator)</t>
        </is>
      </c>
      <c r="CE7" s="145" t="inlineStr">
        <is>
          <t>Quadruped category norm</t>
        </is>
      </c>
      <c r="CF7" s="145" t="inlineStr">
        <is>
          <t>Estimated</t>
        </is>
      </c>
      <c r="CG7" s="149" t="inlineStr">
        <is>
          <t>Confirm configuration-specific term on quote.</t>
        </is>
      </c>
      <c r="CH7" s="145" t="inlineStr">
        <is>
          <t>10%</t>
        </is>
      </c>
      <c r="CI7" s="145" t="inlineStr">
        <is>
          <t>17%</t>
        </is>
      </c>
      <c r="CJ7" s="145" t="inlineStr">
        <is>
          <t>24%</t>
        </is>
      </c>
      <c r="CK7"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7"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7" s="145" t="inlineStr">
        <is>
          <t>12 months manufacturer standard (typical)</t>
        </is>
      </c>
    </row>
    <row r="8" ht="31.5" customHeight="1" s="102">
      <c r="A8" s="143" t="inlineStr">
        <is>
          <t>anybotics_anymal_d_anymal_x_anymal_x</t>
        </is>
      </c>
      <c r="B8" s="160" t="inlineStr">
        <is>
          <t>Website</t>
        </is>
      </c>
      <c r="C8" s="145" t="inlineStr">
        <is>
          <t>ANYbotics</t>
        </is>
      </c>
      <c r="D8" s="145" t="inlineStr">
        <is>
          <t>ANYmal X</t>
        </is>
      </c>
      <c r="E8" s="145" t="inlineStr">
        <is>
          <t>[ANYbotics] ANYmal X (2019)</t>
        </is>
      </c>
      <c r="F8" s="163" t="inlineStr">
        <is>
          <t>campanionoid</t>
        </is>
      </c>
      <c r="G8" s="145" t="inlineStr">
        <is>
          <t>Switzerland</t>
        </is>
      </c>
      <c r="H8" s="147" t="n">
        <v>2019</v>
      </c>
      <c r="I8" s="148" t="n">
        <v>180000</v>
      </c>
      <c r="J8" s="145" t="inlineStr">
        <is>
          <t>Robot Price Index Aug 2026 · ATEX premium vs D</t>
        </is>
      </c>
      <c r="K8" s="149" t="inlineStr">
        <is>
          <t>[ANYbotics] ANYmal X (2019) is a quadruped from ANYbotics (Switzerland, 2019), positioned for industrial inspection (oil.</t>
        </is>
      </c>
      <c r="L8" s="101" t="inlineStr">
        <is>
          <t>[ANYbotics] ANYmal X (2019) is a quadruped from ANYbotics (Switzerland, 2019), positioned for industrial inspection (oil.</t>
        </is>
      </c>
      <c r="M8" s="101" t="inlineStr">
        <is>
          <t>ANYmal X is ANYbotics's quadruped, introduced around 2019 in Switzerland. [ANYbotics] ANYmal X (2019) is a quadruped from ANYbotics (Switzerland, 2019), positioned for industrial inspection (oil. Public status is listed as commercial / ATEX-IECEx certified, and it is positioned for industrial inspection (oil/gas, chemical, power).</t>
        </is>
      </c>
      <c r="N8" s="145" t="n"/>
      <c r="O8" s="145" t="inlineStr">
        <is>
          <t>https://www.anybotics.com</t>
        </is>
      </c>
      <c r="P8" s="145" t="inlineStr">
        <is>
          <t>Not disclosed</t>
        </is>
      </c>
      <c r="Q8" s="145" t="n"/>
      <c r="R8" s="145" t="inlineStr">
        <is>
          <t>≈ 66–110 lb class</t>
        </is>
      </c>
      <c r="S8" s="145" t="n"/>
      <c r="T8" s="149" t="inlineStr">
        <is>
          <t>Not disclosed</t>
        </is>
      </c>
      <c r="U8" s="145" t="n"/>
      <c r="V8" s="145" t="inlineStr">
        <is>
          <t>12 DOF</t>
        </is>
      </c>
      <c r="W8" s="149" t="n"/>
      <c r="X8" s="145" t="inlineStr">
        <is>
          <t>≈ 22–33 lb class</t>
        </is>
      </c>
      <c r="Y8" s="145" t="n"/>
      <c r="Z8" s="145" t="inlineStr">
        <is>
          <t>~2.2 mph</t>
        </is>
      </c>
      <c r="AA8" s="145" t="n"/>
      <c r="AB8" s="145" t="n"/>
      <c r="AC8" s="149" t="inlineStr">
        <is>
          <t>Not disclosed</t>
        </is>
      </c>
      <c r="AD8" s="149" t="n"/>
      <c r="AE8" s="145" t="n"/>
      <c r="AF8" s="145" t="inlineStr">
        <is>
          <t>Not disclosed</t>
        </is>
      </c>
      <c r="AG8" s="149" t="n"/>
      <c r="AH8" s="145" t="n"/>
      <c r="AI8" s="145" t="n"/>
      <c r="AJ8" s="149" t="inlineStr">
        <is>
          <t>Industrial inspection cameras</t>
        </is>
      </c>
      <c r="AK8" s="149" t="n"/>
      <c r="AL8" s="145" t="inlineStr">
        <is>
          <t>Not disclosed</t>
        </is>
      </c>
      <c r="AM8" s="145" t="n"/>
      <c r="AN8" s="145" t="inlineStr">
        <is>
          <t>3D LiDAR for autonomous inspection</t>
        </is>
      </c>
      <c r="AO8" s="145" t="n"/>
      <c r="AP8" s="145" t="inlineStr">
        <is>
          <t>Not disclosed</t>
        </is>
      </c>
      <c r="AQ8" s="145" t="n"/>
      <c r="AR8" s="145" t="inlineStr">
        <is>
          <t>Not disclosed</t>
        </is>
      </c>
      <c r="AS8" s="145" t="inlineStr">
        <is>
          <t>Not disclosed</t>
        </is>
      </c>
      <c r="AT8" s="149" t="n"/>
      <c r="AU8" s="149" t="inlineStr">
        <is>
          <t>Not disclosed</t>
        </is>
      </c>
      <c r="AV8" s="145" t="inlineStr">
        <is>
          <t>ANYbotics Data Navigator and autonomy stack</t>
        </is>
      </c>
      <c r="AW8" s="149" t="inlineStr">
        <is>
          <t>Autonomous industrial inspection routes</t>
        </is>
      </c>
      <c r="AX8" s="145" t="n"/>
      <c r="AY8" s="149" t="n"/>
      <c r="AZ8" s="149" t="n"/>
      <c r="BA8" s="149" t="n"/>
      <c r="BB8" s="149" t="inlineStr">
        <is>
          <t>Not disclosed</t>
        </is>
      </c>
      <c r="BC8" s="149" t="n"/>
      <c r="BD8" s="145" t="n"/>
      <c r="BE8" s="145" t="inlineStr">
        <is>
          <t>IP67</t>
        </is>
      </c>
      <c r="BF8" s="145" t="n"/>
      <c r="BG8" s="145" t="n"/>
      <c r="BH8" s="145" t="n"/>
      <c r="BI8" s="145" t="n"/>
      <c r="BJ8" s="145" t="n"/>
      <c r="BK8" s="145" t="n"/>
      <c r="BL8" s="145" t="n"/>
      <c r="BM8" s="145" t="n"/>
      <c r="BN8" s="145" t="n"/>
      <c r="BO8" s="149" t="n"/>
      <c r="BP8" s="145" t="inlineStr">
        <is>
          <t>Not disclosed</t>
        </is>
      </c>
      <c r="BQ8" s="149" t="inlineStr">
        <is>
          <t>Industrial inspection (oil/gas, chemical, power)</t>
        </is>
      </c>
      <c r="BR8" s="149" t="inlineStr">
        <is>
          <t>Commercial / ATEX-IECEx certified</t>
        </is>
      </c>
      <c r="BS8" s="149" t="n"/>
      <c r="BT8" s="145" t="n"/>
      <c r="BU8" s="145" t="n"/>
      <c r="BV8" s="149" t="inlineStr">
        <is>
          <t>Only commercial explosion-proof quadruped; strong offshore record</t>
        </is>
      </c>
      <c r="BW8" s="149" t="inlineStr">
        <is>
          <t>Origin &amp; status — Switzerland · Commercial / ATEX-IECEx certified · 2019 | Mobility — 12 DOF · Payload ≈ 22–33 lb class · Top speed ~2.2 mph · IP67 | Sensing &amp; software — 3D LiDAR for autonomous inspection | Buying notes — Enterprise quote ($150k+) · 12 months manufacturer standard (typical) · Best fit: Only commercial explosion-proof quadruped; strong offshore record</t>
        </is>
      </c>
      <c r="BX8" s="149" t="inlineStr">
        <is>
          <t>as_shipped|ANYmal X|180000|As shipped</t>
        </is>
      </c>
      <c r="BY8" s="145" t="inlineStr">
        <is>
          <t>anymal_x|Manufacturer finish|#e2e8f0|0</t>
        </is>
      </c>
      <c r="BZ8" s="145" t="inlineStr"/>
      <c r="CA8" s="149" t="inlineStr">
        <is>
          <t>Add-ons: case; 2 color options; Multi-year extended warranty available</t>
        </is>
      </c>
      <c r="CB8" s="149" t="inlineStr">
        <is>
          <t>12 months manufacturer standard (typical)</t>
        </is>
      </c>
      <c r="CC8" s="147" t="n">
        <v>12</v>
      </c>
      <c r="CD8" s="149" t="inlineStr">
        <is>
          <t>+3 Year Extended ≈24% of configuration (default in configurator)</t>
        </is>
      </c>
      <c r="CE8" s="145" t="inlineStr">
        <is>
          <t>Quadruped category norm</t>
        </is>
      </c>
      <c r="CF8" s="145" t="inlineStr">
        <is>
          <t>Estimated</t>
        </is>
      </c>
      <c r="CG8" s="149" t="inlineStr">
        <is>
          <t>Confirm configuration-specific term on quote.</t>
        </is>
      </c>
      <c r="CH8" s="145" t="inlineStr">
        <is>
          <t>10%</t>
        </is>
      </c>
      <c r="CI8" s="145" t="inlineStr">
        <is>
          <t>17%</t>
        </is>
      </c>
      <c r="CJ8" s="145" t="inlineStr">
        <is>
          <t>24%</t>
        </is>
      </c>
      <c r="CK8"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8"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8" s="145" t="inlineStr">
        <is>
          <t>12 months manufacturer standard (typical)</t>
        </is>
      </c>
    </row>
    <row r="9" ht="31.5" customHeight="1" s="102">
      <c r="A9" s="143" t="inlineStr">
        <is>
          <t>deep_robotics_lite3_lite_series</t>
        </is>
      </c>
      <c r="B9" s="160" t="inlineStr">
        <is>
          <t>Website</t>
        </is>
      </c>
      <c r="C9" s="145" t="inlineStr">
        <is>
          <t>DEEP Robotics</t>
        </is>
      </c>
      <c r="D9" s="145" t="inlineStr">
        <is>
          <t>Lite3</t>
        </is>
      </c>
      <c r="E9" s="145" t="inlineStr">
        <is>
          <t>[Deep Robotics] Lite3 (2023)</t>
        </is>
      </c>
      <c r="F9" s="163" t="inlineStr">
        <is>
          <t>campanionoid</t>
        </is>
      </c>
      <c r="G9" s="145" t="inlineStr">
        <is>
          <t>China</t>
        </is>
      </c>
      <c r="H9" s="147" t="n">
        <v>2023</v>
      </c>
      <c r="I9" s="148" t="n">
        <v>2890</v>
      </c>
      <c r="J9" s="145" t="inlineStr">
        <is>
          <t>Robot Price Index Aug 2026 · entry</t>
        </is>
      </c>
      <c r="K9" s="149" t="inlineStr">
        <is>
          <t>Lite3 is DEEP Robotics's quadruped — 12 DOF, ≈ 11 lb class payload, Up to 8.9 mph. Optional or standard on mid/high tiers; aimed at research.</t>
        </is>
      </c>
      <c r="L9" s="101" t="inlineStr">
        <is>
          <t>Lite3 is DEEP Robotics's quadruped — 12 DOF, ≈ 11 lb class payload, Up to 8.9 mph. Optional or standard on mid/high tiers; aimed at research.</t>
        </is>
      </c>
      <c r="M9" s="101" t="inlineStr">
        <is>
          <t>Lite3 is DEEP Robotics's quadruped — 12 DOF, ≈ 11 lb class payload, Up to 8.9 mph. Optional or standard on mid/high tiers; aimed at research. Public status is listed as orderable, and it is positioned for research / Education / Light professional.</t>
        </is>
      </c>
      <c r="N9" s="145" t="n"/>
      <c r="O9" s="145" t="inlineStr">
        <is>
          <t>https://www.deeprobotics.cn</t>
        </is>
      </c>
      <c r="P9" s="145" t="inlineStr">
        <is>
          <t>Not disclosed</t>
        </is>
      </c>
      <c r="Q9" s="145" t="n"/>
      <c r="R9" s="145" t="inlineStr">
        <is>
          <t>≈ 22–26 lb class</t>
        </is>
      </c>
      <c r="S9" s="145" t="n"/>
      <c r="T9" s="149" t="inlineStr">
        <is>
          <t>Not disclosed</t>
        </is>
      </c>
      <c r="U9" s="145" t="n"/>
      <c r="V9" s="145" t="inlineStr">
        <is>
          <t>12 DOF</t>
        </is>
      </c>
      <c r="W9" s="149" t="n"/>
      <c r="X9" s="145" t="inlineStr">
        <is>
          <t>≈ 11 lb class</t>
        </is>
      </c>
      <c r="Y9" s="145" t="n"/>
      <c r="Z9" s="145" t="inlineStr">
        <is>
          <t>Up to 8.9 mph</t>
        </is>
      </c>
      <c r="AA9" s="145" t="n"/>
      <c r="AB9" s="145" t="n"/>
      <c r="AC9" s="149" t="inlineStr">
        <is>
          <t>Not disclosed</t>
        </is>
      </c>
      <c r="AD9" s="149" t="n"/>
      <c r="AE9" s="145" t="n"/>
      <c r="AF9" s="145" t="inlineStr">
        <is>
          <t>Not disclosed</t>
        </is>
      </c>
      <c r="AG9" s="149" t="n"/>
      <c r="AH9" s="145" t="n"/>
      <c r="AI9" s="145" t="n"/>
      <c r="AJ9" s="149" t="inlineStr">
        <is>
          <t>Entry industrial perception cameras</t>
        </is>
      </c>
      <c r="AK9" s="149" t="n"/>
      <c r="AL9" s="145" t="inlineStr">
        <is>
          <t>Live view and recording when camera payload equipped</t>
        </is>
      </c>
      <c r="AM9" s="145" t="n"/>
      <c r="AN9" s="145" t="inlineStr">
        <is>
          <t>Optional or standard on mid/high tiers</t>
        </is>
      </c>
      <c r="AO9" s="145" t="n"/>
      <c r="AP9" s="145" t="inlineStr">
        <is>
          <t>Not disclosed</t>
        </is>
      </c>
      <c r="AQ9" s="145" t="n"/>
      <c r="AR9" s="145" t="inlineStr">
        <is>
          <t>Not disclosed</t>
        </is>
      </c>
      <c r="AS9" s="145" t="inlineStr">
        <is>
          <t>Not disclosed</t>
        </is>
      </c>
      <c r="AT9" s="149" t="n"/>
      <c r="AU9" s="149" t="inlineStr">
        <is>
          <t>Not disclosed</t>
        </is>
      </c>
      <c r="AV9" s="145" t="inlineStr">
        <is>
          <t>App, remote, and SDK options by tier</t>
        </is>
      </c>
      <c r="AW9" s="149" t="inlineStr">
        <is>
          <t>Quadruped gait library with terrain adaptation on higher models</t>
        </is>
      </c>
      <c r="AX9" s="145" t="n"/>
      <c r="AY9" s="149" t="n"/>
      <c r="AZ9" s="149" t="n"/>
      <c r="BA9" s="149" t="n"/>
      <c r="BB9" s="149" t="inlineStr">
        <is>
          <t>Not disclosed</t>
        </is>
      </c>
      <c r="BC9" s="149" t="n"/>
      <c r="BD9" s="145" t="n"/>
      <c r="BE9" s="145" t="inlineStr">
        <is>
          <t>Not disclosed</t>
        </is>
      </c>
      <c r="BF9" s="145" t="n"/>
      <c r="BG9" s="145" t="n"/>
      <c r="BH9" s="145" t="n"/>
      <c r="BI9" s="145" t="n"/>
      <c r="BJ9" s="145" t="n"/>
      <c r="BK9" s="145" t="n"/>
      <c r="BL9" s="145" t="n"/>
      <c r="BM9" s="145" t="n"/>
      <c r="BN9" s="145" t="n"/>
      <c r="BO9" s="149" t="n"/>
      <c r="BP9" s="145" t="inlineStr">
        <is>
          <t>Not disclosed</t>
        </is>
      </c>
      <c r="BQ9" s="149" t="inlineStr">
        <is>
          <t>Research / Education / Light professional</t>
        </is>
      </c>
      <c r="BR9" s="149" t="inlineStr">
        <is>
          <t>Orderable</t>
        </is>
      </c>
      <c r="BS9" s="149" t="n"/>
      <c r="BT9" s="145" t="n"/>
      <c r="BU9" s="145" t="n"/>
      <c r="BV9" s="149" t="inlineStr">
        <is>
          <t>Strong Go2 alternative; open SDK; competitive research pricing</t>
        </is>
      </c>
      <c r="BW9" s="149" t="inlineStr">
        <is>
          <t>Origin &amp; status — China · Orderable · 2023 | Mobility — 12 DOF · Payload ≈ 11 lb class · Top speed Up to 8.9 mph | Sensing &amp; software — Optional or standard on mid/high tiers | Buying notes — $2,890 · 12 months manufacturer standard (typical industrial quadruped/humanoid) · Best fit: Strong Go2 alternative; open SDK; competitive research pricing</t>
        </is>
      </c>
      <c r="BX9" s="149" t="inlineStr">
        <is>
          <t>as_shipped|Lite3|2890|As shipped</t>
        </is>
      </c>
      <c r="BY9" s="145" t="inlineStr">
        <is>
          <t>lite3|Manufacturer finish|#e2e8f0|0</t>
        </is>
      </c>
      <c r="BZ9" s="145" t="inlineStr"/>
      <c r="CA9" s="149" t="inlineStr">
        <is>
          <t>Add-ons: case; 2 color options; Multi-year extended warranty available</t>
        </is>
      </c>
      <c r="CB9" s="149" t="inlineStr">
        <is>
          <t>12 months manufacturer standard (typical industrial quadruped/humanoid)</t>
        </is>
      </c>
      <c r="CC9" s="147" t="n">
        <v>12</v>
      </c>
      <c r="CD9" s="149" t="inlineStr">
        <is>
          <t>+3 Year Extended ≈24% of configuration (default in configurator)</t>
        </is>
      </c>
      <c r="CE9" s="145" t="inlineStr">
        <is>
          <t>Industry norm for Deep Robotics class platforms</t>
        </is>
      </c>
      <c r="CF9" s="145" t="inlineStr">
        <is>
          <t>Estimated</t>
        </is>
      </c>
      <c r="CG9" s="149" t="inlineStr">
        <is>
          <t>Confirm exact term with authorized channel on quote.</t>
        </is>
      </c>
      <c r="CH9" s="145" t="inlineStr">
        <is>
          <t>10%</t>
        </is>
      </c>
      <c r="CI9" s="145" t="inlineStr">
        <is>
          <t>17%</t>
        </is>
      </c>
      <c r="CJ9" s="145" t="inlineStr">
        <is>
          <t>24%</t>
        </is>
      </c>
      <c r="CK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9" s="145" t="inlineStr">
        <is>
          <t>12 months manufacturer standard (typical industrial quadruped/humanoid)</t>
        </is>
      </c>
    </row>
    <row r="10" ht="31.5" customHeight="1" s="102">
      <c r="A10" s="159" t="inlineStr">
        <is>
          <t>lynx</t>
        </is>
      </c>
      <c r="B10" s="160" t="inlineStr">
        <is>
          <t>Website</t>
        </is>
      </c>
      <c r="C10" s="152" t="inlineStr">
        <is>
          <t>Deep Robotics</t>
        </is>
      </c>
      <c r="D10" s="152" t="inlineStr">
        <is>
          <t>Lynx M20</t>
        </is>
      </c>
      <c r="E10" s="152" t="inlineStr">
        <is>
          <t>[Deep Robotics] Lynx M20 (2025)</t>
        </is>
      </c>
      <c r="F10" s="163" t="inlineStr">
        <is>
          <t>campanionoid</t>
        </is>
      </c>
      <c r="G10" s="152" t="inlineStr">
        <is>
          <t>China</t>
        </is>
      </c>
      <c r="H10" s="154" t="n">
        <v>2025</v>
      </c>
      <c r="I10" s="155" t="n">
        <v>59995</v>
      </c>
      <c r="J10" s="152" t="inlineStr">
        <is>
          <t>Robot Price Index Aug 2026</t>
        </is>
      </c>
      <c r="K10" s="156" t="inlineStr">
        <is>
          <t>Lynx M20 is Deep Robotics's quadruped — 12 DOF, ≈ 26–33 lb class payload. Perception cameras for mobile inspection; aimed at mixed terrain, last-mile, indoor-outdoor industrial.</t>
        </is>
      </c>
      <c r="L10" s="101" t="inlineStr">
        <is>
          <t>Lynx M20 is Deep Robotics's quadruped — 12 DOF, ≈ 26–33 lb class payload. Perception cameras for mobile inspection; aimed at mixed terrain, last-mile, indoor-outdoor industrial.</t>
        </is>
      </c>
      <c r="M10" s="101" t="inlineStr">
        <is>
          <t>Lynx M20 is Deep Robotics's quadruped — 12 DOF, ≈ 26–33 lb class payload. Perception cameras for mobile inspection; aimed at mixed terrain, last-mile, indoor-outdoor industrial. It is positioned for teams that need both fast wheeled travel and the ability to handle steps and rough ground.</t>
        </is>
      </c>
      <c r="N10" s="152" t="n"/>
      <c r="O10" s="152" t="inlineStr">
        <is>
          <t>https://www.deeprobotics.cn</t>
        </is>
      </c>
      <c r="P10" s="152" t="inlineStr">
        <is>
          <t>Not disclosed</t>
        </is>
      </c>
      <c r="Q10" s="152" t="n"/>
      <c r="R10" s="152" t="inlineStr">
        <is>
          <t>≈ 44–88 lb class (Lynx M20 / S10 family)</t>
        </is>
      </c>
      <c r="S10" s="152" t="n"/>
      <c r="T10" s="156" t="inlineStr">
        <is>
          <t>Not disclosed</t>
        </is>
      </c>
      <c r="U10" s="152" t="n"/>
      <c r="V10" s="152" t="inlineStr">
        <is>
          <t>12 DOF</t>
        </is>
      </c>
      <c r="W10" s="156" t="n"/>
      <c r="X10" s="152" t="inlineStr">
        <is>
          <t>≈ 26–33 lb class</t>
        </is>
      </c>
      <c r="Y10" s="152" t="n"/>
      <c r="Z10" s="152" t="inlineStr">
        <is>
          <t>Up to ≈ 11.2 mph class</t>
        </is>
      </c>
      <c r="AA10" s="152" t="n"/>
      <c r="AB10" s="152" t="n"/>
      <c r="AC10" s="156" t="inlineStr">
        <is>
          <t>Not disclosed</t>
        </is>
      </c>
      <c r="AD10" s="156" t="n"/>
      <c r="AE10" s="152" t="n"/>
      <c r="AF10" s="152" t="inlineStr">
        <is>
          <t>Not disclosed</t>
        </is>
      </c>
      <c r="AG10" s="156" t="n"/>
      <c r="AH10" s="152" t="n"/>
      <c r="AI10" s="152" t="n"/>
      <c r="AJ10" s="156" t="inlineStr">
        <is>
          <t>Perception cameras for mobile inspection</t>
        </is>
      </c>
      <c r="AK10" s="156" t="n"/>
      <c r="AL10" s="152" t="inlineStr">
        <is>
          <t>Not disclosed</t>
        </is>
      </c>
      <c r="AM10" s="152" t="n"/>
      <c r="AN10" s="152" t="inlineStr">
        <is>
          <t>Not disclosed</t>
        </is>
      </c>
      <c r="AO10" s="152" t="n"/>
      <c r="AP10" s="152" t="inlineStr">
        <is>
          <t>Not disclosed</t>
        </is>
      </c>
      <c r="AQ10" s="152" t="n"/>
      <c r="AR10" s="152" t="inlineStr">
        <is>
          <t>Not disclosed</t>
        </is>
      </c>
      <c r="AS10" s="152" t="inlineStr">
        <is>
          <t>Not disclosed</t>
        </is>
      </c>
      <c r="AT10" s="156" t="n"/>
      <c r="AU10" s="156" t="inlineStr">
        <is>
          <t>Not disclosed</t>
        </is>
      </c>
      <c r="AV10" s="152" t="inlineStr">
        <is>
          <t>Deep Robotics control software</t>
        </is>
      </c>
      <c r="AW10" s="156" t="inlineStr">
        <is>
          <t>Agile quadruped mobility (Lynx series)</t>
        </is>
      </c>
      <c r="AX10" s="152" t="n"/>
      <c r="AY10" s="156" t="n"/>
      <c r="AZ10" s="156" t="n"/>
      <c r="BA10" s="156" t="n"/>
      <c r="BB10" s="156" t="inlineStr">
        <is>
          <t>Not disclosed</t>
        </is>
      </c>
      <c r="BC10" s="156" t="n"/>
      <c r="BD10" s="152" t="n"/>
      <c r="BE10" s="152" t="inlineStr">
        <is>
          <t>Not disclosed</t>
        </is>
      </c>
      <c r="BF10" s="152" t="n"/>
      <c r="BG10" s="152" t="n"/>
      <c r="BH10" s="152" t="n"/>
      <c r="BI10" s="152" t="n"/>
      <c r="BJ10" s="152" t="n"/>
      <c r="BK10" s="152" t="n"/>
      <c r="BL10" s="152" t="n"/>
      <c r="BM10" s="152" t="n"/>
      <c r="BN10" s="152" t="n"/>
      <c r="BO10" s="156" t="n"/>
      <c r="BP10" s="152" t="inlineStr">
        <is>
          <t>Not disclosed</t>
        </is>
      </c>
      <c r="BQ10" s="156" t="inlineStr">
        <is>
          <t>Teams that need both fast wheeled travel and the ability to handle steps and rough ground.</t>
        </is>
      </c>
      <c r="BR10" s="156" t="inlineStr">
        <is>
          <t>Not disclosed</t>
        </is>
      </c>
      <c r="BS10" s="156" t="n"/>
      <c r="BT10" s="152" t="n"/>
      <c r="BU10" s="152" t="n"/>
      <c r="BV10" s="156" t="n"/>
      <c r="BW10" s="156" t="inlineStr">
        <is>
          <t>Origin &amp; status — China · 2025 | Mobility — 12 DOF · Payload ≈ 26–33 lb class · Top speed Up to ≈ 11.2 mph class | Sensing &amp; software — Perception cameras for mobile inspection | Buying notes — $59,995 · 12 months manufacturer standard (typical industrial quadruped/humanoid) · Best fit: Mixed terrain, last-mile, indoor-outdoor industrial</t>
        </is>
      </c>
      <c r="BX10" s="156" t="inlineStr">
        <is>
          <t>m20|Lynx M20|59995|Wheel-leg hybrid || m20pro|Lynx M20 Pro|61200|Pro / higher sensor package</t>
        </is>
      </c>
      <c r="BY10" s="152" t="inlineStr">
        <is>
          <t>black|Hybrid Black|#1a1a1a|0 || orange|Trail Orange|#ea580c|0</t>
        </is>
      </c>
      <c r="BZ10" s="152" t="inlineStr">
        <is>
          <t>battery_lynx, case, warranty_lynx</t>
        </is>
      </c>
      <c r="CA10" s="156" t="inlineStr">
        <is>
          <t>2 configuration tiers; Add-ons: battery_lynx, case; 2 color options; Multi-year extended warranty available</t>
        </is>
      </c>
      <c r="CB10" s="156" t="inlineStr">
        <is>
          <t>12 months manufacturer standard (typical industrial quadruped/humanoid)</t>
        </is>
      </c>
      <c r="CC10" s="154" t="n">
        <v>12</v>
      </c>
      <c r="CD10" s="156" t="inlineStr">
        <is>
          <t>+3 Year Extended ≈24% of configuration (default in configurator)</t>
        </is>
      </c>
      <c r="CE10" s="152" t="inlineStr">
        <is>
          <t>Industry norm for Deep Robotics class platforms</t>
        </is>
      </c>
      <c r="CF10" s="152" t="inlineStr">
        <is>
          <t>Estimated</t>
        </is>
      </c>
      <c r="CG10" s="156" t="inlineStr">
        <is>
          <t>Confirm exact term with authorized channel on quote.</t>
        </is>
      </c>
      <c r="CH10" s="152" t="inlineStr">
        <is>
          <t>10%</t>
        </is>
      </c>
      <c r="CI10" s="152" t="inlineStr">
        <is>
          <t>17%</t>
        </is>
      </c>
      <c r="CJ10" s="152" t="inlineStr">
        <is>
          <t>24%</t>
        </is>
      </c>
      <c r="CK10"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10"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0" s="152" t="inlineStr">
        <is>
          <t>12 months manufacturer standard (typical industrial quadruped/humanoid)</t>
        </is>
      </c>
    </row>
    <row r="11" ht="31.5" customHeight="1" s="102">
      <c r="A11" s="143" t="inlineStr">
        <is>
          <t>x30</t>
        </is>
      </c>
      <c r="B11" s="160" t="inlineStr">
        <is>
          <t>Website</t>
        </is>
      </c>
      <c r="C11" s="145" t="inlineStr">
        <is>
          <t>Deep Robotics</t>
        </is>
      </c>
      <c r="D11" s="145" t="inlineStr">
        <is>
          <t>X30</t>
        </is>
      </c>
      <c r="E11" s="145" t="inlineStr">
        <is>
          <t>[Deep Robotics] X30 (2024)</t>
        </is>
      </c>
      <c r="F11" s="163" t="inlineStr">
        <is>
          <t>campanionoid</t>
        </is>
      </c>
      <c r="G11" s="145" t="inlineStr">
        <is>
          <t>China</t>
        </is>
      </c>
      <c r="H11" s="147" t="n">
        <v>2024</v>
      </c>
      <c r="I11" s="148" t="n">
        <v>65000</v>
      </c>
      <c r="J11" s="145" t="inlineStr">
        <is>
          <t>Robot Price Index Aug 2026</t>
        </is>
      </c>
      <c r="K11" s="149" t="inlineStr">
        <is>
          <t>X30 is Deep Robotics's quadruped — 12 DOF, ≈ 88–110 lb class depending on configuration payload. 3D LiDAR options on inspection configurations; aimed at inspection, power, outdoor industrial work.</t>
        </is>
      </c>
      <c r="L11" s="101" t="inlineStr">
        <is>
          <t>X30 is Deep Robotics's quadruped — 12 DOF, ≈ 88–110 lb class depending on configuration payload. 3D LiDAR options on inspection configurations; aimed at inspection, power, outdoor industrial work.</t>
        </is>
      </c>
      <c r="M11" s="101" t="inlineStr">
        <is>
          <t>X30 is Deep Robotics's quadruped — 12 DOF, ≈ 88–110 lb class depending on configuration payload. 3D LiDAR options on inspection configurations; aimed at inspection, power, outdoor industrial work. It is positioned for industrial inspection, energy, and outdoor robotics teams.</t>
        </is>
      </c>
      <c r="N11" s="145" t="n"/>
      <c r="O11" s="145" t="inlineStr">
        <is>
          <t>https://www.deeprobotics.cn</t>
        </is>
      </c>
      <c r="P11" s="145" t="inlineStr">
        <is>
          <t>Not disclosed</t>
        </is>
      </c>
      <c r="Q11" s="145" t="n"/>
      <c r="R11" s="145" t="inlineStr">
        <is>
          <t>≈ 110–176 lb class (X20/X30 family range)</t>
        </is>
      </c>
      <c r="S11" s="145" t="n"/>
      <c r="T11" s="149" t="inlineStr">
        <is>
          <t>Not disclosed</t>
        </is>
      </c>
      <c r="U11" s="145" t="n"/>
      <c r="V11" s="145" t="inlineStr">
        <is>
          <t>12 DOF</t>
        </is>
      </c>
      <c r="W11" s="149" t="n"/>
      <c r="X11" s="145" t="inlineStr">
        <is>
          <t>≈ 88–110 lb class depending on configuration</t>
        </is>
      </c>
      <c r="Y11" s="145" t="n"/>
      <c r="Z11" s="145" t="inlineStr">
        <is>
          <t>Not disclosed</t>
        </is>
      </c>
      <c r="AA11" s="145" t="n"/>
      <c r="AB11" s="145" t="n"/>
      <c r="AC11" s="149" t="inlineStr">
        <is>
          <t>Not disclosed</t>
        </is>
      </c>
      <c r="AD11" s="149" t="n"/>
      <c r="AE11" s="145" t="n"/>
      <c r="AF11" s="145" t="inlineStr">
        <is>
          <t>Not disclosed</t>
        </is>
      </c>
      <c r="AG11" s="149" t="n"/>
      <c r="AH11" s="145" t="n"/>
      <c r="AI11" s="145" t="n"/>
      <c r="AJ11" s="149" t="inlineStr">
        <is>
          <t>Industrial inspection cameras</t>
        </is>
      </c>
      <c r="AK11" s="149" t="n"/>
      <c r="AL11" s="145" t="inlineStr">
        <is>
          <t>Not disclosed</t>
        </is>
      </c>
      <c r="AM11" s="145" t="n"/>
      <c r="AN11" s="145" t="inlineStr">
        <is>
          <t>3D LiDAR options on inspection configurations</t>
        </is>
      </c>
      <c r="AO11" s="145" t="n"/>
      <c r="AP11" s="145" t="inlineStr">
        <is>
          <t>Not disclosed</t>
        </is>
      </c>
      <c r="AQ11" s="145" t="n"/>
      <c r="AR11" s="145" t="inlineStr">
        <is>
          <t>Not disclosed</t>
        </is>
      </c>
      <c r="AS11" s="145" t="inlineStr">
        <is>
          <t>Not disclosed</t>
        </is>
      </c>
      <c r="AT11" s="149" t="n"/>
      <c r="AU11" s="149" t="inlineStr">
        <is>
          <t>Not disclosed</t>
        </is>
      </c>
      <c r="AV11" s="145" t="inlineStr">
        <is>
          <t>Deep Robotics industrial software and SDK</t>
        </is>
      </c>
      <c r="AW11" s="149" t="inlineStr">
        <is>
          <t>Rough-terrain quadruped gaits for inspection routes</t>
        </is>
      </c>
      <c r="AX11" s="145" t="n"/>
      <c r="AY11" s="149" t="n"/>
      <c r="AZ11" s="149" t="n"/>
      <c r="BA11" s="149" t="n"/>
      <c r="BB11" s="149" t="inlineStr">
        <is>
          <t>Not disclosed</t>
        </is>
      </c>
      <c r="BC11" s="149" t="n"/>
      <c r="BD11" s="145" t="n"/>
      <c r="BE11" s="145" t="inlineStr">
        <is>
          <t>Industrial outdoor ratings</t>
        </is>
      </c>
      <c r="BF11" s="145" t="n"/>
      <c r="BG11" s="145" t="n"/>
      <c r="BH11" s="145" t="n"/>
      <c r="BI11" s="145" t="n"/>
      <c r="BJ11" s="145" t="n"/>
      <c r="BK11" s="145" t="n"/>
      <c r="BL11" s="145" t="inlineStr">
        <is>
          <t>IP67 class signals on Pro</t>
        </is>
      </c>
      <c r="BM11" s="145" t="n"/>
      <c r="BN11" s="145" t="n"/>
      <c r="BO11" s="149" t="n"/>
      <c r="BP11" s="145" t="inlineStr">
        <is>
          <t>Not disclosed</t>
        </is>
      </c>
      <c r="BQ11" s="149" t="inlineStr">
        <is>
          <t>Industrial inspection, energy, and outdoor robotics teams.</t>
        </is>
      </c>
      <c r="BR11" s="149" t="inlineStr">
        <is>
          <t>Not disclosed</t>
        </is>
      </c>
      <c r="BS11" s="149" t="n"/>
      <c r="BT11" s="145" t="n"/>
      <c r="BU11" s="145" t="n"/>
      <c r="BV11" s="149" t="n"/>
      <c r="BW11" s="149" t="inlineStr">
        <is>
          <t>Origin &amp; status — China · 2024 | Mobility — 12 DOF · Payload ≈ 88–110 lb class depending on configuration · Top speed Not disclosed · IP67 class signals on Pro | Sensing &amp; software — 3D LiDAR options on inspection configurations | Buying notes — $65,000 · 12 months manufacturer standard (typical industrial quadruped/humanoid) · Best fit: Inspection, power, outdoor industrial work</t>
        </is>
      </c>
      <c r="BX11" s="149" t="inlineStr">
        <is>
          <t>x30|X30|65000|Industrial quadruped || x30pro|X30 Pro|85000|Pro industrial package</t>
        </is>
      </c>
      <c r="BY11" s="145" t="inlineStr">
        <is>
          <t>orange|Safety Orange|#ea580c|0 || black|Industrial Black|#1a1a1a|0</t>
        </is>
      </c>
      <c r="BZ11" s="145" t="inlineStr">
        <is>
          <t>battery_x30, case, warranty_x30</t>
        </is>
      </c>
      <c r="CA11" s="149" t="inlineStr">
        <is>
          <t>2 configuration tiers; Add-ons: battery_x30, case; 2 color options; Multi-year extended warranty available</t>
        </is>
      </c>
      <c r="CB11" s="149" t="inlineStr">
        <is>
          <t>12 months manufacturer standard (typical industrial quadruped/humanoid)</t>
        </is>
      </c>
      <c r="CC11" s="147" t="n">
        <v>12</v>
      </c>
      <c r="CD11" s="149" t="inlineStr">
        <is>
          <t>+3 Year Extended ≈24% of configuration (default in configurator)</t>
        </is>
      </c>
      <c r="CE11" s="145" t="inlineStr">
        <is>
          <t>Industry norm for Deep Robotics class platforms</t>
        </is>
      </c>
      <c r="CF11" s="145" t="inlineStr">
        <is>
          <t>Estimated</t>
        </is>
      </c>
      <c r="CG11" s="149" t="inlineStr">
        <is>
          <t>Confirm exact term with authorized channel on quote.</t>
        </is>
      </c>
      <c r="CH11" s="145" t="inlineStr">
        <is>
          <t>10%</t>
        </is>
      </c>
      <c r="CI11" s="145" t="inlineStr">
        <is>
          <t>17%</t>
        </is>
      </c>
      <c r="CJ11" s="145" t="inlineStr">
        <is>
          <t>24%</t>
        </is>
      </c>
      <c r="CK1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1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1" s="145" t="inlineStr">
        <is>
          <t>12 months manufacturer standard (typical industrial quadruped/humanoid)</t>
        </is>
      </c>
    </row>
    <row r="12" ht="31.5" customHeight="1" s="102">
      <c r="A12" s="159" t="inlineStr">
        <is>
          <t>dobot_various_quadruped_models</t>
        </is>
      </c>
      <c r="B12" s="160" t="inlineStr">
        <is>
          <t>Website</t>
        </is>
      </c>
      <c r="C12" s="152" t="inlineStr">
        <is>
          <t>DOBOT</t>
        </is>
      </c>
      <c r="D12" s="152" t="inlineStr">
        <is>
          <t>Quadruped Series</t>
        </is>
      </c>
      <c r="E12" s="152" t="inlineStr">
        <is>
          <t>[DOBOT] Quadruped Series (2020)</t>
        </is>
      </c>
      <c r="F12" s="163" t="inlineStr">
        <is>
          <t>campanionoid</t>
        </is>
      </c>
      <c r="G12" s="152" t="inlineStr">
        <is>
          <t>China</t>
        </is>
      </c>
      <c r="H12" s="154" t="n">
        <v>2020</v>
      </c>
      <c r="I12" s="155" t="n">
        <v>10000</v>
      </c>
      <c r="J12" s="152" t="inlineStr">
        <is>
          <t>Website store</t>
        </is>
      </c>
      <c r="K12" s="156" t="inlineStr">
        <is>
          <t>Quadruped Series is DOBOT's quadruped. Optional or standard on mid/high tiers; aimed at education.</t>
        </is>
      </c>
      <c r="L12" s="101" t="inlineStr">
        <is>
          <t>Quadruped Series is DOBOT's quadruped. Optional or standard on mid/high tiers; aimed at education.</t>
        </is>
      </c>
      <c r="M12" s="101" t="inlineStr">
        <is>
          <t>Quadruped Series is DOBOT's quadruped. Optional or standard on mid/high tiers; aimed at education. Public status is listed as growing (~5% H1 2026 share), and it is positioned for education / Light industrial / Consumer.</t>
        </is>
      </c>
      <c r="N12" s="152" t="n"/>
      <c r="O12" s="152" t="inlineStr">
        <is>
          <t>https://www.dobot-robots.com</t>
        </is>
      </c>
      <c r="P12" s="152" t="inlineStr">
        <is>
          <t>Not disclosed</t>
        </is>
      </c>
      <c r="Q12" s="152" t="n"/>
      <c r="R12" s="152" t="inlineStr">
        <is>
          <t>Not disclosed</t>
        </is>
      </c>
      <c r="S12" s="152" t="n"/>
      <c r="T12" s="156" t="inlineStr">
        <is>
          <t>Not disclosed</t>
        </is>
      </c>
      <c r="U12" s="152" t="n"/>
      <c r="V12" s="152" t="inlineStr">
        <is>
          <t>Not disclosed</t>
        </is>
      </c>
      <c r="W12" s="156" t="n"/>
      <c r="X12" s="152" t="inlineStr">
        <is>
          <t>Not disclosed</t>
        </is>
      </c>
      <c r="Y12" s="152" t="n"/>
      <c r="Z12" s="152" t="inlineStr">
        <is>
          <t>Not disclosed</t>
        </is>
      </c>
      <c r="AA12" s="152" t="n"/>
      <c r="AB12" s="152" t="n"/>
      <c r="AC12" s="156" t="inlineStr">
        <is>
          <t>Not disclosed</t>
        </is>
      </c>
      <c r="AD12" s="156" t="n"/>
      <c r="AE12" s="152" t="n"/>
      <c r="AF12" s="152" t="inlineStr">
        <is>
          <t>Not disclosed</t>
        </is>
      </c>
      <c r="AG12" s="156" t="n"/>
      <c r="AH12" s="152" t="n"/>
      <c r="AI12" s="152" t="n"/>
      <c r="AJ12" s="156" t="inlineStr">
        <is>
          <t>Forward and/or body cameras for obstacle awareness</t>
        </is>
      </c>
      <c r="AK12" s="156" t="n"/>
      <c r="AL12" s="152" t="inlineStr">
        <is>
          <t>Live view and recording when camera payload equipped</t>
        </is>
      </c>
      <c r="AM12" s="152" t="n"/>
      <c r="AN12" s="152" t="inlineStr">
        <is>
          <t>Optional or standard on mid/high tiers</t>
        </is>
      </c>
      <c r="AO12" s="152" t="n"/>
      <c r="AP12" s="152" t="inlineStr">
        <is>
          <t>Not disclosed</t>
        </is>
      </c>
      <c r="AQ12" s="152" t="n"/>
      <c r="AR12" s="152" t="inlineStr">
        <is>
          <t>Not disclosed</t>
        </is>
      </c>
      <c r="AS12" s="152" t="inlineStr">
        <is>
          <t>Not disclosed</t>
        </is>
      </c>
      <c r="AT12" s="156" t="n"/>
      <c r="AU12" s="156" t="inlineStr">
        <is>
          <t>Not disclosed</t>
        </is>
      </c>
      <c r="AV12" s="152" t="inlineStr">
        <is>
          <t>App, remote, and SDK options by tier</t>
        </is>
      </c>
      <c r="AW12" s="156" t="inlineStr">
        <is>
          <t>Quadruped gait library with terrain adaptation on higher models</t>
        </is>
      </c>
      <c r="AX12" s="152" t="n"/>
      <c r="AY12" s="156" t="n"/>
      <c r="AZ12" s="156" t="n"/>
      <c r="BA12" s="156" t="n"/>
      <c r="BB12" s="156" t="inlineStr">
        <is>
          <t>Not disclosed</t>
        </is>
      </c>
      <c r="BC12" s="156" t="n"/>
      <c r="BD12" s="152" t="n"/>
      <c r="BE12" s="152" t="inlineStr">
        <is>
          <t>Not disclosed</t>
        </is>
      </c>
      <c r="BF12" s="152" t="n"/>
      <c r="BG12" s="152" t="n"/>
      <c r="BH12" s="152" t="n"/>
      <c r="BI12" s="152" t="n"/>
      <c r="BJ12" s="152" t="n"/>
      <c r="BK12" s="152" t="n"/>
      <c r="BL12" s="152" t="n"/>
      <c r="BM12" s="152" t="n"/>
      <c r="BN12" s="152" t="n"/>
      <c r="BO12" s="156" t="n"/>
      <c r="BP12" s="152" t="inlineStr">
        <is>
          <t>Not disclosed</t>
        </is>
      </c>
      <c r="BQ12" s="156" t="inlineStr">
        <is>
          <t>Education / Light industrial / Consumer</t>
        </is>
      </c>
      <c r="BR12" s="156" t="inlineStr">
        <is>
          <t>Growing (~5% H1 2026 share)</t>
        </is>
      </c>
      <c r="BS12" s="156" t="n"/>
      <c r="BT12" s="152" t="n"/>
      <c r="BU12" s="152" t="n"/>
      <c r="BV12" s="156" t="inlineStr">
        <is>
          <t>Rising volume player in consumer/education</t>
        </is>
      </c>
      <c r="BW12" s="156" t="inlineStr">
        <is>
          <t>Origin &amp; status — China · Growing (~5% H1 2026 share) · 2020 | Mobility — Payload Not disclosed · Top speed Not disclosed | Sensing &amp; software — Optional or standard on mid/high tiers | Buying notes — Contact / mid-range · 12 months manufacturer standard (typical) · Best fit: Rising volume player in consumer/education</t>
        </is>
      </c>
      <c r="BX12" s="156" t="inlineStr">
        <is>
          <t>as_shipped|Quadruped Series|10000|As shipped</t>
        </is>
      </c>
      <c r="BY12" s="152" t="inlineStr">
        <is>
          <t>quadruped_series|Manufacturer finish|#e2e8f0|0</t>
        </is>
      </c>
      <c r="BZ12" s="152" t="inlineStr"/>
      <c r="CA12" s="156" t="inlineStr">
        <is>
          <t>Add-ons: case; 2 color options; Multi-year extended warranty available</t>
        </is>
      </c>
      <c r="CB12" s="156" t="inlineStr">
        <is>
          <t>12 months manufacturer standard (typical)</t>
        </is>
      </c>
      <c r="CC12" s="154" t="n">
        <v>12</v>
      </c>
      <c r="CD12" s="156" t="inlineStr">
        <is>
          <t>+3 Year Extended ≈24% of configuration (default in configurator)</t>
        </is>
      </c>
      <c r="CE12" s="152" t="inlineStr">
        <is>
          <t>Quadruped category norm</t>
        </is>
      </c>
      <c r="CF12" s="152" t="inlineStr">
        <is>
          <t>Estimated</t>
        </is>
      </c>
      <c r="CG12" s="156" t="inlineStr">
        <is>
          <t>Confirm configuration-specific term on quote.</t>
        </is>
      </c>
      <c r="CH12" s="152" t="inlineStr">
        <is>
          <t>10%</t>
        </is>
      </c>
      <c r="CI12" s="152" t="inlineStr">
        <is>
          <t>17%</t>
        </is>
      </c>
      <c r="CJ12" s="152" t="inlineStr">
        <is>
          <t>24%</t>
        </is>
      </c>
      <c r="CK12"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12"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2" s="152" t="inlineStr">
        <is>
          <t>12 months manufacturer standard (typical)</t>
        </is>
      </c>
    </row>
    <row r="13" ht="31.5" customHeight="1" s="102">
      <c r="A13" s="143" t="inlineStr">
        <is>
          <t>ghost_robotics_vision_60</t>
        </is>
      </c>
      <c r="B13" s="160" t="inlineStr">
        <is>
          <t>Website</t>
        </is>
      </c>
      <c r="C13" s="145" t="inlineStr">
        <is>
          <t>Ghost Robotics</t>
        </is>
      </c>
      <c r="D13" s="145" t="inlineStr">
        <is>
          <t>Vision 60</t>
        </is>
      </c>
      <c r="E13" s="145" t="inlineStr">
        <is>
          <t>[Ghost Robotics] Vision 60 (2010)</t>
        </is>
      </c>
      <c r="F13" s="163" t="inlineStr">
        <is>
          <t>campanionoid</t>
        </is>
      </c>
      <c r="G13" s="145" t="inlineStr">
        <is>
          <t>USA</t>
        </is>
      </c>
      <c r="H13" s="147" t="n">
        <v>2010</v>
      </c>
      <c r="I13" s="148" t="n">
        <v>150000</v>
      </c>
      <c r="J13" s="145" t="inlineStr">
        <is>
          <t>Website store</t>
        </is>
      </c>
      <c r="K13" s="149" t="inlineStr">
        <is>
          <t>Vision 60 is Ghost Robotics's quadruped — 12 DOF, ≈ 44 lb class payload, ~6.7 mph. Modular payload cameras; aimed at defense.</t>
        </is>
      </c>
      <c r="L13" s="101" t="inlineStr">
        <is>
          <t>Vision 60 is Ghost Robotics's quadruped — 12 DOF, ≈ 44 lb class payload, ~6.7 mph. Modular payload cameras; aimed at defense.</t>
        </is>
      </c>
      <c r="M13" s="101" t="inlineStr">
        <is>
          <t>Vision 60 is Ghost Robotics's quadruped — 12 DOF, ≈ 44 lb class payload, ~6.7 mph. Modular payload cameras; aimed at defense. Public status is listed as doD / ROGUE contracts; limited civilian, and it is positioned for defense / Base security / Recon / Military.</t>
        </is>
      </c>
      <c r="N13" s="145" t="n"/>
      <c r="O13" s="145" t="inlineStr">
        <is>
          <t>https://www.ghostrobotics.io</t>
        </is>
      </c>
      <c r="P13" s="145" t="inlineStr">
        <is>
          <t>Not disclosed</t>
        </is>
      </c>
      <c r="Q13" s="145" t="n"/>
      <c r="R13" s="145" t="inlineStr">
        <is>
          <t>≈ 110–132 lb class</t>
        </is>
      </c>
      <c r="S13" s="145" t="n"/>
      <c r="T13" s="149" t="inlineStr">
        <is>
          <t>Not disclosed</t>
        </is>
      </c>
      <c r="U13" s="145" t="n"/>
      <c r="V13" s="145" t="inlineStr">
        <is>
          <t>12 DOF</t>
        </is>
      </c>
      <c r="W13" s="149" t="n"/>
      <c r="X13" s="145" t="inlineStr">
        <is>
          <t>≈ 44 lb class</t>
        </is>
      </c>
      <c r="Y13" s="145" t="n"/>
      <c r="Z13" s="145" t="inlineStr">
        <is>
          <t>~6.7 mph</t>
        </is>
      </c>
      <c r="AA13" s="145" t="n"/>
      <c r="AB13" s="145" t="n"/>
      <c r="AC13" s="149" t="inlineStr">
        <is>
          <t>Not disclosed</t>
        </is>
      </c>
      <c r="AD13" s="149" t="n"/>
      <c r="AE13" s="145" t="n"/>
      <c r="AF13" s="145" t="inlineStr">
        <is>
          <t>Not disclosed</t>
        </is>
      </c>
      <c r="AG13" s="149" t="n"/>
      <c r="AH13" s="145" t="n"/>
      <c r="AI13" s="145" t="n"/>
      <c r="AJ13" s="149" t="inlineStr">
        <is>
          <t>Modular payload cameras</t>
        </is>
      </c>
      <c r="AK13" s="149" t="n"/>
      <c r="AL13" s="145" t="inlineStr">
        <is>
          <t>Not disclosed</t>
        </is>
      </c>
      <c r="AM13" s="145" t="n"/>
      <c r="AN13" s="145" t="inlineStr">
        <is>
          <t>Not disclosed</t>
        </is>
      </c>
      <c r="AO13" s="145" t="n"/>
      <c r="AP13" s="145" t="inlineStr">
        <is>
          <t>Not disclosed</t>
        </is>
      </c>
      <c r="AQ13" s="145" t="n"/>
      <c r="AR13" s="145" t="inlineStr">
        <is>
          <t>Not disclosed</t>
        </is>
      </c>
      <c r="AS13" s="145" t="inlineStr">
        <is>
          <t>Not disclosed</t>
        </is>
      </c>
      <c r="AT13" s="149" t="n"/>
      <c r="AU13" s="149" t="inlineStr">
        <is>
          <t>Not disclosed</t>
        </is>
      </c>
      <c r="AV13" s="145" t="inlineStr">
        <is>
          <t>Ghost Robotics control systems</t>
        </is>
      </c>
      <c r="AW13" s="149" t="inlineStr">
        <is>
          <t>Military/industrial legged mobility</t>
        </is>
      </c>
      <c r="AX13" s="145" t="n"/>
      <c r="AY13" s="149" t="n"/>
      <c r="AZ13" s="149" t="n"/>
      <c r="BA13" s="149" t="n"/>
      <c r="BB13" s="149" t="inlineStr">
        <is>
          <t>Not disclosed</t>
        </is>
      </c>
      <c r="BC13" s="149" t="n"/>
      <c r="BD13" s="145" t="n"/>
      <c r="BE13" s="145" t="inlineStr">
        <is>
          <t>Not disclosed</t>
        </is>
      </c>
      <c r="BF13" s="145" t="n"/>
      <c r="BG13" s="145" t="n"/>
      <c r="BH13" s="145" t="n"/>
      <c r="BI13" s="145" t="n"/>
      <c r="BJ13" s="145" t="n"/>
      <c r="BK13" s="145" t="n"/>
      <c r="BL13" s="145" t="n"/>
      <c r="BM13" s="145" t="n"/>
      <c r="BN13" s="145" t="n"/>
      <c r="BO13" s="149" t="n"/>
      <c r="BP13" s="145" t="inlineStr">
        <is>
          <t>Harsh outdoor and tactical environments</t>
        </is>
      </c>
      <c r="BQ13" s="149" t="inlineStr">
        <is>
          <t>Defense / Base security / Recon / Military</t>
        </is>
      </c>
      <c r="BR13" s="149" t="inlineStr">
        <is>
          <t>DoD / ROGUE contracts; limited civilian</t>
        </is>
      </c>
      <c r="BS13" s="149" t="n"/>
      <c r="BT13" s="145" t="n"/>
      <c r="BU13" s="145" t="n"/>
      <c r="BV13" s="149" t="inlineStr">
        <is>
          <t>MIL-spec; IP67; GPS-denied; weapon-mount capable; AF/Army deployments</t>
        </is>
      </c>
      <c r="BW13" s="149" t="inlineStr">
        <is>
          <t>Origin &amp; status — USA · DoD / ROGUE contracts; limited civilian · 2010 | Mobility — 12 DOF · Payload ≈ 44 lb class · Top speed ~6.7 mph | Sensing &amp; software — Modular payload cameras | Buying notes — ~$150,000–165,000 (defense) · 12 months manufacturer standard (typical) · Best fit: MIL-spec; IP67; GPS-denied; weapon-mount capable; AF/Army deployments</t>
        </is>
      </c>
      <c r="BX13" s="149" t="inlineStr">
        <is>
          <t>as_shipped|Vision 60|150000|As shipped</t>
        </is>
      </c>
      <c r="BY13" s="145" t="inlineStr">
        <is>
          <t>vision_60|Manufacturer finish|#e2e8f0|0</t>
        </is>
      </c>
      <c r="BZ13" s="145" t="inlineStr"/>
      <c r="CA13" s="149" t="inlineStr">
        <is>
          <t>Add-ons: case; 2 color options; Multi-year extended warranty available</t>
        </is>
      </c>
      <c r="CB13" s="149" t="inlineStr">
        <is>
          <t>12 months manufacturer standard (typical)</t>
        </is>
      </c>
      <c r="CC13" s="147" t="n">
        <v>12</v>
      </c>
      <c r="CD13" s="149" t="inlineStr">
        <is>
          <t>+3 Year Extended ≈24% of configuration (default in configurator)</t>
        </is>
      </c>
      <c r="CE13" s="145" t="inlineStr">
        <is>
          <t>Quadruped category norm</t>
        </is>
      </c>
      <c r="CF13" s="145" t="inlineStr">
        <is>
          <t>Estimated</t>
        </is>
      </c>
      <c r="CG13" s="149" t="inlineStr">
        <is>
          <t>Confirm configuration-specific term on quote.</t>
        </is>
      </c>
      <c r="CH13" s="145" t="inlineStr">
        <is>
          <t>10%</t>
        </is>
      </c>
      <c r="CI13" s="145" t="inlineStr">
        <is>
          <t>17%</t>
        </is>
      </c>
      <c r="CJ13" s="145" t="inlineStr">
        <is>
          <t>24%</t>
        </is>
      </c>
      <c r="CK13"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13"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3" s="145" t="inlineStr">
        <is>
          <t>12 months manufacturer standard (typical)</t>
        </is>
      </c>
    </row>
    <row r="14" ht="31.5" customHeight="1" s="102">
      <c r="A14" s="159" t="inlineStr">
        <is>
          <t>keybotic_keybotic_quadruped_ugvs</t>
        </is>
      </c>
      <c r="B14" s="160" t="inlineStr">
        <is>
          <t>Website</t>
        </is>
      </c>
      <c r="C14" s="152" t="inlineStr">
        <is>
          <t>Keybotic</t>
        </is>
      </c>
      <c r="D14" s="152" t="inlineStr">
        <is>
          <t>Quadruped UGV</t>
        </is>
      </c>
      <c r="E14" s="152" t="inlineStr">
        <is>
          <t>[Keybotic] Quadruped UGV (2019)</t>
        </is>
      </c>
      <c r="F14" s="163" t="inlineStr">
        <is>
          <t>campanionoid</t>
        </is>
      </c>
      <c r="G14" s="152" t="inlineStr">
        <is>
          <t>Spain</t>
        </is>
      </c>
      <c r="H14" s="154" t="n">
        <v>2019</v>
      </c>
      <c r="I14" s="155" t="n">
        <v>10000</v>
      </c>
      <c r="J14" s="152" t="inlineStr">
        <is>
          <t>Website store</t>
        </is>
      </c>
      <c r="K14" s="156" t="inlineStr">
        <is>
          <t>Quadruped UGV is Keybotic's quadruped. Optional or standard on mid/high tiers; aimed at industrial inspection.</t>
        </is>
      </c>
      <c r="L14" s="101" t="inlineStr">
        <is>
          <t>Quadruped UGV is Keybotic's quadruped. Optional or standard on mid/high tiers; aimed at industrial inspection.</t>
        </is>
      </c>
      <c r="M14" s="101" t="inlineStr">
        <is>
          <t>Quadruped UGV is Keybotic's quadruped. Optional or standard on mid/high tiers; aimed at industrial inspection. Public status is listed as commercial / RaaS, and it is positioned for industrial inspection / Mapping.</t>
        </is>
      </c>
      <c r="N14" s="152" t="n"/>
      <c r="O14" s="152" t="inlineStr">
        <is>
          <t>https://www.keybotic.com</t>
        </is>
      </c>
      <c r="P14" s="152" t="inlineStr">
        <is>
          <t>Not disclosed</t>
        </is>
      </c>
      <c r="Q14" s="152" t="n"/>
      <c r="R14" s="152" t="inlineStr">
        <is>
          <t>Not disclosed</t>
        </is>
      </c>
      <c r="S14" s="152" t="n"/>
      <c r="T14" s="156" t="inlineStr">
        <is>
          <t>Not disclosed</t>
        </is>
      </c>
      <c r="U14" s="152" t="n"/>
      <c r="V14" s="152" t="inlineStr">
        <is>
          <t>Not disclosed</t>
        </is>
      </c>
      <c r="W14" s="156" t="n"/>
      <c r="X14" s="152" t="inlineStr">
        <is>
          <t>Not disclosed</t>
        </is>
      </c>
      <c r="Y14" s="152" t="n"/>
      <c r="Z14" s="152" t="inlineStr">
        <is>
          <t>Not disclosed</t>
        </is>
      </c>
      <c r="AA14" s="152" t="n"/>
      <c r="AB14" s="152" t="n"/>
      <c r="AC14" s="156" t="inlineStr">
        <is>
          <t>Not disclosed</t>
        </is>
      </c>
      <c r="AD14" s="156" t="n"/>
      <c r="AE14" s="152" t="n"/>
      <c r="AF14" s="152" t="inlineStr">
        <is>
          <t>Not disclosed</t>
        </is>
      </c>
      <c r="AG14" s="156" t="n"/>
      <c r="AH14" s="152" t="n"/>
      <c r="AI14" s="152" t="n"/>
      <c r="AJ14" s="156" t="inlineStr">
        <is>
          <t>Forward and/or body cameras for obstacle awareness</t>
        </is>
      </c>
      <c r="AK14" s="156" t="n"/>
      <c r="AL14" s="152" t="inlineStr">
        <is>
          <t>Live view and recording when camera payload equipped</t>
        </is>
      </c>
      <c r="AM14" s="152" t="n"/>
      <c r="AN14" s="152" t="inlineStr">
        <is>
          <t>Optional or standard on mid/high tiers</t>
        </is>
      </c>
      <c r="AO14" s="152" t="n"/>
      <c r="AP14" s="152" t="inlineStr">
        <is>
          <t>Not disclosed</t>
        </is>
      </c>
      <c r="AQ14" s="152" t="n"/>
      <c r="AR14" s="152" t="inlineStr">
        <is>
          <t>Not disclosed</t>
        </is>
      </c>
      <c r="AS14" s="152" t="inlineStr">
        <is>
          <t>Not disclosed</t>
        </is>
      </c>
      <c r="AT14" s="156" t="n"/>
      <c r="AU14" s="156" t="inlineStr">
        <is>
          <t>Not disclosed</t>
        </is>
      </c>
      <c r="AV14" s="152" t="inlineStr">
        <is>
          <t>App, remote, and SDK options by tier</t>
        </is>
      </c>
      <c r="AW14" s="156" t="inlineStr">
        <is>
          <t>Quadruped gait library with terrain adaptation on higher models</t>
        </is>
      </c>
      <c r="AX14" s="152" t="n"/>
      <c r="AY14" s="156" t="n"/>
      <c r="AZ14" s="156" t="n"/>
      <c r="BA14" s="156" t="n"/>
      <c r="BB14" s="156" t="inlineStr">
        <is>
          <t>Not disclosed</t>
        </is>
      </c>
      <c r="BC14" s="156" t="n"/>
      <c r="BD14" s="152" t="n"/>
      <c r="BE14" s="152" t="inlineStr">
        <is>
          <t>Not disclosed</t>
        </is>
      </c>
      <c r="BF14" s="152" t="n"/>
      <c r="BG14" s="152" t="n"/>
      <c r="BH14" s="152" t="n"/>
      <c r="BI14" s="152" t="n"/>
      <c r="BJ14" s="152" t="n"/>
      <c r="BK14" s="152" t="n"/>
      <c r="BL14" s="152" t="n"/>
      <c r="BM14" s="152" t="n"/>
      <c r="BN14" s="152" t="n"/>
      <c r="BO14" s="156" t="n"/>
      <c r="BP14" s="152" t="inlineStr">
        <is>
          <t>Not disclosed</t>
        </is>
      </c>
      <c r="BQ14" s="156" t="inlineStr">
        <is>
          <t>Industrial inspection / Mapping</t>
        </is>
      </c>
      <c r="BR14" s="156" t="inlineStr">
        <is>
          <t>Commercial / RaaS</t>
        </is>
      </c>
      <c r="BS14" s="156" t="n"/>
      <c r="BT14" s="152" t="n"/>
      <c r="BU14" s="152" t="n"/>
      <c r="BV14" s="156" t="inlineStr">
        <is>
          <t>European industrial UGV quadrupeds</t>
        </is>
      </c>
      <c r="BW14" s="156" t="inlineStr">
        <is>
          <t>Origin &amp; status — Spain · Commercial / RaaS · 2019 | Mobility — Payload Not disclosed · Top speed Not disclosed | Sensing &amp; software — Optional or standard on mid/high tiers | Buying notes — Contact / RaaS · 12 months manufacturer standard (typical) · Best fit: European industrial UGV quadrupeds</t>
        </is>
      </c>
      <c r="BX14" s="156" t="inlineStr">
        <is>
          <t>as_shipped|Quadruped UGV|10000|As shipped</t>
        </is>
      </c>
      <c r="BY14" s="152" t="inlineStr">
        <is>
          <t>quadruped_ugv|Manufacturer finish|#e2e8f0|0</t>
        </is>
      </c>
      <c r="BZ14" s="152" t="inlineStr"/>
      <c r="CA14" s="156" t="inlineStr">
        <is>
          <t>Add-ons: case; 2 color options; Multi-year extended warranty available</t>
        </is>
      </c>
      <c r="CB14" s="156" t="inlineStr">
        <is>
          <t>12 months manufacturer standard (typical)</t>
        </is>
      </c>
      <c r="CC14" s="154" t="n">
        <v>12</v>
      </c>
      <c r="CD14" s="156" t="inlineStr">
        <is>
          <t>+3 Year Extended ≈24% of configuration (default in configurator)</t>
        </is>
      </c>
      <c r="CE14" s="152" t="inlineStr">
        <is>
          <t>Quadruped category norm</t>
        </is>
      </c>
      <c r="CF14" s="152" t="inlineStr">
        <is>
          <t>Estimated</t>
        </is>
      </c>
      <c r="CG14" s="156" t="inlineStr">
        <is>
          <t>Confirm configuration-specific term on quote.</t>
        </is>
      </c>
      <c r="CH14" s="152" t="inlineStr">
        <is>
          <t>10%</t>
        </is>
      </c>
      <c r="CI14" s="152" t="inlineStr">
        <is>
          <t>17%</t>
        </is>
      </c>
      <c r="CJ14" s="152" t="inlineStr">
        <is>
          <t>24%</t>
        </is>
      </c>
      <c r="CK14"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14"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4" s="152" t="inlineStr">
        <is>
          <t>12 months manufacturer standard (typical)</t>
        </is>
      </c>
    </row>
    <row r="15" ht="31.5" customHeight="1" s="102">
      <c r="A15" s="143" t="inlineStr">
        <is>
          <t>mangdang_mini_pupper_2_pro</t>
        </is>
      </c>
      <c r="B15" s="160" t="inlineStr">
        <is>
          <t>Website</t>
        </is>
      </c>
      <c r="C15" s="145" t="inlineStr">
        <is>
          <t>MangDang</t>
        </is>
      </c>
      <c r="D15" s="145" t="inlineStr">
        <is>
          <t>Mini Pupper 2 Pro</t>
        </is>
      </c>
      <c r="E15" s="145" t="inlineStr">
        <is>
          <t>[MangDang] Mini Pupper 2 Pro (2023)</t>
        </is>
      </c>
      <c r="F15" s="163" t="inlineStr">
        <is>
          <t>campanionoid</t>
        </is>
      </c>
      <c r="G15" s="145" t="inlineStr">
        <is>
          <t>China</t>
        </is>
      </c>
      <c r="H15" s="147" t="n">
        <v>2023</v>
      </c>
      <c r="I15" s="148" t="n">
        <v>500</v>
      </c>
      <c r="J15" s="145" t="inlineStr">
        <is>
          <t>Website store</t>
        </is>
      </c>
      <c r="K15" s="149" t="inlineStr">
        <is>
          <t>Mini Pupper 2 Pro is MangDang's quadruped — 12 DOF, ≈ 0.4 lb class payload. Optional education camera modules; aimed at education.</t>
        </is>
      </c>
      <c r="L15" s="101" t="inlineStr">
        <is>
          <t>Mini Pupper 2 Pro is MangDang's quadruped — 12 DOF, ≈ 0.4 lb class payload. Optional education camera modules; aimed at education.</t>
        </is>
      </c>
      <c r="M15" s="101" t="inlineStr">
        <is>
          <t>Mini Pupper 2 Pro is MangDang's quadruped — 12 DOF, ≈ 0.4 lb class payload. Optional education camera modules; aimed at education. It is positioned for education / Research.</t>
        </is>
      </c>
      <c r="N15" s="145" t="n"/>
      <c r="O15" s="145" t="inlineStr">
        <is>
          <t>https://www.mangdang.net</t>
        </is>
      </c>
      <c r="P15" s="145" t="inlineStr">
        <is>
          <t>Not disclosed</t>
        </is>
      </c>
      <c r="Q15" s="145" t="n"/>
      <c r="R15" s="145" t="inlineStr">
        <is>
          <t>≈ 1.5 lb class</t>
        </is>
      </c>
      <c r="S15" s="145" t="n"/>
      <c r="T15" s="149" t="inlineStr">
        <is>
          <t>Not disclosed</t>
        </is>
      </c>
      <c r="U15" s="145" t="n"/>
      <c r="V15" s="145" t="inlineStr">
        <is>
          <t>12 DOF</t>
        </is>
      </c>
      <c r="W15" s="149" t="n"/>
      <c r="X15" s="145" t="inlineStr">
        <is>
          <t>≈ 0.4 lb class</t>
        </is>
      </c>
      <c r="Y15" s="145" t="n"/>
      <c r="Z15" s="145" t="inlineStr">
        <is>
          <t>Not disclosed</t>
        </is>
      </c>
      <c r="AA15" s="145" t="n"/>
      <c r="AB15" s="145" t="n"/>
      <c r="AC15" s="149" t="inlineStr">
        <is>
          <t>Not disclosed</t>
        </is>
      </c>
      <c r="AD15" s="149" t="n"/>
      <c r="AE15" s="145" t="n"/>
      <c r="AF15" s="145" t="inlineStr">
        <is>
          <t>Not disclosed</t>
        </is>
      </c>
      <c r="AG15" s="149" t="n"/>
      <c r="AH15" s="145" t="n"/>
      <c r="AI15" s="145" t="n"/>
      <c r="AJ15" s="149" t="inlineStr">
        <is>
          <t>Optional education camera modules</t>
        </is>
      </c>
      <c r="AK15" s="149" t="n"/>
      <c r="AL15" s="145" t="inlineStr">
        <is>
          <t>Not disclosed</t>
        </is>
      </c>
      <c r="AM15" s="145" t="n"/>
      <c r="AN15" s="145" t="inlineStr">
        <is>
          <t>Not disclosed</t>
        </is>
      </c>
      <c r="AO15" s="145" t="n"/>
      <c r="AP15" s="145" t="inlineStr">
        <is>
          <t>Not disclosed</t>
        </is>
      </c>
      <c r="AQ15" s="145" t="n"/>
      <c r="AR15" s="145" t="inlineStr">
        <is>
          <t>Not disclosed</t>
        </is>
      </c>
      <c r="AS15" s="145" t="inlineStr">
        <is>
          <t>Not disclosed</t>
        </is>
      </c>
      <c r="AT15" s="149" t="n"/>
      <c r="AU15" s="149" t="inlineStr">
        <is>
          <t>Not disclosed</t>
        </is>
      </c>
      <c r="AV15" s="145" t="inlineStr">
        <is>
          <t>Open-source education SDKs</t>
        </is>
      </c>
      <c r="AW15" s="149" t="inlineStr">
        <is>
          <t>Desktop-scale quadruped gaits for learning</t>
        </is>
      </c>
      <c r="AX15" s="145" t="n"/>
      <c r="AY15" s="149" t="n"/>
      <c r="AZ15" s="149" t="n"/>
      <c r="BA15" s="149" t="n"/>
      <c r="BB15" s="149" t="inlineStr">
        <is>
          <t>Not disclosed</t>
        </is>
      </c>
      <c r="BC15" s="149" t="n"/>
      <c r="BD15" s="145" t="n"/>
      <c r="BE15" s="145" t="inlineStr">
        <is>
          <t>Not disclosed</t>
        </is>
      </c>
      <c r="BF15" s="145" t="n"/>
      <c r="BG15" s="145" t="n"/>
      <c r="BH15" s="145" t="n"/>
      <c r="BI15" s="145" t="n"/>
      <c r="BJ15" s="145" t="n"/>
      <c r="BK15" s="145" t="n"/>
      <c r="BL15" s="145" t="n"/>
      <c r="BM15" s="145" t="n"/>
      <c r="BN15" s="145" t="n"/>
      <c r="BO15" s="149" t="n"/>
      <c r="BP15" s="145" t="inlineStr">
        <is>
          <t>Not disclosed</t>
        </is>
      </c>
      <c r="BQ15" s="149" t="inlineStr">
        <is>
          <t>Education / Research</t>
        </is>
      </c>
      <c r="BR15" s="149" t="inlineStr">
        <is>
          <t>Not disclosed</t>
        </is>
      </c>
      <c r="BS15" s="149" t="n"/>
      <c r="BT15" s="145" t="n"/>
      <c r="BU15" s="145" t="n"/>
      <c r="BV15" s="149" t="inlineStr">
        <is>
          <t>Mini open quadruped for education; ~1.5 lb</t>
        </is>
      </c>
      <c r="BW15" s="149" t="inlineStr">
        <is>
          <t>Origin &amp; status — China · 2023 | Mobility — 12 DOF · Payload ≈ 0.4 lb class · Top speed Not disclosed | Sensing &amp; software — Optional education camera modules | Buying notes — $500 · 12 months limited (typical education platform) · Best fit: Mini open quadruped for education; ~1.5 lb</t>
        </is>
      </c>
      <c r="BX15" s="149" t="inlineStr">
        <is>
          <t>as_shipped|Mini Pupper 2 Pro|500|As shipped</t>
        </is>
      </c>
      <c r="BY15" s="145" t="inlineStr">
        <is>
          <t>mini_pupper_2_pro|Manufacturer finish|#e2e8f0|0</t>
        </is>
      </c>
      <c r="BZ15" s="145" t="inlineStr"/>
      <c r="CA15" s="149" t="inlineStr">
        <is>
          <t>Add-ons: case; 2 color options; Multi-year extended warranty available</t>
        </is>
      </c>
      <c r="CB15" s="149" t="inlineStr">
        <is>
          <t>12 months limited (typical education platform)</t>
        </is>
      </c>
      <c r="CC15" s="147" t="n">
        <v>12</v>
      </c>
      <c r="CD15" s="149" t="inlineStr">
        <is>
          <t>+3 Year Extended ≈24% of configuration (default in configurator)</t>
        </is>
      </c>
      <c r="CE15" s="145" t="inlineStr">
        <is>
          <t>Education robot category norm</t>
        </is>
      </c>
      <c r="CF15" s="145" t="inlineStr">
        <is>
          <t>Estimated</t>
        </is>
      </c>
      <c r="CG15" s="149" t="inlineStr">
        <is>
          <t>Confirm with seller; hobby/education platforms vary.</t>
        </is>
      </c>
      <c r="CH15" s="145" t="inlineStr">
        <is>
          <t>10%</t>
        </is>
      </c>
      <c r="CI15" s="145" t="inlineStr">
        <is>
          <t>17%</t>
        </is>
      </c>
      <c r="CJ15" s="145" t="inlineStr">
        <is>
          <t>24%</t>
        </is>
      </c>
      <c r="CK1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1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5" s="145" t="inlineStr">
        <is>
          <t>12 months limited (typical education platform)</t>
        </is>
      </c>
    </row>
    <row r="16" ht="31.5" customHeight="1" s="102">
      <c r="A16" s="159" t="inlineStr">
        <is>
          <t>rainbow_robotics_others_various_research</t>
        </is>
      </c>
      <c r="B16" s="160" t="inlineStr">
        <is>
          <t>Website</t>
        </is>
      </c>
      <c r="C16" s="152" t="inlineStr">
        <is>
          <t>Rainbow Robotics / others</t>
        </is>
      </c>
      <c r="D16" s="152" t="inlineStr">
        <is>
          <t>Research Series</t>
        </is>
      </c>
      <c r="E16" s="152" t="inlineStr">
        <is>
          <t>[Rainbow Robotics] Research Series (2020)</t>
        </is>
      </c>
      <c r="F16" s="163" t="inlineStr">
        <is>
          <t>campanionoid</t>
        </is>
      </c>
      <c r="G16" s="152" t="inlineStr">
        <is>
          <t>South Korea</t>
        </is>
      </c>
      <c r="H16" s="154" t="n">
        <v>2020</v>
      </c>
      <c r="I16" s="155" t="n">
        <v>10000</v>
      </c>
      <c r="J16" s="152" t="inlineStr">
        <is>
          <t>Website store</t>
        </is>
      </c>
      <c r="K16" s="156" t="inlineStr">
        <is>
          <t>Research Series is Rainbow Robotics / others's quadruped. Optional or standard on mid/high tiers; aimed at research.</t>
        </is>
      </c>
      <c r="L16" s="101" t="inlineStr">
        <is>
          <t>Research Series is Rainbow Robotics / others's quadruped. Optional or standard on mid/high tiers; aimed at research.</t>
        </is>
      </c>
      <c r="M16" s="101" t="inlineStr">
        <is>
          <t>Research Series is Rainbow Robotics / others's quadruped. Optional or standard on mid/high tiers; aimed at research. Public status is listed as regional players, and it is positioned for research / Industrial.</t>
        </is>
      </c>
      <c r="N16" s="152" t="n"/>
      <c r="O16" s="152" t="inlineStr">
        <is>
          <t>https://www.rainbow-robotics.com</t>
        </is>
      </c>
      <c r="P16" s="152" t="inlineStr">
        <is>
          <t>Not disclosed</t>
        </is>
      </c>
      <c r="Q16" s="152" t="n"/>
      <c r="R16" s="152" t="inlineStr">
        <is>
          <t>Not disclosed</t>
        </is>
      </c>
      <c r="S16" s="152" t="n"/>
      <c r="T16" s="156" t="inlineStr">
        <is>
          <t>Not disclosed</t>
        </is>
      </c>
      <c r="U16" s="152" t="n"/>
      <c r="V16" s="152" t="inlineStr">
        <is>
          <t>Not disclosed</t>
        </is>
      </c>
      <c r="W16" s="156" t="n"/>
      <c r="X16" s="152" t="inlineStr">
        <is>
          <t>Not disclosed</t>
        </is>
      </c>
      <c r="Y16" s="152" t="n"/>
      <c r="Z16" s="152" t="inlineStr">
        <is>
          <t>Not disclosed</t>
        </is>
      </c>
      <c r="AA16" s="152" t="n"/>
      <c r="AB16" s="152" t="n"/>
      <c r="AC16" s="156" t="inlineStr">
        <is>
          <t>Not disclosed</t>
        </is>
      </c>
      <c r="AD16" s="156" t="n"/>
      <c r="AE16" s="152" t="n"/>
      <c r="AF16" s="152" t="inlineStr">
        <is>
          <t>Not disclosed</t>
        </is>
      </c>
      <c r="AG16" s="156" t="n"/>
      <c r="AH16" s="152" t="n"/>
      <c r="AI16" s="152" t="n"/>
      <c r="AJ16" s="156" t="inlineStr">
        <is>
          <t>Forward and/or body cameras for obstacle awareness</t>
        </is>
      </c>
      <c r="AK16" s="156" t="n"/>
      <c r="AL16" s="152" t="inlineStr">
        <is>
          <t>Live view and recording when camera payload equipped</t>
        </is>
      </c>
      <c r="AM16" s="152" t="n"/>
      <c r="AN16" s="152" t="inlineStr">
        <is>
          <t>Optional or standard on mid/high tiers</t>
        </is>
      </c>
      <c r="AO16" s="152" t="n"/>
      <c r="AP16" s="152" t="inlineStr">
        <is>
          <t>Not disclosed</t>
        </is>
      </c>
      <c r="AQ16" s="152" t="n"/>
      <c r="AR16" s="152" t="inlineStr">
        <is>
          <t>Not disclosed</t>
        </is>
      </c>
      <c r="AS16" s="152" t="inlineStr">
        <is>
          <t>Not disclosed</t>
        </is>
      </c>
      <c r="AT16" s="156" t="n"/>
      <c r="AU16" s="156" t="inlineStr">
        <is>
          <t>Not disclosed</t>
        </is>
      </c>
      <c r="AV16" s="152" t="inlineStr">
        <is>
          <t>App, remote, and SDK options by tier</t>
        </is>
      </c>
      <c r="AW16" s="156" t="inlineStr">
        <is>
          <t>Quadruped gait library with terrain adaptation on higher models</t>
        </is>
      </c>
      <c r="AX16" s="152" t="n"/>
      <c r="AY16" s="156" t="n"/>
      <c r="AZ16" s="156" t="n"/>
      <c r="BA16" s="156" t="n"/>
      <c r="BB16" s="156" t="inlineStr">
        <is>
          <t>Not disclosed</t>
        </is>
      </c>
      <c r="BC16" s="156" t="n"/>
      <c r="BD16" s="152" t="n"/>
      <c r="BE16" s="152" t="inlineStr">
        <is>
          <t>Not disclosed</t>
        </is>
      </c>
      <c r="BF16" s="152" t="n"/>
      <c r="BG16" s="152" t="n"/>
      <c r="BH16" s="152" t="n"/>
      <c r="BI16" s="152" t="n"/>
      <c r="BJ16" s="152" t="n"/>
      <c r="BK16" s="152" t="n"/>
      <c r="BL16" s="152" t="n"/>
      <c r="BM16" s="152" t="n"/>
      <c r="BN16" s="152" t="n"/>
      <c r="BO16" s="156" t="n"/>
      <c r="BP16" s="152" t="inlineStr">
        <is>
          <t>Not disclosed</t>
        </is>
      </c>
      <c r="BQ16" s="156" t="inlineStr">
        <is>
          <t>Research / Industrial</t>
        </is>
      </c>
      <c r="BR16" s="156" t="inlineStr">
        <is>
          <t>Regional players</t>
        </is>
      </c>
      <c r="BS16" s="156" t="n"/>
      <c r="BT16" s="152" t="n"/>
      <c r="BU16" s="152" t="n"/>
      <c r="BV16" s="156" t="inlineStr">
        <is>
          <t>Korean &amp; other regional quadruped efforts for inspection &amp; research</t>
        </is>
      </c>
      <c r="BW16" s="156" t="inlineStr">
        <is>
          <t>Origin &amp; status — South Korea · Regional players · 2020 | Mobility — Payload Not disclosed · Top speed Not disclosed | Sensing &amp; software — Optional or standard on mid/high tiers | Buying notes — Contact · 12 months manufacturer standard (typical) · Best fit: Korean &amp; other regional quadruped efforts for inspection &amp; research</t>
        </is>
      </c>
      <c r="BX16" s="156" t="inlineStr">
        <is>
          <t>as_shipped|Research Series|10000|As shipped</t>
        </is>
      </c>
      <c r="BY16" s="152" t="inlineStr">
        <is>
          <t>research_series|Manufacturer finish|#e2e8f0|0</t>
        </is>
      </c>
      <c r="BZ16" s="152" t="inlineStr"/>
      <c r="CA16" s="156" t="inlineStr">
        <is>
          <t>Add-ons: case; 2 color options; Multi-year extended warranty available</t>
        </is>
      </c>
      <c r="CB16" s="156" t="inlineStr">
        <is>
          <t>12 months manufacturer standard (typical)</t>
        </is>
      </c>
      <c r="CC16" s="154" t="n">
        <v>12</v>
      </c>
      <c r="CD16" s="156" t="inlineStr">
        <is>
          <t>+3 Year Extended ≈24% of configuration (default in configurator)</t>
        </is>
      </c>
      <c r="CE16" s="152" t="inlineStr">
        <is>
          <t>Quadruped category norm</t>
        </is>
      </c>
      <c r="CF16" s="152" t="inlineStr">
        <is>
          <t>Estimated</t>
        </is>
      </c>
      <c r="CG16" s="156" t="inlineStr">
        <is>
          <t>Confirm configuration-specific term on quote.</t>
        </is>
      </c>
      <c r="CH16" s="152" t="inlineStr">
        <is>
          <t>10%</t>
        </is>
      </c>
      <c r="CI16" s="152" t="inlineStr">
        <is>
          <t>17%</t>
        </is>
      </c>
      <c r="CJ16" s="152" t="inlineStr">
        <is>
          <t>24%</t>
        </is>
      </c>
      <c r="CK16"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16"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6" s="152" t="inlineStr">
        <is>
          <t>12 months manufacturer standard (typical)</t>
        </is>
      </c>
    </row>
    <row r="17" ht="31.5" customHeight="1" s="102">
      <c r="A17" s="143" t="inlineStr">
        <is>
          <t>a2</t>
        </is>
      </c>
      <c r="B17" s="160" t="inlineStr">
        <is>
          <t>Website</t>
        </is>
      </c>
      <c r="C17" s="145" t="inlineStr">
        <is>
          <t>Unitree</t>
        </is>
      </c>
      <c r="D17" s="145" t="inlineStr">
        <is>
          <t>A2</t>
        </is>
      </c>
      <c r="E17" s="145" t="inlineStr">
        <is>
          <t>[Unitree] A2 (2024)</t>
        </is>
      </c>
      <c r="F17" s="163" t="inlineStr">
        <is>
          <t>campanionoid</t>
        </is>
      </c>
      <c r="G17" s="145" t="inlineStr">
        <is>
          <t>China</t>
        </is>
      </c>
      <c r="H17" s="147" t="n">
        <v>2024</v>
      </c>
      <c r="I17" s="148" t="n">
        <v>31900</v>
      </c>
      <c r="J17" s="145" t="inlineStr">
        <is>
          <t>Robot Price Index Aug 2026 · Stellar Explorer</t>
        </is>
      </c>
      <c r="K17" s="149" t="inlineStr">
        <is>
          <t>A2 is Unitree's quadruped — 12 (joint motors) DOF, ≈ 55 lb continuous walking · ≈ 220 lb max standing load payload, ≈ 11 mph class (&gt;5 m/s). Dual 3D LiDAR 360° class on industrial configurations; aimed at inspection, outdoor research, industrial demos.</t>
        </is>
      </c>
      <c r="L17" s="101" t="inlineStr">
        <is>
          <t>A2 is Unitree's quadruped — 12 (joint motors) DOF, ≈ 55 lb continuous walking · ≈ 220 lb max standing load payload, ≈ 11 mph class (&gt;5 m/s). Dual 3D LiDAR 360° class on industrial configurations; aimed at inspection, outdoor research, industrial demos.</t>
        </is>
      </c>
      <c r="M17" s="101" t="inlineStr">
        <is>
          <t>A2 sits above Go2 in Unitree’s quadruped line. It was built for outdoor inspection and industrial demonstration, with a heavier chassis, higher payload, and dual-battery endurance that Go2 does not offer.</t>
        </is>
      </c>
      <c r="N17" s="145" t="n"/>
      <c r="O17" s="145" t="inlineStr">
        <is>
          <t>https://www.unitree.com</t>
        </is>
      </c>
      <c r="P17" s="145" t="inlineStr">
        <is>
          <t>≈ 1 ft 10.4 in standing</t>
        </is>
      </c>
      <c r="Q17" s="145" t="n"/>
      <c r="R17" s="145" t="inlineStr">
        <is>
          <t>≈ 93 lb with battery (≈ 77 lb without battery)</t>
        </is>
      </c>
      <c r="S17" s="145" t="n"/>
      <c r="T17" s="149" t="inlineStr">
        <is>
          <t>≈ 32.3 × 17.3 × 22.4 in (standing)</t>
        </is>
      </c>
      <c r="U17" s="145" t="n"/>
      <c r="V17" s="145" t="inlineStr">
        <is>
          <t>12 (joint motors) DOF</t>
        </is>
      </c>
      <c r="W17" s="149" t="n"/>
      <c r="X17" s="145" t="inlineStr">
        <is>
          <t>≈ 55 lb continuous walking · ≈ 220 lb max standing load</t>
        </is>
      </c>
      <c r="Y17" s="145" t="n"/>
      <c r="Z17" s="145" t="inlineStr">
        <is>
          <t>≈ 11 mph class (&gt;5 m/s)</t>
        </is>
      </c>
      <c r="AA17" s="145" t="n"/>
      <c r="AB17" s="145" t="n"/>
      <c r="AC17" s="149" t="inlineStr">
        <is>
          <t>Dual hot-swap ≈ 9 000 mAh packs · unloaded ≈ 5 h / ≈ 12 mi class</t>
        </is>
      </c>
      <c r="AD17" s="149" t="n"/>
      <c r="AE17" s="145" t="n"/>
      <c r="AF17" s="145" t="inlineStr">
        <is>
          <t>Not disclosed</t>
        </is>
      </c>
      <c r="AG17" s="149" t="n"/>
      <c r="AH17" s="145" t="n"/>
      <c r="AI17" s="145" t="n"/>
      <c r="AJ17" s="149" t="inlineStr">
        <is>
          <t>HD camera + dual front/rear 3D LiDAR options</t>
        </is>
      </c>
      <c r="AK17" s="149" t="n"/>
      <c r="AL17" s="145" t="inlineStr">
        <is>
          <t>Not disclosed</t>
        </is>
      </c>
      <c r="AM17" s="145" t="n"/>
      <c r="AN17" s="145" t="inlineStr">
        <is>
          <t>Dual 3D LiDAR 360° class on industrial configurations</t>
        </is>
      </c>
      <c r="AO17" s="145" t="n"/>
      <c r="AP17" s="145" t="inlineStr">
        <is>
          <t>Not disclosed</t>
        </is>
      </c>
      <c r="AQ17" s="145" t="n"/>
      <c r="AR17" s="145" t="inlineStr">
        <is>
          <t>Not disclosed</t>
        </is>
      </c>
      <c r="AS17" s="145" t="inlineStr">
        <is>
          <t>Not disclosed</t>
        </is>
      </c>
      <c r="AT17" s="149" t="n"/>
      <c r="AU17" s="149" t="inlineStr">
        <is>
          <t>Not disclosed</t>
        </is>
      </c>
      <c r="AV17" s="145" t="inlineStr">
        <is>
          <t>Industrial control and SDK paths</t>
        </is>
      </c>
      <c r="AW17" s="149" t="inlineStr">
        <is>
          <t>Outdoor / inspection gait and terrain modes</t>
        </is>
      </c>
      <c r="AX17" s="145" t="n"/>
      <c r="AY17" s="149" t="n"/>
      <c r="AZ17" s="149" t="n"/>
      <c r="BA17" s="149" t="n"/>
      <c r="BB17" s="149" t="inlineStr">
        <is>
          <t>Not disclosed</t>
        </is>
      </c>
      <c r="BC17" s="149" t="n"/>
      <c r="BD17" s="145" t="n"/>
      <c r="BE17" s="145" t="inlineStr">
        <is>
          <t>IP56 chassis / IP67 internals class</t>
        </is>
      </c>
      <c r="BF17" s="145" t="n"/>
      <c r="BG17" s="145" t="n"/>
      <c r="BH17" s="145" t="n"/>
      <c r="BI17" s="145" t="n"/>
      <c r="BJ17" s="145" t="n"/>
      <c r="BK17" s="145" t="n"/>
      <c r="BL17" s="145" t="inlineStr">
        <is>
          <t>Industrial environmental ratings</t>
        </is>
      </c>
      <c r="BM17" s="145" t="n"/>
      <c r="BN17" s="145" t="n"/>
      <c r="BO17" s="149" t="n"/>
      <c r="BP17" s="145" t="inlineStr">
        <is>
          <t>Not disclosed</t>
        </is>
      </c>
      <c r="BQ17" s="149" t="inlineStr">
        <is>
          <t>Inspection teams, industrial demos, outdoor research, and buyers who need more payload and durability than Go2.</t>
        </is>
      </c>
      <c r="BR17" s="149" t="inlineStr">
        <is>
          <t>Not disclosed</t>
        </is>
      </c>
      <c r="BS17" s="149" t="n"/>
      <c r="BT17" s="145" t="n"/>
      <c r="BU17" s="145" t="n"/>
      <c r="BV17" s="149" t="n"/>
      <c r="BW17" s="149" t="inlineStr">
        <is>
          <t>Origin &amp; status — China · 2024 | Mobility — 12 DOF · Payload ≈ 55 lb continuous walking · ≈ 220 lb max standing load · Top speed ≈ 11 mph class (&gt;5 m/s) · Industrial environmental ratings | Sensing &amp; software — Dual 3D LiDAR 360° class on industrial configurations | Buying notes — $31,900 · 12 months manufacturer standard (typical Unitree industrial) · Best fit: Inspection, outdoor research, industrial demos</t>
        </is>
      </c>
      <c r="BX17" s="149" t="inlineStr">
        <is>
          <t>std|A2 Standard|31900|Industrial quadruped || exp|A2 Expanded|45000|Expanded sensor / compute package</t>
        </is>
      </c>
      <c r="BY17" s="145" t="inlineStr">
        <is>
          <t>orange|Safety Orange|#ea580c|0 || black|Industrial Black|#1a1a1a|0</t>
        </is>
      </c>
      <c r="BZ17" s="145" t="inlineStr">
        <is>
          <t>battery_a2, charger, case, warranty_a2</t>
        </is>
      </c>
      <c r="CA17" s="149" t="inlineStr">
        <is>
          <t>2 configuration tiers; Add-ons: battery_a2, charger, case; 2 color options; Multi-year extended warranty available</t>
        </is>
      </c>
      <c r="CB17" s="149" t="inlineStr">
        <is>
          <t>12 months manufacturer standard (typical Unitree industrial)</t>
        </is>
      </c>
      <c r="CC17" s="147" t="n">
        <v>12</v>
      </c>
      <c r="CD17" s="149" t="inlineStr">
        <is>
          <t>+3 Year Extended ≈24% of configuration (default in configurator)</t>
        </is>
      </c>
      <c r="CE17" s="145" t="inlineStr">
        <is>
          <t>Authorized Unitree reseller policy (robots 12 mo)</t>
        </is>
      </c>
      <c r="CF17" s="145" t="inlineStr">
        <is>
          <t>High</t>
        </is>
      </c>
      <c r="CG17" s="149" t="inlineStr">
        <is>
          <t>Industrial quadruped packages commonly 12 months; confirm exact config.</t>
        </is>
      </c>
      <c r="CH17" s="145" t="inlineStr">
        <is>
          <t>10%</t>
        </is>
      </c>
      <c r="CI17" s="145" t="inlineStr">
        <is>
          <t>17%</t>
        </is>
      </c>
      <c r="CJ17" s="145" t="inlineStr">
        <is>
          <t>24%</t>
        </is>
      </c>
      <c r="CK17"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17"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7" s="145" t="inlineStr">
        <is>
          <t>12 months manufacturer standard (typical Unitree industrial)</t>
        </is>
      </c>
    </row>
    <row r="18" ht="31.5" customHeight="1" s="102">
      <c r="A18" s="159" t="inlineStr">
        <is>
          <t>unitree_aliengo_a1_a2</t>
        </is>
      </c>
      <c r="B18" s="160" t="inlineStr">
        <is>
          <t>Website</t>
        </is>
      </c>
      <c r="C18" s="152" t="inlineStr">
        <is>
          <t>Unitree</t>
        </is>
      </c>
      <c r="D18" s="152" t="inlineStr">
        <is>
          <t>Aliengo</t>
        </is>
      </c>
      <c r="E18" s="152" t="inlineStr">
        <is>
          <t>[Unitree] Aliengo (2019)</t>
        </is>
      </c>
      <c r="F18" s="163" t="inlineStr">
        <is>
          <t>campanionoid</t>
        </is>
      </c>
      <c r="G18" s="152" t="inlineStr">
        <is>
          <t>China</t>
        </is>
      </c>
      <c r="H18" s="154" t="n">
        <v>2019</v>
      </c>
      <c r="I18" s="155" t="n">
        <v>15000</v>
      </c>
      <c r="J18" s="152" t="inlineStr">
        <is>
          <t>Historical EDU/commercial band · estimate</t>
        </is>
      </c>
      <c r="K18" s="156" t="inlineStr">
        <is>
          <t>[Unitree] Aliengo (2019) is a quadruped from Unitree (China, 2019), positioned for research.</t>
        </is>
      </c>
      <c r="L18" s="101" t="inlineStr">
        <is>
          <t>[Unitree] Aliengo (2019) is a quadruped from Unitree (China, 2019), positioned for research.</t>
        </is>
      </c>
      <c r="M18" s="101" t="inlineStr">
        <is>
          <t>Aliengo is Unitree's quadruped, introduced around 2019 in China. [Unitree] Aliengo (2019) is a quadruped from Unitree (China, 2019), positioned for research. It is positioned for research / Industrial.</t>
        </is>
      </c>
      <c r="N18" s="152" t="n"/>
      <c r="O18" s="152" t="inlineStr">
        <is>
          <t>https://www.unitree.com</t>
        </is>
      </c>
      <c r="P18" s="152" t="inlineStr">
        <is>
          <t>≈ 1 ft 10.4 in standing</t>
        </is>
      </c>
      <c r="Q18" s="152" t="n"/>
      <c r="R18" s="152" t="inlineStr">
        <is>
          <t>≈ 42–46 lb with battery (Aliengo class)</t>
        </is>
      </c>
      <c r="S18" s="152" t="n"/>
      <c r="T18" s="156" t="inlineStr">
        <is>
          <t>≈ 25.6 × 12.2 × 23.6 in (Aliengo class)</t>
        </is>
      </c>
      <c r="U18" s="152" t="n"/>
      <c r="V18" s="152" t="inlineStr">
        <is>
          <t>12 DOF</t>
        </is>
      </c>
      <c r="W18" s="156" t="n"/>
      <c r="X18" s="152" t="inlineStr">
        <is>
          <t>≈ 22–29 lb continuous</t>
        </is>
      </c>
      <c r="Y18" s="152" t="n"/>
      <c r="Z18" s="152" t="inlineStr">
        <is>
          <t>≈ 3.4–4.0 mph class</t>
        </is>
      </c>
      <c r="AA18" s="152" t="n"/>
      <c r="AB18" s="152" t="n"/>
      <c r="AC18" s="156" t="inlineStr">
        <is>
          <t>≈ 2.5–4.6 h · ≈ 12 600 mAh class pack</t>
        </is>
      </c>
      <c r="AD18" s="156" t="n"/>
      <c r="AE18" s="152" t="n"/>
      <c r="AF18" s="152" t="inlineStr">
        <is>
          <t>Not disclosed</t>
        </is>
      </c>
      <c r="AG18" s="156" t="n"/>
      <c r="AH18" s="152" t="n"/>
      <c r="AI18" s="152" t="n"/>
      <c r="AJ18" s="156" t="inlineStr">
        <is>
          <t>Dual depth cameras + visual odometry camera; optional LiDAR</t>
        </is>
      </c>
      <c r="AK18" s="156" t="n"/>
      <c r="AL18" s="152" t="inlineStr">
        <is>
          <t>Not disclosed</t>
        </is>
      </c>
      <c r="AM18" s="152" t="n"/>
      <c r="AN18" s="152" t="inlineStr">
        <is>
          <t>Common on research Aliengo builds</t>
        </is>
      </c>
      <c r="AO18" s="152" t="n"/>
      <c r="AP18" s="152" t="inlineStr">
        <is>
          <t>Foot force sensors; depth + VIO</t>
        </is>
      </c>
      <c r="AQ18" s="152" t="n"/>
      <c r="AR18" s="152" t="inlineStr">
        <is>
          <t>Not disclosed</t>
        </is>
      </c>
      <c r="AS18" s="152" t="inlineStr">
        <is>
          <t>Not disclosed</t>
        </is>
      </c>
      <c r="AT18" s="156" t="n"/>
      <c r="AU18" s="156" t="inlineStr">
        <is>
          <t>Not disclosed</t>
        </is>
      </c>
      <c r="AV18" s="152" t="inlineStr">
        <is>
          <t>Unitree SDK</t>
        </is>
      </c>
      <c r="AW18" s="156" t="inlineStr">
        <is>
          <t>Research quadruped locomotion</t>
        </is>
      </c>
      <c r="AX18" s="152" t="n"/>
      <c r="AY18" s="156" t="n"/>
      <c r="AZ18" s="156" t="n"/>
      <c r="BA18" s="156" t="n"/>
      <c r="BB18" s="156" t="inlineStr">
        <is>
          <t>Not disclosed</t>
        </is>
      </c>
      <c r="BC18" s="156" t="n"/>
      <c r="BD18" s="152" t="n"/>
      <c r="BE18" s="152" t="inlineStr">
        <is>
          <t>Not disclosed</t>
        </is>
      </c>
      <c r="BF18" s="152" t="n"/>
      <c r="BG18" s="152" t="n"/>
      <c r="BH18" s="152" t="n"/>
      <c r="BI18" s="152" t="n"/>
      <c r="BJ18" s="152" t="n"/>
      <c r="BK18" s="152" t="n"/>
      <c r="BL18" s="152" t="n"/>
      <c r="BM18" s="152" t="n"/>
      <c r="BN18" s="152" t="n"/>
      <c r="BO18" s="156" t="n"/>
      <c r="BP18" s="152" t="inlineStr">
        <is>
          <t>Not disclosed</t>
        </is>
      </c>
      <c r="BQ18" s="156" t="inlineStr">
        <is>
          <t>Research / Industrial</t>
        </is>
      </c>
      <c r="BR18" s="156" t="inlineStr">
        <is>
          <t>Not disclosed</t>
        </is>
      </c>
      <c r="BS18" s="156" t="n"/>
      <c r="BT18" s="152" t="n"/>
      <c r="BU18" s="152" t="n"/>
      <c r="BV18" s="156" t="inlineStr">
        <is>
          <t>Entry to higher research and industrial quadrupeds from Unitree</t>
        </is>
      </c>
      <c r="BW18" s="156" t="inlineStr">
        <is>
          <t>Origin &amp; status — China · 2019 | Mobility — 12 DOF · Payload ≈ 22–29 lb continuous · Top speed ≈ 3.4–4.0 mph class | Sensing &amp; software — Common on research Aliengo builds | Buying notes — $15,000 · 12 months manufacturer standard (typical Unitree industrial) · Best fit: Entry to higher research and industrial quadrupeds from Unitree</t>
        </is>
      </c>
      <c r="BX18" s="156" t="inlineStr">
        <is>
          <t>as_shipped|Aliengo|15000|As shipped</t>
        </is>
      </c>
      <c r="BY18" s="152" t="inlineStr">
        <is>
          <t>aliengo|Manufacturer finish|#e2e8f0|0</t>
        </is>
      </c>
      <c r="BZ18" s="152" t="inlineStr"/>
      <c r="CA18" s="156" t="inlineStr">
        <is>
          <t>Add-ons: case; 2 color options; Multi-year extended warranty available</t>
        </is>
      </c>
      <c r="CB18" s="156" t="inlineStr">
        <is>
          <t>12 months manufacturer standard (typical Unitree industrial)</t>
        </is>
      </c>
      <c r="CC18" s="154" t="n">
        <v>12</v>
      </c>
      <c r="CD18" s="156" t="inlineStr">
        <is>
          <t>+3 Year Extended ≈24% of configuration (default in configurator)</t>
        </is>
      </c>
      <c r="CE18" s="152" t="inlineStr">
        <is>
          <t>Authorized Unitree reseller policy (robots 12 mo)</t>
        </is>
      </c>
      <c r="CF18" s="152" t="inlineStr">
        <is>
          <t>High</t>
        </is>
      </c>
      <c r="CG18" s="156" t="inlineStr">
        <is>
          <t>Industrial quadruped packages commonly 12 months; confirm exact config.</t>
        </is>
      </c>
      <c r="CH18" s="152" t="inlineStr">
        <is>
          <t>10%</t>
        </is>
      </c>
      <c r="CI18" s="152" t="inlineStr">
        <is>
          <t>17%</t>
        </is>
      </c>
      <c r="CJ18" s="152" t="inlineStr">
        <is>
          <t>24%</t>
        </is>
      </c>
      <c r="CK18"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18"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8" s="152" t="inlineStr">
        <is>
          <t>12 months manufacturer standard (typical Unitree industrial)</t>
        </is>
      </c>
    </row>
    <row r="19" ht="31.5" customHeight="1" s="102">
      <c r="A19" s="159" t="inlineStr">
        <is>
          <t>unitree_aliengo_a1_a2_a1</t>
        </is>
      </c>
      <c r="B19" s="160" t="inlineStr">
        <is>
          <t>Website</t>
        </is>
      </c>
      <c r="C19" s="152" t="inlineStr">
        <is>
          <t>Unitree</t>
        </is>
      </c>
      <c r="D19" s="152" t="inlineStr">
        <is>
          <t>A1</t>
        </is>
      </c>
      <c r="E19" s="152" t="inlineStr">
        <is>
          <t>[Unitree] A1 (2019)</t>
        </is>
      </c>
      <c r="F19" s="163" t="inlineStr">
        <is>
          <t>campanionoid</t>
        </is>
      </c>
      <c r="G19" s="152" t="inlineStr">
        <is>
          <t>China</t>
        </is>
      </c>
      <c r="H19" s="154" t="n">
        <v>2019</v>
      </c>
      <c r="I19" s="155" t="n">
        <v>5000</v>
      </c>
      <c r="J19" s="152" t="inlineStr">
        <is>
          <t>Legacy Unitree A1 street/EDU band · estimate</t>
        </is>
      </c>
      <c r="K19" s="156" t="inlineStr">
        <is>
          <t>A1 is Unitree's quadruped — 12 DOF, ≈ 22–29 lb continuous payload, ≈ 3.4–4.0 mph class. Common on research Aliengo builds; aimed at research.</t>
        </is>
      </c>
      <c r="L19" s="101" t="inlineStr">
        <is>
          <t>A1 is Unitree's quadruped — 12 DOF, ≈ 22–29 lb continuous payload, ≈ 3.4–4.0 mph class. Common on research Aliengo builds; aimed at research.</t>
        </is>
      </c>
      <c r="M19" s="101" t="inlineStr">
        <is>
          <t>A1 is Unitree's quadruped — 12 DOF, ≈ 22–29 lb continuous payload, ≈ 3.4–4.0 mph class. Common on research Aliengo builds; aimed at research. It is positioned for research / Industrial.</t>
        </is>
      </c>
      <c r="N19" s="152" t="n"/>
      <c r="O19" s="152" t="inlineStr">
        <is>
          <t>https://www.unitree.com</t>
        </is>
      </c>
      <c r="P19" s="152" t="inlineStr">
        <is>
          <t>≈ 1 ft 10.4 in standing</t>
        </is>
      </c>
      <c r="Q19" s="152" t="n"/>
      <c r="R19" s="152" t="inlineStr">
        <is>
          <t>≈ 42–46 lb with battery (Aliengo class)</t>
        </is>
      </c>
      <c r="S19" s="152" t="n"/>
      <c r="T19" s="156" t="inlineStr">
        <is>
          <t>≈ 25.6 × 12.2 × 23.6 in (Aliengo class)</t>
        </is>
      </c>
      <c r="U19" s="152" t="n"/>
      <c r="V19" s="152" t="inlineStr">
        <is>
          <t>12 DOF</t>
        </is>
      </c>
      <c r="W19" s="156" t="n"/>
      <c r="X19" s="152" t="inlineStr">
        <is>
          <t>≈ 22–29 lb continuous</t>
        </is>
      </c>
      <c r="Y19" s="152" t="n"/>
      <c r="Z19" s="152" t="inlineStr">
        <is>
          <t>≈ 3.4–4.0 mph class</t>
        </is>
      </c>
      <c r="AA19" s="152" t="n"/>
      <c r="AB19" s="152" t="n"/>
      <c r="AC19" s="156" t="inlineStr">
        <is>
          <t>≈ 2.5–4.6 h · ≈ 12 600 mAh class pack</t>
        </is>
      </c>
      <c r="AD19" s="156" t="n"/>
      <c r="AE19" s="152" t="n"/>
      <c r="AF19" s="152" t="inlineStr">
        <is>
          <t>Not disclosed</t>
        </is>
      </c>
      <c r="AG19" s="156" t="n"/>
      <c r="AH19" s="152" t="n"/>
      <c r="AI19" s="152" t="n"/>
      <c r="AJ19" s="156" t="inlineStr">
        <is>
          <t>Dual depth cameras + visual odometry camera; optional LiDAR</t>
        </is>
      </c>
      <c r="AK19" s="156" t="n"/>
      <c r="AL19" s="152" t="inlineStr">
        <is>
          <t>Not disclosed</t>
        </is>
      </c>
      <c r="AM19" s="152" t="n"/>
      <c r="AN19" s="152" t="inlineStr">
        <is>
          <t>Common on research Aliengo builds</t>
        </is>
      </c>
      <c r="AO19" s="152" t="n"/>
      <c r="AP19" s="152" t="inlineStr">
        <is>
          <t>Foot force sensors; depth + VIO</t>
        </is>
      </c>
      <c r="AQ19" s="152" t="n"/>
      <c r="AR19" s="152" t="inlineStr">
        <is>
          <t>Not disclosed</t>
        </is>
      </c>
      <c r="AS19" s="152" t="inlineStr">
        <is>
          <t>Not disclosed</t>
        </is>
      </c>
      <c r="AT19" s="156" t="n"/>
      <c r="AU19" s="156" t="inlineStr">
        <is>
          <t>Not disclosed</t>
        </is>
      </c>
      <c r="AV19" s="152" t="inlineStr">
        <is>
          <t>Unitree SDK</t>
        </is>
      </c>
      <c r="AW19" s="156" t="inlineStr">
        <is>
          <t>Research quadruped locomotion</t>
        </is>
      </c>
      <c r="AX19" s="152" t="n"/>
      <c r="AY19" s="156" t="n"/>
      <c r="AZ19" s="156" t="n"/>
      <c r="BA19" s="156" t="n"/>
      <c r="BB19" s="156" t="inlineStr">
        <is>
          <t>Not disclosed</t>
        </is>
      </c>
      <c r="BC19" s="156" t="n"/>
      <c r="BD19" s="152" t="n"/>
      <c r="BE19" s="152" t="inlineStr">
        <is>
          <t>Not disclosed</t>
        </is>
      </c>
      <c r="BF19" s="152" t="n"/>
      <c r="BG19" s="152" t="n"/>
      <c r="BH19" s="152" t="n"/>
      <c r="BI19" s="152" t="n"/>
      <c r="BJ19" s="152" t="n"/>
      <c r="BK19" s="152" t="n"/>
      <c r="BL19" s="152" t="n"/>
      <c r="BM19" s="152" t="n"/>
      <c r="BN19" s="152" t="n"/>
      <c r="BO19" s="156" t="n"/>
      <c r="BP19" s="152" t="inlineStr">
        <is>
          <t>Not disclosed</t>
        </is>
      </c>
      <c r="BQ19" s="156" t="inlineStr">
        <is>
          <t>Research / Industrial</t>
        </is>
      </c>
      <c r="BR19" s="156" t="inlineStr">
        <is>
          <t>Not disclosed</t>
        </is>
      </c>
      <c r="BS19" s="156" t="n"/>
      <c r="BT19" s="152" t="n"/>
      <c r="BU19" s="152" t="n"/>
      <c r="BV19" s="156" t="inlineStr">
        <is>
          <t>Entry to higher research and industrial quadrupeds from Unitree</t>
        </is>
      </c>
      <c r="BW19" s="156" t="inlineStr">
        <is>
          <t>Origin &amp; status — China · 2019 | Mobility — 12 DOF · Payload ≈ 22–29 lb continuous · Top speed ≈ 3.4–4.0 mph class | Sensing &amp; software — Common on research Aliengo builds | Buying notes — $5,000 · 12 months manufacturer standard (typical Unitree industrial) · Best fit: Entry to higher research and industrial quadrupeds from Unitree</t>
        </is>
      </c>
      <c r="BX19" s="156" t="inlineStr">
        <is>
          <t>as_shipped|A1|5000|As shipped</t>
        </is>
      </c>
      <c r="BY19" s="152" t="inlineStr">
        <is>
          <t>a1|Manufacturer finish|#e2e8f0|0</t>
        </is>
      </c>
      <c r="BZ19" s="152" t="inlineStr"/>
      <c r="CA19" s="156" t="inlineStr">
        <is>
          <t>Add-ons: case; 2 color options; Multi-year extended warranty available</t>
        </is>
      </c>
      <c r="CB19" s="156" t="inlineStr">
        <is>
          <t>12 months manufacturer standard (typical Unitree industrial)</t>
        </is>
      </c>
      <c r="CC19" s="154" t="n">
        <v>12</v>
      </c>
      <c r="CD19" s="156" t="inlineStr">
        <is>
          <t>+3 Year Extended ≈24% of configuration (default in configurator)</t>
        </is>
      </c>
      <c r="CE19" s="152" t="inlineStr">
        <is>
          <t>Authorized Unitree reseller policy (robots 12 mo)</t>
        </is>
      </c>
      <c r="CF19" s="152" t="inlineStr">
        <is>
          <t>High</t>
        </is>
      </c>
      <c r="CG19" s="156" t="inlineStr">
        <is>
          <t>Industrial quadruped packages commonly 12 months; confirm exact config.</t>
        </is>
      </c>
      <c r="CH19" s="152" t="inlineStr">
        <is>
          <t>10%</t>
        </is>
      </c>
      <c r="CI19" s="152" t="inlineStr">
        <is>
          <t>17%</t>
        </is>
      </c>
      <c r="CJ19" s="152" t="inlineStr">
        <is>
          <t>24%</t>
        </is>
      </c>
      <c r="CK19"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19"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9" s="152" t="inlineStr">
        <is>
          <t>12 months manufacturer standard (typical Unitree industrial)</t>
        </is>
      </c>
    </row>
    <row r="20" ht="31.5" customHeight="1" s="102">
      <c r="A20" s="159" t="inlineStr">
        <is>
          <t>unitree_robotics_as2</t>
        </is>
      </c>
      <c r="B20" s="160" t="inlineStr">
        <is>
          <t>Website</t>
        </is>
      </c>
      <c r="C20" s="152" t="inlineStr">
        <is>
          <t>Unitree</t>
        </is>
      </c>
      <c r="D20" s="152" t="inlineStr">
        <is>
          <t>As2</t>
        </is>
      </c>
      <c r="E20" s="152" t="inlineStr">
        <is>
          <t>[Unitree] As2 (2026)</t>
        </is>
      </c>
      <c r="F20" s="163" t="inlineStr">
        <is>
          <t>campanionoid</t>
        </is>
      </c>
      <c r="G20" s="152" t="inlineStr">
        <is>
          <t>China</t>
        </is>
      </c>
      <c r="H20" s="154" t="n">
        <v>2026</v>
      </c>
      <c r="I20" s="155" t="n">
        <v>3100</v>
      </c>
      <c r="J20" s="152" t="inlineStr">
        <is>
          <t>Robot Price Index Aug 2026</t>
        </is>
      </c>
      <c r="K20" s="156" t="inlineStr">
        <is>
          <t>As2 is Unitree Robotics's quadruped — 12 DOF, ≈ 33 lb continuous class payload, ≈ 11 mph class. Optional or standard on mid/high tiers; aimed at outdoor.</t>
        </is>
      </c>
      <c r="L20" s="101" t="inlineStr">
        <is>
          <t>As2 is Unitree Robotics's quadruped — 12 DOF, ≈ 33 lb continuous class payload, ≈ 11 mph class. Optional or standard on mid/high tiers; aimed at outdoor.</t>
        </is>
      </c>
      <c r="M20" s="101" t="inlineStr">
        <is>
          <t>As2 is Unitree Robotics's quadruped — 12 DOF, ≈ 33 lb continuous class payload, ≈ 11 mph class. Optional or standard on mid/high tiers; aimed at outdoor. Public status is listed as new 2026 release, and it is positioned for outdoor / All-terrain research &amp; light industrial.</t>
        </is>
      </c>
      <c r="N20" s="152" t="n"/>
      <c r="O20" s="152" t="inlineStr">
        <is>
          <t>https://www.unitree.com</t>
        </is>
      </c>
      <c r="P20" s="152" t="inlineStr">
        <is>
          <t>Not disclosed</t>
        </is>
      </c>
      <c r="Q20" s="152" t="n"/>
      <c r="R20" s="152" t="inlineStr">
        <is>
          <t>≈ 40 lb class</t>
        </is>
      </c>
      <c r="S20" s="152" t="n"/>
      <c r="T20" s="156" t="inlineStr">
        <is>
          <t>Not disclosed</t>
        </is>
      </c>
      <c r="U20" s="152" t="n"/>
      <c r="V20" s="152" t="inlineStr">
        <is>
          <t>12 DOF</t>
        </is>
      </c>
      <c r="W20" s="156" t="n"/>
      <c r="X20" s="152" t="inlineStr">
        <is>
          <t>≈ 33 lb continuous class</t>
        </is>
      </c>
      <c r="Y20" s="152" t="n"/>
      <c r="Z20" s="152" t="inlineStr">
        <is>
          <t>≈ 11 mph class</t>
        </is>
      </c>
      <c r="AA20" s="152" t="n"/>
      <c r="AB20" s="152" t="n"/>
      <c r="AC20" s="156" t="inlineStr">
        <is>
          <t>≈ 2–4 h depending on load</t>
        </is>
      </c>
      <c r="AD20" s="156" t="n"/>
      <c r="AE20" s="152" t="n"/>
      <c r="AF20" s="152" t="inlineStr">
        <is>
          <t>Not disclosed</t>
        </is>
      </c>
      <c r="AG20" s="156" t="n"/>
      <c r="AH20" s="152" t="n"/>
      <c r="AI20" s="152" t="n"/>
      <c r="AJ20" s="156" t="inlineStr">
        <is>
          <t>LiDAR + HD camera class</t>
        </is>
      </c>
      <c r="AK20" s="156" t="n"/>
      <c r="AL20" s="152" t="inlineStr">
        <is>
          <t>Live view and recording when camera payload equipped</t>
        </is>
      </c>
      <c r="AM20" s="152" t="n"/>
      <c r="AN20" s="152" t="inlineStr">
        <is>
          <t>Optional or standard on mid/high tiers</t>
        </is>
      </c>
      <c r="AO20" s="152" t="n"/>
      <c r="AP20" s="152" t="inlineStr">
        <is>
          <t>Not disclosed</t>
        </is>
      </c>
      <c r="AQ20" s="152" t="n"/>
      <c r="AR20" s="152" t="inlineStr">
        <is>
          <t>Not disclosed</t>
        </is>
      </c>
      <c r="AS20" s="152" t="inlineStr">
        <is>
          <t>Not disclosed</t>
        </is>
      </c>
      <c r="AT20" s="156" t="n"/>
      <c r="AU20" s="156" t="inlineStr">
        <is>
          <t>Not disclosed</t>
        </is>
      </c>
      <c r="AV20" s="152" t="inlineStr">
        <is>
          <t>App, remote, and SDK options by tier</t>
        </is>
      </c>
      <c r="AW20" s="156" t="inlineStr">
        <is>
          <t>Quadruped gait library with terrain adaptation on higher models</t>
        </is>
      </c>
      <c r="AX20" s="152" t="n"/>
      <c r="AY20" s="156" t="n"/>
      <c r="AZ20" s="156" t="n"/>
      <c r="BA20" s="156" t="n"/>
      <c r="BB20" s="156" t="inlineStr">
        <is>
          <t>Not disclosed</t>
        </is>
      </c>
      <c r="BC20" s="156" t="n"/>
      <c r="BD20" s="152" t="n"/>
      <c r="BE20" s="152" t="inlineStr">
        <is>
          <t>IP54 class</t>
        </is>
      </c>
      <c r="BF20" s="152" t="n"/>
      <c r="BG20" s="152" t="n"/>
      <c r="BH20" s="152" t="n"/>
      <c r="BI20" s="152" t="n"/>
      <c r="BJ20" s="152" t="n"/>
      <c r="BK20" s="152" t="n"/>
      <c r="BL20" s="152" t="n"/>
      <c r="BM20" s="152" t="n"/>
      <c r="BN20" s="152" t="n"/>
      <c r="BO20" s="156" t="n"/>
      <c r="BP20" s="152" t="inlineStr">
        <is>
          <t>Not disclosed</t>
        </is>
      </c>
      <c r="BQ20" s="156" t="inlineStr">
        <is>
          <t>Outdoor / All-terrain research &amp; light industrial</t>
        </is>
      </c>
      <c r="BR20" s="156" t="inlineStr">
        <is>
          <t>New 2026 release</t>
        </is>
      </c>
      <c r="BS20" s="156" t="n"/>
      <c r="BT20" s="152" t="n"/>
      <c r="BU20" s="152" t="n"/>
      <c r="BV20" s="156" t="inlineStr">
        <is>
          <t>~2× Go2 dynamics; IP54; long endurance claims</t>
        </is>
      </c>
      <c r="BW20" s="156" t="inlineStr">
        <is>
          <t>Origin &amp; status — China · New 2026 release · 2026 | Mobility — 12 DOF · Payload ≈ 33 lb continuous class · Top speed ≈ 11 mph class · IP54 class | Sensing &amp; software — Optional or standard on mid/high tiers | Buying notes — Contact / mid-industrial · 12 months manufacturer standard (typical) · Best fit: ~2× Go2 dynamics; IP54; long endurance claims</t>
        </is>
      </c>
      <c r="BX20" s="156" t="inlineStr">
        <is>
          <t>as_shipped|As2|3100|As shipped</t>
        </is>
      </c>
      <c r="BY20" s="152" t="inlineStr">
        <is>
          <t>as2|Manufacturer finish|#e2e8f0|0</t>
        </is>
      </c>
      <c r="BZ20" s="152" t="inlineStr"/>
      <c r="CA20" s="156" t="inlineStr">
        <is>
          <t>Add-ons: case; 2 color options; Multi-year extended warranty available</t>
        </is>
      </c>
      <c r="CB20" s="156" t="inlineStr">
        <is>
          <t>12 months manufacturer standard (typical)</t>
        </is>
      </c>
      <c r="CC20" s="154" t="n">
        <v>12</v>
      </c>
      <c r="CD20" s="156" t="inlineStr">
        <is>
          <t>+3 Year Extended ≈24% of configuration (default in configurator)</t>
        </is>
      </c>
      <c r="CE20" s="152" t="inlineStr">
        <is>
          <t>Quadruped category norm</t>
        </is>
      </c>
      <c r="CF20" s="152" t="inlineStr">
        <is>
          <t>Estimated</t>
        </is>
      </c>
      <c r="CG20" s="156" t="inlineStr">
        <is>
          <t>Confirm configuration-specific term on quote.</t>
        </is>
      </c>
      <c r="CH20" s="152" t="inlineStr">
        <is>
          <t>10%</t>
        </is>
      </c>
      <c r="CI20" s="152" t="inlineStr">
        <is>
          <t>17%</t>
        </is>
      </c>
      <c r="CJ20" s="152" t="inlineStr">
        <is>
          <t>24%</t>
        </is>
      </c>
      <c r="CK20"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0"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0" s="152" t="inlineStr">
        <is>
          <t>12 months manufacturer standard (typical)</t>
        </is>
      </c>
    </row>
    <row r="21" ht="31.5" customHeight="1" s="102">
      <c r="A21" s="143" t="inlineStr">
        <is>
          <t>unitree_robotics_b2_b2_w</t>
        </is>
      </c>
      <c r="B21" s="160" t="inlineStr">
        <is>
          <t>Website</t>
        </is>
      </c>
      <c r="C21" s="145" t="inlineStr">
        <is>
          <t>Unitree</t>
        </is>
      </c>
      <c r="D21" s="145" t="inlineStr">
        <is>
          <t>B2</t>
        </is>
      </c>
      <c r="E21" s="145" t="inlineStr">
        <is>
          <t>[Unitree] B2 (2024)</t>
        </is>
      </c>
      <c r="F21" s="163" t="inlineStr">
        <is>
          <t>campanionoid</t>
        </is>
      </c>
      <c r="G21" s="145" t="inlineStr">
        <is>
          <t>China</t>
        </is>
      </c>
      <c r="H21" s="147" t="n">
        <v>2024</v>
      </c>
      <c r="I21" s="148" t="n">
        <v>100000</v>
      </c>
      <c r="J21" s="145" t="inlineStr">
        <is>
          <t>Unitree official shop list · Aug 2026</t>
        </is>
      </c>
      <c r="K21" s="149" t="inlineStr">
        <is>
          <t>[Unitree] B2 (2024) is a quadruped from Unitree Robotics (China, 2024), positioned for industrial.</t>
        </is>
      </c>
      <c r="L21" s="101" t="inlineStr">
        <is>
          <t>[Unitree] B2 (2024) is a quadruped from Unitree Robotics (China, 2024), positioned for industrial.</t>
        </is>
      </c>
      <c r="M21" s="101" t="inlineStr">
        <is>
          <t>[Unitree] B2 (2024) is a quadruped from Unitree Robotics (China, 2024), positioned for industrial. Public status is listed as orderable / Industrial deployments, and it is positioned for industrial / Heavy payload / Logistics / Inspection.</t>
        </is>
      </c>
      <c r="N21" s="145" t="n"/>
      <c r="O21" s="145" t="inlineStr">
        <is>
          <t>https://www.unitree.com</t>
        </is>
      </c>
      <c r="P21" s="145" t="inlineStr">
        <is>
          <t>≈ 2 ft 1.4 in standing (B2); B2-W taller with wheel modules</t>
        </is>
      </c>
      <c r="Q21" s="145" t="n"/>
      <c r="R21" s="145" t="inlineStr">
        <is>
          <t>≈ 132 lb with battery (B2) · ≈ 165 lb class (B2-W)</t>
        </is>
      </c>
      <c r="S21" s="145" t="n"/>
      <c r="T21" s="149" t="inlineStr">
        <is>
          <t>≈ 43.2 × 17.7 × 25.4 in (B2 class)</t>
        </is>
      </c>
      <c r="U21" s="145" t="n"/>
      <c r="V21" s="145" t="inlineStr">
        <is>
          <t>12 leg DOF (plus wheel motors on B2-W)</t>
        </is>
      </c>
      <c r="W21" s="149" t="n"/>
      <c r="X21" s="145" t="inlineStr">
        <is>
          <t>≈ 88 lb continuous class (up to ≈ 265 lb standing load class)</t>
        </is>
      </c>
      <c r="Y21" s="145" t="n"/>
      <c r="Z21" s="145" t="inlineStr">
        <is>
          <t>≈ 13 mph class (≈ 6 m/s)</t>
        </is>
      </c>
      <c r="AA21" s="145" t="n"/>
      <c r="AB21" s="145" t="n"/>
      <c r="AC21" s="149" t="inlineStr">
        <is>
          <t>≈ 4–6 h class · optional autonomous charging</t>
        </is>
      </c>
      <c r="AD21" s="149" t="n"/>
      <c r="AE21" s="145" t="n"/>
      <c r="AF21" s="145" t="inlineStr">
        <is>
          <t>Not disclosed</t>
        </is>
      </c>
      <c r="AG21" s="149" t="n"/>
      <c r="AH21" s="145" t="n"/>
      <c r="AI21" s="145" t="n"/>
      <c r="AJ21" s="149" t="inlineStr">
        <is>
          <t>Industrial perception cameras + dual 3D LiDAR options</t>
        </is>
      </c>
      <c r="AK21" s="149" t="n"/>
      <c r="AL21" s="145" t="inlineStr">
        <is>
          <t>Live view and recording when camera payload equipped</t>
        </is>
      </c>
      <c r="AM21" s="145" t="n"/>
      <c r="AN21" s="145" t="inlineStr">
        <is>
          <t>Dual 3D LiDAR on industrial configurations</t>
        </is>
      </c>
      <c r="AO21" s="145" t="n"/>
      <c r="AP21" s="145" t="inlineStr">
        <is>
          <t>Not disclosed</t>
        </is>
      </c>
      <c r="AQ21" s="145" t="n"/>
      <c r="AR21" s="145" t="inlineStr">
        <is>
          <t>Not disclosed</t>
        </is>
      </c>
      <c r="AS21" s="145" t="inlineStr">
        <is>
          <t>Jetson AGX Orin class options (up to ≈ 275 TOPS)</t>
        </is>
      </c>
      <c r="AT21" s="149" t="n"/>
      <c r="AU21" s="149" t="inlineStr">
        <is>
          <t>Not disclosed</t>
        </is>
      </c>
      <c r="AV21" s="145" t="inlineStr">
        <is>
          <t>App, remote, and SDK options by tier</t>
        </is>
      </c>
      <c r="AW21" s="149" t="inlineStr">
        <is>
          <t>Quadruped gait library with terrain adaptation on higher models</t>
        </is>
      </c>
      <c r="AX21" s="145" t="n"/>
      <c r="AY21" s="149" t="n"/>
      <c r="AZ21" s="149" t="n"/>
      <c r="BA21" s="149" t="n"/>
      <c r="BB21" s="149" t="inlineStr">
        <is>
          <t>Not disclosed</t>
        </is>
      </c>
      <c r="BC21" s="149" t="n"/>
      <c r="BD21" s="145" t="n"/>
      <c r="BE21" s="145" t="inlineStr">
        <is>
          <t>IP67</t>
        </is>
      </c>
      <c r="BF21" s="145" t="n"/>
      <c r="BG21" s="145" t="n"/>
      <c r="BH21" s="145" t="n"/>
      <c r="BI21" s="145" t="n"/>
      <c r="BJ21" s="145" t="n"/>
      <c r="BK21" s="145" t="n"/>
      <c r="BL21" s="145" t="n"/>
      <c r="BM21" s="145" t="n"/>
      <c r="BN21" s="145" t="n"/>
      <c r="BO21" s="149" t="n"/>
      <c r="BP21" s="145" t="inlineStr">
        <is>
          <t>Not disclosed</t>
        </is>
      </c>
      <c r="BQ21" s="149" t="inlineStr">
        <is>
          <t>Industrial / Heavy payload / Logistics / Inspection</t>
        </is>
      </c>
      <c r="BR21" s="149" t="inlineStr">
        <is>
          <t>Orderable / Industrial deployments</t>
        </is>
      </c>
      <c r="BS21" s="149" t="n"/>
      <c r="BT21" s="145" t="n"/>
      <c r="BU21" s="145" t="n"/>
      <c r="BV21" s="149" t="inlineStr">
        <is>
          <t>Flagship industrial; IP67; high payload &amp; speed</t>
        </is>
      </c>
      <c r="BW21" s="149" t="inlineStr">
        <is>
          <t>Origin &amp; status — China · Orderable / Industrial deployments · 2024 | Mobility — 12 DOF · Payload ≈ 88 lb continuous class (up to ≈ 265 lb standing load class) · Top speed ≈ 13 mph class (≈ 6 m/s) · IP67 | Sensing &amp; software — Dual 3D LiDAR on industrial configurations | Buying notes — ~$30,000 – $100,000+ · 12 months manufacturer standard (typical) · Best fit: Flagship industrial; IP67; high payload &amp; speed</t>
        </is>
      </c>
      <c r="BX21" s="149" t="inlineStr">
        <is>
          <t>as_shipped|B2|100000|As shipped</t>
        </is>
      </c>
      <c r="BY21" s="145" t="inlineStr">
        <is>
          <t>b2|Manufacturer finish|#e2e8f0|0</t>
        </is>
      </c>
      <c r="BZ21" s="145" t="inlineStr"/>
      <c r="CA21" s="149" t="inlineStr">
        <is>
          <t>Add-ons: case; 2 color options; Multi-year extended warranty available</t>
        </is>
      </c>
      <c r="CB21" s="149" t="inlineStr">
        <is>
          <t>12 months manufacturer standard (typical)</t>
        </is>
      </c>
      <c r="CC21" s="147" t="n">
        <v>12</v>
      </c>
      <c r="CD21" s="149" t="inlineStr">
        <is>
          <t>+3 Year Extended ≈24% of configuration (default in configurator)</t>
        </is>
      </c>
      <c r="CE21" s="145" t="inlineStr">
        <is>
          <t>Quadruped category norm</t>
        </is>
      </c>
      <c r="CF21" s="145" t="inlineStr">
        <is>
          <t>Estimated</t>
        </is>
      </c>
      <c r="CG21" s="149" t="inlineStr">
        <is>
          <t>Confirm configuration-specific term on quote.</t>
        </is>
      </c>
      <c r="CH21" s="145" t="inlineStr">
        <is>
          <t>10%</t>
        </is>
      </c>
      <c r="CI21" s="145" t="inlineStr">
        <is>
          <t>17%</t>
        </is>
      </c>
      <c r="CJ21" s="145" t="inlineStr">
        <is>
          <t>24%</t>
        </is>
      </c>
      <c r="CK2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1" s="145" t="inlineStr">
        <is>
          <t>12 months manufacturer standard (typical)</t>
        </is>
      </c>
    </row>
    <row r="22" ht="31.5" customHeight="1" s="102">
      <c r="A22" s="143" t="inlineStr">
        <is>
          <t>unitree_robotics_b2_b2_w_b2_w</t>
        </is>
      </c>
      <c r="B22" s="160" t="inlineStr">
        <is>
          <t>Website</t>
        </is>
      </c>
      <c r="C22" s="145" t="inlineStr">
        <is>
          <t>Unitree</t>
        </is>
      </c>
      <c r="D22" s="145" t="inlineStr">
        <is>
          <t>B2-W</t>
        </is>
      </c>
      <c r="E22" s="145" t="inlineStr">
        <is>
          <t>[Unitree] B2-W (2024)</t>
        </is>
      </c>
      <c r="F22" s="163" t="inlineStr">
        <is>
          <t>campanionoid</t>
        </is>
      </c>
      <c r="G22" s="145" t="inlineStr">
        <is>
          <t>China</t>
        </is>
      </c>
      <c r="H22" s="147" t="n">
        <v>2024</v>
      </c>
      <c r="I22" s="148" t="n">
        <v>100000</v>
      </c>
      <c r="J22" s="145" t="inlineStr">
        <is>
          <t>Unitree official shop list · Aug 2026</t>
        </is>
      </c>
      <c r="K22" s="149" t="inlineStr">
        <is>
          <t>[Unitree] B2-W (2024) is a quadruped from Unitree Robotics (China, 2024), positioned for industrial.</t>
        </is>
      </c>
      <c r="L22" s="101" t="inlineStr">
        <is>
          <t>[Unitree] B2-W (2024) is a quadruped from Unitree Robotics (China, 2024), positioned for industrial.</t>
        </is>
      </c>
      <c r="M22" s="101" t="inlineStr">
        <is>
          <t>B2-W is Unitree's quadruped, introduced around 2024 in China. [Unitree] B2-W (2024) is a quadruped from Unitree Robotics (China, 2024), positioned for industrial. Public status is listed as orderable / Industrial deployments, and it is positioned for industrial / Heavy payload / Logistics / Inspection.</t>
        </is>
      </c>
      <c r="N22" s="145" t="n"/>
      <c r="O22" s="145" t="inlineStr">
        <is>
          <t>https://www.unitree.com</t>
        </is>
      </c>
      <c r="P22" s="145" t="inlineStr">
        <is>
          <t>≈ 2 ft 1.4 in standing (B2); B2-W taller with wheel modules</t>
        </is>
      </c>
      <c r="Q22" s="145" t="n"/>
      <c r="R22" s="145" t="inlineStr">
        <is>
          <t>≈ 132 lb with battery (B2) · ≈ 165 lb class (B2-W)</t>
        </is>
      </c>
      <c r="S22" s="145" t="n"/>
      <c r="T22" s="149" t="inlineStr">
        <is>
          <t>≈ 43.2 × 17.7 × 25.4 in (B2 class)</t>
        </is>
      </c>
      <c r="U22" s="145" t="n"/>
      <c r="V22" s="145" t="inlineStr">
        <is>
          <t>12 leg DOF (plus wheel motors on B2-W)</t>
        </is>
      </c>
      <c r="W22" s="149" t="n"/>
      <c r="X22" s="145" t="inlineStr">
        <is>
          <t>≈ 88 lb continuous class (up to ≈ 265 lb standing load class)</t>
        </is>
      </c>
      <c r="Y22" s="145" t="n"/>
      <c r="Z22" s="145" t="inlineStr">
        <is>
          <t>≈ 13 mph class (≈ 6 m/s)</t>
        </is>
      </c>
      <c r="AA22" s="145" t="n"/>
      <c r="AB22" s="145" t="n"/>
      <c r="AC22" s="149" t="inlineStr">
        <is>
          <t>≈ 4–6 h class · optional autonomous charging</t>
        </is>
      </c>
      <c r="AD22" s="149" t="n"/>
      <c r="AE22" s="145" t="n"/>
      <c r="AF22" s="145" t="inlineStr">
        <is>
          <t>Not disclosed</t>
        </is>
      </c>
      <c r="AG22" s="149" t="n"/>
      <c r="AH22" s="145" t="n"/>
      <c r="AI22" s="145" t="n"/>
      <c r="AJ22" s="149" t="inlineStr">
        <is>
          <t>Industrial perception cameras + dual 3D LiDAR options</t>
        </is>
      </c>
      <c r="AK22" s="149" t="n"/>
      <c r="AL22" s="145" t="inlineStr">
        <is>
          <t>Live view and recording when camera payload equipped</t>
        </is>
      </c>
      <c r="AM22" s="145" t="n"/>
      <c r="AN22" s="145" t="inlineStr">
        <is>
          <t>Dual 3D LiDAR on industrial configurations</t>
        </is>
      </c>
      <c r="AO22" s="145" t="n"/>
      <c r="AP22" s="145" t="inlineStr">
        <is>
          <t>Not disclosed</t>
        </is>
      </c>
      <c r="AQ22" s="145" t="n"/>
      <c r="AR22" s="145" t="inlineStr">
        <is>
          <t>Not disclosed</t>
        </is>
      </c>
      <c r="AS22" s="145" t="inlineStr">
        <is>
          <t>Jetson AGX Orin class options (up to ≈ 275 TOPS)</t>
        </is>
      </c>
      <c r="AT22" s="149" t="n"/>
      <c r="AU22" s="149" t="inlineStr">
        <is>
          <t>Not disclosed</t>
        </is>
      </c>
      <c r="AV22" s="145" t="inlineStr">
        <is>
          <t>App, remote, and SDK options by tier</t>
        </is>
      </c>
      <c r="AW22" s="149" t="inlineStr">
        <is>
          <t>Quadruped gait library with terrain adaptation on higher models</t>
        </is>
      </c>
      <c r="AX22" s="145" t="n"/>
      <c r="AY22" s="149" t="n"/>
      <c r="AZ22" s="149" t="n"/>
      <c r="BA22" s="149" t="n"/>
      <c r="BB22" s="149" t="inlineStr">
        <is>
          <t>Not disclosed</t>
        </is>
      </c>
      <c r="BC22" s="149" t="n"/>
      <c r="BD22" s="145" t="n"/>
      <c r="BE22" s="145" t="inlineStr">
        <is>
          <t>IP67</t>
        </is>
      </c>
      <c r="BF22" s="145" t="n"/>
      <c r="BG22" s="145" t="n"/>
      <c r="BH22" s="145" t="n"/>
      <c r="BI22" s="145" t="n"/>
      <c r="BJ22" s="145" t="n"/>
      <c r="BK22" s="145" t="n"/>
      <c r="BL22" s="145" t="n"/>
      <c r="BM22" s="145" t="n"/>
      <c r="BN22" s="145" t="n"/>
      <c r="BO22" s="149" t="n"/>
      <c r="BP22" s="145" t="inlineStr">
        <is>
          <t>Not disclosed</t>
        </is>
      </c>
      <c r="BQ22" s="149" t="inlineStr">
        <is>
          <t>Industrial / Heavy payload / Logistics / Inspection</t>
        </is>
      </c>
      <c r="BR22" s="149" t="inlineStr">
        <is>
          <t>Orderable / Industrial deployments</t>
        </is>
      </c>
      <c r="BS22" s="149" t="n"/>
      <c r="BT22" s="145" t="n"/>
      <c r="BU22" s="145" t="n"/>
      <c r="BV22" s="149" t="inlineStr">
        <is>
          <t>Flagship industrial; IP67; high payload &amp; speed</t>
        </is>
      </c>
      <c r="BW22" s="149" t="inlineStr">
        <is>
          <t>Origin &amp; status — China · Orderable / Industrial deployments · 2024 | Mobility — 12 DOF · Payload ≈ 88 lb continuous class (up to ≈ 265 lb standing load class) · Top speed ≈ 13 mph class (≈ 6 m/s) · IP67 | Sensing &amp; software — Dual 3D LiDAR on industrial configurations | Buying notes — ~$30,000 – $100,000+ · 12 months manufacturer standard (typical) · Best fit: Flagship industrial; IP67; high payload &amp; speed</t>
        </is>
      </c>
      <c r="BX22" s="149" t="inlineStr">
        <is>
          <t>as_shipped|B2-W|100000|As shipped</t>
        </is>
      </c>
      <c r="BY22" s="145" t="inlineStr">
        <is>
          <t>b2_w|Manufacturer finish|#e2e8f0|0</t>
        </is>
      </c>
      <c r="BZ22" s="145" t="inlineStr"/>
      <c r="CA22" s="149" t="inlineStr">
        <is>
          <t>Add-ons: case; 2 color options; Multi-year extended warranty available</t>
        </is>
      </c>
      <c r="CB22" s="149" t="inlineStr">
        <is>
          <t>12 months manufacturer standard (typical)</t>
        </is>
      </c>
      <c r="CC22" s="147" t="n">
        <v>12</v>
      </c>
      <c r="CD22" s="149" t="inlineStr">
        <is>
          <t>+3 Year Extended ≈24% of configuration (default in configurator)</t>
        </is>
      </c>
      <c r="CE22" s="145" t="inlineStr">
        <is>
          <t>Quadruped category norm</t>
        </is>
      </c>
      <c r="CF22" s="145" t="inlineStr">
        <is>
          <t>Estimated</t>
        </is>
      </c>
      <c r="CG22" s="149" t="inlineStr">
        <is>
          <t>Confirm configuration-specific term on quote.</t>
        </is>
      </c>
      <c r="CH22" s="145" t="inlineStr">
        <is>
          <t>10%</t>
        </is>
      </c>
      <c r="CI22" s="145" t="inlineStr">
        <is>
          <t>17%</t>
        </is>
      </c>
      <c r="CJ22" s="145" t="inlineStr">
        <is>
          <t>24%</t>
        </is>
      </c>
      <c r="CK22"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2"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2" s="145" t="inlineStr">
        <is>
          <t>12 months manufacturer standard (typical)</t>
        </is>
      </c>
    </row>
    <row r="23" ht="31.5" customHeight="1" s="102">
      <c r="A23" s="143" t="inlineStr">
        <is>
          <t>xiaomi_cyberdog_2_pro</t>
        </is>
      </c>
      <c r="B23" s="160" t="inlineStr">
        <is>
          <t>Website</t>
        </is>
      </c>
      <c r="C23" s="145" t="inlineStr">
        <is>
          <t>Xiaomi</t>
        </is>
      </c>
      <c r="D23" s="145" t="inlineStr">
        <is>
          <t>CyberDog 2</t>
        </is>
      </c>
      <c r="E23" s="145" t="inlineStr">
        <is>
          <t>[Xiaomi] CyberDog 2 (2023)</t>
        </is>
      </c>
      <c r="F23" s="163" t="inlineStr">
        <is>
          <t>campanionoid</t>
        </is>
      </c>
      <c r="G23" s="145" t="inlineStr">
        <is>
          <t>China</t>
        </is>
      </c>
      <c r="H23" s="147" t="n">
        <v>2023</v>
      </c>
      <c r="I23" s="148" t="n">
        <v>1800</v>
      </c>
      <c r="J23" s="145" t="inlineStr">
        <is>
          <t>Robot Price Index Aug 2026</t>
        </is>
      </c>
      <c r="K23" s="149" t="inlineStr">
        <is>
          <t>[Xiaomi] CyberDog 2 (2023) is a quadruped from Xiaomi (China, 2023), positioned for consumer.</t>
        </is>
      </c>
      <c r="L23" s="101" t="inlineStr">
        <is>
          <t>[Xiaomi] CyberDog 2 (2023) is a quadruped from Xiaomi (China, 2023), positioned for consumer.</t>
        </is>
      </c>
      <c r="M23" s="101" t="inlineStr">
        <is>
          <t>CyberDog 2 is Xiaomi's quadruped, introduced around 2023 in China. [Xiaomi] CyberDog 2 (2023) is a quadruped from Xiaomi (China, 2023), positioned for consumer. Public status is listed as limited / Consumer focus, and it is positioned for consumer / Smart home / Companion / Light research.</t>
        </is>
      </c>
      <c r="N23" s="145" t="n"/>
      <c r="O23" s="145" t="inlineStr">
        <is>
          <t>https://www.xiaomi.com</t>
        </is>
      </c>
      <c r="P23" s="145" t="inlineStr">
        <is>
          <t>Not disclosed</t>
        </is>
      </c>
      <c r="Q23" s="145" t="n"/>
      <c r="R23" s="145" t="inlineStr">
        <is>
          <t>≈ 20–33 lb class</t>
        </is>
      </c>
      <c r="S23" s="145" t="n"/>
      <c r="T23" s="149" t="inlineStr">
        <is>
          <t>Not disclosed</t>
        </is>
      </c>
      <c r="U23" s="145" t="n"/>
      <c r="V23" s="145" t="inlineStr">
        <is>
          <t>12 DOF</t>
        </is>
      </c>
      <c r="W23" s="149" t="n"/>
      <c r="X23" s="145" t="inlineStr">
        <is>
          <t>≈ 7 lb class</t>
        </is>
      </c>
      <c r="Y23" s="145" t="n"/>
      <c r="Z23" s="145" t="inlineStr">
        <is>
          <t>Up to 7.8 mph</t>
        </is>
      </c>
      <c r="AA23" s="145" t="n"/>
      <c r="AB23" s="145" t="n"/>
      <c r="AC23" s="149" t="inlineStr">
        <is>
          <t>Not disclosed</t>
        </is>
      </c>
      <c r="AD23" s="149" t="n"/>
      <c r="AE23" s="145" t="n"/>
      <c r="AF23" s="145" t="inlineStr">
        <is>
          <t>Not disclosed</t>
        </is>
      </c>
      <c r="AG23" s="149" t="n"/>
      <c r="AH23" s="145" t="n"/>
      <c r="AI23" s="145" t="n"/>
      <c r="AJ23" s="149" t="inlineStr">
        <is>
          <t>AI camera suite for companion behaviors</t>
        </is>
      </c>
      <c r="AK23" s="149" t="n"/>
      <c r="AL23" s="145" t="inlineStr">
        <is>
          <t>On-device capture and app streaming</t>
        </is>
      </c>
      <c r="AM23" s="145" t="n"/>
      <c r="AN23" s="145" t="inlineStr">
        <is>
          <t>Not disclosed</t>
        </is>
      </c>
      <c r="AO23" s="145" t="inlineStr">
        <is>
          <t>Voice interaction microphones</t>
        </is>
      </c>
      <c r="AP23" s="145" t="inlineStr">
        <is>
          <t>Voice interaction microphones</t>
        </is>
      </c>
      <c r="AQ23" s="145" t="n"/>
      <c r="AR23" s="145" t="inlineStr">
        <is>
          <t>Not disclosed</t>
        </is>
      </c>
      <c r="AS23" s="145" t="inlineStr">
        <is>
          <t>Not disclosed</t>
        </is>
      </c>
      <c r="AT23" s="149" t="n"/>
      <c r="AU23" s="149" t="inlineStr">
        <is>
          <t>Not disclosed</t>
        </is>
      </c>
      <c r="AV23" s="145" t="inlineStr">
        <is>
          <t>Xiaomi/CyberDog app</t>
        </is>
      </c>
      <c r="AW23" s="149" t="inlineStr">
        <is>
          <t>Not disclosed</t>
        </is>
      </c>
      <c r="AX23" s="145" t="n"/>
      <c r="AY23" s="149" t="n"/>
      <c r="AZ23" s="149" t="n"/>
      <c r="BA23" s="149" t="n"/>
      <c r="BB23" s="149" t="inlineStr">
        <is>
          <t>Not disclosed</t>
        </is>
      </c>
      <c r="BC23" s="149" t="n"/>
      <c r="BD23" s="145" t="n"/>
      <c r="BE23" s="145" t="inlineStr">
        <is>
          <t>Not disclosed</t>
        </is>
      </c>
      <c r="BF23" s="145" t="n"/>
      <c r="BG23" s="145" t="n"/>
      <c r="BH23" s="145" t="n"/>
      <c r="BI23" s="145" t="n"/>
      <c r="BJ23" s="145" t="n"/>
      <c r="BK23" s="145" t="n"/>
      <c r="BL23" s="145" t="n"/>
      <c r="BM23" s="145" t="n"/>
      <c r="BN23" s="145" t="n"/>
      <c r="BO23" s="149" t="n"/>
      <c r="BP23" s="145" t="inlineStr">
        <is>
          <t>Not disclosed</t>
        </is>
      </c>
      <c r="BQ23" s="149" t="inlineStr">
        <is>
          <t>Consumer / Smart home / Companion / Light research</t>
        </is>
      </c>
      <c r="BR23" s="149" t="inlineStr">
        <is>
          <t>Limited / Consumer focus</t>
        </is>
      </c>
      <c r="BS23" s="149" t="n"/>
      <c r="BT23" s="145" t="n"/>
      <c r="BU23" s="145" t="n"/>
      <c r="BV23" s="149" t="inlineStr">
        <is>
          <t>AI robot dog; Jetson; voice &amp; app; not primary industrial</t>
        </is>
      </c>
      <c r="BW23" s="149" t="inlineStr">
        <is>
          <t>Origin &amp; status — China · Limited / Consumer focus · 2023 | Mobility — 12 DOF · Payload ≈ 7 lb class · Top speed Up to 7.8 mph | Sensing &amp; software — AI camera suite for companion behaviors | Buying notes — $1,500 – $3,000+ · 12 months manufacturer standard (typical) · Best fit: AI robot dog; Jetson; voice &amp; app; not primary industrial</t>
        </is>
      </c>
      <c r="BX23" s="149" t="inlineStr">
        <is>
          <t>as_shipped|CyberDog 2|1800|As shipped</t>
        </is>
      </c>
      <c r="BY23" s="145" t="inlineStr">
        <is>
          <t>cyberdog_2|Manufacturer finish|#e2e8f0|0</t>
        </is>
      </c>
      <c r="BZ23" s="145" t="inlineStr"/>
      <c r="CA23" s="149" t="inlineStr">
        <is>
          <t>Add-ons: case; 2 color options; Multi-year extended warranty available</t>
        </is>
      </c>
      <c r="CB23" s="149" t="inlineStr">
        <is>
          <t>12 months manufacturer standard (typical)</t>
        </is>
      </c>
      <c r="CC23" s="147" t="n">
        <v>12</v>
      </c>
      <c r="CD23" s="149" t="inlineStr">
        <is>
          <t>+3 Year Extended ≈24% of configuration (default in configurator)</t>
        </is>
      </c>
      <c r="CE23" s="145" t="inlineStr">
        <is>
          <t>Quadruped category norm</t>
        </is>
      </c>
      <c r="CF23" s="145" t="inlineStr">
        <is>
          <t>Estimated</t>
        </is>
      </c>
      <c r="CG23" s="149" t="inlineStr">
        <is>
          <t>Confirm configuration-specific term on quote.</t>
        </is>
      </c>
      <c r="CH23" s="145" t="inlineStr">
        <is>
          <t>10%</t>
        </is>
      </c>
      <c r="CI23" s="145" t="inlineStr">
        <is>
          <t>17%</t>
        </is>
      </c>
      <c r="CJ23" s="145" t="inlineStr">
        <is>
          <t>24%</t>
        </is>
      </c>
      <c r="CK23"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3"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3" s="145" t="inlineStr">
        <is>
          <t>12 months manufacturer standard (typical)</t>
        </is>
      </c>
    </row>
    <row r="24" ht="31.5" customHeight="1" s="102">
      <c r="A24" s="143" t="inlineStr">
        <is>
          <t>xiaomi_cyberdog_2_pro_cyberdog_2_pro</t>
        </is>
      </c>
      <c r="B24" s="160" t="inlineStr">
        <is>
          <t>Website</t>
        </is>
      </c>
      <c r="C24" s="145" t="inlineStr">
        <is>
          <t>Xiaomi</t>
        </is>
      </c>
      <c r="D24" s="145" t="inlineStr">
        <is>
          <t>CyberDog 2 Pro</t>
        </is>
      </c>
      <c r="E24" s="145" t="inlineStr">
        <is>
          <t>[Xiaomi] CyberDog 2 Pro (2023)</t>
        </is>
      </c>
      <c r="F24" s="163" t="inlineStr">
        <is>
          <t>campanionoid</t>
        </is>
      </c>
      <c r="G24" s="145" t="inlineStr">
        <is>
          <t>China</t>
        </is>
      </c>
      <c r="H24" s="147" t="n">
        <v>2023</v>
      </c>
      <c r="I24" s="148" t="n">
        <v>2500</v>
      </c>
      <c r="J24" s="145" t="inlineStr">
        <is>
          <t>Robot Price Index Aug 2026</t>
        </is>
      </c>
      <c r="K24" s="149" t="inlineStr">
        <is>
          <t>[Xiaomi] CyberDog 2 Pro (2023) is a quadruped from Xiaomi (China, 2023), positioned for consumer.</t>
        </is>
      </c>
      <c r="L24" s="101" t="inlineStr">
        <is>
          <t>[Xiaomi] CyberDog 2 Pro (2023) is a quadruped from Xiaomi (China, 2023), positioned for consumer.</t>
        </is>
      </c>
      <c r="M24" s="101" t="inlineStr">
        <is>
          <t>CyberDog 2 Pro is Xiaomi's quadruped, introduced around 2023 in China. [Xiaomi] CyberDog 2 Pro (2023) is a quadruped from Xiaomi (China, 2023), positioned for consumer. Public status is listed as limited / Consumer focus, and it is positioned for consumer / Smart home / Companion / Light research.</t>
        </is>
      </c>
      <c r="N24" s="145" t="n"/>
      <c r="O24" s="145" t="inlineStr">
        <is>
          <t>https://www.xiaomi.com</t>
        </is>
      </c>
      <c r="P24" s="145" t="inlineStr">
        <is>
          <t>Not disclosed</t>
        </is>
      </c>
      <c r="Q24" s="145" t="n"/>
      <c r="R24" s="145" t="inlineStr">
        <is>
          <t>≈ 20–33 lb class</t>
        </is>
      </c>
      <c r="S24" s="145" t="n"/>
      <c r="T24" s="149" t="inlineStr">
        <is>
          <t>Not disclosed</t>
        </is>
      </c>
      <c r="U24" s="145" t="n"/>
      <c r="V24" s="145" t="inlineStr">
        <is>
          <t>12 DOF</t>
        </is>
      </c>
      <c r="W24" s="149" t="n"/>
      <c r="X24" s="145" t="inlineStr">
        <is>
          <t>≈ 7 lb class</t>
        </is>
      </c>
      <c r="Y24" s="145" t="n"/>
      <c r="Z24" s="145" t="inlineStr">
        <is>
          <t>Up to 7.8 mph</t>
        </is>
      </c>
      <c r="AA24" s="145" t="n"/>
      <c r="AB24" s="145" t="n"/>
      <c r="AC24" s="149" t="inlineStr">
        <is>
          <t>Not disclosed</t>
        </is>
      </c>
      <c r="AD24" s="149" t="n"/>
      <c r="AE24" s="145" t="n"/>
      <c r="AF24" s="145" t="inlineStr">
        <is>
          <t>Not disclosed</t>
        </is>
      </c>
      <c r="AG24" s="149" t="n"/>
      <c r="AH24" s="145" t="n"/>
      <c r="AI24" s="145" t="n"/>
      <c r="AJ24" s="149" t="inlineStr">
        <is>
          <t>AI camera suite for companion behaviors</t>
        </is>
      </c>
      <c r="AK24" s="149" t="n"/>
      <c r="AL24" s="145" t="inlineStr">
        <is>
          <t>On-device capture and app streaming</t>
        </is>
      </c>
      <c r="AM24" s="145" t="n"/>
      <c r="AN24" s="145" t="inlineStr">
        <is>
          <t>Not disclosed</t>
        </is>
      </c>
      <c r="AO24" s="145" t="inlineStr">
        <is>
          <t>Voice interaction microphones</t>
        </is>
      </c>
      <c r="AP24" s="145" t="inlineStr">
        <is>
          <t>Voice interaction microphones</t>
        </is>
      </c>
      <c r="AQ24" s="145" t="n"/>
      <c r="AR24" s="145" t="inlineStr">
        <is>
          <t>Not disclosed</t>
        </is>
      </c>
      <c r="AS24" s="145" t="inlineStr">
        <is>
          <t>Not disclosed</t>
        </is>
      </c>
      <c r="AT24" s="149" t="n"/>
      <c r="AU24" s="149" t="inlineStr">
        <is>
          <t>Not disclosed</t>
        </is>
      </c>
      <c r="AV24" s="145" t="inlineStr">
        <is>
          <t>Xiaomi/CyberDog app</t>
        </is>
      </c>
      <c r="AW24" s="149" t="inlineStr">
        <is>
          <t>Not disclosed</t>
        </is>
      </c>
      <c r="AX24" s="145" t="n"/>
      <c r="AY24" s="149" t="n"/>
      <c r="AZ24" s="149" t="n"/>
      <c r="BA24" s="149" t="n"/>
      <c r="BB24" s="149" t="inlineStr">
        <is>
          <t>Not disclosed</t>
        </is>
      </c>
      <c r="BC24" s="149" t="n"/>
      <c r="BD24" s="145" t="n"/>
      <c r="BE24" s="145" t="inlineStr">
        <is>
          <t>Not disclosed</t>
        </is>
      </c>
      <c r="BF24" s="145" t="n"/>
      <c r="BG24" s="145" t="n"/>
      <c r="BH24" s="145" t="n"/>
      <c r="BI24" s="145" t="n"/>
      <c r="BJ24" s="145" t="n"/>
      <c r="BK24" s="145" t="n"/>
      <c r="BL24" s="145" t="n"/>
      <c r="BM24" s="145" t="n"/>
      <c r="BN24" s="145" t="n"/>
      <c r="BO24" s="149" t="n"/>
      <c r="BP24" s="145" t="inlineStr">
        <is>
          <t>Not disclosed</t>
        </is>
      </c>
      <c r="BQ24" s="149" t="inlineStr">
        <is>
          <t>Consumer / Smart home / Companion / Light research</t>
        </is>
      </c>
      <c r="BR24" s="149" t="inlineStr">
        <is>
          <t>Limited / Consumer focus</t>
        </is>
      </c>
      <c r="BS24" s="149" t="n"/>
      <c r="BT24" s="145" t="n"/>
      <c r="BU24" s="145" t="n"/>
      <c r="BV24" s="149" t="inlineStr">
        <is>
          <t>AI robot dog; Jetson; voice &amp; app; not primary industrial</t>
        </is>
      </c>
      <c r="BW24" s="149" t="inlineStr">
        <is>
          <t>Origin &amp; status — China · Limited / Consumer focus · 2023 | Mobility — 12 DOF · Payload ≈ 7 lb class · Top speed Up to 7.8 mph | Sensing &amp; software — AI camera suite for companion behaviors | Buying notes — $1,500 – $3,000+ · 12 months manufacturer standard (typical) · Best fit: AI robot dog; Jetson; voice &amp; app; not primary industrial</t>
        </is>
      </c>
      <c r="BX24" s="149" t="inlineStr">
        <is>
          <t>as_shipped|CyberDog 2 Pro|2500|As shipped</t>
        </is>
      </c>
      <c r="BY24" s="145" t="inlineStr">
        <is>
          <t>cyberdog_2_pro|Manufacturer finish|#e2e8f0|0</t>
        </is>
      </c>
      <c r="BZ24" s="145" t="inlineStr"/>
      <c r="CA24" s="149" t="inlineStr">
        <is>
          <t>Add-ons: case; 2 color options; Multi-year extended warranty available</t>
        </is>
      </c>
      <c r="CB24" s="149" t="inlineStr">
        <is>
          <t>12 months manufacturer standard (typical)</t>
        </is>
      </c>
      <c r="CC24" s="147" t="n">
        <v>12</v>
      </c>
      <c r="CD24" s="149" t="inlineStr">
        <is>
          <t>+3 Year Extended ≈24% of configuration (default in configurator)</t>
        </is>
      </c>
      <c r="CE24" s="145" t="inlineStr">
        <is>
          <t>Quadruped category norm</t>
        </is>
      </c>
      <c r="CF24" s="145" t="inlineStr">
        <is>
          <t>Estimated</t>
        </is>
      </c>
      <c r="CG24" s="149" t="inlineStr">
        <is>
          <t>Confirm configuration-specific term on quote.</t>
        </is>
      </c>
      <c r="CH24" s="145" t="inlineStr">
        <is>
          <t>10%</t>
        </is>
      </c>
      <c r="CI24" s="145" t="inlineStr">
        <is>
          <t>17%</t>
        </is>
      </c>
      <c r="CJ24" s="145" t="inlineStr">
        <is>
          <t>24%</t>
        </is>
      </c>
      <c r="CK24"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4"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4" s="145" t="inlineStr">
        <is>
          <t>12 months manufacturer standard (typical)</t>
        </is>
      </c>
    </row>
    <row r="25" ht="31.5" customHeight="1" s="102">
      <c r="A25" s="143" t="inlineStr">
        <is>
          <t>go2</t>
        </is>
      </c>
      <c r="B25" s="160" t="inlineStr">
        <is>
          <t>Website</t>
        </is>
      </c>
      <c r="C25" s="145" t="inlineStr">
        <is>
          <t>Unitree</t>
        </is>
      </c>
      <c r="D25" s="145" t="inlineStr">
        <is>
          <t>Go2</t>
        </is>
      </c>
      <c r="E25" s="145" t="inlineStr">
        <is>
          <t>[Unitree] Go2 (2023)</t>
        </is>
      </c>
      <c r="F25" s="163" t="inlineStr">
        <is>
          <t>campanionoid</t>
        </is>
      </c>
      <c r="G25" s="145" t="inlineStr">
        <is>
          <t>China</t>
        </is>
      </c>
      <c r="H25" s="147" t="n">
        <v>2023</v>
      </c>
      <c r="I25" s="148" t="n">
        <v>1600</v>
      </c>
      <c r="J25" s="145" t="inlineStr">
        <is>
          <t>Website store</t>
        </is>
      </c>
      <c r="K25" s="149" t="inlineStr">
        <is>
          <t>Go2 is Unitree's quadruped — 12 (3 per leg) DOF, ≈ 15–18 lb continuous payload, Air ≈ 5.6 mph · Pro/EDU ≈ 7.8–8.3 mph. Unitree 4D LiDAR L1 (360° × 90°, ≈2 in minimum range class); aimed at first robot dog, education, demos, entry research fleets.</t>
        </is>
      </c>
      <c r="L25" s="101" t="inlineStr">
        <is>
          <t>Go2 is Unitree's quadruped — 12 (3 per leg) DOF, ≈ 15–18 lb continuous payload, Air ≈ 5.6 mph · Pro/EDU ≈ 7.8–8.3 mph. Unitree 4D LiDAR L1 (360° × 90°, ≈2 in minimum range class); aimed at first robot dog, education, demos, entry research fleets.</t>
        </is>
      </c>
      <c r="M25" s="101" t="inlineStr">
        <is>
          <t>Go2 is the 2023 consumer follow-on to Unitree’s Go1 and A1 quadrupeds. It put 4D LiDAR and app control into a price band that turned robot dogs into a retail category rather than a lab curiosity. Air, Pro, and EDU remain the three public trims.</t>
        </is>
      </c>
      <c r="N25" s="145" t="n"/>
      <c r="O25" s="145" t="inlineStr">
        <is>
          <t>https://www.unitree.com</t>
        </is>
      </c>
      <c r="P25" s="145" t="inlineStr">
        <is>
          <t>Not disclosed</t>
        </is>
      </c>
      <c r="Q25" s="145" t="n"/>
      <c r="R25" s="145" t="inlineStr">
        <is>
          <t>≈ 33 lb with battery</t>
        </is>
      </c>
      <c r="S25" s="145" t="n"/>
      <c r="T25" s="149" t="inlineStr">
        <is>
          <t>≈ 28 × 12 × 16 in</t>
        </is>
      </c>
      <c r="U25" s="145" t="n"/>
      <c r="V25" s="145" t="inlineStr">
        <is>
          <t>12 (3 per leg) DOF</t>
        </is>
      </c>
      <c r="W25" s="149" t="n"/>
      <c r="X25" s="145" t="inlineStr">
        <is>
          <t>≈ 15–18 lb continuous</t>
        </is>
      </c>
      <c r="Y25" s="145" t="n"/>
      <c r="Z25" s="145" t="inlineStr">
        <is>
          <t>Air ≈ 5.6 mph · Pro/EDU ≈ 7.8–8.3 mph</t>
        </is>
      </c>
      <c r="AA25" s="145" t="n"/>
      <c r="AB25" s="145" t="n"/>
      <c r="AC25" s="149" t="inlineStr">
        <is>
          <t>8 000 mAh (1–2 h) · long-range 15 000 mAh option (2–4 h)</t>
        </is>
      </c>
      <c r="AD25" s="149" t="n"/>
      <c r="AE25" s="145" t="n"/>
      <c r="AF25" s="145" t="inlineStr">
        <is>
          <t>Standard and optional fast charger; hot-swap battery on supported packs</t>
        </is>
      </c>
      <c r="AG25" s="149" t="n"/>
      <c r="AH25" s="145" t="n"/>
      <c r="AI25" s="145" t="n"/>
      <c r="AJ25" s="149" t="inlineStr">
        <is>
          <t>Vision suite for service and interaction tasks</t>
        </is>
      </c>
      <c r="AK25" s="149" t="n"/>
      <c r="AL25" s="145" t="inlineStr">
        <is>
          <t>Live streaming via app; resolution depends on controller / EDU compute path</t>
        </is>
      </c>
      <c r="AM25" s="145" t="n"/>
      <c r="AN25" s="145" t="inlineStr">
        <is>
          <t>Unitree 4D LiDAR L1 (360° × 90°, ≈2 in minimum range class)</t>
        </is>
      </c>
      <c r="AO25" s="145" t="n"/>
      <c r="AP25" s="145" t="inlineStr">
        <is>
          <t>4D LiDAR, wide-angle camera, IMU</t>
        </is>
      </c>
      <c r="AQ25" s="145" t="n"/>
      <c r="AR25" s="145" t="inlineStr">
        <is>
          <t>Not disclosed</t>
        </is>
      </c>
      <c r="AS25" s="145" t="inlineStr">
        <is>
          <t>Basic controller (Air) · optional Jetson Orin 40–100 TOPS (EDU)</t>
        </is>
      </c>
      <c r="AT25" s="149" t="n"/>
      <c r="AU25" s="149" t="inlineStr">
        <is>
          <t>Wi-Fi 6, Bluetooth 5.2 · 4G on higher tiers</t>
        </is>
      </c>
      <c r="AV25" s="145" t="inlineStr">
        <is>
          <t>Service-robot software stack</t>
        </is>
      </c>
      <c r="AW25" s="149" t="inlineStr">
        <is>
          <t>Obstacle perception via LiDAR + camera; programmed gait modes</t>
        </is>
      </c>
      <c r="AX25" s="145" t="n"/>
      <c r="AY25" s="149" t="n"/>
      <c r="AZ25" s="149" t="n"/>
      <c r="BA25" s="149" t="n"/>
      <c r="BB25" s="149" t="inlineStr">
        <is>
          <t>Not disclosed</t>
        </is>
      </c>
      <c r="BC25" s="149" t="n"/>
      <c r="BD25" s="145" t="n"/>
      <c r="BE25" s="145" t="inlineStr">
        <is>
          <t>IP-class outdoor use on Pro/EDU (confirm exact rating on configuration)</t>
        </is>
      </c>
      <c r="BF25" s="145" t="n"/>
      <c r="BG25" s="145" t="n"/>
      <c r="BH25" s="145" t="n"/>
      <c r="BI25" s="145" t="n"/>
      <c r="BJ25" s="145" t="n"/>
      <c r="BK25" s="145" t="n"/>
      <c r="BL25" s="145" t="n"/>
      <c r="BM25" s="145" t="n"/>
      <c r="BN25" s="145" t="n"/>
      <c r="BO25" s="149" t="n"/>
      <c r="BP25" s="145" t="inlineStr">
        <is>
          <t>Not disclosed</t>
        </is>
      </c>
      <c r="BQ25" s="149" t="inlineStr">
        <is>
          <t>Families, STEM classrooms, content creators, and light outdoor exploring where cost and availability matter most.</t>
        </is>
      </c>
      <c r="BR25" s="149" t="inlineStr">
        <is>
          <t>Not disclosed</t>
        </is>
      </c>
      <c r="BS25" s="149" t="n"/>
      <c r="BT25" s="145" t="n"/>
      <c r="BU25" s="145" t="n"/>
      <c r="BV25" s="149" t="n"/>
      <c r="BW25" s="149" t="inlineStr">
        <is>
          <t>Origin &amp; status — China · 2023 | Mobility — 12 (3 per leg) DOF · Payload ≈ 15–18 lb continuous · Top speed Air ≈ 5.6 mph · Pro/EDU ≈ 7.8–8.3 mph · IP-class outdoor use on Pro/EDU (confirm exact rating on config… | Sensing &amp; software — Unitree 4D LiDAR L1 (360° × 90°, ≈2 in minimum range class) | Buying notes — $1,600 · 6 mo Air / 12 mo Pro &amp; EDU · Best fit: First robot dog, education, demos, entry research fleets</t>
        </is>
      </c>
      <c r="BX25" s="149" t="inlineStr">
        <is>
          <t>air|Go2 Air|1600|Entry companion || pro|Go2 Pro|2800|Full consumer || edu|Go2 EDU|11190|Research / SDK</t>
        </is>
      </c>
      <c r="BY25" s="145" t="inlineStr">
        <is>
          <t>white|Arctic White|#f0f0f0|0 || black|Graphite Black|#1a1a1a|0 || blue|Unitree Blue|#2563eb|0</t>
        </is>
      </c>
      <c r="BZ25" s="145" t="inlineStr">
        <is>
          <t>battery_go2, battery_go2_long, charger_go2, charger_go2_fast, controller_go2, servo_arm_go2</t>
        </is>
      </c>
      <c r="CA25" s="149" t="inlineStr">
        <is>
          <t>3 configuration tiers; Add-ons: battery_d1, skin_d1, case; 2 color options; Multi-year extended warranty available</t>
        </is>
      </c>
      <c r="CB25" s="149" t="inlineStr">
        <is>
          <t>12 months manufacturer standard (typical by tier)</t>
        </is>
      </c>
      <c r="CC25" s="147" t="n">
        <v>12</v>
      </c>
      <c r="CD25" s="149" t="inlineStr">
        <is>
          <t>+3 Year Extended ≈24% of configuration (default in configurator)</t>
        </is>
      </c>
      <c r="CE25" s="145" t="inlineStr">
        <is>
          <t>Category norm for AgiBot commercial platforms</t>
        </is>
      </c>
      <c r="CF25" s="145" t="inlineStr">
        <is>
          <t>Estimated</t>
        </is>
      </c>
      <c r="CG25" s="149" t="inlineStr">
        <is>
          <t>Confirm tier-specific term on formal quote.</t>
        </is>
      </c>
      <c r="CH25" s="145" t="inlineStr">
        <is>
          <t>10%</t>
        </is>
      </c>
      <c r="CI25" s="145" t="inlineStr">
        <is>
          <t>17%</t>
        </is>
      </c>
      <c r="CJ25" s="145" t="inlineStr">
        <is>
          <t>24%</t>
        </is>
      </c>
      <c r="CK2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5" s="145" t="inlineStr">
        <is>
          <t>12 months manufacturer standard (typical by tier)</t>
        </is>
      </c>
    </row>
    <row r="26" ht="31.5" customHeight="1" s="102">
      <c r="A26" s="143" t="inlineStr">
        <is>
          <t>spot</t>
        </is>
      </c>
      <c r="B26" s="160" t="inlineStr">
        <is>
          <t>Website</t>
        </is>
      </c>
      <c r="C26" s="145" t="inlineStr">
        <is>
          <t>Boston Dynamics</t>
        </is>
      </c>
      <c r="D26" s="145" t="inlineStr">
        <is>
          <t>Spot</t>
        </is>
      </c>
      <c r="E26" s="145" t="inlineStr">
        <is>
          <t>[Boston Dynamics] Spot (2020)</t>
        </is>
      </c>
      <c r="F26" s="163" t="inlineStr">
        <is>
          <t>campanionoid</t>
        </is>
      </c>
      <c r="G26" s="145" t="inlineStr">
        <is>
          <t>China</t>
        </is>
      </c>
      <c r="H26" s="147" t="n">
        <v>2020</v>
      </c>
      <c r="I26" s="148" t="n">
        <v>74500</v>
      </c>
      <c r="J26" s="145" t="inlineStr">
        <is>
          <t>2026 configured public-record band (Explorer $74.5k list retired)</t>
        </is>
      </c>
      <c r="K26" s="149" t="inlineStr">
        <is>
          <t>Spot is Boston Dynamics's quadruped — 12 (3 per leg) DOF, ≈ 31 lb recommended total payload payload, ≈ 3.6 mph (1.6 m/s nominal). Optional payload LiDAR and sensor packages; aimed at inspection, mapping, hazardous environments.</t>
        </is>
      </c>
      <c r="L26" s="101" t="inlineStr">
        <is>
          <t>Spot is Boston Dynamics's quadruped — 12 (3 per leg) DOF, ≈ 31 lb recommended total payload payload, ≈ 3.6 mph (1.6 m/s nominal). Optional payload LiDAR and sensor packages; aimed at inspection, mapping, hazardous environments.</t>
        </is>
      </c>
      <c r="M26" s="101" t="inlineStr">
        <is>
          <t>Boston Dynamics spent years on BigDog and LS3 before productizing Spot in 2020. Spot is the company’s first commercially sold robot at scale — an industrial quadruped used for inspection, mapping, and payload work rather than a research demo. Explorer, Enterprise, and Arm packages are the public configurations.</t>
        </is>
      </c>
      <c r="N26" s="145" t="n"/>
      <c r="O26" s="145" t="inlineStr">
        <is>
          <t>https://www.bostondynamics.com</t>
        </is>
      </c>
      <c r="P26" s="145" t="inlineStr">
        <is>
          <t>≈ 2 ft 0 in default walking (min ≈ 1 ft 8.5 in · max ≈ 2 ft 3.6 in · sitting ≈ 0 ft 7.5 in)</t>
        </is>
      </c>
      <c r="Q26" s="145" t="n"/>
      <c r="R26" s="145" t="inlineStr">
        <is>
          <t>≈ 72–75 lb with battery</t>
        </is>
      </c>
      <c r="S26" s="145" t="n"/>
      <c r="T26" s="149" t="inlineStr">
        <is>
          <t>≈ 43.3 × 19.7 × 24.0 in (L × W × default walking height; max walking height ≈ 27.6 in)</t>
        </is>
      </c>
      <c r="U26" s="145" t="n"/>
      <c r="V26" s="145" t="inlineStr">
        <is>
          <t>12 DOF</t>
        </is>
      </c>
      <c r="W26" s="149" t="n"/>
      <c r="X26" s="145" t="inlineStr">
        <is>
          <t>≈ 31 lb recommended total payload</t>
        </is>
      </c>
      <c r="Y26" s="145" t="n"/>
      <c r="Z26" s="145" t="inlineStr">
        <is>
          <t>≈ 3.6 mph (1.6 m/s nominal)</t>
        </is>
      </c>
      <c r="AA26" s="145" t="n"/>
      <c r="AB26" s="145" t="n"/>
      <c r="AC26" s="149" t="inlineStr">
        <is>
          <t>≈ 564 Wh · typical runtime ≈ 90 min (≈ 60 min with powered payloads)</t>
        </is>
      </c>
      <c r="AD26" s="149" t="n"/>
      <c r="AE26" s="145" t="n"/>
      <c r="AF26" s="145" t="inlineStr">
        <is>
          <t>Spot Dock ≈ 50–120 min depending on conditions; hot-swap battery ≈ 11.5 lb</t>
        </is>
      </c>
      <c r="AG26" s="149" t="n"/>
      <c r="AH26" s="145" t="n"/>
      <c r="AI26" s="145" t="n"/>
      <c r="AJ26" s="149" t="inlineStr">
        <is>
          <t>Vision suite for service and interaction tasks</t>
        </is>
      </c>
      <c r="AK26" s="149" t="n"/>
      <c r="AL26" s="145" t="inlineStr">
        <is>
          <t>360° situational video; livestream and recording with optional payload cameras</t>
        </is>
      </c>
      <c r="AM26" s="145" t="n"/>
      <c r="AN26" s="145" t="inlineStr">
        <is>
          <t>Optional payload LiDAR and sensor packages</t>
        </is>
      </c>
      <c r="AO26" s="145" t="n"/>
      <c r="AP26" s="145" t="inlineStr">
        <is>
          <t>Projected stereo depth ≈ 13 ft range; 360° optical coverage</t>
        </is>
      </c>
      <c r="AQ26" s="145" t="n"/>
      <c r="AR26" s="145" t="inlineStr">
        <is>
          <t>Not disclosed</t>
        </is>
      </c>
      <c r="AS26" s="145" t="inlineStr">
        <is>
          <t>Not disclosed</t>
        </is>
      </c>
      <c r="AT26" s="149" t="n"/>
      <c r="AU26" s="149" t="inlineStr">
        <is>
          <t>Not disclosed</t>
        </is>
      </c>
      <c r="AV26" s="145" t="inlineStr">
        <is>
          <t>Service-robot software stack</t>
        </is>
      </c>
      <c r="AW26" s="149" t="inlineStr">
        <is>
          <t>Dynamic stair and terrain mobility; autonomous mission routes</t>
        </is>
      </c>
      <c r="AX26" s="145" t="n"/>
      <c r="AY26" s="149" t="n"/>
      <c r="AZ26" s="149" t="n"/>
      <c r="BA26" s="149" t="n"/>
      <c r="BB26" s="149" t="inlineStr">
        <is>
          <t>Not disclosed</t>
        </is>
      </c>
      <c r="BC26" s="149" t="n"/>
      <c r="BD26" s="145" t="n"/>
      <c r="BE26" s="145" t="inlineStr">
        <is>
          <t>IP54</t>
        </is>
      </c>
      <c r="BF26" s="145" t="n"/>
      <c r="BG26" s="145" t="n"/>
      <c r="BH26" s="145" t="n"/>
      <c r="BI26" s="145" t="n"/>
      <c r="BJ26" s="145" t="n"/>
      <c r="BK26" s="145" t="n"/>
      <c r="BL26" s="145" t="n"/>
      <c r="BM26" s="145" t="n"/>
      <c r="BN26" s="145" t="n"/>
      <c r="BO26" s="149" t="n"/>
      <c r="BP26" s="145" t="inlineStr">
        <is>
          <t>Industrial indoor/outdoor inspection environments</t>
        </is>
      </c>
      <c r="BQ26" s="149" t="inlineStr">
        <is>
          <t>Industrial inspection, public safety, and research groups that need a mature, supported quadruped platform.</t>
        </is>
      </c>
      <c r="BR26" s="149" t="inlineStr">
        <is>
          <t>Not disclosed</t>
        </is>
      </c>
      <c r="BS26" s="149" t="n"/>
      <c r="BT26" s="145" t="n"/>
      <c r="BU26" s="145" t="n"/>
      <c r="BV26" s="149" t="n"/>
      <c r="BW26" s="149" t="inlineStr">
        <is>
          <t>Origin &amp; status — China · 2020 | Mobility — 12 DOF · Payload ≈ 31 lb recommended total payload · Top speed ≈ 3.6 mph (1.6 m/s nominal) · IP54 | Sensing &amp; software — Optional payload LiDAR and sensor packages | Buying notes — $74,500 · 12 months manufacturer standard (typical by tier) · Best fit: Inspection, mapping, hazardous environments</t>
        </is>
      </c>
      <c r="BX26" s="149" t="inlineStr">
        <is>
          <t>explorer|Spot Explorer|74500|Core mobility || enterprise|Spot Enterprise|94500|Site ops || arm|Spot + Arm|124500|Mobile manipulation</t>
        </is>
      </c>
      <c r="BY26" s="145" t="inlineStr">
        <is>
          <t>yellow|Spot Yellow|#eab308|0</t>
        </is>
      </c>
      <c r="BZ26" s="145" t="inlineStr">
        <is>
          <t>spot_dock, spot_cam, arm_spot, orbit_software</t>
        </is>
      </c>
      <c r="CA26" s="149" t="inlineStr">
        <is>
          <t>3 configuration tiers; Add-ons: battery_d1, skin_d1, case; 2 color options; Multi-year extended warranty available</t>
        </is>
      </c>
      <c r="CB26" s="149" t="inlineStr">
        <is>
          <t>12 months manufacturer standard (typical by tier)</t>
        </is>
      </c>
      <c r="CC26" s="147" t="n">
        <v>12</v>
      </c>
      <c r="CD26" s="149" t="inlineStr">
        <is>
          <t>+3 Year Extended ≈24% of configuration (default in configurator)</t>
        </is>
      </c>
      <c r="CE26" s="145" t="inlineStr">
        <is>
          <t>Category norm for AgiBot commercial platforms</t>
        </is>
      </c>
      <c r="CF26" s="145" t="inlineStr">
        <is>
          <t>Estimated</t>
        </is>
      </c>
      <c r="CG26" s="149" t="inlineStr">
        <is>
          <t>Confirm tier-specific term on formal quote.</t>
        </is>
      </c>
      <c r="CH26" s="145" t="inlineStr">
        <is>
          <t>10%</t>
        </is>
      </c>
      <c r="CI26" s="145" t="inlineStr">
        <is>
          <t>17%</t>
        </is>
      </c>
      <c r="CJ26" s="145" t="inlineStr">
        <is>
          <t>24%</t>
        </is>
      </c>
      <c r="CK26"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6"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6" s="145" t="inlineStr">
        <is>
          <t>12 months manufacturer standard (typical by tier)</t>
        </is>
      </c>
    </row>
    <row r="27" ht="31.5" customHeight="1" s="102">
      <c r="A27" s="143" t="inlineStr">
        <is>
          <t>aimoga_robotics_argos_x1</t>
        </is>
      </c>
      <c r="B27" s="160" t="inlineStr">
        <is>
          <t>Website</t>
        </is>
      </c>
      <c r="C27" s="145" t="inlineStr">
        <is>
          <t>AiMOGA Robotics</t>
        </is>
      </c>
      <c r="D27" s="145" t="inlineStr">
        <is>
          <t>Argos X1</t>
        </is>
      </c>
      <c r="E27" s="145" t="inlineStr">
        <is>
          <t>[AiMOGA] Argos X1 (2025)</t>
        </is>
      </c>
      <c r="F27" s="163" t="inlineStr">
        <is>
          <t>campanionoid</t>
        </is>
      </c>
      <c r="G27" s="145" t="inlineStr">
        <is>
          <t>China</t>
        </is>
      </c>
      <c r="H27" s="147" t="n">
        <v>2025</v>
      </c>
      <c r="I27" s="148" t="n">
        <v>15800</v>
      </c>
      <c r="J27" s="145" t="inlineStr">
        <is>
          <t>Website store</t>
        </is>
      </c>
      <c r="K27" s="149" t="inlineStr">
        <is>
          <t>Argos X1 is AiMOGA Robotics's quadruped — 12 DOF, ≈ 5.6 mph. Optional or standard on mid/high tiers; aimed at enterprise.</t>
        </is>
      </c>
      <c r="L27" s="101" t="inlineStr">
        <is>
          <t>Argos X1 is AiMOGA Robotics's quadruped — 12 DOF, ≈ 5.6 mph. Optional or standard on mid/high tiers; aimed at enterprise.</t>
        </is>
      </c>
      <c r="M27" s="101" t="inlineStr">
        <is>
          <t>Argos X1 is AiMOGA Robotics's quadruped — 12 DOF, ≈ 5.6 mph. Optional or standard on mid/high tiers; aimed at enterprise. Public status is listed as available, and it is positioned for enterprise / Consumer crossover.</t>
        </is>
      </c>
      <c r="N27" s="145" t="n"/>
      <c r="O27" s="145" t="inlineStr">
        <is>
          <t>https://aimoga-robot.com</t>
        </is>
      </c>
      <c r="P27" s="145" t="inlineStr">
        <is>
          <t>Not disclosed</t>
        </is>
      </c>
      <c r="Q27" s="145" t="n"/>
      <c r="R27" s="145" t="inlineStr">
        <is>
          <t>≈ 30 lb</t>
        </is>
      </c>
      <c r="S27" s="145" t="n"/>
      <c r="T27" s="149" t="inlineStr">
        <is>
          <t>Not disclosed</t>
        </is>
      </c>
      <c r="U27" s="145" t="n"/>
      <c r="V27" s="145" t="inlineStr">
        <is>
          <t>12 DOF</t>
        </is>
      </c>
      <c r="W27" s="149" t="n"/>
      <c r="X27" s="145" t="inlineStr">
        <is>
          <t>Not disclosed</t>
        </is>
      </c>
      <c r="Y27" s="145" t="n"/>
      <c r="Z27" s="145" t="inlineStr">
        <is>
          <t>≈ 5.6 mph</t>
        </is>
      </c>
      <c r="AA27" s="145" t="n"/>
      <c r="AB27" s="145" t="n"/>
      <c r="AC27" s="149" t="inlineStr">
        <is>
          <t>Not disclosed</t>
        </is>
      </c>
      <c r="AD27" s="149" t="n"/>
      <c r="AE27" s="145" t="n"/>
      <c r="AF27" s="145" t="inlineStr">
        <is>
          <t>Not disclosed</t>
        </is>
      </c>
      <c r="AG27" s="149" t="n"/>
      <c r="AH27" s="145" t="n"/>
      <c r="AI27" s="145" t="n"/>
      <c r="AJ27" s="149" t="inlineStr">
        <is>
          <t>Vision suite for service and interaction tasks</t>
        </is>
      </c>
      <c r="AK27" s="149" t="n"/>
      <c r="AL27" s="145" t="inlineStr">
        <is>
          <t>Live view and recording when camera payload equipped</t>
        </is>
      </c>
      <c r="AM27" s="145" t="n"/>
      <c r="AN27" s="145" t="inlineStr">
        <is>
          <t>Optional or standard on mid/high tiers</t>
        </is>
      </c>
      <c r="AO27" s="145" t="n"/>
      <c r="AP27" s="145" t="inlineStr">
        <is>
          <t>Not disclosed</t>
        </is>
      </c>
      <c r="AQ27" s="145" t="n"/>
      <c r="AR27" s="145" t="inlineStr">
        <is>
          <t>Not disclosed</t>
        </is>
      </c>
      <c r="AS27" s="145" t="inlineStr">
        <is>
          <t>Not disclosed</t>
        </is>
      </c>
      <c r="AT27" s="149" t="n"/>
      <c r="AU27" s="149" t="inlineStr">
        <is>
          <t>Not disclosed</t>
        </is>
      </c>
      <c r="AV27" s="145" t="inlineStr">
        <is>
          <t>Service-robot software stack</t>
        </is>
      </c>
      <c r="AW27" s="149" t="inlineStr">
        <is>
          <t>Quadruped gait library with terrain adaptation on higher models</t>
        </is>
      </c>
      <c r="AX27" s="145" t="n"/>
      <c r="AY27" s="149" t="n"/>
      <c r="AZ27" s="149" t="n"/>
      <c r="BA27" s="149" t="n"/>
      <c r="BB27" s="149" t="inlineStr">
        <is>
          <t>Not disclosed</t>
        </is>
      </c>
      <c r="BC27" s="149" t="n"/>
      <c r="BD27" s="145" t="n"/>
      <c r="BE27" s="145" t="inlineStr">
        <is>
          <t>Not disclosed</t>
        </is>
      </c>
      <c r="BF27" s="145" t="n"/>
      <c r="BG27" s="145" t="n"/>
      <c r="BH27" s="145" t="n"/>
      <c r="BI27" s="145" t="n"/>
      <c r="BJ27" s="145" t="n"/>
      <c r="BK27" s="145" t="n"/>
      <c r="BL27" s="145" t="n"/>
      <c r="BM27" s="145" t="n"/>
      <c r="BN27" s="145" t="n"/>
      <c r="BO27" s="149" t="n"/>
      <c r="BP27" s="145" t="inlineStr">
        <is>
          <t>Not disclosed</t>
        </is>
      </c>
      <c r="BQ27" s="149" t="inlineStr">
        <is>
          <t>Teams evaluating Chinese quadrupeds beyond Unitree and Deep Robotics.</t>
        </is>
      </c>
      <c r="BR27" s="149" t="inlineStr">
        <is>
          <t>Available</t>
        </is>
      </c>
      <c r="BS27" s="149" t="n"/>
      <c r="BT27" s="145" t="n"/>
      <c r="BU27" s="145" t="n"/>
      <c r="BV27" s="149" t="n"/>
      <c r="BW27" s="149" t="inlineStr">
        <is>
          <t>Origin &amp; status — China · Available · 2025 | Mobility — 12 DOF · Payload Not disclosed · Top speed ≈ 5.6 mph | Sensing &amp; software — Optional or standard on mid/high tiers | Buying notes — $15,800 · 12 months manufacturer standard (typical by tier) · Best fit: Chery EV-backed; enterprise expanding to consumer</t>
        </is>
      </c>
      <c r="BX27" s="149" t="inlineStr">
        <is>
          <t>as_shipped|Argos X1|15800|As shipped</t>
        </is>
      </c>
      <c r="BY27" s="145" t="inlineStr">
        <is>
          <t>argos_x1|Manufacturer finish|#e2e8f0|0</t>
        </is>
      </c>
      <c r="BZ27" s="145" t="inlineStr"/>
      <c r="CA27" s="149" t="inlineStr">
        <is>
          <t>3 configuration tiers; Add-ons: battery_d1, skin_d1, case; 2 color options; Multi-year extended warranty available</t>
        </is>
      </c>
      <c r="CB27" s="149" t="inlineStr">
        <is>
          <t>12 months manufacturer standard (typical by tier)</t>
        </is>
      </c>
      <c r="CC27" s="147" t="n">
        <v>12</v>
      </c>
      <c r="CD27" s="149" t="inlineStr">
        <is>
          <t>+3 Year Extended ≈24% of configuration (default in configurator)</t>
        </is>
      </c>
      <c r="CE27" s="145" t="inlineStr">
        <is>
          <t>Category norm for AgiBot commercial platforms</t>
        </is>
      </c>
      <c r="CF27" s="145" t="inlineStr">
        <is>
          <t>Estimated</t>
        </is>
      </c>
      <c r="CG27" s="149" t="inlineStr">
        <is>
          <t>Confirm tier-specific term on formal quote.</t>
        </is>
      </c>
      <c r="CH27" s="145" t="inlineStr">
        <is>
          <t>10%</t>
        </is>
      </c>
      <c r="CI27" s="145" t="inlineStr">
        <is>
          <t>17%</t>
        </is>
      </c>
      <c r="CJ27" s="145" t="inlineStr">
        <is>
          <t>24%</t>
        </is>
      </c>
      <c r="CK27"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7"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7" s="145" t="inlineStr">
        <is>
          <t>12 months manufacturer standard (typical by tier)</t>
        </is>
      </c>
    </row>
    <row r="28" ht="31.5" customHeight="1" s="102">
      <c r="A28" s="143" t="inlineStr">
        <is>
          <t>unitree_aliengo_a1_a2_a2</t>
        </is>
      </c>
      <c r="B28" s="160" t="inlineStr">
        <is>
          <t>Website</t>
        </is>
      </c>
      <c r="C28" s="145" t="inlineStr">
        <is>
          <t>Unitree</t>
        </is>
      </c>
      <c r="D28" s="145" t="inlineStr">
        <is>
          <t>A2</t>
        </is>
      </c>
      <c r="E28" s="145" t="inlineStr">
        <is>
          <t>[Unitree] A2 (2019)</t>
        </is>
      </c>
      <c r="F28" s="163" t="inlineStr">
        <is>
          <t>campanionoid</t>
        </is>
      </c>
      <c r="G28" s="145" t="inlineStr">
        <is>
          <t>China</t>
        </is>
      </c>
      <c r="H28" s="147" t="n">
        <v>2019</v>
      </c>
      <c r="I28" s="148" t="n">
        <v>31900</v>
      </c>
      <c r="J28" s="145" t="inlineStr">
        <is>
          <t>Robot Price Index Aug 2026 · Stellar Explorer</t>
        </is>
      </c>
      <c r="K28" s="149" t="inlineStr">
        <is>
          <t>A2 is Unitree's quadruped — 12 DOF, ≈ 22–29 lb continuous payload, ≈ 3.4–4.0 mph class. Common on research Aliengo builds; aimed at research.</t>
        </is>
      </c>
      <c r="L28" s="101" t="inlineStr">
        <is>
          <t>A2 is Unitree's quadruped — 12 DOF, ≈ 22–29 lb continuous payload, ≈ 3.4–4.0 mph class. Common on research Aliengo builds; aimed at research.</t>
        </is>
      </c>
      <c r="M28" s="101" t="inlineStr">
        <is>
          <t>A2 is Unitree's quadruped — 12 DOF, ≈ 22–29 lb continuous payload, ≈ 3.4–4.0 mph class. Common on research Aliengo builds; aimed at research. It is positioned for research / Industrial.</t>
        </is>
      </c>
      <c r="N28" s="145" t="n"/>
      <c r="O28" s="145" t="inlineStr">
        <is>
          <t>https://www.unitree.com</t>
        </is>
      </c>
      <c r="P28" s="145" t="inlineStr">
        <is>
          <t>≈ 1 ft 10.4 in standing</t>
        </is>
      </c>
      <c r="Q28" s="145" t="n"/>
      <c r="R28" s="145" t="inlineStr">
        <is>
          <t>≈ 42–46 lb with battery (Aliengo class)</t>
        </is>
      </c>
      <c r="S28" s="145" t="n"/>
      <c r="T28" s="149" t="inlineStr">
        <is>
          <t>≈ 25.6 × 12.2 × 23.6 in (Aliengo class)</t>
        </is>
      </c>
      <c r="U28" s="145" t="n"/>
      <c r="V28" s="145" t="inlineStr">
        <is>
          <t>12 DOF</t>
        </is>
      </c>
      <c r="W28" s="149" t="n"/>
      <c r="X28" s="145" t="inlineStr">
        <is>
          <t>≈ 22–29 lb continuous</t>
        </is>
      </c>
      <c r="Y28" s="145" t="n"/>
      <c r="Z28" s="145" t="inlineStr">
        <is>
          <t>≈ 3.4–4.0 mph class</t>
        </is>
      </c>
      <c r="AA28" s="145" t="n"/>
      <c r="AB28" s="145" t="n"/>
      <c r="AC28" s="149" t="inlineStr">
        <is>
          <t>≈ 2.5–4.6 h · ≈ 12 600 mAh class pack</t>
        </is>
      </c>
      <c r="AD28" s="149" t="n"/>
      <c r="AE28" s="145" t="n"/>
      <c r="AF28" s="145" t="inlineStr">
        <is>
          <t>Not disclosed</t>
        </is>
      </c>
      <c r="AG28" s="149" t="n"/>
      <c r="AH28" s="145" t="n"/>
      <c r="AI28" s="145" t="n"/>
      <c r="AJ28" s="149" t="inlineStr">
        <is>
          <t>Vision suite for service and interaction tasks</t>
        </is>
      </c>
      <c r="AK28" s="149" t="n"/>
      <c r="AL28" s="145" t="inlineStr">
        <is>
          <t>Not disclosed</t>
        </is>
      </c>
      <c r="AM28" s="145" t="n"/>
      <c r="AN28" s="145" t="inlineStr">
        <is>
          <t>Common on research Aliengo builds</t>
        </is>
      </c>
      <c r="AO28" s="145" t="n"/>
      <c r="AP28" s="145" t="inlineStr">
        <is>
          <t>Foot force sensors; depth + VIO</t>
        </is>
      </c>
      <c r="AQ28" s="145" t="n"/>
      <c r="AR28" s="145" t="inlineStr">
        <is>
          <t>Not disclosed</t>
        </is>
      </c>
      <c r="AS28" s="145" t="inlineStr">
        <is>
          <t>Not disclosed</t>
        </is>
      </c>
      <c r="AT28" s="149" t="n"/>
      <c r="AU28" s="149" t="inlineStr">
        <is>
          <t>Not disclosed</t>
        </is>
      </c>
      <c r="AV28" s="145" t="inlineStr">
        <is>
          <t>Service-robot software stack</t>
        </is>
      </c>
      <c r="AW28" s="149" t="inlineStr">
        <is>
          <t>Research quadruped locomotion</t>
        </is>
      </c>
      <c r="AX28" s="145" t="n"/>
      <c r="AY28" s="149" t="n"/>
      <c r="AZ28" s="149" t="n"/>
      <c r="BA28" s="149" t="n"/>
      <c r="BB28" s="149" t="inlineStr">
        <is>
          <t>Not disclosed</t>
        </is>
      </c>
      <c r="BC28" s="149" t="n"/>
      <c r="BD28" s="145" t="n"/>
      <c r="BE28" s="145" t="inlineStr">
        <is>
          <t>Not disclosed</t>
        </is>
      </c>
      <c r="BF28" s="145" t="n"/>
      <c r="BG28" s="145" t="n"/>
      <c r="BH28" s="145" t="n"/>
      <c r="BI28" s="145" t="n"/>
      <c r="BJ28" s="145" t="n"/>
      <c r="BK28" s="145" t="n"/>
      <c r="BL28" s="145" t="n"/>
      <c r="BM28" s="145" t="n"/>
      <c r="BN28" s="145" t="n"/>
      <c r="BO28" s="149" t="n"/>
      <c r="BP28" s="145" t="inlineStr">
        <is>
          <t>Not disclosed</t>
        </is>
      </c>
      <c r="BQ28" s="149" t="inlineStr">
        <is>
          <t>Research labs and industrial teams needing proven Unitree quadrupeds beyond Go2.</t>
        </is>
      </c>
      <c r="BR28" s="149" t="inlineStr">
        <is>
          <t>Not disclosed</t>
        </is>
      </c>
      <c r="BS28" s="149" t="n"/>
      <c r="BT28" s="145" t="n"/>
      <c r="BU28" s="145" t="n"/>
      <c r="BV28" s="149" t="n"/>
      <c r="BW28" s="149" t="inlineStr">
        <is>
          <t>Origin &amp; status — China · 2019 | Mobility — 12 DOF · Payload ≈ 22–29 lb continuous · Top speed ≈ 3.4–4.0 mph class | Sensing &amp; software — Common on research Aliengo builds | Buying notes — $31,900 · 12 months manufacturer standard (typical by tier) · Best fit: Entry to higher research and industrial quadrupeds from Unitree</t>
        </is>
      </c>
      <c r="BX28" s="149" t="inlineStr">
        <is>
          <t>as_shipped|A2|31900|As shipped</t>
        </is>
      </c>
      <c r="BY28" s="145" t="inlineStr">
        <is>
          <t>a2|Manufacturer finish|#e2e8f0|0</t>
        </is>
      </c>
      <c r="BZ28" s="145" t="inlineStr"/>
      <c r="CA28" s="149" t="inlineStr">
        <is>
          <t>3 configuration tiers; Add-ons: battery_d1, skin_d1, case; 2 color options; Multi-year extended warranty available</t>
        </is>
      </c>
      <c r="CB28" s="149" t="inlineStr">
        <is>
          <t>12 months manufacturer standard (typical by tier)</t>
        </is>
      </c>
      <c r="CC28" s="147" t="n">
        <v>12</v>
      </c>
      <c r="CD28" s="149" t="inlineStr">
        <is>
          <t>+3 Year Extended ≈24% of configuration (default in configurator)</t>
        </is>
      </c>
      <c r="CE28" s="145" t="inlineStr">
        <is>
          <t>Category norm for AgiBot commercial platforms</t>
        </is>
      </c>
      <c r="CF28" s="145" t="inlineStr">
        <is>
          <t>Estimated</t>
        </is>
      </c>
      <c r="CG28" s="149" t="inlineStr">
        <is>
          <t>Confirm tier-specific term on formal quote.</t>
        </is>
      </c>
      <c r="CH28" s="145" t="inlineStr">
        <is>
          <t>10%</t>
        </is>
      </c>
      <c r="CI28" s="145" t="inlineStr">
        <is>
          <t>17%</t>
        </is>
      </c>
      <c r="CJ28" s="145" t="inlineStr">
        <is>
          <t>24%</t>
        </is>
      </c>
      <c r="CK28"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8"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8" s="145" t="inlineStr">
        <is>
          <t>12 months manufacturer standard (typical by tier)</t>
        </is>
      </c>
    </row>
    <row r="29" ht="31.5" customHeight="1" s="102">
      <c r="A29" s="143" t="inlineStr">
        <is>
          <t>weilan_industrial_quadruped</t>
        </is>
      </c>
      <c r="B29" s="160" t="inlineStr">
        <is>
          <t>Website</t>
        </is>
      </c>
      <c r="C29" s="145" t="inlineStr">
        <is>
          <t>Weilan</t>
        </is>
      </c>
      <c r="D29" s="145" t="inlineStr">
        <is>
          <t>Industrial Quadruped</t>
        </is>
      </c>
      <c r="E29" s="145" t="inlineStr">
        <is>
          <t>[Weilan] Industrial Quadruped (2022)</t>
        </is>
      </c>
      <c r="F29" s="163" t="inlineStr">
        <is>
          <t>campanionoid</t>
        </is>
      </c>
      <c r="G29" s="145" t="inlineStr">
        <is>
          <t>China</t>
        </is>
      </c>
      <c r="H29" s="147" t="n">
        <v>2022</v>
      </c>
      <c r="I29" s="148" t="n">
        <v>25000</v>
      </c>
      <c r="J29" s="145" t="inlineStr">
        <is>
          <t>Website store</t>
        </is>
      </c>
      <c r="K29" s="149" t="inlineStr">
        <is>
          <t>Industrial Quadruped is Weilan's quadruped. Optional or standard on mid/high tiers; aimed at industrial.</t>
        </is>
      </c>
      <c r="L29" s="101" t="inlineStr">
        <is>
          <t>Industrial Quadruped is Weilan's quadruped. Optional or standard on mid/high tiers; aimed at industrial.</t>
        </is>
      </c>
      <c r="M29" s="101" t="inlineStr">
        <is>
          <t>Industrial Quadruped is Weilan's quadruped. Optional or standard on mid/high tiers; aimed at industrial.</t>
        </is>
      </c>
      <c r="N29" s="145" t="n"/>
      <c r="O29" s="145" t="inlineStr">
        <is>
          <t>https://www.weilan.com</t>
        </is>
      </c>
      <c r="P29" s="145" t="inlineStr">
        <is>
          <t>Not disclosed</t>
        </is>
      </c>
      <c r="Q29" s="145" t="n"/>
      <c r="R29" s="145" t="inlineStr">
        <is>
          <t>Not disclosed</t>
        </is>
      </c>
      <c r="S29" s="145" t="n"/>
      <c r="T29" s="149" t="inlineStr">
        <is>
          <t>Not disclosed</t>
        </is>
      </c>
      <c r="U29" s="145" t="n"/>
      <c r="V29" s="145" t="inlineStr">
        <is>
          <t>Not disclosed</t>
        </is>
      </c>
      <c r="W29" s="149" t="n"/>
      <c r="X29" s="145" t="inlineStr">
        <is>
          <t>Not disclosed</t>
        </is>
      </c>
      <c r="Y29" s="145" t="n"/>
      <c r="Z29" s="145" t="inlineStr">
        <is>
          <t>Not disclosed</t>
        </is>
      </c>
      <c r="AA29" s="145" t="n"/>
      <c r="AB29" s="145" t="n"/>
      <c r="AC29" s="149" t="inlineStr">
        <is>
          <t>Not disclosed</t>
        </is>
      </c>
      <c r="AD29" s="149" t="n"/>
      <c r="AE29" s="145" t="n"/>
      <c r="AF29" s="145" t="inlineStr">
        <is>
          <t>Not disclosed</t>
        </is>
      </c>
      <c r="AG29" s="149" t="n"/>
      <c r="AH29" s="145" t="n"/>
      <c r="AI29" s="145" t="n"/>
      <c r="AJ29" s="149" t="inlineStr">
        <is>
          <t>Vision suite for service and interaction tasks</t>
        </is>
      </c>
      <c r="AK29" s="149" t="n"/>
      <c r="AL29" s="145" t="inlineStr">
        <is>
          <t>Live view and recording when camera payload equipped</t>
        </is>
      </c>
      <c r="AM29" s="145" t="n"/>
      <c r="AN29" s="145" t="inlineStr">
        <is>
          <t>Optional or standard on mid/high tiers</t>
        </is>
      </c>
      <c r="AO29" s="145" t="n"/>
      <c r="AP29" s="145" t="inlineStr">
        <is>
          <t>Not disclosed</t>
        </is>
      </c>
      <c r="AQ29" s="145" t="n"/>
      <c r="AR29" s="145" t="inlineStr">
        <is>
          <t>Not disclosed</t>
        </is>
      </c>
      <c r="AS29" s="145" t="inlineStr">
        <is>
          <t>Not disclosed</t>
        </is>
      </c>
      <c r="AT29" s="149" t="n"/>
      <c r="AU29" s="149" t="inlineStr">
        <is>
          <t>Not disclosed</t>
        </is>
      </c>
      <c r="AV29" s="145" t="inlineStr">
        <is>
          <t>Service-robot software stack</t>
        </is>
      </c>
      <c r="AW29" s="149" t="inlineStr">
        <is>
          <t>Quadruped gait library with terrain adaptation on higher models</t>
        </is>
      </c>
      <c r="AX29" s="145" t="n"/>
      <c r="AY29" s="149" t="n"/>
      <c r="AZ29" s="149" t="n"/>
      <c r="BA29" s="149" t="n"/>
      <c r="BB29" s="149" t="inlineStr">
        <is>
          <t>Not disclosed</t>
        </is>
      </c>
      <c r="BC29" s="149" t="n"/>
      <c r="BD29" s="145" t="n"/>
      <c r="BE29" s="145" t="inlineStr">
        <is>
          <t>Not disclosed</t>
        </is>
      </c>
      <c r="BF29" s="145" t="n"/>
      <c r="BG29" s="145" t="n"/>
      <c r="BH29" s="145" t="n"/>
      <c r="BI29" s="145" t="n"/>
      <c r="BJ29" s="145" t="n"/>
      <c r="BK29" s="145" t="n"/>
      <c r="BL29" s="145" t="n"/>
      <c r="BM29" s="145" t="n"/>
      <c r="BN29" s="145" t="n"/>
      <c r="BO29" s="149" t="n"/>
      <c r="BP29" s="145" t="inlineStr">
        <is>
          <t>Not disclosed</t>
        </is>
      </c>
      <c r="BQ29" s="149" t="inlineStr">
        <is>
          <t>Industrial inspection and professional quadruped applications.</t>
        </is>
      </c>
      <c r="BR29" s="149" t="inlineStr">
        <is>
          <t>Not disclosed</t>
        </is>
      </c>
      <c r="BS29" s="149" t="n"/>
      <c r="BT29" s="145" t="n"/>
      <c r="BU29" s="145" t="n"/>
      <c r="BV29" s="149" t="n"/>
      <c r="BW29" s="149" t="inlineStr">
        <is>
          <t>Origin &amp; status — China · 2022 | Mobility — Payload Not disclosed · Top speed Not disclosed | Sensing &amp; software — Optional or standard on mid/high tiers | Buying notes — $25,000 · 12 months manufacturer standard (typical by tier) · Best fit: Enterprise / Contact for pricing</t>
        </is>
      </c>
      <c r="BX29" s="149" t="inlineStr">
        <is>
          <t>as_shipped|Industrial Quadruped|25000|As shipped</t>
        </is>
      </c>
      <c r="BY29" s="145" t="inlineStr">
        <is>
          <t>industrial_quadruped|Manufacturer finish|#e2e8f0|0</t>
        </is>
      </c>
      <c r="BZ29" s="145" t="inlineStr"/>
      <c r="CA29" s="149" t="inlineStr">
        <is>
          <t>3 configuration tiers; Add-ons: battery_d1, skin_d1, case; 2 color options; Multi-year extended warranty available</t>
        </is>
      </c>
      <c r="CB29" s="149" t="inlineStr">
        <is>
          <t>12 months manufacturer standard (typical by tier)</t>
        </is>
      </c>
      <c r="CC29" s="147" t="n">
        <v>12</v>
      </c>
      <c r="CD29" s="149" t="inlineStr">
        <is>
          <t>+3 Year Extended ≈24% of configuration (default in configurator)</t>
        </is>
      </c>
      <c r="CE29" s="145" t="inlineStr">
        <is>
          <t>Category norm for AgiBot commercial platforms</t>
        </is>
      </c>
      <c r="CF29" s="145" t="inlineStr">
        <is>
          <t>Estimated</t>
        </is>
      </c>
      <c r="CG29" s="149" t="inlineStr">
        <is>
          <t>Confirm tier-specific term on formal quote.</t>
        </is>
      </c>
      <c r="CH29" s="145" t="inlineStr">
        <is>
          <t>10%</t>
        </is>
      </c>
      <c r="CI29" s="145" t="inlineStr">
        <is>
          <t>17%</t>
        </is>
      </c>
      <c r="CJ29" s="145" t="inlineStr">
        <is>
          <t>24%</t>
        </is>
      </c>
      <c r="CK2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9" s="145" t="inlineStr">
        <is>
          <t>12 months manufacturer standard (typical by tier)</t>
        </is>
      </c>
    </row>
    <row r="30" ht="36" customHeight="1" s="102">
      <c r="A30" s="204" t="inlineStr">
        <is>
          <t>magicdog_w</t>
        </is>
      </c>
      <c r="B30" s="204" t="inlineStr">
        <is>
          <t>AIXZD</t>
        </is>
      </c>
      <c r="C30" s="204" t="inlineStr">
        <is>
          <t>MagicLab (魔法原子)</t>
        </is>
      </c>
      <c r="D30" s="204" t="inlineStr">
        <is>
          <t>MagicDog W</t>
        </is>
      </c>
      <c r="E30" s="204" t="inlineStr">
        <is>
          <t>[MagicLab] MagicDog W (2025)</t>
        </is>
      </c>
      <c r="F30" s="204" t="inlineStr">
        <is>
          <t>campanionoid</t>
        </is>
      </c>
      <c r="G30" s="204" t="inlineStr">
        <is>
          <t>China</t>
        </is>
      </c>
      <c r="H30" s="205" t="n">
        <v>2025</v>
      </c>
      <c r="I30" s="206" t="n">
        <v>8000</v>
      </c>
      <c r="J30" s="204" t="inlineStr">
        <is>
          <t>Directory estimate Aug 2026</t>
        </is>
      </c>
      <c r="K30" s="204" t="inlineStr">
        <is>
          <t>MagicDog W is MagicLab’s wheel-leg hybrid quadruped: 67×35×56 cm, 23 kg, 13 DoF, 3.0 m/s, 10 kg payload, 40° slopes and 163 TOPS onboard compute — built for fast inspection on mixed indoor/outdoor floors.</t>
        </is>
      </c>
      <c r="N30" s="204" t="n"/>
      <c r="O30" s="204" t="inlineStr">
        <is>
          <t>https://www.magiclab.top/</t>
        </is>
      </c>
      <c r="P30" s="204" t="inlineStr">
        <is>
          <t>1 ft 10 in</t>
        </is>
      </c>
      <c r="Q30" s="204" t="n">
        <v>56</v>
      </c>
      <c r="R30" s="204" t="n">
        <v>50.7</v>
      </c>
      <c r="S30" s="204" t="n">
        <v>23</v>
      </c>
      <c r="T30" s="204" t="n"/>
      <c r="U30" s="204" t="n"/>
      <c r="V30" s="204" t="n">
        <v>13</v>
      </c>
      <c r="W30" s="204" t="n"/>
      <c r="X30" s="204" t="n">
        <v>22</v>
      </c>
      <c r="Y30" s="204" t="n">
        <v>10</v>
      </c>
      <c r="Z30" s="204" t="n">
        <v>6.7</v>
      </c>
      <c r="AA30" s="204" t="n">
        <v>10.8</v>
      </c>
      <c r="AB30" s="204" t="n"/>
      <c r="AC30" s="204" t="n"/>
      <c r="AD30" s="204" t="n"/>
      <c r="AE30" s="204" t="n"/>
      <c r="AF30" s="204" t="n"/>
      <c r="AG30" s="204" t="n"/>
      <c r="AH30" s="204" t="n"/>
      <c r="AI30" s="204" t="n"/>
      <c r="AJ30" s="204" t="n"/>
      <c r="AK30" s="204" t="n"/>
      <c r="AL30" s="204" t="n"/>
      <c r="AM30" s="204" t="n"/>
      <c r="AN30" s="204" t="n"/>
      <c r="AO30" s="204" t="n"/>
      <c r="AP30" s="204" t="n"/>
      <c r="AQ30" s="204" t="n"/>
      <c r="AR30" s="204" t="n"/>
      <c r="AS30" s="204" t="n"/>
      <c r="AT30" s="204" t="n"/>
      <c r="AU30" s="204" t="n"/>
      <c r="AV30" s="204" t="n"/>
      <c r="AW30" s="204" t="n"/>
      <c r="AX30" s="204" t="n"/>
      <c r="AY30" s="204" t="n"/>
      <c r="AZ30" s="204" t="n"/>
      <c r="BA30" s="204" t="n"/>
      <c r="BB30" s="204" t="n"/>
      <c r="BC30" s="204" t="n"/>
      <c r="BD30" s="204" t="n"/>
      <c r="BE30" s="204" t="n"/>
      <c r="BF30" s="204" t="n"/>
      <c r="BG30" s="204" t="n"/>
      <c r="BH30" s="204" t="n"/>
      <c r="BI30" s="204" t="n"/>
      <c r="BJ30" s="204" t="n"/>
      <c r="BK30" s="204" t="n"/>
      <c r="BL30" s="204" t="n"/>
      <c r="BM30" s="204" t="n"/>
      <c r="BN30" s="204" t="n"/>
      <c r="BO30" s="204" t="inlineStr">
        <is>
          <t>Wheel-leg quadruped · 3.0 m/s · 10 kg payload · 40° climb · 163 TOPS</t>
        </is>
      </c>
      <c r="BP30" s="204" t="inlineStr">
        <is>
          <t>Indoor / light outdoor</t>
        </is>
      </c>
      <c r="BQ30" s="204" t="inlineStr">
        <is>
          <t>Inspection / companion / research</t>
        </is>
      </c>
      <c r="BR30" s="204" t="inlineStr">
        <is>
          <t>Commercial</t>
        </is>
      </c>
      <c r="BS30" s="204" t="n"/>
      <c r="BT30" s="204" t="n"/>
      <c r="BU30" s="204" t="n"/>
      <c r="BV30" s="204" t="inlineStr">
        <is>
          <t>Ingested 28 Aug 2026 from AIXZD/TAAFT directories. AIXZD product page + OEM where cited.</t>
        </is>
      </c>
      <c r="BW30" s="204" t="inlineStr">
        <is>
          <t>Standing envelope: 26 × 14 × 22 in (67×35×56 cm) | Operating weight: approximately 51 lb | Degrees of freedom: 13 (16+1 joint class) | Payload capacity: 22 lb | Maximum speed: ≈ 6.7 mph (3.0 m/s) | Compute: 163 TOPS</t>
        </is>
      </c>
      <c r="BX30" s="204" t="n"/>
      <c r="BY30" s="204" t="n"/>
      <c r="BZ30" s="204" t="n"/>
      <c r="CA30" s="204" t="n"/>
      <c r="CB30" s="204" t="inlineStr">
        <is>
          <t>12 months manufacturer standard (typical research/commercial humanoid)</t>
        </is>
      </c>
      <c r="CC30" s="205" t="n">
        <v>12</v>
      </c>
      <c r="CD30" s="204" t="inlineStr">
        <is>
          <t>+3 Year Extended ≈24% of configuration (default in configurator)</t>
        </is>
      </c>
      <c r="CE30" s="204" t="inlineStr">
        <is>
          <t>Humanoid / companionoid category norm 2025–2026</t>
        </is>
      </c>
      <c r="CF30" s="204" t="inlineStr">
        <is>
          <t>Estimated</t>
        </is>
      </c>
      <c r="CG30" s="204" t="inlineStr">
        <is>
          <t>EDU or enterprise packages may differ; confirm on formal quote. Source mix: AIXZD directory + OEM pages Aug 2026.</t>
        </is>
      </c>
      <c r="CH30" s="204" t="inlineStr">
        <is>
          <t>10%</t>
        </is>
      </c>
      <c r="CI30" s="204" t="inlineStr">
        <is>
          <t>17%</t>
        </is>
      </c>
      <c r="CJ30" s="204" t="inlineStr">
        <is>
          <t>24%</t>
        </is>
      </c>
      <c r="CK30" s="204" t="inlineStr">
        <is>
          <t>Profitable schedule (Aug 2026): +1yr ≈10% / +2yr ≈17% / +3yr ≈24% of configuration price.</t>
        </is>
      </c>
      <c r="CL30" s="204" t="inlineStr">
        <is>
          <t>Same TOR extended-warranty schedule used across the catalog (~45–55% target GM).</t>
        </is>
      </c>
      <c r="CM30" s="204" t="inlineStr">
        <is>
          <t>12 months manufacturer standard (typical research/commercial humanoid)</t>
        </is>
      </c>
      <c r="CN30" s="204" t="inlineStr">
        <is>
          <t>https://aixzd.com/robot/dog-w</t>
        </is>
      </c>
      <c r="CO30" s="204" t="inlineStr">
        <is>
          <t>https://theresanaiforthat.com/robots/</t>
        </is>
      </c>
      <c r="CP30" s="204" t="inlineStr">
        <is>
          <t>New platform added 28 Aug 2026 from AIXZD (https://aixzd.com/robots, 644 sitemap robots) and/or TAAFT Robots directory (https://theresanaiforthat.com/robots/, 669 claimed).</t>
        </is>
      </c>
    </row>
    <row r="31" ht="36" customHeight="1" s="102">
      <c r="A31" s="204" t="inlineStr">
        <is>
          <t>elephant_marscat</t>
        </is>
      </c>
      <c r="B31" s="204" t="inlineStr">
        <is>
          <t>AIXZD</t>
        </is>
      </c>
      <c r="C31" s="204" t="inlineStr">
        <is>
          <t>Elephant Robotics</t>
        </is>
      </c>
      <c r="D31" s="204" t="inlineStr">
        <is>
          <t>MarsCat</t>
        </is>
      </c>
      <c r="E31" s="204" t="inlineStr">
        <is>
          <t>[Elephant Robotics] MarsCat (2020)</t>
        </is>
      </c>
      <c r="F31" s="204" t="inlineStr">
        <is>
          <t>campanionoid</t>
        </is>
      </c>
      <c r="G31" s="204" t="inlineStr">
        <is>
          <t>China</t>
        </is>
      </c>
      <c r="H31" s="205" t="n">
        <v>2020</v>
      </c>
      <c r="I31" s="206" t="n">
        <v>1400</v>
      </c>
      <c r="J31" s="204" t="inlineStr">
        <is>
          <t>Consumer list / used estimate Aug 2026</t>
        </is>
      </c>
      <c r="K31" s="204" t="inlineStr">
        <is>
          <t>MarsCat is Elephant Robotics’ bionic companion cat — autonomous behaviors, RGB camera, and programmable SDK — a compact used-market campanionoid distinct from the firm’s Mercury wheeled humanoids.</t>
        </is>
      </c>
      <c r="N31" s="204" t="n"/>
      <c r="O31" s="204" t="inlineStr">
        <is>
          <t>https://www.elephantrobotics.com/</t>
        </is>
      </c>
      <c r="P31" s="204" t="n"/>
      <c r="Q31" s="204" t="n"/>
      <c r="R31" s="204" t="n"/>
      <c r="S31" s="204" t="n"/>
      <c r="T31" s="204" t="n"/>
      <c r="U31" s="204" t="n"/>
      <c r="V31" s="204" t="n"/>
      <c r="W31" s="204" t="n"/>
      <c r="X31" s="204" t="n"/>
      <c r="Y31" s="204" t="n"/>
      <c r="Z31" s="204" t="n"/>
      <c r="AA31" s="204" t="n"/>
      <c r="AB31" s="204" t="n"/>
      <c r="AC31" s="204" t="n"/>
      <c r="AD31" s="204" t="n"/>
      <c r="AE31" s="204" t="n"/>
      <c r="AF31" s="204" t="n"/>
      <c r="AG31" s="204" t="n"/>
      <c r="AH31" s="204" t="n"/>
      <c r="AI31" s="204" t="n"/>
      <c r="AJ31" s="204" t="n"/>
      <c r="AK31" s="204" t="n"/>
      <c r="AL31" s="204" t="n"/>
      <c r="AM31" s="204" t="n"/>
      <c r="AN31" s="204" t="n"/>
      <c r="AO31" s="204" t="n"/>
      <c r="AP31" s="204" t="n"/>
      <c r="AQ31" s="204" t="n"/>
      <c r="AR31" s="204" t="n"/>
      <c r="AS31" s="204" t="n"/>
      <c r="AT31" s="204" t="n"/>
      <c r="AU31" s="204" t="n"/>
      <c r="AV31" s="204" t="n"/>
      <c r="AW31" s="204" t="n"/>
      <c r="AX31" s="204" t="n"/>
      <c r="AY31" s="204" t="n"/>
      <c r="AZ31" s="204" t="n"/>
      <c r="BA31" s="204" t="n"/>
      <c r="BB31" s="204" t="n"/>
      <c r="BC31" s="204" t="n"/>
      <c r="BD31" s="204" t="n"/>
      <c r="BE31" s="204" t="n"/>
      <c r="BF31" s="204" t="n"/>
      <c r="BG31" s="204" t="n"/>
      <c r="BH31" s="204" t="n"/>
      <c r="BI31" s="204" t="n"/>
      <c r="BJ31" s="204" t="n"/>
      <c r="BK31" s="204" t="n"/>
      <c r="BL31" s="204" t="n"/>
      <c r="BM31" s="204" t="n"/>
      <c r="BN31" s="204" t="n"/>
      <c r="BO31" s="204" t="inlineStr">
        <is>
          <t>Bionic companion cat · programmable · consumer price band</t>
        </is>
      </c>
      <c r="BP31" s="204" t="inlineStr">
        <is>
          <t>Indoor / light outdoor</t>
        </is>
      </c>
      <c r="BQ31" s="204" t="inlineStr">
        <is>
          <t>Home companion / STEM</t>
        </is>
      </c>
      <c r="BR31" s="204" t="inlineStr">
        <is>
          <t>In production / used market</t>
        </is>
      </c>
      <c r="BS31" s="204" t="n"/>
      <c r="BT31" s="204" t="n"/>
      <c r="BU31" s="204" t="n"/>
      <c r="BV31" s="204" t="inlineStr">
        <is>
          <t>Ingested 28 Aug 2026 from AIXZD/TAAFT directories. AIXZD product page + OEM where cited.</t>
        </is>
      </c>
      <c r="BW31" s="204" t="inlineStr">
        <is>
          <t>Form: Quadruped bionic cat | Control interface: App + SDK | Primary use: Home companion and STEM | Camera / vision: RGB onboard</t>
        </is>
      </c>
      <c r="BX31" s="204" t="n"/>
      <c r="BY31" s="204" t="n"/>
      <c r="BZ31" s="204" t="n"/>
      <c r="CA31" s="204" t="n"/>
      <c r="CB31" s="204" t="inlineStr">
        <is>
          <t>12 months manufacturer standard (typical research/commercial humanoid)</t>
        </is>
      </c>
      <c r="CC31" s="205" t="n">
        <v>12</v>
      </c>
      <c r="CD31" s="204" t="inlineStr">
        <is>
          <t>+3 Year Extended ≈24% of configuration (default in configurator)</t>
        </is>
      </c>
      <c r="CE31" s="204" t="inlineStr">
        <is>
          <t>Humanoid / companionoid category norm 2025–2026</t>
        </is>
      </c>
      <c r="CF31" s="204" t="inlineStr">
        <is>
          <t>Estimated</t>
        </is>
      </c>
      <c r="CG31" s="204" t="inlineStr">
        <is>
          <t>EDU or enterprise packages may differ; confirm on formal quote. Source mix: AIXZD directory + OEM pages Aug 2026.</t>
        </is>
      </c>
      <c r="CH31" s="204" t="inlineStr">
        <is>
          <t>10%</t>
        </is>
      </c>
      <c r="CI31" s="204" t="inlineStr">
        <is>
          <t>17%</t>
        </is>
      </c>
      <c r="CJ31" s="204" t="inlineStr">
        <is>
          <t>24%</t>
        </is>
      </c>
      <c r="CK31" s="204" t="inlineStr">
        <is>
          <t>Profitable schedule (Aug 2026): +1yr ≈10% / +2yr ≈17% / +3yr ≈24% of configuration price.</t>
        </is>
      </c>
      <c r="CL31" s="204" t="inlineStr">
        <is>
          <t>Same TOR extended-warranty schedule used across the catalog (~45–55% target GM).</t>
        </is>
      </c>
      <c r="CM31" s="204" t="inlineStr">
        <is>
          <t>12 months manufacturer standard (typical research/commercial humanoid)</t>
        </is>
      </c>
      <c r="CN31" s="204" t="inlineStr">
        <is>
          <t>https://aixzd.com/robot/marscat</t>
        </is>
      </c>
      <c r="CO31" s="204" t="inlineStr">
        <is>
          <t>https://theresanaiforthat.com/robots/</t>
        </is>
      </c>
      <c r="CP31" s="204" t="inlineStr">
        <is>
          <t>New platform added 28 Aug 2026 from AIXZD (https://aixzd.com/robots, 644 sitemap robots) and/or TAAFT Robots directory (https://theresanaiforthat.com/robots/, 669 claimed).</t>
        </is>
      </c>
    </row>
    <row r="32" ht="36" customHeight="1" s="102">
      <c r="A32" s="204" t="inlineStr">
        <is>
          <t>elephant_metadog</t>
        </is>
      </c>
      <c r="B32" s="204" t="inlineStr">
        <is>
          <t>AIXZD</t>
        </is>
      </c>
      <c r="C32" s="204" t="inlineStr">
        <is>
          <t>Elephant Robotics</t>
        </is>
      </c>
      <c r="D32" s="204" t="inlineStr">
        <is>
          <t>MetaDog</t>
        </is>
      </c>
      <c r="E32" s="204" t="inlineStr">
        <is>
          <t>[Elephant Robotics] MetaDog (2023)</t>
        </is>
      </c>
      <c r="F32" s="204" t="inlineStr">
        <is>
          <t>campanionoid</t>
        </is>
      </c>
      <c r="G32" s="204" t="inlineStr">
        <is>
          <t>China</t>
        </is>
      </c>
      <c r="H32" s="205" t="n">
        <v>2023</v>
      </c>
      <c r="I32" s="206" t="n">
        <v>2000</v>
      </c>
      <c r="J32" s="204" t="inlineStr">
        <is>
          <t>Directory estimate Aug 2026</t>
        </is>
      </c>
      <c r="K32" s="204" t="inlineStr">
        <is>
          <t>MetaDog is Elephant Robotics’ bionic companion dog platform listed alongside MarsCat on AIXZD — a programmable pet-scale quadruped for home and education, complementary to industrial dogs already in the TOR catalog.</t>
        </is>
      </c>
      <c r="N32" s="204" t="n"/>
      <c r="O32" s="204" t="inlineStr">
        <is>
          <t>https://www.elephantrobotics.com/</t>
        </is>
      </c>
      <c r="P32" s="204" t="n"/>
      <c r="Q32" s="204" t="n"/>
      <c r="R32" s="204" t="n"/>
      <c r="S32" s="204" t="n"/>
      <c r="T32" s="204" t="n"/>
      <c r="U32" s="204" t="n"/>
      <c r="V32" s="204" t="n"/>
      <c r="W32" s="204" t="n"/>
      <c r="X32" s="204" t="n"/>
      <c r="Y32" s="204" t="n"/>
      <c r="Z32" s="204" t="n"/>
      <c r="AA32" s="204" t="n"/>
      <c r="AB32" s="204" t="n"/>
      <c r="AC32" s="204" t="n"/>
      <c r="AD32" s="204" t="n"/>
      <c r="AE32" s="204" t="n"/>
      <c r="AF32" s="204" t="n"/>
      <c r="AG32" s="204" t="n"/>
      <c r="AH32" s="204" t="n"/>
      <c r="AI32" s="204" t="n"/>
      <c r="AJ32" s="204" t="n"/>
      <c r="AK32" s="204" t="n"/>
      <c r="AL32" s="204" t="n"/>
      <c r="AM32" s="204" t="n"/>
      <c r="AN32" s="204" t="n"/>
      <c r="AO32" s="204" t="n"/>
      <c r="AP32" s="204" t="n"/>
      <c r="AQ32" s="204" t="n"/>
      <c r="AR32" s="204" t="n"/>
      <c r="AS32" s="204" t="n"/>
      <c r="AT32" s="204" t="n"/>
      <c r="AU32" s="204" t="n"/>
      <c r="AV32" s="204" t="n"/>
      <c r="AW32" s="204" t="n"/>
      <c r="AX32" s="204" t="n"/>
      <c r="AY32" s="204" t="n"/>
      <c r="AZ32" s="204" t="n"/>
      <c r="BA32" s="204" t="n"/>
      <c r="BB32" s="204" t="n"/>
      <c r="BC32" s="204" t="n"/>
      <c r="BD32" s="204" t="n"/>
      <c r="BE32" s="204" t="n"/>
      <c r="BF32" s="204" t="n"/>
      <c r="BG32" s="204" t="n"/>
      <c r="BH32" s="204" t="n"/>
      <c r="BI32" s="204" t="n"/>
      <c r="BJ32" s="204" t="n"/>
      <c r="BK32" s="204" t="n"/>
      <c r="BL32" s="204" t="n"/>
      <c r="BM32" s="204" t="n"/>
      <c r="BN32" s="204" t="n"/>
      <c r="BO32" s="204" t="inlineStr">
        <is>
          <t>Bionic companion dog · programmable pet-scale quadruped</t>
        </is>
      </c>
      <c r="BP32" s="204" t="inlineStr">
        <is>
          <t>Indoor / light outdoor</t>
        </is>
      </c>
      <c r="BQ32" s="204" t="inlineStr">
        <is>
          <t>Home companion / STEM</t>
        </is>
      </c>
      <c r="BR32" s="204" t="inlineStr">
        <is>
          <t>Commercial</t>
        </is>
      </c>
      <c r="BS32" s="204" t="n"/>
      <c r="BT32" s="204" t="n"/>
      <c r="BU32" s="204" t="n"/>
      <c r="BV32" s="204" t="inlineStr">
        <is>
          <t>Ingested 28 Aug 2026 from AIXZD/TAAFT directories. AIXZD product page + OEM where cited.</t>
        </is>
      </c>
      <c r="BW32" s="204" t="inlineStr">
        <is>
          <t>Form: Quadruped bionic dog | Control interface: App + SDK | Primary use: Home companion and STEM</t>
        </is>
      </c>
      <c r="BX32" s="204" t="n"/>
      <c r="BY32" s="204" t="n"/>
      <c r="BZ32" s="204" t="n"/>
      <c r="CA32" s="204" t="n"/>
      <c r="CB32" s="204" t="inlineStr">
        <is>
          <t>12 months manufacturer standard (typical research/commercial humanoid)</t>
        </is>
      </c>
      <c r="CC32" s="205" t="n">
        <v>12</v>
      </c>
      <c r="CD32" s="204" t="inlineStr">
        <is>
          <t>+3 Year Extended ≈24% of configuration (default in configurator)</t>
        </is>
      </c>
      <c r="CE32" s="204" t="inlineStr">
        <is>
          <t>Humanoid / companionoid category norm 2025–2026</t>
        </is>
      </c>
      <c r="CF32" s="204" t="inlineStr">
        <is>
          <t>Estimated</t>
        </is>
      </c>
      <c r="CG32" s="204" t="inlineStr">
        <is>
          <t>EDU or enterprise packages may differ; confirm on formal quote. Source mix: AIXZD directory + OEM pages Aug 2026.</t>
        </is>
      </c>
      <c r="CH32" s="204" t="inlineStr">
        <is>
          <t>10%</t>
        </is>
      </c>
      <c r="CI32" s="204" t="inlineStr">
        <is>
          <t>17%</t>
        </is>
      </c>
      <c r="CJ32" s="204" t="inlineStr">
        <is>
          <t>24%</t>
        </is>
      </c>
      <c r="CK32" s="204" t="inlineStr">
        <is>
          <t>Profitable schedule (Aug 2026): +1yr ≈10% / +2yr ≈17% / +3yr ≈24% of configuration price.</t>
        </is>
      </c>
      <c r="CL32" s="204" t="inlineStr">
        <is>
          <t>Same TOR extended-warranty schedule used across the catalog (~45–55% target GM).</t>
        </is>
      </c>
      <c r="CM32" s="204" t="inlineStr">
        <is>
          <t>12 months manufacturer standard (typical research/commercial humanoid)</t>
        </is>
      </c>
      <c r="CN32" s="204" t="inlineStr">
        <is>
          <t>https://aixzd.com/robot/metadog</t>
        </is>
      </c>
      <c r="CO32" s="204" t="inlineStr">
        <is>
          <t>https://theresanaiforthat.com/robots/</t>
        </is>
      </c>
      <c r="CP32" s="204" t="inlineStr">
        <is>
          <t>New platform added 28 Aug 2026 from AIXZD (https://aixzd.com/robots, 644 sitemap robots) and/or TAAFT Robots directory (https://theresanaiforthat.com/robots/, 669 claimed).</t>
        </is>
      </c>
    </row>
  </sheetData>
  <autoFilter ref="A4:CK23">
    <sortState ref="A5:CK23">
      <sortCondition ref="A5:A23" customList=""/>
    </sortState>
  </autoFilter>
  <mergeCells count="14">
    <mergeCell ref="AH3:AP3"/>
    <mergeCell ref="CL3:CN3"/>
    <mergeCell ref="A2:L2"/>
    <mergeCell ref="BP3:BU3"/>
    <mergeCell ref="AQ3:AY3"/>
    <mergeCell ref="BK3:BO3"/>
    <mergeCell ref="AZ3:BJ3"/>
    <mergeCell ref="A1:L1"/>
    <mergeCell ref="BZ3:CK3"/>
    <mergeCell ref="A3:M3"/>
    <mergeCell ref="AE3:AG3"/>
    <mergeCell ref="BV3:BY3"/>
    <mergeCell ref="N3:S3"/>
    <mergeCell ref="T3:AD3"/>
  </mergeCells>
  <printOptions horizontalCentered="0" verticalCentered="0" headings="0" gridLines="0" gridLinesSet="1"/>
  <pageMargins left="0.75" right="0.75" top="1" bottom="1" header="0.5" footer="0.5"/>
  <pageSetup orientation="landscape" paperSize="3" scale="100" fitToHeight="0" fitToWidth="1" pageOrder="downThenOver" blackAndWhite="0" draft="0" horizontalDpi="300" verticalDpi="300" copies="1"/>
  <headerFooter differentOddEven="0" differentFirst="0">
    <oddHeader>&amp;LThe Official Robot™</oddHeader>
    <oddFooter>&amp;LQUADRUPED / CAMPANIONOID ROBOTS&amp;RConfidential  |  August 2026</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filterMode="0">
    <outlinePr summaryBelow="1" summaryRight="1"/>
    <pageSetUpPr fitToPage="1"/>
  </sheetPr>
  <dimension ref="A1:CM41"/>
  <sheetViews>
    <sheetView showFormulas="0" showGridLines="0" showRowColHeaders="1" showZeros="1" rightToLeft="0" tabSelected="0" showOutlineSymbols="1" defaultGridColor="1" view="normal" topLeftCell="A1" colorId="64" zoomScale="90" zoomScaleNormal="90" zoomScalePageLayoutView="100" workbookViewId="0">
      <selection pane="topLeft" activeCell="A1" activeCellId="0" sqref="A1"/>
    </sheetView>
  </sheetViews>
  <sheetFormatPr baseColWidth="8" defaultColWidth="8.6796875" defaultRowHeight="15" zeroHeight="0" outlineLevelRow="0"/>
  <cols>
    <col width="28" customWidth="1" style="101" min="1" max="1"/>
    <col width="16" customWidth="1" style="101" min="2" max="2"/>
    <col width="28" customWidth="1" style="101" min="3" max="3"/>
    <col width="26" customWidth="1" style="101" min="4" max="4"/>
    <col width="36" customWidth="1" style="101" min="5" max="5"/>
    <col width="14" customWidth="1" style="101" min="6" max="6"/>
    <col width="16" customWidth="1" style="101" min="7" max="7"/>
    <col width="12" customWidth="1" style="101" min="8" max="8"/>
    <col width="16" customWidth="1" style="101" min="9" max="9"/>
    <col width="20" customWidth="1" style="101" min="10" max="10"/>
    <col width="56" customWidth="1" style="101" min="11" max="11"/>
    <col width="48" customWidth="1" style="101" min="12" max="12"/>
    <col width="32" customWidth="1" style="101" min="13" max="13"/>
    <col width="14" customWidth="1" style="101" min="14" max="14"/>
    <col width="12" customWidth="1" style="101" min="15" max="17"/>
    <col width="26" customWidth="1" style="101" min="18" max="18"/>
    <col width="16" customWidth="1" style="101" min="19" max="19"/>
    <col width="22" customWidth="1" style="101" min="20" max="20"/>
    <col width="28" customWidth="1" style="101" min="21" max="21"/>
    <col width="12" customWidth="1" style="101" min="22" max="22"/>
    <col width="13" customWidth="1" style="101" min="23" max="23"/>
    <col width="14" customWidth="1" style="101" min="24" max="24"/>
    <col width="15" customWidth="1" style="101" min="25" max="25"/>
    <col width="18" customWidth="1" style="101" min="26" max="26"/>
    <col width="28" customWidth="1" style="101" min="27" max="27"/>
    <col width="22" customWidth="1" style="101" min="28" max="28"/>
    <col width="16" customWidth="1" style="101" min="29" max="29"/>
    <col width="22" customWidth="1" style="101" min="30" max="30"/>
    <col width="28" customWidth="1" style="101" min="31" max="31"/>
    <col width="16" customWidth="1" style="101" min="32" max="32"/>
    <col width="22" customWidth="1" style="101" min="33" max="33"/>
    <col width="36" customWidth="1" style="101" min="34" max="34"/>
    <col width="32" customWidth="1" style="101" min="35" max="35"/>
    <col width="22" customWidth="1" style="101" min="36" max="36"/>
    <col width="14" customWidth="1" style="101" min="37" max="37"/>
    <col width="18" customWidth="1" style="101" min="38" max="38"/>
    <col width="20" customWidth="1" style="101" min="39" max="39"/>
    <col width="28" customWidth="1" style="101" min="40" max="40"/>
    <col width="22" customWidth="1" style="101" min="41" max="42"/>
    <col width="20" customWidth="1" style="101" min="43" max="43"/>
    <col width="36" customWidth="1" style="101" min="44" max="44"/>
    <col width="28" customWidth="1" style="101" min="45" max="45"/>
    <col width="24" customWidth="1" style="101" min="46" max="46"/>
    <col width="28" customWidth="1" style="101" min="47" max="47"/>
    <col width="22" customWidth="1" style="101" min="48" max="48"/>
    <col width="28" customWidth="1" style="101" min="49" max="49"/>
    <col width="40" customWidth="1" style="101" min="50" max="50"/>
    <col width="32" customWidth="1" style="101" min="51" max="52"/>
    <col width="28" customWidth="1" style="101" min="53" max="53"/>
    <col width="24" customWidth="1" style="101" min="54" max="54"/>
    <col width="14" customWidth="1" style="101" min="55" max="55"/>
    <col width="18" customWidth="1" style="101" min="56" max="56"/>
    <col width="14" customWidth="1" style="101" min="57" max="61"/>
    <col width="18" customWidth="1" style="101" min="62" max="62"/>
    <col width="16" customWidth="1" style="101" min="63" max="63"/>
    <col width="22" customWidth="1" style="101" min="64" max="64"/>
    <col width="64" customWidth="1" style="101" min="65" max="65"/>
    <col width="22" customWidth="1" style="101" min="66" max="66"/>
    <col width="36" customWidth="1" style="101" min="67" max="67"/>
    <col width="28" customWidth="1" style="101" min="68" max="69"/>
    <col width="20" customWidth="1" style="101" min="70" max="70"/>
    <col width="14" customWidth="1" style="101" min="71" max="71"/>
    <col width="36" customWidth="1" style="101" min="72" max="74"/>
    <col width="32" customWidth="1" style="101" min="75" max="75"/>
    <col width="22" customWidth="1" style="101" min="76" max="76"/>
    <col width="36" customWidth="1" style="101" min="77" max="78"/>
    <col width="16" customWidth="1" style="101" min="79" max="79"/>
    <col width="36" customWidth="1" style="101" min="80" max="80"/>
    <col width="28" customWidth="1" style="101" min="81" max="81"/>
    <col width="16" customWidth="1" style="101" min="82" max="82"/>
    <col width="32" customWidth="1" style="101" min="83" max="83"/>
    <col width="18" customWidth="1" style="101" min="84" max="86"/>
    <col width="36" customWidth="1" style="101" min="87" max="87"/>
    <col width="40" customWidth="1" style="101" min="88" max="88"/>
    <col width="28" customWidth="1" style="101" min="89" max="89"/>
  </cols>
  <sheetData>
    <row r="1" ht="27.75" customHeight="1" s="102">
      <c r="A1" s="128" t="inlineStr">
        <is>
          <t>AERIAL DRONES / UAV</t>
        </is>
      </c>
      <c r="O1" s="129" t="n"/>
      <c r="P1" s="129" t="n"/>
      <c r="Q1" s="129" t="n"/>
      <c r="R1" s="129" t="n"/>
      <c r="S1" s="129" t="n"/>
      <c r="T1" s="129" t="n"/>
      <c r="U1" s="129" t="n"/>
      <c r="V1" s="129" t="n"/>
      <c r="W1" s="129" t="n"/>
      <c r="X1" s="129" t="n"/>
      <c r="Y1" s="129" t="n"/>
      <c r="Z1" s="129" t="n"/>
      <c r="AA1" s="129" t="n"/>
      <c r="AB1" s="129" t="n"/>
      <c r="AC1" s="129" t="n"/>
      <c r="AD1" s="129" t="n"/>
      <c r="AE1" s="129" t="n"/>
      <c r="AF1" s="129" t="n"/>
      <c r="AG1" s="129" t="n"/>
      <c r="AH1" s="129" t="n"/>
      <c r="AI1" s="129" t="n"/>
      <c r="AJ1" s="129" t="n"/>
      <c r="AK1" s="129" t="n"/>
      <c r="AL1" s="129" t="n"/>
      <c r="AM1" s="129" t="n"/>
      <c r="AN1" s="129" t="n"/>
      <c r="AO1" s="129" t="n"/>
      <c r="AP1" s="129" t="n"/>
      <c r="AQ1" s="129" t="n"/>
      <c r="AR1" s="129" t="n"/>
      <c r="AS1" s="129" t="n"/>
      <c r="AT1" s="129" t="n"/>
      <c r="AU1" s="129" t="n"/>
      <c r="AV1" s="129" t="n"/>
      <c r="AW1" s="129" t="n"/>
      <c r="AX1" s="129" t="n"/>
      <c r="AY1" s="129" t="n"/>
      <c r="AZ1" s="129" t="n"/>
      <c r="BA1" s="129" t="n"/>
      <c r="BB1" s="129" t="n"/>
      <c r="BC1" s="129" t="n"/>
      <c r="BD1" s="129" t="n"/>
      <c r="BE1" s="129" t="n"/>
      <c r="BF1" s="129" t="n"/>
      <c r="BG1" s="129" t="n"/>
      <c r="BH1" s="129" t="n"/>
      <c r="BI1" s="129" t="n"/>
      <c r="BJ1" s="129" t="n"/>
      <c r="BK1" s="129" t="n"/>
      <c r="BL1" s="129" t="n"/>
      <c r="BM1" s="129" t="n"/>
      <c r="BN1" s="129" t="n"/>
      <c r="BO1" s="129" t="n"/>
      <c r="BP1" s="129" t="n"/>
      <c r="BQ1" s="129" t="n"/>
      <c r="BR1" s="129" t="n"/>
      <c r="BS1" s="129" t="n"/>
      <c r="BT1" s="129" t="n"/>
      <c r="BU1" s="129" t="n"/>
      <c r="BV1" s="129" t="n"/>
      <c r="BW1" s="129" t="n"/>
      <c r="BX1" s="129" t="n"/>
      <c r="BY1" s="129" t="n"/>
      <c r="BZ1" s="129" t="n"/>
      <c r="CA1" s="129" t="n"/>
      <c r="CB1" s="129" t="n"/>
      <c r="CC1" s="129" t="n"/>
      <c r="CD1" s="129" t="n"/>
      <c r="CE1" s="129" t="n"/>
      <c r="CF1" s="129" t="n"/>
      <c r="CG1" s="129" t="n"/>
      <c r="CH1" s="129" t="n"/>
      <c r="CI1" s="129" t="n"/>
      <c r="CJ1" s="129" t="n"/>
      <c r="CK1" s="129" t="n"/>
      <c r="CL1" s="129" t="n"/>
      <c r="CM1" s="129" t="n"/>
    </row>
    <row r="2" ht="18" customHeight="1" s="102">
      <c r="A2" s="130" t="inlineStr">
        <is>
          <t>32 platforms from theofficialrobot.com store catalog  ·  Schema aligned with humanoid directory</t>
        </is>
      </c>
      <c r="O2" s="131" t="n"/>
      <c r="P2" s="131" t="n"/>
      <c r="Q2" s="131" t="n"/>
      <c r="R2" s="131" t="n"/>
      <c r="S2" s="131" t="n"/>
      <c r="T2" s="131" t="n"/>
      <c r="U2" s="131" t="n"/>
      <c r="V2" s="131" t="n"/>
      <c r="W2" s="131" t="n"/>
      <c r="X2" s="131" t="n"/>
      <c r="Y2" s="131" t="n"/>
      <c r="Z2" s="131" t="n"/>
      <c r="AA2" s="131" t="n"/>
      <c r="AB2" s="131" t="n"/>
      <c r="AC2" s="131" t="n"/>
      <c r="AD2" s="131" t="n"/>
      <c r="AE2" s="131" t="n"/>
      <c r="AF2" s="131" t="n"/>
      <c r="AG2" s="131" t="n"/>
      <c r="AH2" s="131" t="n"/>
      <c r="AI2" s="131" t="n"/>
      <c r="AJ2" s="131" t="n"/>
      <c r="AK2" s="131" t="n"/>
      <c r="AL2" s="131" t="n"/>
      <c r="AM2" s="131" t="n"/>
      <c r="AN2" s="131" t="n"/>
      <c r="AO2" s="131" t="n"/>
      <c r="AP2" s="131" t="n"/>
      <c r="AQ2" s="131" t="n"/>
      <c r="AR2" s="131" t="n"/>
      <c r="AS2" s="131" t="n"/>
      <c r="AT2" s="131" t="n"/>
      <c r="AU2" s="131" t="n"/>
      <c r="AV2" s="131" t="n"/>
      <c r="AW2" s="131" t="n"/>
      <c r="AX2" s="131" t="n"/>
      <c r="AY2" s="131" t="n"/>
      <c r="AZ2" s="131" t="n"/>
      <c r="BA2" s="131" t="n"/>
      <c r="BB2" s="131" t="n"/>
      <c r="BC2" s="131" t="n"/>
      <c r="BD2" s="131" t="n"/>
      <c r="BE2" s="131" t="n"/>
      <c r="BF2" s="131" t="n"/>
      <c r="BG2" s="131" t="n"/>
      <c r="BH2" s="131" t="n"/>
      <c r="BI2" s="131" t="n"/>
      <c r="BJ2" s="131" t="n"/>
      <c r="BK2" s="131" t="n"/>
      <c r="BL2" s="131" t="n"/>
      <c r="BM2" s="131" t="n"/>
      <c r="BN2" s="131" t="n"/>
      <c r="BO2" s="131" t="n"/>
      <c r="BP2" s="131" t="n"/>
      <c r="BQ2" s="131" t="n"/>
      <c r="BR2" s="131" t="n"/>
      <c r="BS2" s="131" t="n"/>
      <c r="BT2" s="131" t="n"/>
      <c r="BU2" s="131" t="n"/>
      <c r="BV2" s="131" t="n"/>
      <c r="BW2" s="131" t="n"/>
      <c r="BX2" s="131" t="n"/>
      <c r="BY2" s="131" t="n"/>
      <c r="BZ2" s="131" t="n"/>
      <c r="CA2" s="131" t="n"/>
      <c r="CB2" s="131" t="n"/>
      <c r="CC2" s="131" t="n"/>
      <c r="CD2" s="131" t="n"/>
      <c r="CE2" s="131" t="n"/>
      <c r="CF2" s="131" t="n"/>
      <c r="CG2" s="131" t="n"/>
      <c r="CH2" s="131" t="n"/>
      <c r="CI2" s="131" t="n"/>
      <c r="CJ2" s="131" t="n"/>
      <c r="CK2" s="131" t="n"/>
      <c r="CL2" s="131" t="n"/>
      <c r="CM2" s="131" t="n"/>
    </row>
    <row r="3" ht="18" customHeight="1" s="102">
      <c r="A3" s="132" t="inlineStr">
        <is>
          <t>IDENTITY</t>
        </is>
      </c>
    </row>
    <row r="4" ht="36" customHeight="1" s="102">
      <c r="A4" s="193" t="inlineStr">
        <is>
          <t>Website ID</t>
        </is>
      </c>
      <c r="B4" s="193" t="inlineStr">
        <is>
          <t>Catalog Source</t>
        </is>
      </c>
      <c r="C4" s="193" t="inlineStr">
        <is>
          <t>Manufacturer</t>
        </is>
      </c>
      <c r="D4" s="193" t="inlineStr">
        <is>
          <t>Model Name</t>
        </is>
      </c>
      <c r="E4" s="193" t="inlineStr">
        <is>
          <t>Model Name (Website)</t>
        </is>
      </c>
      <c r="F4" s="193" t="inlineStr">
        <is>
          <t>Type</t>
        </is>
      </c>
      <c r="G4" s="193" t="inlineStr">
        <is>
          <t>Country of Origin</t>
        </is>
      </c>
      <c r="H4" s="193" t="inlineStr">
        <is>
          <t>First Year (YYYY)</t>
        </is>
      </c>
      <c r="I4" s="193" t="inlineStr">
        <is>
          <t>Approx. Cost (USD)</t>
        </is>
      </c>
      <c r="J4" s="193" t="inlineStr">
        <is>
          <t>Price Source</t>
        </is>
      </c>
      <c r="K4" s="193" t="inlineStr">
        <is>
          <t>Description (1 sentence)</t>
        </is>
      </c>
      <c r="L4" s="193" t="inlineStr">
        <is>
          <t>Unique Summary</t>
        </is>
      </c>
      <c r="M4" s="193" t="inlineStr">
        <is>
          <t>Bio / History</t>
        </is>
      </c>
      <c r="N4" s="193" t="inlineStr">
        <is>
          <t>Humanoid.guide URL</t>
        </is>
      </c>
      <c r="O4" s="193" t="inlineStr">
        <is>
          <t>OEM Website</t>
        </is>
      </c>
      <c r="P4" s="193" t="inlineStr">
        <is>
          <t>Height (ft in)</t>
        </is>
      </c>
      <c r="Q4" s="193" t="inlineStr">
        <is>
          <t>Height (cm)</t>
        </is>
      </c>
      <c r="R4" s="193" t="inlineStr">
        <is>
          <t>Weight (lb)</t>
        </is>
      </c>
      <c r="S4" s="193" t="inlineStr">
        <is>
          <t>Weight (kg)</t>
        </is>
      </c>
      <c r="T4" s="193" t="inlineStr">
        <is>
          <t>Standing Size / Envelope (in)</t>
        </is>
      </c>
      <c r="U4" s="193" t="inlineStr">
        <is>
          <t>Shipping Size</t>
        </is>
      </c>
      <c r="V4" s="193" t="inlineStr">
        <is>
          <t>Degrees of Freedom (DOF)</t>
        </is>
      </c>
      <c r="W4" s="193" t="inlineStr">
        <is>
          <t>DOF Hands</t>
        </is>
      </c>
      <c r="X4" s="193" t="inlineStr">
        <is>
          <t>Payload (lb)</t>
        </is>
      </c>
      <c r="Y4" s="193" t="inlineStr">
        <is>
          <t>Strength (kg)</t>
        </is>
      </c>
      <c r="Z4" s="193" t="inlineStr">
        <is>
          <t>Max Speed (mph)</t>
        </is>
      </c>
      <c r="AA4" s="193" t="inlineStr">
        <is>
          <t>Max Speed (km/h)</t>
        </is>
      </c>
      <c r="AB4" s="193" t="inlineStr">
        <is>
          <t>Walking Speed (km/h)</t>
        </is>
      </c>
      <c r="AC4" s="193" t="inlineStr">
        <is>
          <t>Battery / Runtime (Wh / h)</t>
        </is>
      </c>
      <c r="AD4" s="193" t="inlineStr">
        <is>
          <t>Runtime (hours)</t>
        </is>
      </c>
      <c r="AE4" s="193" t="inlineStr">
        <is>
          <t>Flight Time (min)</t>
        </is>
      </c>
      <c r="AF4" s="193" t="inlineStr">
        <is>
          <t>Charging</t>
        </is>
      </c>
      <c r="AG4" s="193" t="inlineStr">
        <is>
          <t>Hands / End-effectors</t>
        </is>
      </c>
      <c r="AH4" s="193" t="inlineStr">
        <is>
          <t>Number of Fingers</t>
        </is>
      </c>
      <c r="AI4" s="193" t="inlineStr">
        <is>
          <t>Manipulation Performance (1–4)</t>
        </is>
      </c>
      <c r="AJ4" s="193" t="inlineStr">
        <is>
          <t>Camera / Vision</t>
        </is>
      </c>
      <c r="AK4" s="193" t="inlineStr">
        <is>
          <t>Camera Resolution</t>
        </is>
      </c>
      <c r="AL4" s="193" t="inlineStr">
        <is>
          <t>Video</t>
        </is>
      </c>
      <c r="AM4" s="193" t="inlineStr">
        <is>
          <t>Gimbal</t>
        </is>
      </c>
      <c r="AN4" s="193" t="inlineStr">
        <is>
          <t>LiDAR</t>
        </is>
      </c>
      <c r="AO4" s="193" t="inlineStr">
        <is>
          <t>Audio</t>
        </is>
      </c>
      <c r="AP4" s="193" t="inlineStr">
        <is>
          <t>Sensors</t>
        </is>
      </c>
      <c r="AQ4" s="193" t="inlineStr">
        <is>
          <t>Tactile / Force Sensors</t>
        </is>
      </c>
      <c r="AR4" s="193" t="inlineStr">
        <is>
          <t>Obstacle Sensing</t>
        </is>
      </c>
      <c r="AS4" s="193" t="inlineStr">
        <is>
          <t>Compute (TOPS / class)</t>
        </is>
      </c>
      <c r="AT4" s="193" t="inlineStr">
        <is>
          <t>CPU / GPU</t>
        </is>
      </c>
      <c r="AU4" s="193" t="inlineStr">
        <is>
          <t>Connectivity</t>
        </is>
      </c>
      <c r="AV4" s="193" t="inlineStr">
        <is>
          <t>Control Interface</t>
        </is>
      </c>
      <c r="AW4" s="193" t="inlineStr">
        <is>
          <t>Navigation</t>
        </is>
      </c>
      <c r="AX4" s="193" t="inlineStr">
        <is>
          <t>Navigation Performance (1–4)</t>
        </is>
      </c>
      <c r="AY4" s="193" t="inlineStr">
        <is>
          <t>Operating System</t>
        </is>
      </c>
      <c r="AZ4" s="193" t="inlineStr">
        <is>
          <t>LLM Integration</t>
        </is>
      </c>
      <c r="BA4" s="193" t="inlineStr">
        <is>
          <t>Latency Glass-to-Action</t>
        </is>
      </c>
      <c r="BB4" s="193" t="inlineStr">
        <is>
          <t>Motor Tech</t>
        </is>
      </c>
      <c r="BC4" s="193" t="inlineStr">
        <is>
          <t>Gear Tech</t>
        </is>
      </c>
      <c r="BD4" s="193" t="inlineStr">
        <is>
          <t>Main Structural Material</t>
        </is>
      </c>
      <c r="BE4" s="193" t="inlineStr">
        <is>
          <t>IP Rating (IPxx)</t>
        </is>
      </c>
      <c r="BF4" s="193" t="inlineStr">
        <is>
          <t>Ingress Protection</t>
        </is>
      </c>
      <c r="BG4" s="193" t="inlineStr">
        <is>
          <t>Depth Rating (ft)</t>
        </is>
      </c>
      <c r="BH4" s="193" t="inlineStr">
        <is>
          <t>Range / Link (mi)</t>
        </is>
      </c>
      <c r="BI4" s="193" t="inlineStr">
        <is>
          <t>Lights</t>
        </is>
      </c>
      <c r="BJ4" s="193" t="inlineStr">
        <is>
          <t>Thrusters</t>
        </is>
      </c>
      <c r="BK4" s="193" t="inlineStr">
        <is>
          <t>Tether</t>
        </is>
      </c>
      <c r="BL4" s="193" t="inlineStr">
        <is>
          <t>Protection</t>
        </is>
      </c>
      <c r="BM4" s="193" t="inlineStr">
        <is>
          <t>Safe with Humans</t>
        </is>
      </c>
      <c r="BN4" s="193" t="inlineStr">
        <is>
          <t>Capable of Rising After Fall</t>
        </is>
      </c>
      <c r="BO4" s="193" t="inlineStr">
        <is>
          <t>Capabilities / Skills Summary</t>
        </is>
      </c>
      <c r="BP4" s="193" t="inlineStr">
        <is>
          <t>Operating Environment</t>
        </is>
      </c>
      <c r="BQ4" s="193" t="inlineStr">
        <is>
          <t>Primary Use / Main Market</t>
        </is>
      </c>
      <c r="BR4" s="193" t="inlineStr">
        <is>
          <t>Commercial Status</t>
        </is>
      </c>
      <c r="BS4" s="193" t="inlineStr">
        <is>
          <t>Availability (HG)</t>
        </is>
      </c>
      <c r="BT4" s="193" t="inlineStr">
        <is>
          <t>Color Options (HG)</t>
        </is>
      </c>
      <c r="BU4" s="193" t="inlineStr">
        <is>
          <t>Verified (HG)</t>
        </is>
      </c>
      <c r="BV4" s="193" t="inlineStr">
        <is>
          <t>Notes</t>
        </is>
      </c>
      <c r="BW4" s="193" t="inlineStr">
        <is>
          <t>Bullet Highlights</t>
        </is>
      </c>
      <c r="BX4" s="193" t="inlineStr">
        <is>
          <t>Variants (id|name|price|desc)</t>
        </is>
      </c>
      <c r="BY4" s="193" t="inlineStr">
        <is>
          <t>Colors (id|name|hex|premium)</t>
        </is>
      </c>
      <c r="BZ4" s="193" t="inlineStr">
        <is>
          <t>Platform Add-ons (IDs)</t>
        </is>
      </c>
      <c r="CA4" s="193" t="inlineStr">
        <is>
          <t>Key Upgrades / Accessories Summary</t>
        </is>
      </c>
      <c r="CB4" s="193" t="inlineStr">
        <is>
          <t>Manufacturer Warranty (label)</t>
        </is>
      </c>
      <c r="CC4" s="193" t="inlineStr">
        <is>
          <t>Manufacturer Warranty (months)</t>
        </is>
      </c>
      <c r="CD4" s="193" t="inlineStr">
        <is>
          <t>Default Extended Warranty</t>
        </is>
      </c>
      <c r="CE4" s="193" t="inlineStr">
        <is>
          <t>Warranty Source</t>
        </is>
      </c>
      <c r="CF4" s="193" t="inlineStr">
        <is>
          <t>Warranty Confidence</t>
        </is>
      </c>
      <c r="CG4" s="193" t="inlineStr">
        <is>
          <t>Warranty Notes</t>
        </is>
      </c>
      <c r="CH4" s="193" t="inlineStr">
        <is>
          <t>Extended Warranty +1yr (% of config)</t>
        </is>
      </c>
      <c r="CI4" s="193" t="inlineStr">
        <is>
          <t>Extended Warranty +2yr (% of config)</t>
        </is>
      </c>
      <c r="CJ4" s="193" t="inlineStr">
        <is>
          <t>Extended Warranty +3yr (% of config)</t>
        </is>
      </c>
      <c r="CK4" s="193" t="inlineStr">
        <is>
          <t>Extended Warranty Options</t>
        </is>
      </c>
      <c r="CL4" s="193" t="inlineStr">
        <is>
          <t>Extended Warranty Pricing Rationale</t>
        </is>
      </c>
      <c r="CM4" s="193" t="inlineStr">
        <is>
          <t>Warranty</t>
        </is>
      </c>
    </row>
    <row r="5" ht="31.5" customHeight="1" s="102">
      <c r="A5" s="143" t="inlineStr">
        <is>
          <t>acsl_soten_industrial_series</t>
        </is>
      </c>
      <c r="B5" s="160" t="inlineStr">
        <is>
          <t>Website</t>
        </is>
      </c>
      <c r="C5" s="145" t="inlineStr">
        <is>
          <t>ACSL</t>
        </is>
      </c>
      <c r="D5" s="145" t="inlineStr">
        <is>
          <t>SOTEN Industrial</t>
        </is>
      </c>
      <c r="E5" s="145" t="inlineStr">
        <is>
          <t>[ACSL] SOTEN Industrial (2010)</t>
        </is>
      </c>
      <c r="F5" s="164" t="inlineStr">
        <is>
          <t>aerial</t>
        </is>
      </c>
      <c r="G5" s="145" t="inlineStr">
        <is>
          <t>Japan</t>
        </is>
      </c>
      <c r="H5" s="147" t="n">
        <v>2010</v>
      </c>
      <c r="I5" s="148" t="n">
        <v>10000</v>
      </c>
      <c r="J5" s="145" t="inlineStr">
        <is>
          <t>Website store</t>
        </is>
      </c>
      <c r="K5" s="149" t="inlineStr">
        <is>
          <t>SOTEN Industrial is ACSL's aerial robot — camera-centric. Industrial inspection cameras; aimed at industrial.</t>
        </is>
      </c>
      <c r="L5" s="101" t="inlineStr">
        <is>
          <t>SOTEN Industrial is ACSL's aerial robot — camera-centric. Industrial inspection cameras; aimed at industrial.</t>
        </is>
      </c>
      <c r="M5" s="101" t="inlineStr">
        <is>
          <t>SOTEN Industrial is ACSL's aerial robot — camera-centric. Industrial inspection cameras; aimed at industrial. It is positioned for industrial / Survey / Inspection.</t>
        </is>
      </c>
      <c r="N5" s="145" t="n"/>
      <c r="O5" s="145" t="inlineStr">
        <is>
          <t>https://www.acsl.co.jp</t>
        </is>
      </c>
      <c r="P5" s="145" t="n"/>
      <c r="Q5" s="145" t="n"/>
      <c r="R5" s="145" t="inlineStr">
        <is>
          <t>Not disclosed</t>
        </is>
      </c>
      <c r="S5" s="145" t="n"/>
      <c r="T5" s="149" t="inlineStr">
        <is>
          <t>Not disclosed</t>
        </is>
      </c>
      <c r="U5" s="145" t="n"/>
      <c r="V5" s="145" t="n"/>
      <c r="W5" s="149" t="n"/>
      <c r="X5" s="145" t="inlineStr">
        <is>
          <t>Not disclosed</t>
        </is>
      </c>
      <c r="Y5" s="145" t="n"/>
      <c r="Z5" s="145" t="inlineStr">
        <is>
          <t>Not disclosed</t>
        </is>
      </c>
      <c r="AA5" s="145" t="n"/>
      <c r="AB5" s="145" t="n"/>
      <c r="AC5" s="149" t="inlineStr">
        <is>
          <t>Not disclosed</t>
        </is>
      </c>
      <c r="AD5" s="149" t="n"/>
      <c r="AE5" s="145" t="inlineStr">
        <is>
          <t>Not disclosed</t>
        </is>
      </c>
      <c r="AF5" s="145" t="inlineStr">
        <is>
          <t>Not disclosed</t>
        </is>
      </c>
      <c r="AG5" s="149" t="n"/>
      <c r="AH5" s="145" t="n"/>
      <c r="AI5" s="145" t="n"/>
      <c r="AJ5" s="149" t="inlineStr">
        <is>
          <t>Industrial inspection cameras</t>
        </is>
      </c>
      <c r="AK5" s="149" t="n"/>
      <c r="AL5" s="145" t="inlineStr">
        <is>
          <t>Secure industrial video paths</t>
        </is>
      </c>
      <c r="AM5" s="145" t="inlineStr">
        <is>
          <t>Not disclosed</t>
        </is>
      </c>
      <c r="AN5" s="145" t="n"/>
      <c r="AO5" s="145" t="n"/>
      <c r="AP5" s="145" t="n"/>
      <c r="AQ5" s="145" t="n"/>
      <c r="AR5" s="145" t="inlineStr">
        <is>
          <t>Not disclosed</t>
        </is>
      </c>
      <c r="AS5" s="145" t="inlineStr">
        <is>
          <t>Not disclosed</t>
        </is>
      </c>
      <c r="AT5" s="149" t="n"/>
      <c r="AU5" s="149" t="inlineStr">
        <is>
          <t>Not disclosed</t>
        </is>
      </c>
      <c r="AV5" s="145" t="inlineStr">
        <is>
          <t>ACSL industrial flight software</t>
        </is>
      </c>
      <c r="AW5" s="149" t="n"/>
      <c r="AX5" s="145" t="n"/>
      <c r="AY5" s="149" t="n"/>
      <c r="AZ5" s="149" t="n"/>
      <c r="BA5" s="149" t="n"/>
      <c r="BB5" s="149" t="n"/>
      <c r="BC5" s="149" t="n"/>
      <c r="BD5" s="145" t="n"/>
      <c r="BE5" s="145" t="inlineStr">
        <is>
          <t>Not disclosed</t>
        </is>
      </c>
      <c r="BF5" s="145" t="n"/>
      <c r="BG5" s="145" t="n"/>
      <c r="BH5" s="145" t="inlineStr">
        <is>
          <t>Not disclosed</t>
        </is>
      </c>
      <c r="BI5" s="145" t="n"/>
      <c r="BJ5" s="145" t="n"/>
      <c r="BK5" s="145" t="n"/>
      <c r="BL5" s="145" t="n"/>
      <c r="BM5" s="145" t="n"/>
      <c r="BN5" s="145" t="n"/>
      <c r="BO5" s="149" t="n"/>
      <c r="BP5" s="145" t="inlineStr">
        <is>
          <t>Not disclosed</t>
        </is>
      </c>
      <c r="BQ5" s="149" t="inlineStr">
        <is>
          <t>Industrial / Survey / Inspection</t>
        </is>
      </c>
      <c r="BR5" s="149" t="inlineStr">
        <is>
          <t>Not disclosed</t>
        </is>
      </c>
      <c r="BS5" s="149" t="n"/>
      <c r="BT5" s="145" t="n"/>
      <c r="BU5" s="145" t="n"/>
      <c r="BV5" s="149" t="inlineStr">
        <is>
          <t>Japanese NDAA-friendly industrial multirotor; strong enterprise &amp; infrastructure focus</t>
        </is>
      </c>
      <c r="BW5" s="149" t="inlineStr">
        <is>
          <t>Origin &amp; status — Japan · 2010 | Flight — Flight time Not disclosed · Range Not disclosed · Payload Not disclosed | Sensing — Industrial inspection cameras | Buying notes — $10,000 · 12 months manufacturer standard (typical) · Best fit: Japanese NDAA-friendly industrial multirotor; strong enterprise &amp; infrastructure focus</t>
        </is>
      </c>
      <c r="BX5" s="149" t="inlineStr">
        <is>
          <t>as_shipped|SOTEN Industrial|10000|As shipped</t>
        </is>
      </c>
      <c r="BY5" s="145" t="inlineStr">
        <is>
          <t>soten_industrial|Manufacturer finish|#e2e8f0|0</t>
        </is>
      </c>
      <c r="BZ5" s="145" t="inlineStr"/>
      <c r="CA5" s="149" t="inlineStr">
        <is>
          <t>Add-ons: case; 2 color options; Multi-year extended warranty available</t>
        </is>
      </c>
      <c r="CB5" s="149" t="inlineStr">
        <is>
          <t>12 months manufacturer standard (typical)</t>
        </is>
      </c>
      <c r="CC5" s="147" t="n">
        <v>12</v>
      </c>
      <c r="CD5" s="149" t="inlineStr">
        <is>
          <t>+3 Year Extended ≈24% of configuration (default in configurator)</t>
        </is>
      </c>
      <c r="CE5" s="145" t="inlineStr">
        <is>
          <t>Industry default when OEM sheet not public</t>
        </is>
      </c>
      <c r="CF5" s="145" t="inlineStr">
        <is>
          <t>Estimated</t>
        </is>
      </c>
      <c r="CG5" s="149" t="inlineStr">
        <is>
          <t>Always confirm exact warranty on formal quote before purchase.</t>
        </is>
      </c>
      <c r="CH5" s="145" t="inlineStr">
        <is>
          <t>10%</t>
        </is>
      </c>
      <c r="CI5" s="145" t="inlineStr">
        <is>
          <t>17%</t>
        </is>
      </c>
      <c r="CJ5" s="145" t="inlineStr">
        <is>
          <t>24%</t>
        </is>
      </c>
      <c r="CK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5" s="145" t="inlineStr">
        <is>
          <t>12 months manufacturer standard (typical)</t>
        </is>
      </c>
    </row>
    <row r="6" ht="31.5" customHeight="1" s="102">
      <c r="A6" s="159" t="inlineStr">
        <is>
          <t>aerovironment_rq_11_raven</t>
        </is>
      </c>
      <c r="B6" s="160" t="inlineStr">
        <is>
          <t>Website</t>
        </is>
      </c>
      <c r="C6" s="152" t="inlineStr">
        <is>
          <t>AeroVironment</t>
        </is>
      </c>
      <c r="D6" s="152" t="inlineStr">
        <is>
          <t>RQ-11 Raven</t>
        </is>
      </c>
      <c r="E6" s="152" t="inlineStr">
        <is>
          <t>[AeroVironment] RQ-11 Raven (2003)</t>
        </is>
      </c>
      <c r="F6" s="164" t="inlineStr">
        <is>
          <t>aerial</t>
        </is>
      </c>
      <c r="G6" s="152" t="inlineStr">
        <is>
          <t>USA</t>
        </is>
      </c>
      <c r="H6" s="154" t="n">
        <v>2003</v>
      </c>
      <c r="I6" s="155" t="n">
        <v>85000</v>
      </c>
      <c r="J6" s="152" t="inlineStr">
        <is>
          <t>RQ-11 Raven configured system estimate</t>
        </is>
      </c>
      <c r="K6" s="156" t="inlineStr">
        <is>
          <t>RQ-11 Raven is AeroVironment's aerial robot — camera-centric. EO/IR nose payloads (variant dependent); aimed at military.</t>
        </is>
      </c>
      <c r="L6" s="101" t="inlineStr">
        <is>
          <t>RQ-11 Raven is AeroVironment's aerial robot — camera-centric. EO/IR nose payloads (variant dependent); aimed at military.</t>
        </is>
      </c>
      <c r="M6" s="101" t="inlineStr">
        <is>
          <t>RQ-11 Raven is AeroVironment's aerial robot — camera-centric. EO/IR nose payloads (variant dependent); aimed at military. It is positioned for military / Tactical.</t>
        </is>
      </c>
      <c r="N6" s="152" t="n"/>
      <c r="O6" s="152" t="inlineStr">
        <is>
          <t>https://www.avinc.com</t>
        </is>
      </c>
      <c r="P6" s="152" t="n"/>
      <c r="Q6" s="152" t="n"/>
      <c r="R6" s="152" t="inlineStr">
        <is>
          <t>Not disclosed</t>
        </is>
      </c>
      <c r="S6" s="152" t="n"/>
      <c r="T6" s="156" t="inlineStr">
        <is>
          <t>Not disclosed</t>
        </is>
      </c>
      <c r="U6" s="152" t="n"/>
      <c r="V6" s="152" t="n"/>
      <c r="W6" s="156" t="n"/>
      <c r="X6" s="152" t="inlineStr">
        <is>
          <t>Not disclosed</t>
        </is>
      </c>
      <c r="Y6" s="152" t="n"/>
      <c r="Z6" s="152" t="inlineStr">
        <is>
          <t>Not disclosed</t>
        </is>
      </c>
      <c r="AA6" s="152" t="n"/>
      <c r="AB6" s="152" t="n"/>
      <c r="AC6" s="156" t="inlineStr">
        <is>
          <t>Not disclosed</t>
        </is>
      </c>
      <c r="AD6" s="156" t="n"/>
      <c r="AE6" s="152" t="inlineStr">
        <is>
          <t>Not disclosed</t>
        </is>
      </c>
      <c r="AF6" s="152" t="inlineStr">
        <is>
          <t>Not disclosed</t>
        </is>
      </c>
      <c r="AG6" s="156" t="n"/>
      <c r="AH6" s="152" t="n"/>
      <c r="AI6" s="152" t="n"/>
      <c r="AJ6" s="156" t="inlineStr">
        <is>
          <t>EO/IR nose payloads (variant dependent)</t>
        </is>
      </c>
      <c r="AK6" s="156" t="n"/>
      <c r="AL6" s="152" t="inlineStr">
        <is>
          <t>Tactical ISR video</t>
        </is>
      </c>
      <c r="AM6" s="152" t="inlineStr">
        <is>
          <t>Not disclosed</t>
        </is>
      </c>
      <c r="AN6" s="152" t="n"/>
      <c r="AO6" s="152" t="n"/>
      <c r="AP6" s="152" t="n"/>
      <c r="AQ6" s="152" t="n"/>
      <c r="AR6" s="152" t="inlineStr">
        <is>
          <t>Not disclosed</t>
        </is>
      </c>
      <c r="AS6" s="152" t="inlineStr">
        <is>
          <t>Not disclosed</t>
        </is>
      </c>
      <c r="AT6" s="156" t="n"/>
      <c r="AU6" s="156" t="inlineStr">
        <is>
          <t>Not disclosed</t>
        </is>
      </c>
      <c r="AV6" s="152" t="inlineStr">
        <is>
          <t>Hand-launch portable GCS</t>
        </is>
      </c>
      <c r="AW6" s="156" t="n"/>
      <c r="AX6" s="152" t="n"/>
      <c r="AY6" s="156" t="n"/>
      <c r="AZ6" s="156" t="n"/>
      <c r="BA6" s="156" t="n"/>
      <c r="BB6" s="156" t="n"/>
      <c r="BC6" s="156" t="n"/>
      <c r="BD6" s="152" t="n"/>
      <c r="BE6" s="152" t="inlineStr">
        <is>
          <t>Not disclosed</t>
        </is>
      </c>
      <c r="BF6" s="152" t="n"/>
      <c r="BG6" s="152" t="n"/>
      <c r="BH6" s="152" t="inlineStr">
        <is>
          <t>Not disclosed</t>
        </is>
      </c>
      <c r="BI6" s="152" t="n"/>
      <c r="BJ6" s="152" t="n"/>
      <c r="BK6" s="152" t="n"/>
      <c r="BL6" s="152" t="n"/>
      <c r="BM6" s="152" t="n"/>
      <c r="BN6" s="152" t="n"/>
      <c r="BO6" s="156" t="n"/>
      <c r="BP6" s="152" t="inlineStr">
        <is>
          <t>Not disclosed</t>
        </is>
      </c>
      <c r="BQ6" s="156" t="inlineStr">
        <is>
          <t>Military / Tactical</t>
        </is>
      </c>
      <c r="BR6" s="156" t="inlineStr">
        <is>
          <t>Not disclosed</t>
        </is>
      </c>
      <c r="BS6" s="156" t="n"/>
      <c r="BT6" s="152" t="n"/>
      <c r="BU6" s="152" t="n"/>
      <c r="BV6" s="156" t="inlineStr">
        <is>
          <t>Hand-launched fixed-wing small tactical UAV; widely fielded</t>
        </is>
      </c>
      <c r="BW6" s="156" t="inlineStr">
        <is>
          <t>Origin &amp; status — USA · 2003 | Flight — Flight time Not disclosed · Range Not disclosed · Payload Not disclosed | Sensing — EO/IR nose payloads (variant dependent) | Buying notes — 35,000+ · 12 months limited / contract-dependent · Best fit: Hand-launched fixed-wing small tactical UAV; widely fielded</t>
        </is>
      </c>
      <c r="BX6" s="156" t="inlineStr">
        <is>
          <t>as_shipped|RQ-11 Raven|85000|As shipped</t>
        </is>
      </c>
      <c r="BY6" s="152" t="inlineStr">
        <is>
          <t>rq_11_raven|Manufacturer finish|#e2e8f0|0</t>
        </is>
      </c>
      <c r="BZ6" s="152" t="inlineStr"/>
      <c r="CA6" s="156" t="inlineStr">
        <is>
          <t>Add-ons: case; 2 color options; Multi-year extended warranty available</t>
        </is>
      </c>
      <c r="CB6" s="156" t="inlineStr">
        <is>
          <t>12 months limited / contract-dependent</t>
        </is>
      </c>
      <c r="CC6" s="154" t="n">
        <v>12</v>
      </c>
      <c r="CD6" s="156" t="inlineStr">
        <is>
          <t>+3 Year Extended ≈24% of configuration (default in configurator)</t>
        </is>
      </c>
      <c r="CE6" s="152" t="inlineStr">
        <is>
          <t>Enterprise &amp; OEM UAV norms</t>
        </is>
      </c>
      <c r="CF6" s="152" t="inlineStr">
        <is>
          <t>Estimated</t>
        </is>
      </c>
      <c r="CG6" s="156" t="inlineStr">
        <is>
          <t>Military/industrial UAVs often under program SLA rather than retail warranty.</t>
        </is>
      </c>
      <c r="CH6" s="152" t="inlineStr">
        <is>
          <t>10%</t>
        </is>
      </c>
      <c r="CI6" s="152" t="inlineStr">
        <is>
          <t>17%</t>
        </is>
      </c>
      <c r="CJ6" s="152" t="inlineStr">
        <is>
          <t>24%</t>
        </is>
      </c>
      <c r="CK6"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6"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6" s="152" t="inlineStr">
        <is>
          <t>12 months limited / contract-dependent</t>
        </is>
      </c>
    </row>
    <row r="7" ht="31.5" customHeight="1" s="102">
      <c r="A7" s="143" t="inlineStr">
        <is>
          <t>autel_robotics_evo</t>
        </is>
      </c>
      <c r="B7" s="160" t="inlineStr">
        <is>
          <t>Website</t>
        </is>
      </c>
      <c r="C7" s="145" t="inlineStr">
        <is>
          <t>Autel Robotics</t>
        </is>
      </c>
      <c r="D7" s="145" t="inlineStr">
        <is>
          <t>EVO</t>
        </is>
      </c>
      <c r="E7" s="145" t="inlineStr">
        <is>
          <t>[Autel] EVO (2018)</t>
        </is>
      </c>
      <c r="F7" s="164" t="inlineStr">
        <is>
          <t>aerial</t>
        </is>
      </c>
      <c r="G7" s="145" t="inlineStr">
        <is>
          <t>China</t>
        </is>
      </c>
      <c r="H7" s="147" t="n">
        <v>2018</v>
      </c>
      <c r="I7" s="148" t="n">
        <v>899</v>
      </c>
      <c r="J7" s="145" t="inlineStr">
        <is>
          <t>Website store</t>
        </is>
      </c>
      <c r="K7" s="149" t="inlineStr">
        <is>
          <t>EVO is Autel Robotics's aerial robot — Up to ≈ 40 min class on later EVO models flight time, camera-centric. RGB / thermal options by SKU; aimed at consumer Foldable.</t>
        </is>
      </c>
      <c r="L7" s="101" t="inlineStr">
        <is>
          <t>EVO is Autel Robotics's aerial robot — Up to ≈ 40 min class on later EVO models flight time, camera-centric. RGB / thermal options by SKU; aimed at consumer Foldable.</t>
        </is>
      </c>
      <c r="M7" s="101" t="inlineStr">
        <is>
          <t>EVO is Autel Robotics's aerial robot — Up to ≈ 40 min class on later EVO models flight time, camera-centric. RGB / thermal options by SKU; aimed at consumer Foldable.</t>
        </is>
      </c>
      <c r="N7" s="145" t="n"/>
      <c r="O7" s="145" t="inlineStr">
        <is>
          <t>https://www.autelrobotics.com</t>
        </is>
      </c>
      <c r="P7" s="145" t="n"/>
      <c r="Q7" s="145" t="n"/>
      <c r="R7" s="145" t="inlineStr">
        <is>
          <t>≈ 2.0–3.5 lb class depending on EVO generation</t>
        </is>
      </c>
      <c r="S7" s="145" t="n"/>
      <c r="T7" s="149" t="inlineStr">
        <is>
          <t>Not disclosed</t>
        </is>
      </c>
      <c r="U7" s="145" t="n"/>
      <c r="V7" s="145" t="n"/>
      <c r="W7" s="149" t="n"/>
      <c r="X7" s="145" t="inlineStr">
        <is>
          <t>Not disclosed</t>
        </is>
      </c>
      <c r="Y7" s="145" t="n"/>
      <c r="Z7" s="145" t="inlineStr">
        <is>
          <t>Not disclosed</t>
        </is>
      </c>
      <c r="AA7" s="145" t="n"/>
      <c r="AB7" s="145" t="n"/>
      <c r="AC7" s="149" t="inlineStr">
        <is>
          <t>Not disclosed</t>
        </is>
      </c>
      <c r="AD7" s="149" t="n"/>
      <c r="AE7" s="145" t="inlineStr">
        <is>
          <t>Up to ≈ 40 min class on later EVO models</t>
        </is>
      </c>
      <c r="AF7" s="145" t="inlineStr">
        <is>
          <t>Not disclosed</t>
        </is>
      </c>
      <c r="AG7" s="149" t="n"/>
      <c r="AH7" s="145" t="n"/>
      <c r="AI7" s="145" t="n"/>
      <c r="AJ7" s="149" t="inlineStr">
        <is>
          <t>RGB / thermal options by SKU</t>
        </is>
      </c>
      <c r="AK7" s="149" t="n"/>
      <c r="AL7" s="145" t="inlineStr">
        <is>
          <t>Up to 4K–6K class depending on generation</t>
        </is>
      </c>
      <c r="AM7" s="145" t="inlineStr">
        <is>
          <t>3-axis</t>
        </is>
      </c>
      <c r="AN7" s="145" t="n"/>
      <c r="AO7" s="145" t="n"/>
      <c r="AP7" s="145" t="n"/>
      <c r="AQ7" s="145" t="n"/>
      <c r="AR7" s="145" t="inlineStr">
        <is>
          <t>Multi-directional on later EVO models</t>
        </is>
      </c>
      <c r="AS7" s="145" t="inlineStr">
        <is>
          <t>Not disclosed</t>
        </is>
      </c>
      <c r="AT7" s="149" t="n"/>
      <c r="AU7" s="149" t="inlineStr">
        <is>
          <t>Not disclosed</t>
        </is>
      </c>
      <c r="AV7" s="145" t="inlineStr">
        <is>
          <t>Autel Sky app and Smart Controller variants</t>
        </is>
      </c>
      <c r="AW7" s="149" t="n"/>
      <c r="AX7" s="145" t="n"/>
      <c r="AY7" s="149" t="n"/>
      <c r="AZ7" s="149" t="n"/>
      <c r="BA7" s="149" t="n"/>
      <c r="BB7" s="149" t="n"/>
      <c r="BC7" s="149" t="n"/>
      <c r="BD7" s="145" t="n"/>
      <c r="BE7" s="145" t="inlineStr">
        <is>
          <t>Not disclosed</t>
        </is>
      </c>
      <c r="BF7" s="145" t="n"/>
      <c r="BG7" s="145" t="n"/>
      <c r="BH7" s="145" t="inlineStr">
        <is>
          <t>Not disclosed</t>
        </is>
      </c>
      <c r="BI7" s="145" t="n"/>
      <c r="BJ7" s="145" t="n"/>
      <c r="BK7" s="145" t="n"/>
      <c r="BL7" s="145" t="n"/>
      <c r="BM7" s="145" t="n"/>
      <c r="BN7" s="145" t="n"/>
      <c r="BO7" s="149" t="n"/>
      <c r="BP7" s="145" t="inlineStr">
        <is>
          <t>Not disclosed</t>
        </is>
      </c>
      <c r="BQ7" s="149" t="inlineStr">
        <is>
          <t>Consumer Foldable</t>
        </is>
      </c>
      <c r="BR7" s="149" t="inlineStr">
        <is>
          <t>Not disclosed</t>
        </is>
      </c>
      <c r="BS7" s="149" t="n"/>
      <c r="BT7" s="145" t="n"/>
      <c r="BU7" s="145" t="n"/>
      <c r="BV7" s="149" t="inlineStr">
        <is>
          <t>Early strong competitor to Mavic series</t>
        </is>
      </c>
      <c r="BW7" s="149" t="inlineStr">
        <is>
          <t>Origin &amp; status — China · 2018 | Flight — Flight time Up to ≈ 40 min class on later EVO models · Range Not disclosed · Payload Not disclosed | Sensing — RGB / thermal options by SKU | Buying notes — $899 · 12 months manufacturer standard (typical) · Best fit: Early strong competitor to Mavic series</t>
        </is>
      </c>
      <c r="BX7" s="149" t="inlineStr">
        <is>
          <t>as_shipped|EVO|899|As shipped</t>
        </is>
      </c>
      <c r="BY7" s="145" t="inlineStr">
        <is>
          <t>evo|Manufacturer finish|#e2e8f0|0</t>
        </is>
      </c>
      <c r="BZ7" s="145" t="inlineStr"/>
      <c r="CA7" s="149" t="inlineStr">
        <is>
          <t>Add-ons: case; 2 color options; Multi-year extended warranty available</t>
        </is>
      </c>
      <c r="CB7" s="149" t="inlineStr">
        <is>
          <t>12 months manufacturer standard (typical)</t>
        </is>
      </c>
      <c r="CC7" s="147" t="n">
        <v>12</v>
      </c>
      <c r="CD7" s="149" t="inlineStr">
        <is>
          <t>+3 Year Extended ≈24% of configuration (default in configurator)</t>
        </is>
      </c>
      <c r="CE7" s="145" t="inlineStr">
        <is>
          <t>Industry default when OEM sheet not public</t>
        </is>
      </c>
      <c r="CF7" s="145" t="inlineStr">
        <is>
          <t>Estimated</t>
        </is>
      </c>
      <c r="CG7" s="149" t="inlineStr">
        <is>
          <t>Always confirm exact warranty on formal quote before purchase.</t>
        </is>
      </c>
      <c r="CH7" s="145" t="inlineStr">
        <is>
          <t>10%</t>
        </is>
      </c>
      <c r="CI7" s="145" t="inlineStr">
        <is>
          <t>17%</t>
        </is>
      </c>
      <c r="CJ7" s="145" t="inlineStr">
        <is>
          <t>24%</t>
        </is>
      </c>
      <c r="CK7"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7"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7" s="145" t="inlineStr">
        <is>
          <t>12 months manufacturer standard (typical)</t>
        </is>
      </c>
    </row>
    <row r="8" ht="31.5" customHeight="1" s="102">
      <c r="A8" s="159" t="inlineStr">
        <is>
          <t>baykar_bayraktar_tb2</t>
        </is>
      </c>
      <c r="B8" s="160" t="inlineStr">
        <is>
          <t>Website</t>
        </is>
      </c>
      <c r="C8" s="152" t="inlineStr">
        <is>
          <t>Baykar</t>
        </is>
      </c>
      <c r="D8" s="152" t="inlineStr">
        <is>
          <t>Bayraktar TB2</t>
        </is>
      </c>
      <c r="E8" s="152" t="inlineStr">
        <is>
          <t>[Baykar] Bayraktar TB2 (2014)</t>
        </is>
      </c>
      <c r="F8" s="164" t="inlineStr">
        <is>
          <t>aerial</t>
        </is>
      </c>
      <c r="G8" s="152" t="inlineStr">
        <is>
          <t>Turkey</t>
        </is>
      </c>
      <c r="H8" s="154" t="n">
        <v>2014</v>
      </c>
      <c r="I8" s="155" t="n">
        <v>5000000</v>
      </c>
      <c r="J8" s="152" t="inlineStr">
        <is>
          <t>Public TB2 export reporting · ~$5M class estimate</t>
        </is>
      </c>
      <c r="K8" s="156" t="inlineStr">
        <is>
          <t>Bayraktar TB2 is Baykar's aerial robot — camera-centric. EO/IR/laser payload turrets; aimed at mALE combat.</t>
        </is>
      </c>
      <c r="L8" s="101" t="inlineStr">
        <is>
          <t>Bayraktar TB2 is Baykar's aerial robot — camera-centric. EO/IR/laser payload turrets; aimed at mALE combat.</t>
        </is>
      </c>
      <c r="M8" s="101" t="inlineStr">
        <is>
          <t>Bayraktar TB2 is Baykar's aerial robot — camera-centric. EO/IR/laser payload turrets; aimed at mALE combat. It is positioned for mALE combat / ISR; major export success.</t>
        </is>
      </c>
      <c r="N8" s="152" t="n"/>
      <c r="O8" s="152" t="inlineStr">
        <is>
          <t>https://baykartech.com</t>
        </is>
      </c>
      <c r="P8" s="152" t="n"/>
      <c r="Q8" s="152" t="n"/>
      <c r="R8" s="152" t="inlineStr">
        <is>
          <t>Not disclosed</t>
        </is>
      </c>
      <c r="S8" s="152" t="n"/>
      <c r="T8" s="156" t="inlineStr">
        <is>
          <t>Not disclosed</t>
        </is>
      </c>
      <c r="U8" s="152" t="n"/>
      <c r="V8" s="152" t="n"/>
      <c r="W8" s="156" t="n"/>
      <c r="X8" s="152" t="inlineStr">
        <is>
          <t>Not disclosed</t>
        </is>
      </c>
      <c r="Y8" s="152" t="n"/>
      <c r="Z8" s="152" t="inlineStr">
        <is>
          <t>Not disclosed</t>
        </is>
      </c>
      <c r="AA8" s="152" t="n"/>
      <c r="AB8" s="152" t="n"/>
      <c r="AC8" s="156" t="inlineStr">
        <is>
          <t>Not disclosed</t>
        </is>
      </c>
      <c r="AD8" s="156" t="n"/>
      <c r="AE8" s="152" t="inlineStr">
        <is>
          <t>Not disclosed</t>
        </is>
      </c>
      <c r="AF8" s="152" t="inlineStr">
        <is>
          <t>Not disclosed</t>
        </is>
      </c>
      <c r="AG8" s="156" t="n"/>
      <c r="AH8" s="152" t="n"/>
      <c r="AI8" s="152" t="n"/>
      <c r="AJ8" s="156" t="inlineStr">
        <is>
          <t>EO/IR/laser payload turrets</t>
        </is>
      </c>
      <c r="AK8" s="156" t="n"/>
      <c r="AL8" s="152" t="inlineStr">
        <is>
          <t>ISR and targeting video</t>
        </is>
      </c>
      <c r="AM8" s="152" t="inlineStr">
        <is>
          <t>Not disclosed</t>
        </is>
      </c>
      <c r="AN8" s="152" t="n"/>
      <c r="AO8" s="152" t="n"/>
      <c r="AP8" s="152" t="n"/>
      <c r="AQ8" s="152" t="n"/>
      <c r="AR8" s="152" t="inlineStr">
        <is>
          <t>Not disclosed</t>
        </is>
      </c>
      <c r="AS8" s="152" t="inlineStr">
        <is>
          <t>Not disclosed</t>
        </is>
      </c>
      <c r="AT8" s="156" t="n"/>
      <c r="AU8" s="156" t="inlineStr">
        <is>
          <t>Not disclosed</t>
        </is>
      </c>
      <c r="AV8" s="152" t="inlineStr">
        <is>
          <t>Ground control station for MALE-class UAV ops</t>
        </is>
      </c>
      <c r="AW8" s="156" t="n"/>
      <c r="AX8" s="152" t="n"/>
      <c r="AY8" s="156" t="n"/>
      <c r="AZ8" s="156" t="n"/>
      <c r="BA8" s="156" t="n"/>
      <c r="BB8" s="156" t="n"/>
      <c r="BC8" s="156" t="n"/>
      <c r="BD8" s="152" t="n"/>
      <c r="BE8" s="152" t="inlineStr">
        <is>
          <t>Not disclosed</t>
        </is>
      </c>
      <c r="BF8" s="152" t="n"/>
      <c r="BG8" s="152" t="n"/>
      <c r="BH8" s="152" t="inlineStr">
        <is>
          <t>Line-of-sight and relay-dependent operational ranges (mission specific)</t>
        </is>
      </c>
      <c r="BI8" s="152" t="n"/>
      <c r="BJ8" s="152" t="n"/>
      <c r="BK8" s="152" t="n"/>
      <c r="BL8" s="152" t="n"/>
      <c r="BM8" s="152" t="n"/>
      <c r="BN8" s="152" t="n"/>
      <c r="BO8" s="156" t="n"/>
      <c r="BP8" s="152" t="inlineStr">
        <is>
          <t>Not disclosed</t>
        </is>
      </c>
      <c r="BQ8" s="156" t="inlineStr">
        <is>
          <t>MALE combat / ISR; major export success</t>
        </is>
      </c>
      <c r="BR8" s="156" t="inlineStr">
        <is>
          <t>Not disclosed</t>
        </is>
      </c>
      <c r="BS8" s="156" t="n"/>
      <c r="BT8" s="152" t="n"/>
      <c r="BU8" s="152" t="n"/>
      <c r="BV8" s="156" t="n"/>
      <c r="BW8" s="156" t="inlineStr">
        <is>
          <t>Origin &amp; status — Turkey · 2014 | Flight — Flight time Not disclosed · Range Line-of-sight and relay-dependent operational ranges (mission specific) · Payload Not disclosed | Sensing — EO/IR/laser payload turrets | Buying notes — Inquiry / Export · 12 months limited / contract-dependent · Best fit: MALE combat / ISR; major export success</t>
        </is>
      </c>
      <c r="BX8" s="156" t="inlineStr">
        <is>
          <t>as_shipped|Bayraktar TB2|5000000|As shipped</t>
        </is>
      </c>
      <c r="BY8" s="152" t="inlineStr">
        <is>
          <t>bayraktar_tb2|Manufacturer finish|#e2e8f0|0</t>
        </is>
      </c>
      <c r="BZ8" s="152" t="inlineStr"/>
      <c r="CA8" s="156" t="inlineStr">
        <is>
          <t>Add-ons: case; 2 color options; Multi-year extended warranty available</t>
        </is>
      </c>
      <c r="CB8" s="156" t="inlineStr">
        <is>
          <t>12 months limited / contract-dependent</t>
        </is>
      </c>
      <c r="CC8" s="154" t="n">
        <v>12</v>
      </c>
      <c r="CD8" s="156" t="inlineStr">
        <is>
          <t>+3 Year Extended ≈24% of configuration (default in configurator)</t>
        </is>
      </c>
      <c r="CE8" s="152" t="inlineStr">
        <is>
          <t>Enterprise &amp; OEM UAV norms</t>
        </is>
      </c>
      <c r="CF8" s="152" t="inlineStr">
        <is>
          <t>Estimated</t>
        </is>
      </c>
      <c r="CG8" s="156" t="inlineStr">
        <is>
          <t>Military/industrial UAVs often under program SLA rather than retail warranty.</t>
        </is>
      </c>
      <c r="CH8" s="152" t="inlineStr">
        <is>
          <t>10%</t>
        </is>
      </c>
      <c r="CI8" s="152" t="inlineStr">
        <is>
          <t>17%</t>
        </is>
      </c>
      <c r="CJ8" s="152" t="inlineStr">
        <is>
          <t>24%</t>
        </is>
      </c>
      <c r="CK8"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8"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8" s="152" t="inlineStr">
        <is>
          <t>12 months limited / contract-dependent</t>
        </is>
      </c>
    </row>
    <row r="9" ht="31.5" customHeight="1" s="102">
      <c r="A9" s="143" t="inlineStr">
        <is>
          <t>dji_air_3</t>
        </is>
      </c>
      <c r="B9" s="160" t="inlineStr">
        <is>
          <t>Website</t>
        </is>
      </c>
      <c r="C9" s="145" t="inlineStr">
        <is>
          <t>DJI</t>
        </is>
      </c>
      <c r="D9" s="145" t="inlineStr">
        <is>
          <t>Air 3</t>
        </is>
      </c>
      <c r="E9" s="145" t="inlineStr">
        <is>
          <t>[DJI] Air 3 (2023)</t>
        </is>
      </c>
      <c r="F9" s="164" t="inlineStr">
        <is>
          <t>aerial</t>
        </is>
      </c>
      <c r="G9" s="145" t="inlineStr">
        <is>
          <t>China</t>
        </is>
      </c>
      <c r="H9" s="147" t="n">
        <v>2023</v>
      </c>
      <c r="I9" s="148" t="n">
        <v>1099</v>
      </c>
      <c r="J9" s="145" t="inlineStr">
        <is>
          <t>Website store</t>
        </is>
      </c>
      <c r="K9" s="149" t="inlineStr">
        <is>
          <t>[DJI] Air 3 (2023) is a aerial platform from DJI (China, 2023), positioned for consumer dual-camera.</t>
        </is>
      </c>
      <c r="L9" s="101" t="inlineStr">
        <is>
          <t>[DJI] Air 3 (2023) is a aerial platform from DJI (China, 2023), positioned for consumer dual-camera.</t>
        </is>
      </c>
      <c r="M9" s="101" t="inlineStr">
        <is>
          <t>[DJI] Air 3 (2023) is a aerial platform from DJI (China, 2023), positioned for consumer dual-camera.</t>
        </is>
      </c>
      <c r="N9" s="145" t="n"/>
      <c r="O9" s="145" t="inlineStr">
        <is>
          <t>https://www.dji.com</t>
        </is>
      </c>
      <c r="P9" s="145" t="n"/>
      <c r="Q9" s="145" t="n"/>
      <c r="R9" s="145" t="inlineStr">
        <is>
          <t>≈ 1.59 lb class (Air 3 / Air 3S family)</t>
        </is>
      </c>
      <c r="S9" s="145" t="n"/>
      <c r="T9" s="149" t="inlineStr">
        <is>
          <t>Not disclosed</t>
        </is>
      </c>
      <c r="U9" s="145" t="n"/>
      <c r="V9" s="145" t="n"/>
      <c r="W9" s="149" t="n"/>
      <c r="X9" s="145" t="inlineStr">
        <is>
          <t>Not disclosed</t>
        </is>
      </c>
      <c r="Y9" s="145" t="n"/>
      <c r="Z9" s="145" t="inlineStr">
        <is>
          <t>≈ 47 mph class</t>
        </is>
      </c>
      <c r="AA9" s="145" t="n"/>
      <c r="AB9" s="145" t="n"/>
      <c r="AC9" s="149" t="inlineStr">
        <is>
          <t>Not disclosed</t>
        </is>
      </c>
      <c r="AD9" s="149" t="n"/>
      <c r="AE9" s="145" t="inlineStr">
        <is>
          <t>Up to ≈ 46 min class</t>
        </is>
      </c>
      <c r="AF9" s="145" t="inlineStr">
        <is>
          <t>Not disclosed</t>
        </is>
      </c>
      <c r="AG9" s="149" t="n"/>
      <c r="AH9" s="145" t="n"/>
      <c r="AI9" s="145" t="n"/>
      <c r="AJ9" s="149" t="inlineStr">
        <is>
          <t>Dual primary cameras (wide + medium tele) on Air 3 / Air 3S</t>
        </is>
      </c>
      <c r="AK9" s="149" t="n"/>
      <c r="AL9" s="145" t="inlineStr">
        <is>
          <t>Up to 4K HDR / 4K/100fps class</t>
        </is>
      </c>
      <c r="AM9" s="145" t="inlineStr">
        <is>
          <t>3-axis gimbal</t>
        </is>
      </c>
      <c r="AN9" s="145" t="n"/>
      <c r="AO9" s="145" t="n"/>
      <c r="AP9" s="145" t="n"/>
      <c r="AQ9" s="145" t="n"/>
      <c r="AR9" s="145" t="inlineStr">
        <is>
          <t>Multi-directional / omnidirectional class</t>
        </is>
      </c>
      <c r="AS9" s="145" t="inlineStr">
        <is>
          <t>Not disclosed</t>
        </is>
      </c>
      <c r="AT9" s="149" t="n"/>
      <c r="AU9" s="149" t="inlineStr">
        <is>
          <t>Not disclosed</t>
        </is>
      </c>
      <c r="AV9" s="145" t="inlineStr">
        <is>
          <t>DJI Fly app + RC-N2 / RC 2 class controllers</t>
        </is>
      </c>
      <c r="AW9" s="149" t="n"/>
      <c r="AX9" s="145" t="n"/>
      <c r="AY9" s="149" t="n"/>
      <c r="AZ9" s="149" t="n"/>
      <c r="BA9" s="149" t="n"/>
      <c r="BB9" s="149" t="n"/>
      <c r="BC9" s="149" t="n"/>
      <c r="BD9" s="145" t="n"/>
      <c r="BE9" s="145" t="inlineStr">
        <is>
          <t>Not disclosed</t>
        </is>
      </c>
      <c r="BF9" s="145" t="n"/>
      <c r="BG9" s="145" t="n"/>
      <c r="BH9" s="145" t="inlineStr">
        <is>
          <t>O4 transmission class</t>
        </is>
      </c>
      <c r="BI9" s="145" t="n"/>
      <c r="BJ9" s="145" t="n"/>
      <c r="BK9" s="145" t="n"/>
      <c r="BL9" s="145" t="n"/>
      <c r="BM9" s="145" t="n"/>
      <c r="BN9" s="145" t="n"/>
      <c r="BO9" s="149" t="n"/>
      <c r="BP9" s="145" t="inlineStr">
        <is>
          <t>Not disclosed</t>
        </is>
      </c>
      <c r="BQ9" s="149" t="inlineStr">
        <is>
          <t>Consumer Dual-Camera</t>
        </is>
      </c>
      <c r="BR9" s="149" t="inlineStr">
        <is>
          <t>Not disclosed</t>
        </is>
      </c>
      <c r="BS9" s="149" t="n"/>
      <c r="BT9" s="145" t="n"/>
      <c r="BU9" s="145" t="n"/>
      <c r="BV9" s="149" t="inlineStr">
        <is>
          <t>Dual wide + tele cameras; long flight times; O4 transmission system</t>
        </is>
      </c>
      <c r="BW9" s="149" t="inlineStr">
        <is>
          <t>Origin &amp; status — China · 2023 | Flight — Flight time Up to ≈ 46 min class · Range O4 transmission class · Payload Not disclosed | Sensing — Dual primary cameras (wide + medium tele) on Air 3 / Air 3S | Buying notes — $1,099 · 12 months on main aircraft / gimbal / propulsion (excl. propellers) · Best fit: Dual wide + tele cameras; long flight times; O4 transmission system</t>
        </is>
      </c>
      <c r="BX9" s="149" t="inlineStr">
        <is>
          <t>drone|Air 3 (DJI RC-N2)|1099|Aircraft + RC-N2 || flymore|Air 3 Fly More Combo (RC-N2)|1349|Fly More || flymore_2|Air 3 Fly More Combo (DJI RC 2)|1549|Fly More + RC 2</t>
        </is>
      </c>
      <c r="BY9" s="145" t="inlineStr">
        <is>
          <t>gray|Air 3 Gray-Gold|#71717a|0</t>
        </is>
      </c>
      <c r="BZ9" s="145" t="inlineStr">
        <is>
          <t>battery, charger</t>
        </is>
      </c>
      <c r="CA9" s="149" t="inlineStr">
        <is>
          <t>Add-ons: case; 2 color options; Multi-year extended warranty available</t>
        </is>
      </c>
      <c r="CB9" s="149" t="inlineStr">
        <is>
          <t>12 months on main aircraft / gimbal / propulsion (excl. propellers)</t>
        </is>
      </c>
      <c r="CC9" s="147" t="n">
        <v>12</v>
      </c>
      <c r="CD9" s="149" t="inlineStr">
        <is>
          <t>+3 Year Extended ≈24% of configuration (default in configurator)</t>
        </is>
      </c>
      <c r="CE9" s="145" t="inlineStr">
        <is>
          <t>DJI After-Sales Service Policy</t>
        </is>
      </c>
      <c r="CF9" s="145" t="inlineStr">
        <is>
          <t>Documented</t>
        </is>
      </c>
      <c r="CG9" s="149" t="inlineStr">
        <is>
          <t>Batteries often 12 months and &lt;200 charge cycles. Propellers/shell typically no warranty. DJI Care is optional.</t>
        </is>
      </c>
      <c r="CH9" s="145" t="inlineStr">
        <is>
          <t>10%</t>
        </is>
      </c>
      <c r="CI9" s="145" t="inlineStr">
        <is>
          <t>17%</t>
        </is>
      </c>
      <c r="CJ9" s="145" t="inlineStr">
        <is>
          <t>24%</t>
        </is>
      </c>
      <c r="CK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9" s="145" t="inlineStr">
        <is>
          <t>12 months on main aircraft / gimbal / propulsion (excl. propellers)</t>
        </is>
      </c>
    </row>
    <row r="10" ht="31.5" customHeight="1" s="102">
      <c r="A10" s="143" t="inlineStr">
        <is>
          <t>dji_air_3_air_3s</t>
        </is>
      </c>
      <c r="B10" s="160" t="inlineStr">
        <is>
          <t>Website</t>
        </is>
      </c>
      <c r="C10" s="145" t="inlineStr">
        <is>
          <t>DJI</t>
        </is>
      </c>
      <c r="D10" s="145" t="inlineStr">
        <is>
          <t>Air 3S</t>
        </is>
      </c>
      <c r="E10" s="145" t="inlineStr">
        <is>
          <t>[DJI] Air 3S (2024)</t>
        </is>
      </c>
      <c r="F10" s="164" t="inlineStr">
        <is>
          <t>aerial</t>
        </is>
      </c>
      <c r="G10" s="145" t="inlineStr">
        <is>
          <t>China</t>
        </is>
      </c>
      <c r="H10" s="147" t="n">
        <v>2023</v>
      </c>
      <c r="I10" s="148" t="n">
        <v>1299</v>
      </c>
      <c r="J10" s="145" t="inlineStr">
        <is>
          <t>Website store</t>
        </is>
      </c>
      <c r="K10" s="149" t="inlineStr">
        <is>
          <t>[DJI] Air 3S (2023) is a aerial platform from DJI (China, 2023), positioned for consumer dual-camera.</t>
        </is>
      </c>
      <c r="L10" s="101" t="inlineStr">
        <is>
          <t>[DJI] Air 3S (2023) is a aerial platform from DJI (China, 2023), positioned for consumer dual-camera.</t>
        </is>
      </c>
      <c r="M10" s="101" t="inlineStr">
        <is>
          <t>[DJI] Air 3S (2023) is a aerial platform from DJI (China, 2023), positioned for consumer dual-camera.</t>
        </is>
      </c>
      <c r="N10" s="145" t="n"/>
      <c r="O10" s="145" t="inlineStr">
        <is>
          <t>https://www.dji.com</t>
        </is>
      </c>
      <c r="P10" s="145" t="n"/>
      <c r="Q10" s="145" t="n"/>
      <c r="R10" s="145" t="inlineStr">
        <is>
          <t>≈ 1.59 lb class (Air 3 / Air 3S family)</t>
        </is>
      </c>
      <c r="S10" s="145" t="n"/>
      <c r="T10" s="149" t="inlineStr">
        <is>
          <t>Not disclosed</t>
        </is>
      </c>
      <c r="U10" s="145" t="n"/>
      <c r="V10" s="145" t="n"/>
      <c r="W10" s="149" t="n"/>
      <c r="X10" s="145" t="inlineStr">
        <is>
          <t>Not disclosed</t>
        </is>
      </c>
      <c r="Y10" s="145" t="n"/>
      <c r="Z10" s="145" t="inlineStr">
        <is>
          <t>≈ 47 mph class</t>
        </is>
      </c>
      <c r="AA10" s="145" t="n"/>
      <c r="AB10" s="145" t="n"/>
      <c r="AC10" s="149" t="inlineStr">
        <is>
          <t>Not disclosed</t>
        </is>
      </c>
      <c r="AD10" s="149" t="n"/>
      <c r="AE10" s="145" t="inlineStr">
        <is>
          <t>Up to ≈ 46 min class</t>
        </is>
      </c>
      <c r="AF10" s="145" t="inlineStr">
        <is>
          <t>Not disclosed</t>
        </is>
      </c>
      <c r="AG10" s="149" t="n"/>
      <c r="AH10" s="145" t="n"/>
      <c r="AI10" s="145" t="n"/>
      <c r="AJ10" s="149" t="inlineStr">
        <is>
          <t>Dual primary cameras (wide + medium tele) on Air 3 / Air 3S</t>
        </is>
      </c>
      <c r="AK10" s="149" t="n"/>
      <c r="AL10" s="145" t="inlineStr">
        <is>
          <t>Up to 4K HDR / 4K/100fps class</t>
        </is>
      </c>
      <c r="AM10" s="145" t="inlineStr">
        <is>
          <t>3-axis gimbal</t>
        </is>
      </c>
      <c r="AN10" s="145" t="n"/>
      <c r="AO10" s="145" t="n"/>
      <c r="AP10" s="145" t="n"/>
      <c r="AQ10" s="145" t="n"/>
      <c r="AR10" s="145" t="inlineStr">
        <is>
          <t>Multi-directional / omnidirectional class</t>
        </is>
      </c>
      <c r="AS10" s="145" t="inlineStr">
        <is>
          <t>Not disclosed</t>
        </is>
      </c>
      <c r="AT10" s="149" t="n"/>
      <c r="AU10" s="149" t="inlineStr">
        <is>
          <t>Not disclosed</t>
        </is>
      </c>
      <c r="AV10" s="145" t="inlineStr">
        <is>
          <t>DJI Fly app + RC-N2 / RC 2 class controllers</t>
        </is>
      </c>
      <c r="AW10" s="149" t="n"/>
      <c r="AX10" s="145" t="n"/>
      <c r="AY10" s="149" t="n"/>
      <c r="AZ10" s="149" t="n"/>
      <c r="BA10" s="149" t="n"/>
      <c r="BB10" s="149" t="n"/>
      <c r="BC10" s="149" t="n"/>
      <c r="BD10" s="145" t="n"/>
      <c r="BE10" s="145" t="inlineStr">
        <is>
          <t>Not disclosed</t>
        </is>
      </c>
      <c r="BF10" s="145" t="n"/>
      <c r="BG10" s="145" t="n"/>
      <c r="BH10" s="145" t="inlineStr">
        <is>
          <t>O4 transmission class</t>
        </is>
      </c>
      <c r="BI10" s="145" t="n"/>
      <c r="BJ10" s="145" t="n"/>
      <c r="BK10" s="145" t="n"/>
      <c r="BL10" s="145" t="n"/>
      <c r="BM10" s="145" t="n"/>
      <c r="BN10" s="145" t="n"/>
      <c r="BO10" s="149" t="n"/>
      <c r="BP10" s="145" t="inlineStr">
        <is>
          <t>Not disclosed</t>
        </is>
      </c>
      <c r="BQ10" s="149" t="inlineStr">
        <is>
          <t>Consumer Dual-Camera</t>
        </is>
      </c>
      <c r="BR10" s="149" t="inlineStr">
        <is>
          <t>Not disclosed</t>
        </is>
      </c>
      <c r="BS10" s="149" t="n"/>
      <c r="BT10" s="145" t="n"/>
      <c r="BU10" s="145" t="n"/>
      <c r="BV10" s="149" t="inlineStr">
        <is>
          <t>Dual wide + tele cameras; long flight times; O4 transmission system</t>
        </is>
      </c>
      <c r="BW10" s="149" t="inlineStr">
        <is>
          <t>Origin &amp; status — China · 2023 | Flight — Flight time Up to ≈ 46 min class · Range O4 transmission class · Payload Not disclosed | Sensing — Dual primary cameras (wide + medium tele) on Air 3 / Air 3S | Buying notes — $1,299 · 12 months on main aircraft / gimbal / propulsion (excl. propellers) · Best fit: Dual wide + tele cameras; long flight times; O4 transmission system</t>
        </is>
      </c>
      <c r="BX10" s="149" t="inlineStr">
        <is>
          <t>drone|Air 3S (DJI RC-N3)|1299|Aircraft + RC-N3 || flymore|Air 3S Fly More Combo|1699|Fly More</t>
        </is>
      </c>
      <c r="BY10" s="145" t="inlineStr">
        <is>
          <t>gray|Air 3S Gray-Gold|#71717a|0</t>
        </is>
      </c>
      <c r="BZ10" s="145" t="inlineStr">
        <is>
          <t>battery, charger</t>
        </is>
      </c>
      <c r="CA10" s="149" t="inlineStr">
        <is>
          <t>Add-ons: case; 2 color options; Multi-year extended warranty available</t>
        </is>
      </c>
      <c r="CB10" s="149" t="inlineStr">
        <is>
          <t>12 months on main aircraft / gimbal / propulsion (excl. propellers)</t>
        </is>
      </c>
      <c r="CC10" s="147" t="n">
        <v>12</v>
      </c>
      <c r="CD10" s="149" t="inlineStr">
        <is>
          <t>+3 Year Extended ≈24% of configuration (default in configurator)</t>
        </is>
      </c>
      <c r="CE10" s="145" t="inlineStr">
        <is>
          <t>DJI After-Sales Service Policy</t>
        </is>
      </c>
      <c r="CF10" s="145" t="inlineStr">
        <is>
          <t>Documented</t>
        </is>
      </c>
      <c r="CG10" s="149" t="inlineStr">
        <is>
          <t>Batteries often 12 months and &lt;200 charge cycles. Propellers/shell typically no warranty. DJI Care is optional.</t>
        </is>
      </c>
      <c r="CH10" s="145" t="inlineStr">
        <is>
          <t>10%</t>
        </is>
      </c>
      <c r="CI10" s="145" t="inlineStr">
        <is>
          <t>17%</t>
        </is>
      </c>
      <c r="CJ10" s="145" t="inlineStr">
        <is>
          <t>24%</t>
        </is>
      </c>
      <c r="CK10"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10"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0" s="145" t="inlineStr">
        <is>
          <t>12 months on main aircraft / gimbal / propulsion (excl. propellers)</t>
        </is>
      </c>
    </row>
    <row r="11" ht="31.5" customHeight="1" s="102">
      <c r="A11" s="143" t="inlineStr">
        <is>
          <t>dji_matrice_350_rtk</t>
        </is>
      </c>
      <c r="B11" s="160" t="inlineStr">
        <is>
          <t>Website</t>
        </is>
      </c>
      <c r="C11" s="145" t="inlineStr">
        <is>
          <t>DJI</t>
        </is>
      </c>
      <c r="D11" s="145" t="inlineStr">
        <is>
          <t>Matrice 350 RTK</t>
        </is>
      </c>
      <c r="E11" s="145" t="inlineStr">
        <is>
          <t>[DJI] Matrice 350 RTK (2023)</t>
        </is>
      </c>
      <c r="F11" s="164" t="inlineStr">
        <is>
          <t>aerial</t>
        </is>
      </c>
      <c r="G11" s="145" t="inlineStr">
        <is>
          <t>China</t>
        </is>
      </c>
      <c r="H11" s="147" t="n">
        <v>2023</v>
      </c>
      <c r="I11" s="148" t="n">
        <v>13470</v>
      </c>
      <c r="J11" s="145" t="inlineStr">
        <is>
          <t>Website store</t>
        </is>
      </c>
      <c r="K11" s="149" t="inlineStr">
        <is>
          <t>Matrice 350 RTK is DJI's aerial robot — Up to ≈ 55 min depending on payload flight time, camera-centric. Modular Zenmuse payloads (H20/H30, P1, L2 LiDAR, etc.); aimed at enterprise Multirotor.</t>
        </is>
      </c>
      <c r="L11" s="101" t="inlineStr">
        <is>
          <t>Matrice 350 RTK is DJI's aerial robot — Up to ≈ 55 min depending on payload flight time, camera-centric. Modular Zenmuse payloads (H20/H30, P1, L2 LiDAR, etc.); aimed at enterprise Multirotor.</t>
        </is>
      </c>
      <c r="M11" s="101" t="inlineStr">
        <is>
          <t>Matrice 350 RTK is DJI's aerial robot — Up to ≈ 55 min depending on payload flight time, camera-centric. Modular Zenmuse payloads (H20/H30, P1, L2 LiDAR, etc.); aimed at enterprise Multirotor.</t>
        </is>
      </c>
      <c r="N11" s="145" t="n"/>
      <c r="O11" s="145" t="inlineStr">
        <is>
          <t>https://www.dji.com</t>
        </is>
      </c>
      <c r="P11" s="145" t="n"/>
      <c r="Q11" s="145" t="n"/>
      <c r="R11" s="145" t="inlineStr">
        <is>
          <t>≈ 8.3 lb without battery · max takeoff ≈ 20.3 lb</t>
        </is>
      </c>
      <c r="S11" s="145" t="n"/>
      <c r="T11" s="149" t="inlineStr">
        <is>
          <t>Not disclosed</t>
        </is>
      </c>
      <c r="U11" s="145" t="n"/>
      <c r="V11" s="145" t="n"/>
      <c r="W11" s="149" t="n"/>
      <c r="X11" s="145" t="inlineStr">
        <is>
          <t>Not disclosed</t>
        </is>
      </c>
      <c r="Y11" s="145" t="n"/>
      <c r="Z11" s="145" t="inlineStr">
        <is>
          <t>Not disclosed</t>
        </is>
      </c>
      <c r="AA11" s="145" t="n"/>
      <c r="AB11" s="145" t="n"/>
      <c r="AC11" s="149" t="inlineStr">
        <is>
          <t>Not disclosed</t>
        </is>
      </c>
      <c r="AD11" s="149" t="n"/>
      <c r="AE11" s="145" t="inlineStr">
        <is>
          <t>Up to ≈ 55 min depending on payload</t>
        </is>
      </c>
      <c r="AF11" s="145" t="inlineStr">
        <is>
          <t>Not disclosed</t>
        </is>
      </c>
      <c r="AG11" s="149" t="n"/>
      <c r="AH11" s="145" t="n"/>
      <c r="AI11" s="145" t="n"/>
      <c r="AJ11" s="149" t="inlineStr">
        <is>
          <t>Modular Zenmuse payloads (H20/H30, P1, L2 LiDAR, etc.)</t>
        </is>
      </c>
      <c r="AK11" s="149" t="n"/>
      <c r="AL11" s="145" t="inlineStr">
        <is>
          <t>Payload-dependent (RGB, zoom, thermal, LiDAR point clouds)</t>
        </is>
      </c>
      <c r="AM11" s="145" t="inlineStr">
        <is>
          <t>Single or dual lower gimbal</t>
        </is>
      </c>
      <c r="AN11" s="145" t="n"/>
      <c r="AO11" s="145" t="n"/>
      <c r="AP11" s="145" t="n"/>
      <c r="AQ11" s="145" t="n"/>
      <c r="AR11" s="145" t="inlineStr">
        <is>
          <t>Six-directional sensing class</t>
        </is>
      </c>
      <c r="AS11" s="145" t="inlineStr">
        <is>
          <t>Not disclosed</t>
        </is>
      </c>
      <c r="AT11" s="149" t="n"/>
      <c r="AU11" s="149" t="inlineStr">
        <is>
          <t>Not disclosed</t>
        </is>
      </c>
      <c r="AV11" s="145" t="inlineStr">
        <is>
          <t>DJI Pilot 2 + DJI RC Plus</t>
        </is>
      </c>
      <c r="AW11" s="149" t="n"/>
      <c r="AX11" s="145" t="n"/>
      <c r="AY11" s="149" t="n"/>
      <c r="AZ11" s="149" t="n"/>
      <c r="BA11" s="149" t="n"/>
      <c r="BB11" s="149" t="n"/>
      <c r="BC11" s="149" t="n"/>
      <c r="BD11" s="145" t="n"/>
      <c r="BE11" s="145" t="inlineStr">
        <is>
          <t>IP55</t>
        </is>
      </c>
      <c r="BF11" s="145" t="n"/>
      <c r="BG11" s="145" t="n"/>
      <c r="BH11" s="145" t="inlineStr">
        <is>
          <t>O3 Enterprise transmission class</t>
        </is>
      </c>
      <c r="BI11" s="145" t="n"/>
      <c r="BJ11" s="145" t="n"/>
      <c r="BK11" s="145" t="n"/>
      <c r="BL11" s="145" t="n"/>
      <c r="BM11" s="145" t="n"/>
      <c r="BN11" s="145" t="n"/>
      <c r="BO11" s="149" t="n"/>
      <c r="BP11" s="145" t="inlineStr">
        <is>
          <t>Not disclosed</t>
        </is>
      </c>
      <c r="BQ11" s="149" t="inlineStr">
        <is>
          <t>Enterprise Multirotor</t>
        </is>
      </c>
      <c r="BR11" s="149" t="inlineStr">
        <is>
          <t>Not disclosed</t>
        </is>
      </c>
      <c r="BS11" s="149" t="n"/>
      <c r="BT11" s="145" t="n"/>
      <c r="BU11" s="145" t="n"/>
      <c r="BV11" s="149" t="inlineStr">
        <is>
          <t>Modular multi-payload platform; RTK; IP55; flagship enterprise platform</t>
        </is>
      </c>
      <c r="BW11" s="149" t="inlineStr">
        <is>
          <t>Origin &amp; status — China · 2023 | Flight — Flight time Up to ≈ 55 min depending on payload · Range O3 Enterprise transmission class · Payload Not disclosed | Sensing — Modular Zenmuse payloads (H20/H30, P1, L2 LiDAR, etc.) | Buying notes — 11,000+ · 12 months on main aircraft / gimbal / propulsion (excl. propellers) · Best fit: Modular multi-payload platform; RTK; IP55; flagship enterprise platform</t>
        </is>
      </c>
      <c r="BX11" s="149" t="inlineStr">
        <is>
          <t>aircraft|Matrice 350 RTK Aircraft|13470|Airframe || combo|Matrice 350 RTK Concern Kit|19999|Enterprise kit</t>
        </is>
      </c>
      <c r="BY11" s="145" t="inlineStr">
        <is>
          <t>gray|Matrice Gray|#3f3f46|0</t>
        </is>
      </c>
      <c r="BZ11" s="145" t="inlineStr">
        <is>
          <t>battery, charger, controller</t>
        </is>
      </c>
      <c r="CA11" s="149" t="inlineStr">
        <is>
          <t>Add-ons: case; 2 color options; Multi-year extended warranty available</t>
        </is>
      </c>
      <c r="CB11" s="149" t="inlineStr">
        <is>
          <t>12 months on main aircraft / gimbal / propulsion (excl. propellers)</t>
        </is>
      </c>
      <c r="CC11" s="147" t="n">
        <v>12</v>
      </c>
      <c r="CD11" s="149" t="inlineStr">
        <is>
          <t>+3 Year Extended ≈24% of configuration (default in configurator)</t>
        </is>
      </c>
      <c r="CE11" s="145" t="inlineStr">
        <is>
          <t>DJI After-Sales Service Policy</t>
        </is>
      </c>
      <c r="CF11" s="145" t="inlineStr">
        <is>
          <t>Documented</t>
        </is>
      </c>
      <c r="CG11" s="149" t="inlineStr">
        <is>
          <t>Batteries often 12 months and &lt;200 charge cycles. Propellers/shell typically no warranty. DJI Care is optional.</t>
        </is>
      </c>
      <c r="CH11" s="145" t="inlineStr">
        <is>
          <t>10%</t>
        </is>
      </c>
      <c r="CI11" s="145" t="inlineStr">
        <is>
          <t>17%</t>
        </is>
      </c>
      <c r="CJ11" s="145" t="inlineStr">
        <is>
          <t>24%</t>
        </is>
      </c>
      <c r="CK1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1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1" s="145" t="inlineStr">
        <is>
          <t>12 months on main aircraft / gimbal / propulsion (excl. propellers)</t>
        </is>
      </c>
    </row>
    <row r="12" ht="31.5" customHeight="1" s="102">
      <c r="A12" s="159" t="inlineStr">
        <is>
          <t>dji_mavic_3_pro</t>
        </is>
      </c>
      <c r="B12" s="160" t="inlineStr">
        <is>
          <t>Website</t>
        </is>
      </c>
      <c r="C12" s="152" t="inlineStr">
        <is>
          <t>DJI</t>
        </is>
      </c>
      <c r="D12" s="152" t="inlineStr">
        <is>
          <t>Mavic 3 Pro</t>
        </is>
      </c>
      <c r="E12" s="152" t="inlineStr">
        <is>
          <t>[DJI] Mavic 3 Pro (2023)</t>
        </is>
      </c>
      <c r="F12" s="164" t="inlineStr">
        <is>
          <t>aerial</t>
        </is>
      </c>
      <c r="G12" s="152" t="inlineStr">
        <is>
          <t>China</t>
        </is>
      </c>
      <c r="H12" s="154" t="n">
        <v>2023</v>
      </c>
      <c r="I12" s="155" t="n">
        <v>2199</v>
      </c>
      <c r="J12" s="152" t="inlineStr">
        <is>
          <t>Website store</t>
        </is>
      </c>
      <c r="K12" s="156" t="inlineStr">
        <is>
          <t>Mavic 3 Pro is DJI's aerial robot — Up to ≈ 43 min flight time, camera-centric. Triple-camera: 4/3-inch Hasselblad 20 MP wide + 1/1.3-inch 48 MP medium tele + 1/2-inch 12 MP tele; aimed at prosumer Triple-Camera.</t>
        </is>
      </c>
      <c r="L12" s="101" t="inlineStr">
        <is>
          <t>Mavic 3 Pro is DJI's aerial robot — Up to ≈ 43 min flight time, camera-centric. Triple-camera: 4/3-inch Hasselblad 20 MP wide + 1/1.3-inch 48 MP medium tele + 1/2-inch 12 MP tele; aimed at prosumer Triple-Camera.</t>
        </is>
      </c>
      <c r="M12" s="101" t="inlineStr">
        <is>
          <t>Mavic 3 Pro is DJI's aerial robot — Up to ≈ 43 min flight time, camera-centric. Triple-camera: 4/3-inch Hasselblad 20 MP wide + 1/1.3-inch 48 MP medium tele + 1/2-inch 12 MP tele; aimed at prosumer Triple-Camera.</t>
        </is>
      </c>
      <c r="N12" s="152" t="n"/>
      <c r="O12" s="152" t="inlineStr">
        <is>
          <t>https://www.dji.com</t>
        </is>
      </c>
      <c r="P12" s="152" t="n"/>
      <c r="Q12" s="152" t="n"/>
      <c r="R12" s="152" t="inlineStr">
        <is>
          <t>≈ 2.11 lb (≈ 958 g)</t>
        </is>
      </c>
      <c r="S12" s="152" t="n"/>
      <c r="T12" s="156" t="inlineStr">
        <is>
          <t>Not disclosed</t>
        </is>
      </c>
      <c r="U12" s="152" t="n"/>
      <c r="V12" s="152" t="n"/>
      <c r="W12" s="156" t="n"/>
      <c r="X12" s="152" t="inlineStr">
        <is>
          <t>Not disclosed</t>
        </is>
      </c>
      <c r="Y12" s="152" t="n"/>
      <c r="Z12" s="152" t="inlineStr">
        <is>
          <t>≈ 47 mph class</t>
        </is>
      </c>
      <c r="AA12" s="152" t="n"/>
      <c r="AB12" s="152" t="n"/>
      <c r="AC12" s="156" t="inlineStr">
        <is>
          <t>Not disclosed</t>
        </is>
      </c>
      <c r="AD12" s="156" t="n"/>
      <c r="AE12" s="152" t="inlineStr">
        <is>
          <t>Up to ≈ 43 min</t>
        </is>
      </c>
      <c r="AF12" s="152" t="inlineStr">
        <is>
          <t>Not disclosed</t>
        </is>
      </c>
      <c r="AG12" s="156" t="n"/>
      <c r="AH12" s="152" t="n"/>
      <c r="AI12" s="152" t="n"/>
      <c r="AJ12" s="156" t="inlineStr">
        <is>
          <t>Triple-camera: 4/3-inch Hasselblad 20 MP wide + 1/1.3-inch 48 MP medium tele + 1/2-inch 12 MP tele</t>
        </is>
      </c>
      <c r="AK12" s="156" t="n"/>
      <c r="AL12" s="152" t="inlineStr">
        <is>
          <t>Up to 5.1K/50fps · 4K/120fps class</t>
        </is>
      </c>
      <c r="AM12" s="152" t="inlineStr">
        <is>
          <t>3-axis</t>
        </is>
      </c>
      <c r="AN12" s="152" t="n"/>
      <c r="AO12" s="152" t="n"/>
      <c r="AP12" s="152" t="n"/>
      <c r="AQ12" s="152" t="n"/>
      <c r="AR12" s="152" t="inlineStr">
        <is>
          <t>Omnidirectional (6 directions)</t>
        </is>
      </c>
      <c r="AS12" s="152" t="inlineStr">
        <is>
          <t>Not disclosed</t>
        </is>
      </c>
      <c r="AT12" s="156" t="n"/>
      <c r="AU12" s="156" t="inlineStr">
        <is>
          <t>Not disclosed</t>
        </is>
      </c>
      <c r="AV12" s="152" t="inlineStr">
        <is>
          <t>DJI Fly + RC series</t>
        </is>
      </c>
      <c r="AW12" s="156" t="n"/>
      <c r="AX12" s="152" t="n"/>
      <c r="AY12" s="156" t="n"/>
      <c r="AZ12" s="156" t="n"/>
      <c r="BA12" s="156" t="n"/>
      <c r="BB12" s="156" t="n"/>
      <c r="BC12" s="156" t="n"/>
      <c r="BD12" s="152" t="n"/>
      <c r="BE12" s="152" t="inlineStr">
        <is>
          <t>Not disclosed</t>
        </is>
      </c>
      <c r="BF12" s="152" t="n"/>
      <c r="BG12" s="152" t="n"/>
      <c r="BH12" s="152" t="inlineStr">
        <is>
          <t>O3+ · up to ≈ 9 mi FCC class</t>
        </is>
      </c>
      <c r="BI12" s="152" t="n"/>
      <c r="BJ12" s="152" t="n"/>
      <c r="BK12" s="152" t="n"/>
      <c r="BL12" s="152" t="n"/>
      <c r="BM12" s="152" t="n"/>
      <c r="BN12" s="152" t="n"/>
      <c r="BO12" s="156" t="n"/>
      <c r="BP12" s="152" t="inlineStr">
        <is>
          <t>Not disclosed</t>
        </is>
      </c>
      <c r="BQ12" s="156" t="inlineStr">
        <is>
          <t>Prosumer Triple-Camera</t>
        </is>
      </c>
      <c r="BR12" s="156" t="inlineStr">
        <is>
          <t>Not disclosed</t>
        </is>
      </c>
      <c r="BS12" s="156" t="n"/>
      <c r="BT12" s="152" t="n"/>
      <c r="BU12" s="152" t="n"/>
      <c r="BV12" s="156" t="inlineStr">
        <is>
          <t>Hasselblad 4/3-inch main sensor + 3× and 7× telephoto cameras</t>
        </is>
      </c>
      <c r="BW12" s="156" t="inlineStr">
        <is>
          <t>Origin &amp; status — China · 2023 | Flight — Flight time Up to ≈ 43 min · Range O3+ · up to ≈ 9 mi FCC class · Payload Not disclosed | Sensing — Triple-camera: 4/3-inch Hasselblad 20 MP wide + 1/1.3-inch 48 MP medium tele + 1/2-inch 12 MP tele | Buying notes — 2,199 · 12 months on main aircraft / gimbal / propulsion (excl. propellers) · Best fit: Hasselblad 4/3-inch main sensor + 3× and 7× telephoto cameras</t>
        </is>
      </c>
      <c r="BX12" s="156" t="inlineStr">
        <is>
          <t>drone|Mavic 3 Pro (DJI RC)|2199|Aircraft + RC || flymore|Mavic 3 Pro Fly More Combo|2999|Fly More + RC || cine|Mavic 3 Pro Cine Premium Combo|4799|Apple ProRes + SSD</t>
        </is>
      </c>
      <c r="BY12" s="152" t="inlineStr">
        <is>
          <t>gray|Mavic Gray|#52525b|0</t>
        </is>
      </c>
      <c r="BZ12" s="152" t="inlineStr">
        <is>
          <t>battery, charger</t>
        </is>
      </c>
      <c r="CA12" s="156" t="inlineStr">
        <is>
          <t>Add-ons: case; 2 color options; Multi-year extended warranty available</t>
        </is>
      </c>
      <c r="CB12" s="156" t="inlineStr">
        <is>
          <t>12 months on main aircraft / gimbal / propulsion (excl. propellers)</t>
        </is>
      </c>
      <c r="CC12" s="154" t="n">
        <v>12</v>
      </c>
      <c r="CD12" s="156" t="inlineStr">
        <is>
          <t>+3 Year Extended ≈24% of configuration (default in configurator)</t>
        </is>
      </c>
      <c r="CE12" s="152" t="inlineStr">
        <is>
          <t>DJI After-Sales Service Policy</t>
        </is>
      </c>
      <c r="CF12" s="152" t="inlineStr">
        <is>
          <t>Documented</t>
        </is>
      </c>
      <c r="CG12" s="156" t="inlineStr">
        <is>
          <t>Batteries often 12 months and &lt;200 charge cycles. Propellers/shell typically no warranty. DJI Care is optional.</t>
        </is>
      </c>
      <c r="CH12" s="152" t="inlineStr">
        <is>
          <t>10%</t>
        </is>
      </c>
      <c r="CI12" s="152" t="inlineStr">
        <is>
          <t>17%</t>
        </is>
      </c>
      <c r="CJ12" s="152" t="inlineStr">
        <is>
          <t>24%</t>
        </is>
      </c>
      <c r="CK12"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12"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2" s="152" t="inlineStr">
        <is>
          <t>12 months on main aircraft / gimbal / propulsion (excl. propellers)</t>
        </is>
      </c>
    </row>
    <row r="13" ht="31.5" customHeight="1" s="102">
      <c r="A13" s="143" t="inlineStr">
        <is>
          <t>dji_mavic_pro</t>
        </is>
      </c>
      <c r="B13" s="160" t="inlineStr">
        <is>
          <t>Website</t>
        </is>
      </c>
      <c r="C13" s="145" t="inlineStr">
        <is>
          <t>DJI</t>
        </is>
      </c>
      <c r="D13" s="145" t="inlineStr">
        <is>
          <t>Mavic Pro</t>
        </is>
      </c>
      <c r="E13" s="145" t="inlineStr">
        <is>
          <t>[DJI] Mavic Pro (2016)</t>
        </is>
      </c>
      <c r="F13" s="164" t="inlineStr">
        <is>
          <t>aerial</t>
        </is>
      </c>
      <c r="G13" s="145" t="inlineStr">
        <is>
          <t>China</t>
        </is>
      </c>
      <c r="H13" s="147" t="n">
        <v>2016</v>
      </c>
      <c r="I13" s="148" t="n">
        <v>999</v>
      </c>
      <c r="J13" s="145" t="inlineStr">
        <is>
          <t>Website store</t>
        </is>
      </c>
      <c r="K13" s="149" t="inlineStr">
        <is>
          <t>Mavic Pro is DJI's aerial robot — Up to ≈ 27 min class flight time, camera-centric. 1/2.3-inch CMOS; aimed at consumer Foldable.</t>
        </is>
      </c>
      <c r="L13" s="101" t="inlineStr">
        <is>
          <t>Mavic Pro is DJI's aerial robot — Up to ≈ 27 min class flight time, camera-centric. 1/2.3-inch CMOS; aimed at consumer Foldable.</t>
        </is>
      </c>
      <c r="M13" s="101" t="inlineStr">
        <is>
          <t>Mavic Pro is DJI's aerial robot — Up to ≈ 27 min class flight time, camera-centric. 1/2.3-inch CMOS; aimed at consumer Foldable.</t>
        </is>
      </c>
      <c r="N13" s="145" t="n"/>
      <c r="O13" s="145" t="inlineStr">
        <is>
          <t>https://www.dji.com</t>
        </is>
      </c>
      <c r="P13" s="145" t="n"/>
      <c r="Q13" s="145" t="n"/>
      <c r="R13" s="145" t="inlineStr">
        <is>
          <t>≈ 1.6 lb class (original Mavic Pro generation)</t>
        </is>
      </c>
      <c r="S13" s="145" t="n"/>
      <c r="T13" s="149" t="inlineStr">
        <is>
          <t>Not disclosed</t>
        </is>
      </c>
      <c r="U13" s="145" t="n"/>
      <c r="V13" s="145" t="n"/>
      <c r="W13" s="149" t="n"/>
      <c r="X13" s="145" t="inlineStr">
        <is>
          <t>Not disclosed</t>
        </is>
      </c>
      <c r="Y13" s="145" t="n"/>
      <c r="Z13" s="145" t="inlineStr">
        <is>
          <t>Not disclosed</t>
        </is>
      </c>
      <c r="AA13" s="145" t="n"/>
      <c r="AB13" s="145" t="n"/>
      <c r="AC13" s="149" t="inlineStr">
        <is>
          <t>Not disclosed</t>
        </is>
      </c>
      <c r="AD13" s="149" t="n"/>
      <c r="AE13" s="145" t="inlineStr">
        <is>
          <t>Up to ≈ 27 min class</t>
        </is>
      </c>
      <c r="AF13" s="145" t="inlineStr">
        <is>
          <t>Not disclosed</t>
        </is>
      </c>
      <c r="AG13" s="149" t="n"/>
      <c r="AH13" s="145" t="n"/>
      <c r="AI13" s="145" t="n"/>
      <c r="AJ13" s="149" t="inlineStr">
        <is>
          <t>1/2.3-inch CMOS</t>
        </is>
      </c>
      <c r="AK13" s="149" t="n"/>
      <c r="AL13" s="145" t="inlineStr">
        <is>
          <t>Up to 4K class</t>
        </is>
      </c>
      <c r="AM13" s="145" t="inlineStr">
        <is>
          <t>3-axis</t>
        </is>
      </c>
      <c r="AN13" s="145" t="n"/>
      <c r="AO13" s="145" t="n"/>
      <c r="AP13" s="145" t="n"/>
      <c r="AQ13" s="145" t="n"/>
      <c r="AR13" s="145" t="inlineStr">
        <is>
          <t>Not disclosed</t>
        </is>
      </c>
      <c r="AS13" s="145" t="inlineStr">
        <is>
          <t>Not disclosed</t>
        </is>
      </c>
      <c r="AT13" s="149" t="n"/>
      <c r="AU13" s="149" t="inlineStr">
        <is>
          <t>Not disclosed</t>
        </is>
      </c>
      <c r="AV13" s="145" t="inlineStr">
        <is>
          <t>DJI GO era app + RC</t>
        </is>
      </c>
      <c r="AW13" s="149" t="n"/>
      <c r="AX13" s="145" t="n"/>
      <c r="AY13" s="149" t="n"/>
      <c r="AZ13" s="149" t="n"/>
      <c r="BA13" s="149" t="n"/>
      <c r="BB13" s="149" t="n"/>
      <c r="BC13" s="149" t="n"/>
      <c r="BD13" s="145" t="n"/>
      <c r="BE13" s="145" t="inlineStr">
        <is>
          <t>Not disclosed</t>
        </is>
      </c>
      <c r="BF13" s="145" t="n"/>
      <c r="BG13" s="145" t="n"/>
      <c r="BH13" s="145" t="inlineStr">
        <is>
          <t>Not disclosed</t>
        </is>
      </c>
      <c r="BI13" s="145" t="n"/>
      <c r="BJ13" s="145" t="n"/>
      <c r="BK13" s="145" t="n"/>
      <c r="BL13" s="145" t="n"/>
      <c r="BM13" s="145" t="n"/>
      <c r="BN13" s="145" t="n"/>
      <c r="BO13" s="149" t="n"/>
      <c r="BP13" s="145" t="inlineStr">
        <is>
          <t>Not disclosed</t>
        </is>
      </c>
      <c r="BQ13" s="149" t="inlineStr">
        <is>
          <t>Consumer Foldable</t>
        </is>
      </c>
      <c r="BR13" s="149" t="inlineStr">
        <is>
          <t>Not disclosed</t>
        </is>
      </c>
      <c r="BS13" s="149" t="n"/>
      <c r="BT13" s="145" t="n"/>
      <c r="BU13" s="145" t="n"/>
      <c r="BV13" s="149" t="inlineStr">
        <is>
          <t>First major folding consumer drone with 4K camera and obstacle sensing</t>
        </is>
      </c>
      <c r="BW13" s="149" t="inlineStr">
        <is>
          <t>Origin &amp; status — China · 2016 | Flight — Flight time Up to ≈ 27 min class · Range Not disclosed · Payload Not disclosed | Sensing — 1/2.3-inch CMOS | Buying notes — ~999 · 12 months on main aircraft / gimbal / propulsion (excl. propellers) · Best fit: First major folding consumer drone with 4K camera and obstacle sensing</t>
        </is>
      </c>
      <c r="BX13" s="149" t="inlineStr">
        <is>
          <t>as_shipped|Mavic Pro|999|As shipped</t>
        </is>
      </c>
      <c r="BY13" s="145" t="inlineStr">
        <is>
          <t>mavic_pro|Manufacturer finish|#e2e8f0|0</t>
        </is>
      </c>
      <c r="BZ13" s="145" t="inlineStr"/>
      <c r="CA13" s="149" t="inlineStr">
        <is>
          <t>Add-ons: case; 2 color options; Multi-year extended warranty available</t>
        </is>
      </c>
      <c r="CB13" s="149" t="inlineStr">
        <is>
          <t>12 months on main aircraft / gimbal / propulsion (excl. propellers)</t>
        </is>
      </c>
      <c r="CC13" s="147" t="n">
        <v>12</v>
      </c>
      <c r="CD13" s="149" t="inlineStr">
        <is>
          <t>+3 Year Extended ≈24% of configuration (default in configurator)</t>
        </is>
      </c>
      <c r="CE13" s="145" t="inlineStr">
        <is>
          <t>DJI After-Sales Service Policy</t>
        </is>
      </c>
      <c r="CF13" s="145" t="inlineStr">
        <is>
          <t>Documented</t>
        </is>
      </c>
      <c r="CG13" s="149" t="inlineStr">
        <is>
          <t>Batteries often 12 months and &lt;200 charge cycles. Propellers/shell typically no warranty. DJI Care is optional.</t>
        </is>
      </c>
      <c r="CH13" s="145" t="inlineStr">
        <is>
          <t>10%</t>
        </is>
      </c>
      <c r="CI13" s="145" t="inlineStr">
        <is>
          <t>17%</t>
        </is>
      </c>
      <c r="CJ13" s="145" t="inlineStr">
        <is>
          <t>24%</t>
        </is>
      </c>
      <c r="CK13"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13"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3" s="145" t="inlineStr">
        <is>
          <t>12 months on main aircraft / gimbal / propulsion (excl. propellers)</t>
        </is>
      </c>
    </row>
    <row r="14" ht="31.5" customHeight="1" s="102">
      <c r="A14" s="159" t="inlineStr">
        <is>
          <t>dji_mini_4_pro</t>
        </is>
      </c>
      <c r="B14" s="160" t="inlineStr">
        <is>
          <t>Website</t>
        </is>
      </c>
      <c r="C14" s="152" t="inlineStr">
        <is>
          <t>DJI</t>
        </is>
      </c>
      <c r="D14" s="152" t="inlineStr">
        <is>
          <t>Mini 4 Pro</t>
        </is>
      </c>
      <c r="E14" s="152" t="inlineStr">
        <is>
          <t>[DJI] Mini 4 Pro (2023)</t>
        </is>
      </c>
      <c r="F14" s="164" t="inlineStr">
        <is>
          <t>aerial</t>
        </is>
      </c>
      <c r="G14" s="152" t="inlineStr">
        <is>
          <t>China</t>
        </is>
      </c>
      <c r="H14" s="154" t="n">
        <v>2023</v>
      </c>
      <c r="I14" s="155" t="n">
        <v>759</v>
      </c>
      <c r="J14" s="152" t="inlineStr">
        <is>
          <t>Website store</t>
        </is>
      </c>
      <c r="K14" s="156" t="inlineStr">
        <is>
          <t>Mini 4 Pro is DJI's aerial robot — Up to ≈ 34 min (standard) · up to ≈ 45 min with Battery Plus flight time, camera-centric. 1/1.3-inch CMOS 48 MP primary sensor; aimed at consumer Sub-0.55 lb.</t>
        </is>
      </c>
      <c r="L14" s="101" t="inlineStr">
        <is>
          <t>Mini 4 Pro is DJI's aerial robot — Up to ≈ 34 min (standard) · up to ≈ 45 min with Battery Plus flight time, camera-centric. 1/1.3-inch CMOS 48 MP primary sensor; aimed at consumer Sub-0.55 lb.</t>
        </is>
      </c>
      <c r="M14" s="101" t="inlineStr">
        <is>
          <t>DJI created the Mini line to stay under the 249 g regulatory class while still offering a 4K camera. Mini 4 Pro is the 2023 omnidirectional-sensing model in that family, with O4 transmission and a Battery Plus option that stretches endurance.</t>
        </is>
      </c>
      <c r="N14" s="152" t="n"/>
      <c r="O14" s="152" t="inlineStr">
        <is>
          <t>https://www.dji.com</t>
        </is>
      </c>
      <c r="P14" s="152" t="n"/>
      <c r="Q14" s="152" t="n"/>
      <c r="R14" s="152" t="inlineStr">
        <is>
          <t>Under 0.55 lb (sub-249 g class; ≈ 0.64 lb with Battery Plus option)</t>
        </is>
      </c>
      <c r="S14" s="152" t="n"/>
      <c r="T14" s="156" t="inlineStr">
        <is>
          <t>Folded ≈ 5.8 × 3.7 × 2.5 in class · unfolded larger flight envelope</t>
        </is>
      </c>
      <c r="U14" s="152" t="n"/>
      <c r="V14" s="152" t="n"/>
      <c r="W14" s="156" t="n"/>
      <c r="X14" s="152" t="inlineStr">
        <is>
          <t>Not disclosed</t>
        </is>
      </c>
      <c r="Y14" s="152" t="n"/>
      <c r="Z14" s="152" t="inlineStr">
        <is>
          <t>≈ 36 mph class</t>
        </is>
      </c>
      <c r="AA14" s="152" t="n"/>
      <c r="AB14" s="152" t="n"/>
      <c r="AC14" s="156" t="inlineStr">
        <is>
          <t>Not disclosed</t>
        </is>
      </c>
      <c r="AD14" s="156" t="n"/>
      <c r="AE14" s="152" t="inlineStr">
        <is>
          <t>Up to ≈ 34 min (standard) · up to ≈ 45 min with Battery Plus</t>
        </is>
      </c>
      <c r="AF14" s="152" t="inlineStr">
        <is>
          <t>Not disclosed</t>
        </is>
      </c>
      <c r="AG14" s="156" t="n"/>
      <c r="AH14" s="152" t="n"/>
      <c r="AI14" s="152" t="n"/>
      <c r="AJ14" s="156" t="inlineStr">
        <is>
          <t>1/1.3-inch CMOS 48 MP primary sensor</t>
        </is>
      </c>
      <c r="AK14" s="156" t="n"/>
      <c r="AL14" s="152" t="inlineStr">
        <is>
          <t>Up to 4K/60fps HDR · 4K/100fps slow motion class</t>
        </is>
      </c>
      <c r="AM14" s="152" t="inlineStr">
        <is>
          <t>3-axis mechanical gimbal</t>
        </is>
      </c>
      <c r="AN14" s="152" t="n"/>
      <c r="AO14" s="152" t="n"/>
      <c r="AP14" s="152" t="n"/>
      <c r="AQ14" s="152" t="n"/>
      <c r="AR14" s="152" t="inlineStr">
        <is>
          <t>Omnidirectional (fisheye + downward binocular + ToF)</t>
        </is>
      </c>
      <c r="AS14" s="152" t="inlineStr">
        <is>
          <t>Not disclosed</t>
        </is>
      </c>
      <c r="AT14" s="156" t="n"/>
      <c r="AU14" s="156" t="inlineStr">
        <is>
          <t>Not disclosed</t>
        </is>
      </c>
      <c r="AV14" s="152" t="inlineStr">
        <is>
          <t>DJI Fly app + RC controllers</t>
        </is>
      </c>
      <c r="AW14" s="156" t="n"/>
      <c r="AX14" s="152" t="n"/>
      <c r="AY14" s="156" t="n"/>
      <c r="AZ14" s="156" t="n"/>
      <c r="BA14" s="156" t="n"/>
      <c r="BB14" s="156" t="n"/>
      <c r="BC14" s="156" t="n"/>
      <c r="BD14" s="152" t="n"/>
      <c r="BE14" s="152" t="inlineStr">
        <is>
          <t>Not disclosed</t>
        </is>
      </c>
      <c r="BF14" s="152" t="n"/>
      <c r="BG14" s="152" t="n"/>
      <c r="BH14" s="152" t="inlineStr">
        <is>
          <t>O4 transmission · up to ≈ 12 mi FCC class</t>
        </is>
      </c>
      <c r="BI14" s="152" t="n"/>
      <c r="BJ14" s="152" t="n"/>
      <c r="BK14" s="152" t="n"/>
      <c r="BL14" s="152" t="n"/>
      <c r="BM14" s="152" t="n"/>
      <c r="BN14" s="152" t="n"/>
      <c r="BO14" s="156" t="n"/>
      <c r="BP14" s="152" t="inlineStr">
        <is>
          <t>Not disclosed</t>
        </is>
      </c>
      <c r="BQ14" s="156" t="inlineStr">
        <is>
          <t>Consumer Sub-0.55 lb</t>
        </is>
      </c>
      <c r="BR14" s="156" t="inlineStr">
        <is>
          <t>Not disclosed</t>
        </is>
      </c>
      <c r="BS14" s="156" t="n"/>
      <c r="BT14" s="152" t="n"/>
      <c r="BU14" s="152" t="n"/>
      <c r="BV14" s="156" t="inlineStr">
        <is>
          <t>Omnidirectional obstacle avoidance; 1/1.3-inch sensor; mass under 0.55 lb (sub-250 g class for certain regulatory categories)</t>
        </is>
      </c>
      <c r="BW14" s="156" t="inlineStr">
        <is>
          <t>Origin &amp; status — China · 2023 | Flight — Flight time Up to ≈ 34 min (standard) · up to ≈ 45 min with Battery Plus · Range O4 transmission · up to ≈ 12 mi FCC class · Payload Not disclosed | Sensing — 1/1.3-inch CMOS 48 MP primary sensor | Buying notes — $759 · 12 months on main aircraft / gimbal / propulsion (excl. propellers) · Best fit: Omnidirectional obstacle avoidance; 1/1.3-inch sensor; mass under 0.55 lb (…</t>
        </is>
      </c>
      <c r="BX14" s="156" t="inlineStr">
        <is>
          <t>drone|Mini 4 Pro (DJI RC 2)|759|Aircraft + RC 2 || flymore|Mini 4 Pro Fly More Combo|999|Fly More + RC 2 || flymore_pro|Mini 4 Pro Fly More Combo (DJI RC 2)|1169|Plus extra batteries</t>
        </is>
      </c>
      <c r="BY14" s="152" t="inlineStr">
        <is>
          <t>gray|DJI Gray|#6b7280|0</t>
        </is>
      </c>
      <c r="BZ14" s="152" t="inlineStr">
        <is>
          <t>battery, charger</t>
        </is>
      </c>
      <c r="CA14" s="156" t="inlineStr">
        <is>
          <t>Add-ons: case; 2 color options; Multi-year extended warranty available</t>
        </is>
      </c>
      <c r="CB14" s="156" t="inlineStr">
        <is>
          <t>12 months on main aircraft / gimbal / propulsion (excl. propellers)</t>
        </is>
      </c>
      <c r="CC14" s="154" t="n">
        <v>12</v>
      </c>
      <c r="CD14" s="156" t="inlineStr">
        <is>
          <t>+3 Year Extended ≈24% of configuration (default in configurator)</t>
        </is>
      </c>
      <c r="CE14" s="152" t="inlineStr">
        <is>
          <t>DJI After-Sales Service Policy</t>
        </is>
      </c>
      <c r="CF14" s="152" t="inlineStr">
        <is>
          <t>Documented</t>
        </is>
      </c>
      <c r="CG14" s="156" t="inlineStr">
        <is>
          <t>Batteries often 12 months and &lt;200 charge cycles. Propellers/shell typically no warranty. DJI Care is optional.</t>
        </is>
      </c>
      <c r="CH14" s="152" t="inlineStr">
        <is>
          <t>10%</t>
        </is>
      </c>
      <c r="CI14" s="152" t="inlineStr">
        <is>
          <t>17%</t>
        </is>
      </c>
      <c r="CJ14" s="152" t="inlineStr">
        <is>
          <t>24%</t>
        </is>
      </c>
      <c r="CK14"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14"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4" s="152" t="inlineStr">
        <is>
          <t>12 months on main aircraft / gimbal / propulsion (excl. propellers)</t>
        </is>
      </c>
    </row>
    <row r="15" ht="31.5" customHeight="1" s="102">
      <c r="A15" s="143" t="inlineStr">
        <is>
          <t>dji_phantom_1</t>
        </is>
      </c>
      <c r="B15" s="160" t="inlineStr">
        <is>
          <t>Website</t>
        </is>
      </c>
      <c r="C15" s="145" t="inlineStr">
        <is>
          <t>DJI</t>
        </is>
      </c>
      <c r="D15" s="145" t="inlineStr">
        <is>
          <t>Phantom 1</t>
        </is>
      </c>
      <c r="E15" s="145" t="inlineStr">
        <is>
          <t>[DJI] Phantom 1 (2013)</t>
        </is>
      </c>
      <c r="F15" s="164" t="inlineStr">
        <is>
          <t>aerial</t>
        </is>
      </c>
      <c r="G15" s="145" t="inlineStr">
        <is>
          <t>China</t>
        </is>
      </c>
      <c r="H15" s="147" t="n">
        <v>2013</v>
      </c>
      <c r="I15" s="148" t="n">
        <v>679</v>
      </c>
      <c r="J15" s="145" t="inlineStr">
        <is>
          <t>Website store</t>
        </is>
      </c>
      <c r="K15" s="149" t="inlineStr">
        <is>
          <t>Phantom 1 is DJI's aerial robot — camera-centric. External camera mount (GoPro-era); aimed at consumer Multirotor.</t>
        </is>
      </c>
      <c r="L15" s="101" t="inlineStr">
        <is>
          <t>Phantom 1 is DJI's aerial robot — camera-centric. External camera mount (GoPro-era); aimed at consumer Multirotor.</t>
        </is>
      </c>
      <c r="M15" s="101" t="inlineStr">
        <is>
          <t>Phantom 1 is DJI's aerial robot — camera-centric. External camera mount (GoPro-era); aimed at consumer Multirotor.</t>
        </is>
      </c>
      <c r="N15" s="145" t="n"/>
      <c r="O15" s="145" t="inlineStr">
        <is>
          <t>https://www.dji.com</t>
        </is>
      </c>
      <c r="P15" s="145" t="n"/>
      <c r="Q15" s="145" t="n"/>
      <c r="R15" s="145" t="inlineStr">
        <is>
          <t>≈ 2.2 lb class (early Phantom generation without GoPro)</t>
        </is>
      </c>
      <c r="S15" s="145" t="n"/>
      <c r="T15" s="149" t="inlineStr">
        <is>
          <t>Not disclosed</t>
        </is>
      </c>
      <c r="U15" s="145" t="n"/>
      <c r="V15" s="145" t="n"/>
      <c r="W15" s="149" t="n"/>
      <c r="X15" s="145" t="inlineStr">
        <is>
          <t>Not disclosed</t>
        </is>
      </c>
      <c r="Y15" s="145" t="n"/>
      <c r="Z15" s="145" t="inlineStr">
        <is>
          <t>Not disclosed</t>
        </is>
      </c>
      <c r="AA15" s="145" t="n"/>
      <c r="AB15" s="145" t="n"/>
      <c r="AC15" s="149" t="inlineStr">
        <is>
          <t>Not disclosed</t>
        </is>
      </c>
      <c r="AD15" s="149" t="n"/>
      <c r="AE15" s="145" t="inlineStr">
        <is>
          <t>Not disclosed</t>
        </is>
      </c>
      <c r="AF15" s="145" t="inlineStr">
        <is>
          <t>Not disclosed</t>
        </is>
      </c>
      <c r="AG15" s="149" t="n"/>
      <c r="AH15" s="145" t="n"/>
      <c r="AI15" s="145" t="n"/>
      <c r="AJ15" s="149" t="inlineStr">
        <is>
          <t>External camera mount (GoPro-era)</t>
        </is>
      </c>
      <c r="AK15" s="149" t="n"/>
      <c r="AL15" s="145" t="inlineStr">
        <is>
          <t>External camera dependent</t>
        </is>
      </c>
      <c r="AM15" s="145" t="inlineStr">
        <is>
          <t>Not disclosed</t>
        </is>
      </c>
      <c r="AN15" s="145" t="n"/>
      <c r="AO15" s="145" t="n"/>
      <c r="AP15" s="145" t="n"/>
      <c r="AQ15" s="145" t="n"/>
      <c r="AR15" s="145" t="inlineStr">
        <is>
          <t>Not disclosed</t>
        </is>
      </c>
      <c r="AS15" s="145" t="inlineStr">
        <is>
          <t>Not disclosed</t>
        </is>
      </c>
      <c r="AT15" s="149" t="n"/>
      <c r="AU15" s="149" t="inlineStr">
        <is>
          <t>Not disclosed</t>
        </is>
      </c>
      <c r="AV15" s="145" t="inlineStr">
        <is>
          <t>Early Phantom transmitter</t>
        </is>
      </c>
      <c r="AW15" s="149" t="n"/>
      <c r="AX15" s="145" t="n"/>
      <c r="AY15" s="149" t="n"/>
      <c r="AZ15" s="149" t="n"/>
      <c r="BA15" s="149" t="n"/>
      <c r="BB15" s="149" t="n"/>
      <c r="BC15" s="149" t="n"/>
      <c r="BD15" s="145" t="n"/>
      <c r="BE15" s="145" t="inlineStr">
        <is>
          <t>Not disclosed</t>
        </is>
      </c>
      <c r="BF15" s="145" t="n"/>
      <c r="BG15" s="145" t="n"/>
      <c r="BH15" s="145" t="inlineStr">
        <is>
          <t>Not disclosed</t>
        </is>
      </c>
      <c r="BI15" s="145" t="n"/>
      <c r="BJ15" s="145" t="n"/>
      <c r="BK15" s="145" t="n"/>
      <c r="BL15" s="145" t="n"/>
      <c r="BM15" s="145" t="n"/>
      <c r="BN15" s="145" t="n"/>
      <c r="BO15" s="149" t="n"/>
      <c r="BP15" s="145" t="inlineStr">
        <is>
          <t>Not disclosed</t>
        </is>
      </c>
      <c r="BQ15" s="149" t="inlineStr">
        <is>
          <t>Consumer Multirotor</t>
        </is>
      </c>
      <c r="BR15" s="149" t="inlineStr">
        <is>
          <t>Not disclosed</t>
        </is>
      </c>
      <c r="BS15" s="149" t="n"/>
      <c r="BT15" s="145" t="n"/>
      <c r="BU15" s="145" t="n"/>
      <c r="BV15" s="149" t="inlineStr">
        <is>
          <t>Ready-to-fly GPS quadcopter that popularized consumer drones; GoPro-compatible mount</t>
        </is>
      </c>
      <c r="BW15" s="149" t="inlineStr">
        <is>
          <t>Origin &amp; status — China · 2013 | Flight — Flight time Not disclosed · Range Not disclosed · Payload Not disclosed | Sensing — External camera mount (GoPro-era) | Buying notes — $679 · 12 months on main aircraft / gimbal / propulsion (excl. propellers) · Best fit: Ready-to-fly GPS quadcopter that popularized consumer drones; GoPro-compati…</t>
        </is>
      </c>
      <c r="BX15" s="149" t="inlineStr">
        <is>
          <t>as_shipped|Phantom 1|679|As shipped</t>
        </is>
      </c>
      <c r="BY15" s="145" t="inlineStr">
        <is>
          <t>phantom_1|Manufacturer finish|#e2e8f0|0</t>
        </is>
      </c>
      <c r="BZ15" s="145" t="inlineStr"/>
      <c r="CA15" s="149" t="inlineStr">
        <is>
          <t>Add-ons: case; 2 color options; Multi-year extended warranty available</t>
        </is>
      </c>
      <c r="CB15" s="149" t="inlineStr">
        <is>
          <t>12 months on main aircraft / gimbal / propulsion (excl. propellers)</t>
        </is>
      </c>
      <c r="CC15" s="147" t="n">
        <v>12</v>
      </c>
      <c r="CD15" s="149" t="inlineStr">
        <is>
          <t>+3 Year Extended ≈24% of configuration (default in configurator)</t>
        </is>
      </c>
      <c r="CE15" s="145" t="inlineStr">
        <is>
          <t>DJI After-Sales Service Policy</t>
        </is>
      </c>
      <c r="CF15" s="145" t="inlineStr">
        <is>
          <t>Documented</t>
        </is>
      </c>
      <c r="CG15" s="149" t="inlineStr">
        <is>
          <t>Batteries often 12 months and &lt;200 charge cycles. Propellers/shell typically no warranty. DJI Care is optional.</t>
        </is>
      </c>
      <c r="CH15" s="145" t="inlineStr">
        <is>
          <t>10%</t>
        </is>
      </c>
      <c r="CI15" s="145" t="inlineStr">
        <is>
          <t>17%</t>
        </is>
      </c>
      <c r="CJ15" s="145" t="inlineStr">
        <is>
          <t>24%</t>
        </is>
      </c>
      <c r="CK1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1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5" s="145" t="inlineStr">
        <is>
          <t>12 months on main aircraft / gimbal / propulsion (excl. propellers)</t>
        </is>
      </c>
    </row>
    <row r="16" ht="31.5" customHeight="1" s="102">
      <c r="A16" s="159" t="inlineStr">
        <is>
          <t>draganfly_commander_specialized</t>
        </is>
      </c>
      <c r="B16" s="160" t="inlineStr">
        <is>
          <t>Website</t>
        </is>
      </c>
      <c r="C16" s="152" t="inlineStr">
        <is>
          <t>Draganfly</t>
        </is>
      </c>
      <c r="D16" s="152" t="inlineStr">
        <is>
          <t>Commander</t>
        </is>
      </c>
      <c r="E16" s="152" t="inlineStr">
        <is>
          <t>[Draganfly] Commander (2023)</t>
        </is>
      </c>
      <c r="F16" s="164" t="inlineStr">
        <is>
          <t>aerial</t>
        </is>
      </c>
      <c r="G16" s="152" t="inlineStr">
        <is>
          <t>Canada</t>
        </is>
      </c>
      <c r="H16" s="154" t="n">
        <v>2023</v>
      </c>
      <c r="I16" s="155" t="n">
        <v>10000</v>
      </c>
      <c r="J16" s="152" t="inlineStr">
        <is>
          <t>Website store</t>
        </is>
      </c>
      <c r="K16" s="156" t="inlineStr">
        <is>
          <t>Commander is Draganfly's aerial robot — camera-centric. Modular mission cameras including thermal; aimed at enterprise.</t>
        </is>
      </c>
      <c r="L16" s="101" t="inlineStr">
        <is>
          <t>Commander is Draganfly's aerial robot — camera-centric. Modular mission cameras including thermal; aimed at enterprise.</t>
        </is>
      </c>
      <c r="M16" s="101" t="inlineStr">
        <is>
          <t>Commander is Draganfly's aerial robot — camera-centric. Modular mission cameras including thermal; aimed at enterprise. It is positioned for enterprise / Public Safety.</t>
        </is>
      </c>
      <c r="N16" s="152" t="n"/>
      <c r="O16" s="152" t="inlineStr">
        <is>
          <t>https://draganfly.com</t>
        </is>
      </c>
      <c r="P16" s="152" t="n"/>
      <c r="Q16" s="152" t="n"/>
      <c r="R16" s="152" t="inlineStr">
        <is>
          <t>Not disclosed</t>
        </is>
      </c>
      <c r="S16" s="152" t="n"/>
      <c r="T16" s="156" t="inlineStr">
        <is>
          <t>Not disclosed</t>
        </is>
      </c>
      <c r="U16" s="152" t="n"/>
      <c r="V16" s="152" t="n"/>
      <c r="W16" s="156" t="n"/>
      <c r="X16" s="152" t="inlineStr">
        <is>
          <t>Not disclosed</t>
        </is>
      </c>
      <c r="Y16" s="152" t="n"/>
      <c r="Z16" s="152" t="inlineStr">
        <is>
          <t>Not disclosed</t>
        </is>
      </c>
      <c r="AA16" s="152" t="n"/>
      <c r="AB16" s="152" t="n"/>
      <c r="AC16" s="156" t="inlineStr">
        <is>
          <t>Not disclosed</t>
        </is>
      </c>
      <c r="AD16" s="156" t="n"/>
      <c r="AE16" s="152" t="inlineStr">
        <is>
          <t>Not disclosed</t>
        </is>
      </c>
      <c r="AF16" s="152" t="inlineStr">
        <is>
          <t>Not disclosed</t>
        </is>
      </c>
      <c r="AG16" s="156" t="n"/>
      <c r="AH16" s="152" t="n"/>
      <c r="AI16" s="152" t="n"/>
      <c r="AJ16" s="156" t="inlineStr">
        <is>
          <t>Modular mission cameras including thermal</t>
        </is>
      </c>
      <c r="AK16" s="156" t="n"/>
      <c r="AL16" s="152" t="inlineStr">
        <is>
          <t>Enterprise / public safety video</t>
        </is>
      </c>
      <c r="AM16" s="152" t="inlineStr">
        <is>
          <t>Not disclosed</t>
        </is>
      </c>
      <c r="AN16" s="152" t="n"/>
      <c r="AO16" s="152" t="n"/>
      <c r="AP16" s="152" t="n"/>
      <c r="AQ16" s="152" t="n"/>
      <c r="AR16" s="152" t="inlineStr">
        <is>
          <t>Not disclosed</t>
        </is>
      </c>
      <c r="AS16" s="152" t="inlineStr">
        <is>
          <t>Not disclosed</t>
        </is>
      </c>
      <c r="AT16" s="156" t="n"/>
      <c r="AU16" s="156" t="inlineStr">
        <is>
          <t>Not disclosed</t>
        </is>
      </c>
      <c r="AV16" s="152" t="inlineStr">
        <is>
          <t>Draganfly mission systems</t>
        </is>
      </c>
      <c r="AW16" s="156" t="n"/>
      <c r="AX16" s="152" t="n"/>
      <c r="AY16" s="156" t="n"/>
      <c r="AZ16" s="156" t="n"/>
      <c r="BA16" s="156" t="n"/>
      <c r="BB16" s="156" t="n"/>
      <c r="BC16" s="156" t="n"/>
      <c r="BD16" s="152" t="n"/>
      <c r="BE16" s="152" t="inlineStr">
        <is>
          <t>Not disclosed</t>
        </is>
      </c>
      <c r="BF16" s="152" t="n"/>
      <c r="BG16" s="152" t="n"/>
      <c r="BH16" s="152" t="inlineStr">
        <is>
          <t>Not disclosed</t>
        </is>
      </c>
      <c r="BI16" s="152" t="n"/>
      <c r="BJ16" s="152" t="n"/>
      <c r="BK16" s="152" t="n"/>
      <c r="BL16" s="152" t="n"/>
      <c r="BM16" s="152" t="n"/>
      <c r="BN16" s="152" t="n"/>
      <c r="BO16" s="156" t="n"/>
      <c r="BP16" s="152" t="inlineStr">
        <is>
          <t>Not disclosed</t>
        </is>
      </c>
      <c r="BQ16" s="156" t="inlineStr">
        <is>
          <t>Enterprise / Public Safety</t>
        </is>
      </c>
      <c r="BR16" s="156" t="inlineStr">
        <is>
          <t>Not disclosed</t>
        </is>
      </c>
      <c r="BS16" s="156" t="n"/>
      <c r="BT16" s="152" t="n"/>
      <c r="BU16" s="152" t="n"/>
      <c r="BV16" s="156" t="inlineStr">
        <is>
          <t>Canadian manufacturer; industrial and specialized mission systems</t>
        </is>
      </c>
      <c r="BW16" s="156" t="inlineStr">
        <is>
          <t>Origin &amp; status — Canada · 2023 | Flight — Flight time Not disclosed · Range Not disclosed · Payload Not disclosed | Sensing — Modular mission cameras including thermal | Buying notes — 10,000+ · 12 months limited / contract-dependent · Best fit: Canadian manufacturer; industrial and specialized mission systems</t>
        </is>
      </c>
      <c r="BX16" s="156" t="inlineStr">
        <is>
          <t>as_shipped|Commander|10000|As shipped</t>
        </is>
      </c>
      <c r="BY16" s="152" t="inlineStr">
        <is>
          <t>commander|Manufacturer finish|#e2e8f0|0</t>
        </is>
      </c>
      <c r="BZ16" s="152" t="inlineStr"/>
      <c r="CA16" s="156" t="inlineStr">
        <is>
          <t>Add-ons: case; 2 color options; Multi-year extended warranty available</t>
        </is>
      </c>
      <c r="CB16" s="156" t="inlineStr">
        <is>
          <t>12 months limited / contract-dependent</t>
        </is>
      </c>
      <c r="CC16" s="154" t="n">
        <v>12</v>
      </c>
      <c r="CD16" s="156" t="inlineStr">
        <is>
          <t>+3 Year Extended ≈24% of configuration (default in configurator)</t>
        </is>
      </c>
      <c r="CE16" s="152" t="inlineStr">
        <is>
          <t>Enterprise &amp; OEM UAV norms</t>
        </is>
      </c>
      <c r="CF16" s="152" t="inlineStr">
        <is>
          <t>Estimated</t>
        </is>
      </c>
      <c r="CG16" s="156" t="inlineStr">
        <is>
          <t>Military/industrial UAVs often under program SLA rather than retail warranty.</t>
        </is>
      </c>
      <c r="CH16" s="152" t="inlineStr">
        <is>
          <t>10%</t>
        </is>
      </c>
      <c r="CI16" s="152" t="inlineStr">
        <is>
          <t>17%</t>
        </is>
      </c>
      <c r="CJ16" s="152" t="inlineStr">
        <is>
          <t>24%</t>
        </is>
      </c>
      <c r="CK16"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16"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6" s="152" t="inlineStr">
        <is>
          <t>12 months limited / contract-dependent</t>
        </is>
      </c>
    </row>
    <row r="17" ht="31.5" customHeight="1" s="102">
      <c r="A17" s="143" t="inlineStr">
        <is>
          <t>ehang_eh216_s</t>
        </is>
      </c>
      <c r="B17" s="160" t="inlineStr">
        <is>
          <t>Website</t>
        </is>
      </c>
      <c r="C17" s="145" t="inlineStr">
        <is>
          <t>EHang</t>
        </is>
      </c>
      <c r="D17" s="145" t="inlineStr">
        <is>
          <t>EH216-S</t>
        </is>
      </c>
      <c r="E17" s="145" t="inlineStr">
        <is>
          <t>[EHang] EH216-S (2020)</t>
        </is>
      </c>
      <c r="F17" s="164" t="inlineStr">
        <is>
          <t>aerial</t>
        </is>
      </c>
      <c r="G17" s="145" t="inlineStr">
        <is>
          <t>China</t>
        </is>
      </c>
      <c r="H17" s="147" t="n">
        <v>2020</v>
      </c>
      <c r="I17" s="148" t="n">
        <v>330000</v>
      </c>
      <c r="J17" s="145" t="inlineStr">
        <is>
          <t>Website store</t>
        </is>
      </c>
      <c r="K17" s="149" t="inlineStr">
        <is>
          <t>EH216-S is EHang's aerial robot — camera-centric. Passenger cabin monitoring + navigation sensors; aimed at passenger eVTOL.</t>
        </is>
      </c>
      <c r="L17" s="101" t="inlineStr">
        <is>
          <t>EH216-S is EHang's aerial robot — camera-centric. Passenger cabin monitoring + navigation sensors; aimed at passenger eVTOL.</t>
        </is>
      </c>
      <c r="M17" s="101" t="inlineStr">
        <is>
          <t>EH216-S is EHang's aerial robot — camera-centric. Passenger cabin monitoring + navigation sensors; aimed at passenger eVTOL.</t>
        </is>
      </c>
      <c r="N17" s="145" t="n"/>
      <c r="O17" s="145" t="inlineStr">
        <is>
          <t>https://www.ehang.com</t>
        </is>
      </c>
      <c r="P17" s="145" t="n"/>
      <c r="Q17" s="145" t="n"/>
      <c r="R17" s="145" t="inlineStr">
        <is>
          <t>Passenger eVTOL class (thousands of pounds gross)</t>
        </is>
      </c>
      <c r="S17" s="145" t="n"/>
      <c r="T17" s="149" t="inlineStr">
        <is>
          <t>Not disclosed</t>
        </is>
      </c>
      <c r="U17" s="145" t="n"/>
      <c r="V17" s="145" t="n"/>
      <c r="W17" s="149" t="n"/>
      <c r="X17" s="145" t="inlineStr">
        <is>
          <t>Not disclosed</t>
        </is>
      </c>
      <c r="Y17" s="145" t="n"/>
      <c r="Z17" s="145" t="inlineStr">
        <is>
          <t>Not disclosed</t>
        </is>
      </c>
      <c r="AA17" s="145" t="n"/>
      <c r="AB17" s="145" t="n"/>
      <c r="AC17" s="149" t="inlineStr">
        <is>
          <t>Not disclosed</t>
        </is>
      </c>
      <c r="AD17" s="149" t="n"/>
      <c r="AE17" s="145" t="inlineStr">
        <is>
          <t>Not disclosed</t>
        </is>
      </c>
      <c r="AF17" s="145" t="inlineStr">
        <is>
          <t>Not disclosed</t>
        </is>
      </c>
      <c r="AG17" s="149" t="n"/>
      <c r="AH17" s="145" t="n"/>
      <c r="AI17" s="145" t="n"/>
      <c r="AJ17" s="149" t="inlineStr">
        <is>
          <t>Passenger cabin monitoring + navigation sensors</t>
        </is>
      </c>
      <c r="AK17" s="149" t="n"/>
      <c r="AL17" s="145" t="inlineStr">
        <is>
          <t>Operational monitoring (not cinema primary)</t>
        </is>
      </c>
      <c r="AM17" s="145" t="inlineStr">
        <is>
          <t>Not disclosed</t>
        </is>
      </c>
      <c r="AN17" s="145" t="n"/>
      <c r="AO17" s="145" t="n"/>
      <c r="AP17" s="145" t="n"/>
      <c r="AQ17" s="145" t="n"/>
      <c r="AR17" s="145" t="inlineStr">
        <is>
          <t>Not disclosed</t>
        </is>
      </c>
      <c r="AS17" s="145" t="inlineStr">
        <is>
          <t>Not disclosed</t>
        </is>
      </c>
      <c r="AT17" s="149" t="n"/>
      <c r="AU17" s="149" t="inlineStr">
        <is>
          <t>Not disclosed</t>
        </is>
      </c>
      <c r="AV17" s="145" t="inlineStr">
        <is>
          <t>Autonomous flight command and control for eVTOL passenger ops</t>
        </is>
      </c>
      <c r="AW17" s="149" t="n"/>
      <c r="AX17" s="145" t="n"/>
      <c r="AY17" s="149" t="n"/>
      <c r="AZ17" s="149" t="n"/>
      <c r="BA17" s="149" t="n"/>
      <c r="BB17" s="149" t="n"/>
      <c r="BC17" s="149" t="n"/>
      <c r="BD17" s="145" t="n"/>
      <c r="BE17" s="145" t="inlineStr">
        <is>
          <t>Not disclosed</t>
        </is>
      </c>
      <c r="BF17" s="145" t="n"/>
      <c r="BG17" s="145" t="n"/>
      <c r="BH17" s="145" t="inlineStr">
        <is>
          <t>Not disclosed</t>
        </is>
      </c>
      <c r="BI17" s="145" t="n"/>
      <c r="BJ17" s="145" t="n"/>
      <c r="BK17" s="145" t="n"/>
      <c r="BL17" s="145" t="n"/>
      <c r="BM17" s="145" t="n"/>
      <c r="BN17" s="145" t="n"/>
      <c r="BO17" s="149" t="n"/>
      <c r="BP17" s="145" t="inlineStr">
        <is>
          <t>Not disclosed</t>
        </is>
      </c>
      <c r="BQ17" s="149" t="inlineStr">
        <is>
          <t>Passenger eVTOL</t>
        </is>
      </c>
      <c r="BR17" s="149" t="inlineStr">
        <is>
          <t>Not disclosed</t>
        </is>
      </c>
      <c r="BS17" s="149" t="n"/>
      <c r="BT17" s="145" t="n"/>
      <c r="BU17" s="145" t="n"/>
      <c r="BV17" s="149" t="inlineStr">
        <is>
          <t>Autonomous passenger-carrying air taxi; China-certified operations</t>
        </is>
      </c>
      <c r="BW17" s="149" t="inlineStr">
        <is>
          <t>Origin &amp; status — China · 2020 | Flight — Flight time Not disclosed · Range Not disclosed · Payload Not disclosed | Sensing — Passenger cabin monitoring + navigation sensors | Buying notes — ~330,000+ · 12 months limited / contract-dependent · Best fit: Autonomous passenger-carrying air taxi; China-certified operations</t>
        </is>
      </c>
      <c r="BX17" s="149" t="inlineStr">
        <is>
          <t>as_shipped|EH216-S|330000|As shipped</t>
        </is>
      </c>
      <c r="BY17" s="145" t="inlineStr">
        <is>
          <t>eh216_s|Manufacturer finish|#e2e8f0|0</t>
        </is>
      </c>
      <c r="BZ17" s="145" t="inlineStr"/>
      <c r="CA17" s="149" t="inlineStr">
        <is>
          <t>Add-ons: case; 2 color options; Multi-year extended warranty available</t>
        </is>
      </c>
      <c r="CB17" s="149" t="inlineStr">
        <is>
          <t>12 months limited / contract-dependent</t>
        </is>
      </c>
      <c r="CC17" s="147" t="n">
        <v>12</v>
      </c>
      <c r="CD17" s="149" t="inlineStr">
        <is>
          <t>+3 Year Extended ≈24% of configuration (default in configurator)</t>
        </is>
      </c>
      <c r="CE17" s="145" t="inlineStr">
        <is>
          <t>Enterprise &amp; OEM UAV norms</t>
        </is>
      </c>
      <c r="CF17" s="145" t="inlineStr">
        <is>
          <t>Estimated</t>
        </is>
      </c>
      <c r="CG17" s="149" t="inlineStr">
        <is>
          <t>Military/industrial UAVs often under program SLA rather than retail warranty.</t>
        </is>
      </c>
      <c r="CH17" s="145" t="inlineStr">
        <is>
          <t>10%</t>
        </is>
      </c>
      <c r="CI17" s="145" t="inlineStr">
        <is>
          <t>17%</t>
        </is>
      </c>
      <c r="CJ17" s="145" t="inlineStr">
        <is>
          <t>24%</t>
        </is>
      </c>
      <c r="CK17"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17"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7" s="145" t="inlineStr">
        <is>
          <t>12 months limited / contract-dependent</t>
        </is>
      </c>
    </row>
    <row r="18" ht="31.5" customHeight="1" s="102">
      <c r="A18" s="159" t="inlineStr">
        <is>
          <t>freefly_systems_alta_x</t>
        </is>
      </c>
      <c r="B18" s="160" t="inlineStr">
        <is>
          <t>Website</t>
        </is>
      </c>
      <c r="C18" s="152" t="inlineStr">
        <is>
          <t>Freefly Systems</t>
        </is>
      </c>
      <c r="D18" s="152" t="inlineStr">
        <is>
          <t>Alta X</t>
        </is>
      </c>
      <c r="E18" s="152" t="inlineStr">
        <is>
          <t>[Freefly] Alta X (2018)</t>
        </is>
      </c>
      <c r="F18" s="164" t="inlineStr">
        <is>
          <t>aerial</t>
        </is>
      </c>
      <c r="G18" s="152" t="inlineStr">
        <is>
          <t>USA</t>
        </is>
      </c>
      <c r="H18" s="154" t="n">
        <v>2018</v>
      </c>
      <c r="I18" s="155" t="n">
        <v>15995</v>
      </c>
      <c r="J18" s="152" t="inlineStr">
        <is>
          <t>Website store</t>
        </is>
      </c>
      <c r="K18" s="156" t="inlineStr">
        <is>
          <t>Alta X is Freefly Systems's aerial robot — Heavy cinema payloads (tens of pounds class) payload, camera-centric. Cinema payload platform (camera not fixed); aimed at cinema Heavy-Lift.</t>
        </is>
      </c>
      <c r="L18" s="101" t="inlineStr">
        <is>
          <t>Alta X is Freefly Systems's aerial robot — Heavy cinema payloads (tens of pounds class) payload, camera-centric. Cinema payload platform (camera not fixed); aimed at cinema Heavy-Lift.</t>
        </is>
      </c>
      <c r="M18" s="101" t="inlineStr">
        <is>
          <t>Alta X is Freefly Systems's aerial robot — Heavy cinema payloads (tens of pounds class) payload, camera-centric. Cinema payload platform (camera not fixed); aimed at cinema Heavy-Lift.</t>
        </is>
      </c>
      <c r="N18" s="152" t="n"/>
      <c r="O18" s="152" t="inlineStr">
        <is>
          <t>https://freeflysystems.com</t>
        </is>
      </c>
      <c r="P18" s="152" t="n"/>
      <c r="Q18" s="152" t="n"/>
      <c r="R18" s="152" t="inlineStr">
        <is>
          <t>≈ 22–30 lb class airframe depending on config</t>
        </is>
      </c>
      <c r="S18" s="152" t="n"/>
      <c r="T18" s="156" t="inlineStr">
        <is>
          <t>Not disclosed</t>
        </is>
      </c>
      <c r="U18" s="152" t="n"/>
      <c r="V18" s="152" t="n"/>
      <c r="W18" s="156" t="n"/>
      <c r="X18" s="152" t="inlineStr">
        <is>
          <t>Heavy cinema payloads (tens of pounds class)</t>
        </is>
      </c>
      <c r="Y18" s="152" t="n"/>
      <c r="Z18" s="152" t="inlineStr">
        <is>
          <t>Not disclosed</t>
        </is>
      </c>
      <c r="AA18" s="152" t="n"/>
      <c r="AB18" s="152" t="n"/>
      <c r="AC18" s="156" t="inlineStr">
        <is>
          <t>Not disclosed</t>
        </is>
      </c>
      <c r="AD18" s="156" t="n"/>
      <c r="AE18" s="152" t="inlineStr">
        <is>
          <t>Not disclosed</t>
        </is>
      </c>
      <c r="AF18" s="152" t="inlineStr">
        <is>
          <t>Not disclosed</t>
        </is>
      </c>
      <c r="AG18" s="156" t="n"/>
      <c r="AH18" s="152" t="n"/>
      <c r="AI18" s="152" t="n"/>
      <c r="AJ18" s="156" t="inlineStr">
        <is>
          <t>Cinema payload platform (camera not fixed)</t>
        </is>
      </c>
      <c r="AK18" s="156" t="n"/>
      <c r="AL18" s="152" t="inlineStr">
        <is>
          <t>Payload-defined (cinema cameras)</t>
        </is>
      </c>
      <c r="AM18" s="152" t="inlineStr">
        <is>
          <t>Supports heavy cinema gimbals</t>
        </is>
      </c>
      <c r="AN18" s="152" t="n"/>
      <c r="AO18" s="152" t="n"/>
      <c r="AP18" s="152" t="n"/>
      <c r="AQ18" s="152" t="n"/>
      <c r="AR18" s="152" t="inlineStr">
        <is>
          <t>Not disclosed</t>
        </is>
      </c>
      <c r="AS18" s="152" t="inlineStr">
        <is>
          <t>Not disclosed</t>
        </is>
      </c>
      <c r="AT18" s="156" t="n"/>
      <c r="AU18" s="156" t="inlineStr">
        <is>
          <t>Not disclosed</t>
        </is>
      </c>
      <c r="AV18" s="152" t="inlineStr">
        <is>
          <t>Freefly Pilot / Synapse class systems</t>
        </is>
      </c>
      <c r="AW18" s="156" t="n"/>
      <c r="AX18" s="152" t="n"/>
      <c r="AY18" s="156" t="n"/>
      <c r="AZ18" s="156" t="n"/>
      <c r="BA18" s="156" t="n"/>
      <c r="BB18" s="156" t="n"/>
      <c r="BC18" s="156" t="n"/>
      <c r="BD18" s="152" t="n"/>
      <c r="BE18" s="152" t="inlineStr">
        <is>
          <t>Not disclosed</t>
        </is>
      </c>
      <c r="BF18" s="152" t="n"/>
      <c r="BG18" s="152" t="n"/>
      <c r="BH18" s="152" t="inlineStr">
        <is>
          <t>Not disclosed</t>
        </is>
      </c>
      <c r="BI18" s="152" t="n"/>
      <c r="BJ18" s="152" t="n"/>
      <c r="BK18" s="152" t="n"/>
      <c r="BL18" s="152" t="n"/>
      <c r="BM18" s="152" t="n"/>
      <c r="BN18" s="152" t="n"/>
      <c r="BO18" s="156" t="n"/>
      <c r="BP18" s="152" t="inlineStr">
        <is>
          <t>Not disclosed</t>
        </is>
      </c>
      <c r="BQ18" s="156" t="inlineStr">
        <is>
          <t>Cinema Heavy-Lift</t>
        </is>
      </c>
      <c r="BR18" s="156" t="inlineStr">
        <is>
          <t>Not disclosed</t>
        </is>
      </c>
      <c r="BS18" s="156" t="n"/>
      <c r="BT18" s="152" t="n"/>
      <c r="BU18" s="152" t="n"/>
      <c r="BV18" s="156" t="inlineStr">
        <is>
          <t>High-payload cinema platform; carbon fiber construction</t>
        </is>
      </c>
      <c r="BW18" s="156" t="inlineStr">
        <is>
          <t>Origin &amp; status — USA · 2018 | Flight — Flight time Not disclosed · Range Not disclosed · Payload Heavy-lift cinema and industrial payloads | Sensing — Cinema payload platform (camera not fixed) | Buying notes — $15,995 · 12 months manufacturer standard (typical) · Best fit: High-payload cinema platform; carbon fiber construction</t>
        </is>
      </c>
      <c r="BX18" s="156" t="inlineStr">
        <is>
          <t>as_shipped|Alta X|15995|As shipped</t>
        </is>
      </c>
      <c r="BY18" s="152" t="inlineStr">
        <is>
          <t>alta_x|Manufacturer finish|#e2e8f0|0</t>
        </is>
      </c>
      <c r="BZ18" s="152" t="inlineStr"/>
      <c r="CA18" s="156" t="inlineStr">
        <is>
          <t>Add-ons: case; 2 color options; Multi-year extended warranty available</t>
        </is>
      </c>
      <c r="CB18" s="156" t="inlineStr">
        <is>
          <t>12 months manufacturer standard (typical)</t>
        </is>
      </c>
      <c r="CC18" s="154" t="n">
        <v>12</v>
      </c>
      <c r="CD18" s="156" t="inlineStr">
        <is>
          <t>+3 Year Extended ≈24% of configuration (default in configurator)</t>
        </is>
      </c>
      <c r="CE18" s="152" t="inlineStr">
        <is>
          <t>Industry default when OEM sheet not public</t>
        </is>
      </c>
      <c r="CF18" s="152" t="inlineStr">
        <is>
          <t>Estimated</t>
        </is>
      </c>
      <c r="CG18" s="156" t="inlineStr">
        <is>
          <t>Always confirm exact warranty on formal quote before purchase.</t>
        </is>
      </c>
      <c r="CH18" s="152" t="inlineStr">
        <is>
          <t>10%</t>
        </is>
      </c>
      <c r="CI18" s="152" t="inlineStr">
        <is>
          <t>17%</t>
        </is>
      </c>
      <c r="CJ18" s="152" t="inlineStr">
        <is>
          <t>24%</t>
        </is>
      </c>
      <c r="CK18"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18"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8" s="152" t="inlineStr">
        <is>
          <t>12 months manufacturer standard (typical)</t>
        </is>
      </c>
    </row>
    <row r="19" ht="31.5" customHeight="1" s="102">
      <c r="A19" s="143" t="inlineStr">
        <is>
          <t>holy_stone_hs_series_various</t>
        </is>
      </c>
      <c r="B19" s="160" t="inlineStr">
        <is>
          <t>Website</t>
        </is>
      </c>
      <c r="C19" s="145" t="inlineStr">
        <is>
          <t>Holy Stone</t>
        </is>
      </c>
      <c r="D19" s="145" t="inlineStr">
        <is>
          <t>HS Series</t>
        </is>
      </c>
      <c r="E19" s="145" t="inlineStr">
        <is>
          <t>[Holy Stone] HS Series (2015)</t>
        </is>
      </c>
      <c r="F19" s="164" t="inlineStr">
        <is>
          <t>aerial</t>
        </is>
      </c>
      <c r="G19" s="145" t="inlineStr">
        <is>
          <t>China</t>
        </is>
      </c>
      <c r="H19" s="147" t="n">
        <v>2015</v>
      </c>
      <c r="I19" s="148" t="n">
        <v>300</v>
      </c>
      <c r="J19" s="145" t="inlineStr">
        <is>
          <t>Website store</t>
        </is>
      </c>
      <c r="K19" s="149" t="inlineStr">
        <is>
          <t>HS Series is Holy Stone's aerial robot — camera-centric. Integrated consumer cameras (model dependent); aimed at budget.</t>
        </is>
      </c>
      <c r="L19" s="101" t="inlineStr">
        <is>
          <t>HS Series is Holy Stone's aerial robot — camera-centric. Integrated consumer cameras (model dependent); aimed at budget.</t>
        </is>
      </c>
      <c r="M19" s="101" t="inlineStr">
        <is>
          <t>HS Series is Holy Stone's aerial robot — camera-centric. Integrated consumer cameras (model dependent); aimed at budget. It is positioned for budget / Beginner.</t>
        </is>
      </c>
      <c r="N19" s="145" t="n"/>
      <c r="O19" s="145" t="inlineStr">
        <is>
          <t>https://www.holystone.com</t>
        </is>
      </c>
      <c r="P19" s="145" t="n"/>
      <c r="Q19" s="145" t="n"/>
      <c r="R19" s="145" t="inlineStr">
        <is>
          <t>Not disclosed</t>
        </is>
      </c>
      <c r="S19" s="145" t="n"/>
      <c r="T19" s="149" t="inlineStr">
        <is>
          <t>Not disclosed</t>
        </is>
      </c>
      <c r="U19" s="145" t="n"/>
      <c r="V19" s="145" t="n"/>
      <c r="W19" s="149" t="n"/>
      <c r="X19" s="145" t="inlineStr">
        <is>
          <t>Not disclosed</t>
        </is>
      </c>
      <c r="Y19" s="145" t="n"/>
      <c r="Z19" s="145" t="inlineStr">
        <is>
          <t>Not disclosed</t>
        </is>
      </c>
      <c r="AA19" s="145" t="n"/>
      <c r="AB19" s="145" t="n"/>
      <c r="AC19" s="149" t="inlineStr">
        <is>
          <t>Not disclosed</t>
        </is>
      </c>
      <c r="AD19" s="149" t="n"/>
      <c r="AE19" s="145" t="inlineStr">
        <is>
          <t>Not disclosed</t>
        </is>
      </c>
      <c r="AF19" s="145" t="inlineStr">
        <is>
          <t>Not disclosed</t>
        </is>
      </c>
      <c r="AG19" s="149" t="n"/>
      <c r="AH19" s="145" t="n"/>
      <c r="AI19" s="145" t="n"/>
      <c r="AJ19" s="149" t="inlineStr">
        <is>
          <t>Integrated consumer cameras (model dependent)</t>
        </is>
      </c>
      <c r="AK19" s="149" t="n"/>
      <c r="AL19" s="145" t="inlineStr">
        <is>
          <t>HD to 4K class depending on HS model</t>
        </is>
      </c>
      <c r="AM19" s="145" t="inlineStr">
        <is>
          <t>Not disclosed</t>
        </is>
      </c>
      <c r="AN19" s="145" t="n"/>
      <c r="AO19" s="145" t="n"/>
      <c r="AP19" s="145" t="n"/>
      <c r="AQ19" s="145" t="n"/>
      <c r="AR19" s="145" t="inlineStr">
        <is>
          <t>Not disclosed</t>
        </is>
      </c>
      <c r="AS19" s="145" t="inlineStr">
        <is>
          <t>Not disclosed</t>
        </is>
      </c>
      <c r="AT19" s="149" t="n"/>
      <c r="AU19" s="149" t="inlineStr">
        <is>
          <t>Not disclosed</t>
        </is>
      </c>
      <c r="AV19" s="145" t="inlineStr">
        <is>
          <t>Consumer RC + app</t>
        </is>
      </c>
      <c r="AW19" s="149" t="n"/>
      <c r="AX19" s="145" t="n"/>
      <c r="AY19" s="149" t="n"/>
      <c r="AZ19" s="149" t="n"/>
      <c r="BA19" s="149" t="n"/>
      <c r="BB19" s="149" t="n"/>
      <c r="BC19" s="149" t="n"/>
      <c r="BD19" s="145" t="n"/>
      <c r="BE19" s="145" t="inlineStr">
        <is>
          <t>Not disclosed</t>
        </is>
      </c>
      <c r="BF19" s="145" t="n"/>
      <c r="BG19" s="145" t="n"/>
      <c r="BH19" s="145" t="inlineStr">
        <is>
          <t>Not disclosed</t>
        </is>
      </c>
      <c r="BI19" s="145" t="n"/>
      <c r="BJ19" s="145" t="n"/>
      <c r="BK19" s="145" t="n"/>
      <c r="BL19" s="145" t="n"/>
      <c r="BM19" s="145" t="n"/>
      <c r="BN19" s="145" t="n"/>
      <c r="BO19" s="149" t="n"/>
      <c r="BP19" s="145" t="inlineStr">
        <is>
          <t>Not disclosed</t>
        </is>
      </c>
      <c r="BQ19" s="149" t="inlineStr">
        <is>
          <t>Budget / Beginner</t>
        </is>
      </c>
      <c r="BR19" s="149" t="inlineStr">
        <is>
          <t>Not disclosed</t>
        </is>
      </c>
      <c r="BS19" s="149" t="n"/>
      <c r="BT19" s="145" t="n"/>
      <c r="BU19" s="145" t="n"/>
      <c r="BV19" s="149" t="inlineStr">
        <is>
          <t>Entry-level and toy-class multirotors; high volume on consumer platforms</t>
        </is>
      </c>
      <c r="BW19" s="149" t="inlineStr">
        <is>
          <t>Origin &amp; status — China · 2015 | Flight — Flight time Not disclosed · Range Not disclosed · Payload Not disclosed | Sensing — Integrated consumer cameras (model dependent) | Buying notes — 60–300 · 12 months limited manufacturer warranty (typical consumer UAV) · Best fit: Entry-level and toy-class multirotors; high volume on consumer platforms</t>
        </is>
      </c>
      <c r="BX19" s="149" t="inlineStr">
        <is>
          <t>as_shipped|HS Series|300|As shipped</t>
        </is>
      </c>
      <c r="BY19" s="145" t="inlineStr">
        <is>
          <t>hs_series|Manufacturer finish|#e2e8f0|0</t>
        </is>
      </c>
      <c r="BZ19" s="145" t="inlineStr"/>
      <c r="CA19" s="149" t="inlineStr">
        <is>
          <t>Add-ons: case; 2 color options; Multi-year extended warranty available</t>
        </is>
      </c>
      <c r="CB19" s="149" t="inlineStr">
        <is>
          <t>12 months limited manufacturer warranty (typical consumer UAV)</t>
        </is>
      </c>
      <c r="CC19" s="147" t="n">
        <v>12</v>
      </c>
      <c r="CD19" s="149" t="inlineStr">
        <is>
          <t>+3 Year Extended ≈24% of configuration (default in configurator)</t>
        </is>
      </c>
      <c r="CE19" s="145" t="inlineStr">
        <is>
          <t>Consumer drone category standard</t>
        </is>
      </c>
      <c r="CF19" s="145" t="inlineStr">
        <is>
          <t>Estimated</t>
        </is>
      </c>
      <c r="CG19" s="149" t="inlineStr">
        <is>
          <t>Batteries/propellers often shorter or excluded.</t>
        </is>
      </c>
      <c r="CH19" s="145" t="inlineStr">
        <is>
          <t>10%</t>
        </is>
      </c>
      <c r="CI19" s="145" t="inlineStr">
        <is>
          <t>17%</t>
        </is>
      </c>
      <c r="CJ19" s="145" t="inlineStr">
        <is>
          <t>24%</t>
        </is>
      </c>
      <c r="CK1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1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9" s="145" t="inlineStr">
        <is>
          <t>12 months limited manufacturer warranty (typical consumer UAV)</t>
        </is>
      </c>
    </row>
    <row r="20" ht="31.5" customHeight="1" s="102">
      <c r="A20" s="159" t="inlineStr">
        <is>
          <t>insitu_boeing_scaneagle</t>
        </is>
      </c>
      <c r="B20" s="160" t="inlineStr">
        <is>
          <t>Website</t>
        </is>
      </c>
      <c r="C20" s="152" t="inlineStr">
        <is>
          <t>Insitu</t>
        </is>
      </c>
      <c r="D20" s="152" t="inlineStr">
        <is>
          <t>ScanEagle</t>
        </is>
      </c>
      <c r="E20" s="152" t="inlineStr">
        <is>
          <t>[Insitu] ScanEagle (2002)</t>
        </is>
      </c>
      <c r="F20" s="164" t="inlineStr">
        <is>
          <t>aerial</t>
        </is>
      </c>
      <c r="G20" s="152" t="inlineStr">
        <is>
          <t>USA</t>
        </is>
      </c>
      <c r="H20" s="154" t="n">
        <v>2002</v>
      </c>
      <c r="I20" s="155" t="n">
        <v>3500000</v>
      </c>
      <c r="J20" s="152" t="inlineStr">
        <is>
          <t>ScanEagle system class estimate</t>
        </is>
      </c>
      <c r="K20" s="156" t="inlineStr">
        <is>
          <t>ScanEagle is Insitu's aerial robot — camera-centric. Modular ISR turrets; aimed at catapult-launched long-endurance ISR fixed-wing.</t>
        </is>
      </c>
      <c r="L20" s="101" t="inlineStr">
        <is>
          <t>ScanEagle is Insitu's aerial robot — camera-centric. Modular ISR turrets; aimed at catapult-launched long-endurance ISR fixed-wing.</t>
        </is>
      </c>
      <c r="M20" s="101" t="inlineStr">
        <is>
          <t>ScanEagle is Insitu's aerial robot — camera-centric. Modular ISR turrets; aimed at catapult-launched long-endurance ISR fixed-wing.</t>
        </is>
      </c>
      <c r="N20" s="152" t="n"/>
      <c r="O20" s="152" t="inlineStr">
        <is>
          <t>https://www.insitu.com</t>
        </is>
      </c>
      <c r="P20" s="152" t="n"/>
      <c r="Q20" s="152" t="n"/>
      <c r="R20" s="152" t="inlineStr">
        <is>
          <t>Not disclosed</t>
        </is>
      </c>
      <c r="S20" s="152" t="n"/>
      <c r="T20" s="156" t="inlineStr">
        <is>
          <t>Not disclosed</t>
        </is>
      </c>
      <c r="U20" s="152" t="n"/>
      <c r="V20" s="152" t="n"/>
      <c r="W20" s="156" t="n"/>
      <c r="X20" s="152" t="inlineStr">
        <is>
          <t>Not disclosed</t>
        </is>
      </c>
      <c r="Y20" s="152" t="n"/>
      <c r="Z20" s="152" t="inlineStr">
        <is>
          <t>Not disclosed</t>
        </is>
      </c>
      <c r="AA20" s="152" t="n"/>
      <c r="AB20" s="152" t="n"/>
      <c r="AC20" s="156" t="inlineStr">
        <is>
          <t>Not disclosed</t>
        </is>
      </c>
      <c r="AD20" s="156" t="n"/>
      <c r="AE20" s="152" t="inlineStr">
        <is>
          <t>Not disclosed</t>
        </is>
      </c>
      <c r="AF20" s="152" t="inlineStr">
        <is>
          <t>Not disclosed</t>
        </is>
      </c>
      <c r="AG20" s="156" t="n"/>
      <c r="AH20" s="152" t="n"/>
      <c r="AI20" s="152" t="n"/>
      <c r="AJ20" s="156" t="inlineStr">
        <is>
          <t>Modular ISR turrets</t>
        </is>
      </c>
      <c r="AK20" s="156" t="n"/>
      <c r="AL20" s="152" t="inlineStr">
        <is>
          <t>Long-endurance ISR video</t>
        </is>
      </c>
      <c r="AM20" s="152" t="inlineStr">
        <is>
          <t>Not disclosed</t>
        </is>
      </c>
      <c r="AN20" s="152" t="n"/>
      <c r="AO20" s="152" t="n"/>
      <c r="AP20" s="152" t="n"/>
      <c r="AQ20" s="152" t="n"/>
      <c r="AR20" s="152" t="inlineStr">
        <is>
          <t>Not disclosed</t>
        </is>
      </c>
      <c r="AS20" s="152" t="inlineStr">
        <is>
          <t>Not disclosed</t>
        </is>
      </c>
      <c r="AT20" s="156" t="n"/>
      <c r="AU20" s="156" t="inlineStr">
        <is>
          <t>Not disclosed</t>
        </is>
      </c>
      <c r="AV20" s="152" t="inlineStr">
        <is>
          <t>Insitu GCS</t>
        </is>
      </c>
      <c r="AW20" s="156" t="n"/>
      <c r="AX20" s="152" t="n"/>
      <c r="AY20" s="156" t="n"/>
      <c r="AZ20" s="156" t="n"/>
      <c r="BA20" s="156" t="n"/>
      <c r="BB20" s="156" t="n"/>
      <c r="BC20" s="156" t="n"/>
      <c r="BD20" s="152" t="n"/>
      <c r="BE20" s="152" t="inlineStr">
        <is>
          <t>Not disclosed</t>
        </is>
      </c>
      <c r="BF20" s="152" t="n"/>
      <c r="BG20" s="152" t="n"/>
      <c r="BH20" s="152" t="inlineStr">
        <is>
          <t>Not disclosed</t>
        </is>
      </c>
      <c r="BI20" s="152" t="n"/>
      <c r="BJ20" s="152" t="n"/>
      <c r="BK20" s="152" t="n"/>
      <c r="BL20" s="152" t="n"/>
      <c r="BM20" s="152" t="n"/>
      <c r="BN20" s="152" t="n"/>
      <c r="BO20" s="156" t="n"/>
      <c r="BP20" s="152" t="inlineStr">
        <is>
          <t>Not disclosed</t>
        </is>
      </c>
      <c r="BQ20" s="156" t="inlineStr">
        <is>
          <t>Catapult-launched long-endurance ISR fixed-wing</t>
        </is>
      </c>
      <c r="BR20" s="156" t="inlineStr">
        <is>
          <t>Not disclosed</t>
        </is>
      </c>
      <c r="BS20" s="156" t="n"/>
      <c r="BT20" s="152" t="n"/>
      <c r="BU20" s="152" t="n"/>
      <c r="BV20" s="156" t="n"/>
      <c r="BW20" s="156" t="inlineStr">
        <is>
          <t>Origin &amp; status — USA · 2002 | Flight — Flight time Not disclosed · Range Not disclosed · Payload Not disclosed | Sensing — Modular ISR turrets | Buying notes — Inquiry / System · 12 months limited / contract-dependent · Best fit: Catapult-launched long-endurance ISR fixed-wing</t>
        </is>
      </c>
      <c r="BX20" s="156" t="inlineStr">
        <is>
          <t>as_shipped|ScanEagle|3500000|As shipped</t>
        </is>
      </c>
      <c r="BY20" s="152" t="inlineStr">
        <is>
          <t>scaneagle|Manufacturer finish|#e2e8f0|0</t>
        </is>
      </c>
      <c r="BZ20" s="152" t="inlineStr"/>
      <c r="CA20" s="156" t="inlineStr">
        <is>
          <t>Add-ons: case; 2 color options; Multi-year extended warranty available</t>
        </is>
      </c>
      <c r="CB20" s="156" t="inlineStr">
        <is>
          <t>12 months limited / contract-dependent</t>
        </is>
      </c>
      <c r="CC20" s="154" t="n">
        <v>12</v>
      </c>
      <c r="CD20" s="156" t="inlineStr">
        <is>
          <t>+3 Year Extended ≈24% of configuration (default in configurator)</t>
        </is>
      </c>
      <c r="CE20" s="152" t="inlineStr">
        <is>
          <t>Enterprise &amp; OEM UAV norms</t>
        </is>
      </c>
      <c r="CF20" s="152" t="inlineStr">
        <is>
          <t>Estimated</t>
        </is>
      </c>
      <c r="CG20" s="156" t="inlineStr">
        <is>
          <t>Military/industrial UAVs often under program SLA rather than retail warranty.</t>
        </is>
      </c>
      <c r="CH20" s="152" t="inlineStr">
        <is>
          <t>10%</t>
        </is>
      </c>
      <c r="CI20" s="152" t="inlineStr">
        <is>
          <t>17%</t>
        </is>
      </c>
      <c r="CJ20" s="152" t="inlineStr">
        <is>
          <t>24%</t>
        </is>
      </c>
      <c r="CK20"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0"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0" s="152" t="inlineStr">
        <is>
          <t>12 months limited / contract-dependent</t>
        </is>
      </c>
    </row>
    <row r="21" ht="31.5" customHeight="1" s="102">
      <c r="A21" s="143" t="inlineStr">
        <is>
          <t>jouav_cw_industrial_vtol</t>
        </is>
      </c>
      <c r="B21" s="160" t="inlineStr">
        <is>
          <t>Website</t>
        </is>
      </c>
      <c r="C21" s="145" t="inlineStr">
        <is>
          <t>JOUAV</t>
        </is>
      </c>
      <c r="D21" s="145" t="inlineStr">
        <is>
          <t>CW Industrial VTOL</t>
        </is>
      </c>
      <c r="E21" s="145" t="inlineStr">
        <is>
          <t>[JOUAV] CW Industrial VTOL (2015)</t>
        </is>
      </c>
      <c r="F21" s="164" t="inlineStr">
        <is>
          <t>aerial</t>
        </is>
      </c>
      <c r="G21" s="145" t="inlineStr">
        <is>
          <t>China</t>
        </is>
      </c>
      <c r="H21" s="147" t="n">
        <v>2015</v>
      </c>
      <c r="I21" s="148" t="n">
        <v>10000</v>
      </c>
      <c r="J21" s="145" t="inlineStr">
        <is>
          <t>Website store</t>
        </is>
      </c>
      <c r="K21" s="149" t="inlineStr">
        <is>
          <t>CW Industrial VTOL is JOUAV's aerial robot — camera-centric. Survey and industrial VTOL payload options; aimed at industrial VTOL.</t>
        </is>
      </c>
      <c r="L21" s="101" t="inlineStr">
        <is>
          <t>CW Industrial VTOL is JOUAV's aerial robot — camera-centric. Survey and industrial VTOL payload options; aimed at industrial VTOL.</t>
        </is>
      </c>
      <c r="M21" s="101" t="inlineStr">
        <is>
          <t>CW Industrial VTOL is JOUAV's aerial robot — camera-centric. Survey and industrial VTOL payload options; aimed at industrial VTOL.</t>
        </is>
      </c>
      <c r="N21" s="145" t="n"/>
      <c r="O21" s="145" t="inlineStr">
        <is>
          <t>https://www.jouav.com</t>
        </is>
      </c>
      <c r="P21" s="145" t="n"/>
      <c r="Q21" s="145" t="n"/>
      <c r="R21" s="145" t="inlineStr">
        <is>
          <t>Not disclosed</t>
        </is>
      </c>
      <c r="S21" s="145" t="n"/>
      <c r="T21" s="149" t="inlineStr">
        <is>
          <t>Not disclosed</t>
        </is>
      </c>
      <c r="U21" s="145" t="n"/>
      <c r="V21" s="145" t="n"/>
      <c r="W21" s="149" t="n"/>
      <c r="X21" s="145" t="inlineStr">
        <is>
          <t>Not disclosed</t>
        </is>
      </c>
      <c r="Y21" s="145" t="n"/>
      <c r="Z21" s="145" t="inlineStr">
        <is>
          <t>Not disclosed</t>
        </is>
      </c>
      <c r="AA21" s="145" t="n"/>
      <c r="AB21" s="145" t="n"/>
      <c r="AC21" s="149" t="inlineStr">
        <is>
          <t>Not disclosed</t>
        </is>
      </c>
      <c r="AD21" s="149" t="n"/>
      <c r="AE21" s="145" t="inlineStr">
        <is>
          <t>Not disclosed</t>
        </is>
      </c>
      <c r="AF21" s="145" t="inlineStr">
        <is>
          <t>Not disclosed</t>
        </is>
      </c>
      <c r="AG21" s="149" t="n"/>
      <c r="AH21" s="145" t="n"/>
      <c r="AI21" s="145" t="n"/>
      <c r="AJ21" s="149" t="inlineStr">
        <is>
          <t>Survey and industrial VTOL payload options</t>
        </is>
      </c>
      <c r="AK21" s="149" t="n"/>
      <c r="AL21" s="145" t="inlineStr">
        <is>
          <t>Mapping / inspection capture</t>
        </is>
      </c>
      <c r="AM21" s="145" t="inlineStr">
        <is>
          <t>Not disclosed</t>
        </is>
      </c>
      <c r="AN21" s="145" t="n"/>
      <c r="AO21" s="145" t="n"/>
      <c r="AP21" s="145" t="n"/>
      <c r="AQ21" s="145" t="n"/>
      <c r="AR21" s="145" t="inlineStr">
        <is>
          <t>Not disclosed</t>
        </is>
      </c>
      <c r="AS21" s="145" t="inlineStr">
        <is>
          <t>Not disclosed</t>
        </is>
      </c>
      <c r="AT21" s="149" t="n"/>
      <c r="AU21" s="149" t="inlineStr">
        <is>
          <t>Not disclosed</t>
        </is>
      </c>
      <c r="AV21" s="145" t="inlineStr">
        <is>
          <t>Industrial VTOL GCS</t>
        </is>
      </c>
      <c r="AW21" s="149" t="n"/>
      <c r="AX21" s="145" t="n"/>
      <c r="AY21" s="149" t="n"/>
      <c r="AZ21" s="149" t="n"/>
      <c r="BA21" s="149" t="n"/>
      <c r="BB21" s="149" t="n"/>
      <c r="BC21" s="149" t="n"/>
      <c r="BD21" s="145" t="n"/>
      <c r="BE21" s="145" t="inlineStr">
        <is>
          <t>Not disclosed</t>
        </is>
      </c>
      <c r="BF21" s="145" t="n"/>
      <c r="BG21" s="145" t="n"/>
      <c r="BH21" s="145" t="inlineStr">
        <is>
          <t>Not disclosed</t>
        </is>
      </c>
      <c r="BI21" s="145" t="n"/>
      <c r="BJ21" s="145" t="n"/>
      <c r="BK21" s="145" t="n"/>
      <c r="BL21" s="145" t="n"/>
      <c r="BM21" s="145" t="n"/>
      <c r="BN21" s="145" t="n"/>
      <c r="BO21" s="149" t="n"/>
      <c r="BP21" s="145" t="inlineStr">
        <is>
          <t>Not disclosed</t>
        </is>
      </c>
      <c r="BQ21" s="149" t="inlineStr">
        <is>
          <t>Industrial VTOL</t>
        </is>
      </c>
      <c r="BR21" s="149" t="inlineStr">
        <is>
          <t>Not disclosed</t>
        </is>
      </c>
      <c r="BS21" s="149" t="n"/>
      <c r="BT21" s="145" t="n"/>
      <c r="BU21" s="145" t="n"/>
      <c r="BV21" s="149" t="inlineStr">
        <is>
          <t>Long-endurance industrial surveying and security platforms</t>
        </is>
      </c>
      <c r="BW21" s="149" t="inlineStr">
        <is>
          <t>Origin &amp; status — China · 2015 | Flight — Flight time Not disclosed · Range Not disclosed · Payload Not disclosed | Sensing — Survey and industrial VTOL payload options | Buying notes — $10,000 · 12 months limited / contract-dependent · Best fit: Long-endurance industrial surveying and security platforms</t>
        </is>
      </c>
      <c r="BX21" s="149" t="inlineStr">
        <is>
          <t>as_shipped|CW Industrial VTOL|10000|As shipped</t>
        </is>
      </c>
      <c r="BY21" s="145" t="inlineStr">
        <is>
          <t>cw_industrial_vtol|Manufacturer finish|#e2e8f0|0</t>
        </is>
      </c>
      <c r="BZ21" s="145" t="inlineStr"/>
      <c r="CA21" s="149" t="inlineStr">
        <is>
          <t>Add-ons: case; 2 color options; Multi-year extended warranty available</t>
        </is>
      </c>
      <c r="CB21" s="149" t="inlineStr">
        <is>
          <t>12 months limited / contract-dependent</t>
        </is>
      </c>
      <c r="CC21" s="147" t="n">
        <v>12</v>
      </c>
      <c r="CD21" s="149" t="inlineStr">
        <is>
          <t>+3 Year Extended ≈24% of configuration (default in configurator)</t>
        </is>
      </c>
      <c r="CE21" s="145" t="inlineStr">
        <is>
          <t>Enterprise &amp; OEM UAV norms</t>
        </is>
      </c>
      <c r="CF21" s="145" t="inlineStr">
        <is>
          <t>Estimated</t>
        </is>
      </c>
      <c r="CG21" s="149" t="inlineStr">
        <is>
          <t>Military/industrial UAVs often under program SLA rather than retail warranty.</t>
        </is>
      </c>
      <c r="CH21" s="145" t="inlineStr">
        <is>
          <t>10%</t>
        </is>
      </c>
      <c r="CI21" s="145" t="inlineStr">
        <is>
          <t>17%</t>
        </is>
      </c>
      <c r="CJ21" s="145" t="inlineStr">
        <is>
          <t>24%</t>
        </is>
      </c>
      <c r="CK2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1" s="145" t="inlineStr">
        <is>
          <t>12 months limited / contract-dependent</t>
        </is>
      </c>
    </row>
    <row r="22" ht="31.5" customHeight="1" s="102">
      <c r="A22" s="159" t="inlineStr">
        <is>
          <t>parrot_anafi</t>
        </is>
      </c>
      <c r="B22" s="160" t="inlineStr">
        <is>
          <t>Website</t>
        </is>
      </c>
      <c r="C22" s="152" t="inlineStr">
        <is>
          <t>Parrot</t>
        </is>
      </c>
      <c r="D22" s="152" t="inlineStr">
        <is>
          <t>ANAFI</t>
        </is>
      </c>
      <c r="E22" s="152" t="inlineStr">
        <is>
          <t>[Parrot] ANAFI (2018)</t>
        </is>
      </c>
      <c r="F22" s="164" t="inlineStr">
        <is>
          <t>aerial</t>
        </is>
      </c>
      <c r="G22" s="152" t="inlineStr">
        <is>
          <t>France</t>
        </is>
      </c>
      <c r="H22" s="154" t="n">
        <v>2018</v>
      </c>
      <c r="I22" s="155" t="n">
        <v>699</v>
      </c>
      <c r="J22" s="152" t="inlineStr">
        <is>
          <t>Website store</t>
        </is>
      </c>
      <c r="K22" s="156" t="inlineStr">
        <is>
          <t>ANAFI is Parrot's aerial robot — Up to ≈ 25 min class flight time, camera-centric. 21 MP class sensor; 180° vertical tilt; aimed at consumer Foldable.</t>
        </is>
      </c>
      <c r="L22" s="101" t="inlineStr">
        <is>
          <t>ANAFI is Parrot's aerial robot — Up to ≈ 25 min class flight time, camera-centric. 21 MP class sensor; 180° vertical tilt; aimed at consumer Foldable.</t>
        </is>
      </c>
      <c r="M22" s="101" t="inlineStr">
        <is>
          <t>ANAFI is Parrot's aerial robot — Up to ≈ 25 min class flight time, camera-centric. 21 MP class sensor; 180° vertical tilt; aimed at consumer Foldable.</t>
        </is>
      </c>
      <c r="N22" s="152" t="n"/>
      <c r="O22" s="152" t="inlineStr">
        <is>
          <t>https://www.parrot.com</t>
        </is>
      </c>
      <c r="P22" s="152" t="n"/>
      <c r="Q22" s="152" t="n"/>
      <c r="R22" s="152" t="inlineStr">
        <is>
          <t>≈ 0.7 lb class</t>
        </is>
      </c>
      <c r="S22" s="152" t="n"/>
      <c r="T22" s="156" t="inlineStr">
        <is>
          <t>Not disclosed</t>
        </is>
      </c>
      <c r="U22" s="152" t="n"/>
      <c r="V22" s="152" t="n"/>
      <c r="W22" s="156" t="n"/>
      <c r="X22" s="152" t="inlineStr">
        <is>
          <t>Not disclosed</t>
        </is>
      </c>
      <c r="Y22" s="152" t="n"/>
      <c r="Z22" s="152" t="inlineStr">
        <is>
          <t>Not disclosed</t>
        </is>
      </c>
      <c r="AA22" s="152" t="n"/>
      <c r="AB22" s="152" t="n"/>
      <c r="AC22" s="156" t="inlineStr">
        <is>
          <t>Not disclosed</t>
        </is>
      </c>
      <c r="AD22" s="156" t="n"/>
      <c r="AE22" s="152" t="inlineStr">
        <is>
          <t>Up to ≈ 25 min class</t>
        </is>
      </c>
      <c r="AF22" s="152" t="inlineStr">
        <is>
          <t>Not disclosed</t>
        </is>
      </c>
      <c r="AG22" s="156" t="n"/>
      <c r="AH22" s="152" t="n"/>
      <c r="AI22" s="152" t="n"/>
      <c r="AJ22" s="156" t="inlineStr">
        <is>
          <t>21 MP class sensor; 180° vertical tilt</t>
        </is>
      </c>
      <c r="AK22" s="156" t="n"/>
      <c r="AL22" s="152" t="inlineStr">
        <is>
          <t>4K HDR class</t>
        </is>
      </c>
      <c r="AM22" s="152" t="inlineStr">
        <is>
          <t>3-axis with vertical imaging</t>
        </is>
      </c>
      <c r="AN22" s="152" t="n"/>
      <c r="AO22" s="152" t="n"/>
      <c r="AP22" s="152" t="n"/>
      <c r="AQ22" s="152" t="n"/>
      <c r="AR22" s="152" t="inlineStr">
        <is>
          <t>Not disclosed</t>
        </is>
      </c>
      <c r="AS22" s="152" t="inlineStr">
        <is>
          <t>Not disclosed</t>
        </is>
      </c>
      <c r="AT22" s="156" t="n"/>
      <c r="AU22" s="156" t="inlineStr">
        <is>
          <t>Not disclosed</t>
        </is>
      </c>
      <c r="AV22" s="152" t="inlineStr">
        <is>
          <t>FreeFlight app</t>
        </is>
      </c>
      <c r="AW22" s="156" t="n"/>
      <c r="AX22" s="152" t="n"/>
      <c r="AY22" s="156" t="n"/>
      <c r="AZ22" s="156" t="n"/>
      <c r="BA22" s="156" t="n"/>
      <c r="BB22" s="156" t="n"/>
      <c r="BC22" s="156" t="n"/>
      <c r="BD22" s="152" t="n"/>
      <c r="BE22" s="152" t="inlineStr">
        <is>
          <t>Not disclosed</t>
        </is>
      </c>
      <c r="BF22" s="152" t="n"/>
      <c r="BG22" s="152" t="n"/>
      <c r="BH22" s="152" t="inlineStr">
        <is>
          <t>Not disclosed</t>
        </is>
      </c>
      <c r="BI22" s="152" t="n"/>
      <c r="BJ22" s="152" t="n"/>
      <c r="BK22" s="152" t="n"/>
      <c r="BL22" s="152" t="n"/>
      <c r="BM22" s="152" t="n"/>
      <c r="BN22" s="152" t="n"/>
      <c r="BO22" s="156" t="n"/>
      <c r="BP22" s="152" t="inlineStr">
        <is>
          <t>Not disclosed</t>
        </is>
      </c>
      <c r="BQ22" s="156" t="inlineStr">
        <is>
          <t>Consumer Foldable</t>
        </is>
      </c>
      <c r="BR22" s="156" t="inlineStr">
        <is>
          <t>Not disclosed</t>
        </is>
      </c>
      <c r="BS22" s="156" t="n"/>
      <c r="BT22" s="152" t="n"/>
      <c r="BU22" s="152" t="n"/>
      <c r="BV22" s="156" t="inlineStr">
        <is>
          <t>Ultra-portable European design; 4K HDR; 180° camera tilt</t>
        </is>
      </c>
      <c r="BW22" s="156" t="inlineStr">
        <is>
          <t>Origin &amp; status — France · 2018 | Flight — Flight time Up to ≈ 25 min class · Range Not disclosed · Payload Not disclosed | Sensing — 21 MP class sensor; 180° vertical tilt | Buying notes — $699 · 12 months (reseller-defined; typically 1 year) · Best fit: Ultra-portable European design; 4K HDR; 180° camera tilt</t>
        </is>
      </c>
      <c r="BX22" s="156" t="inlineStr">
        <is>
          <t>as_shipped|ANAFI|699|As shipped</t>
        </is>
      </c>
      <c r="BY22" s="152" t="inlineStr">
        <is>
          <t>anafi|Manufacturer finish|#e2e8f0|0</t>
        </is>
      </c>
      <c r="BZ22" s="152" t="inlineStr"/>
      <c r="CA22" s="156" t="inlineStr">
        <is>
          <t>Add-ons: case; 2 color options; Multi-year extended warranty available</t>
        </is>
      </c>
      <c r="CB22" s="156" t="inlineStr">
        <is>
          <t>12 months (reseller-defined; typically 1 year)</t>
        </is>
      </c>
      <c r="CC22" s="154" t="n">
        <v>12</v>
      </c>
      <c r="CD22" s="156" t="inlineStr">
        <is>
          <t>+3 Year Extended ≈24% of configuration (default in configurator)</t>
        </is>
      </c>
      <c r="CE22" s="152" t="inlineStr">
        <is>
          <t>Parrot FAQ + Crutchfield ANAFI USA listing</t>
        </is>
      </c>
      <c r="CF22" s="152" t="inlineStr">
        <is>
          <t>High</t>
        </is>
      </c>
      <c r="CG22" s="156" t="inlineStr">
        <is>
          <t>Parrot states period is defined by reseller; US retail commonly 1 year parts/labor.</t>
        </is>
      </c>
      <c r="CH22" s="152" t="inlineStr">
        <is>
          <t>10%</t>
        </is>
      </c>
      <c r="CI22" s="152" t="inlineStr">
        <is>
          <t>17%</t>
        </is>
      </c>
      <c r="CJ22" s="152" t="inlineStr">
        <is>
          <t>24%</t>
        </is>
      </c>
      <c r="CK22"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2"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2" s="152" t="inlineStr">
        <is>
          <t>12 months (reseller-defined; typically 1 year)</t>
        </is>
      </c>
    </row>
    <row r="23" ht="31.5" customHeight="1" s="102">
      <c r="A23" s="143" t="inlineStr">
        <is>
          <t>parrot_anafi_ai_ukr_series</t>
        </is>
      </c>
      <c r="B23" s="160" t="inlineStr">
        <is>
          <t>Website</t>
        </is>
      </c>
      <c r="C23" s="145" t="inlineStr">
        <is>
          <t>Parrot</t>
        </is>
      </c>
      <c r="D23" s="145" t="inlineStr">
        <is>
          <t>ANAFI Ai</t>
        </is>
      </c>
      <c r="E23" s="145" t="inlineStr">
        <is>
          <t>[Parrot] ANAFI Ai (2021)</t>
        </is>
      </c>
      <c r="F23" s="164" t="inlineStr">
        <is>
          <t>aerial</t>
        </is>
      </c>
      <c r="G23" s="145" t="inlineStr">
        <is>
          <t>France</t>
        </is>
      </c>
      <c r="H23" s="147" t="n">
        <v>2021</v>
      </c>
      <c r="I23" s="148" t="n">
        <v>4000</v>
      </c>
      <c r="J23" s="145" t="inlineStr">
        <is>
          <t>Website store</t>
        </is>
      </c>
      <c r="K23" s="149" t="inlineStr">
        <is>
          <t>[Parrot] ANAFI Ai (2021) is a aerial platform from Parrot (France, 2021), positioned for enterprise.</t>
        </is>
      </c>
      <c r="L23" s="101" t="inlineStr">
        <is>
          <t>[Parrot] ANAFI Ai (2021) is a aerial platform from Parrot (France, 2021), positioned for enterprise.</t>
        </is>
      </c>
      <c r="M23" s="101" t="inlineStr">
        <is>
          <t>ANAFI Ai is Parrot's aerial robot, introduced around 2021 in France. [Parrot] ANAFI Ai (2021) is a aerial platform from Parrot (France, 2021), positioned for enterprise. It is positioned for enterprise / ISR.</t>
        </is>
      </c>
      <c r="N23" s="145" t="n"/>
      <c r="O23" s="145" t="inlineStr">
        <is>
          <t>https://www.parrot.com</t>
        </is>
      </c>
      <c r="P23" s="145" t="n"/>
      <c r="Q23" s="145" t="n"/>
      <c r="R23" s="145" t="inlineStr">
        <is>
          <t>≈ 1.4 lb class</t>
        </is>
      </c>
      <c r="S23" s="145" t="n"/>
      <c r="T23" s="149" t="inlineStr">
        <is>
          <t>Not disclosed</t>
        </is>
      </c>
      <c r="U23" s="145" t="n"/>
      <c r="V23" s="145" t="n"/>
      <c r="W23" s="149" t="n"/>
      <c r="X23" s="145" t="inlineStr">
        <is>
          <t>Not disclosed</t>
        </is>
      </c>
      <c r="Y23" s="145" t="n"/>
      <c r="Z23" s="145" t="inlineStr">
        <is>
          <t>Not disclosed</t>
        </is>
      </c>
      <c r="AA23" s="145" t="n"/>
      <c r="AB23" s="145" t="n"/>
      <c r="AC23" s="149" t="inlineStr">
        <is>
          <t>Not disclosed</t>
        </is>
      </c>
      <c r="AD23" s="149" t="n"/>
      <c r="AE23" s="145" t="inlineStr">
        <is>
          <t>Up to ≈ 32 min class</t>
        </is>
      </c>
      <c r="AF23" s="145" t="inlineStr">
        <is>
          <t>Not disclosed</t>
        </is>
      </c>
      <c r="AG23" s="149" t="n"/>
      <c r="AH23" s="145" t="n"/>
      <c r="AI23" s="145" t="n"/>
      <c r="AJ23" s="149" t="inlineStr">
        <is>
          <t>32× zoom class; 4K</t>
        </is>
      </c>
      <c r="AK23" s="149" t="n"/>
      <c r="AL23" s="145" t="inlineStr">
        <is>
          <t>4K; secure enterprise transmission options</t>
        </is>
      </c>
      <c r="AM23" s="145" t="inlineStr">
        <is>
          <t>Not disclosed</t>
        </is>
      </c>
      <c r="AN23" s="145" t="n"/>
      <c r="AO23" s="145" t="n"/>
      <c r="AP23" s="145" t="n"/>
      <c r="AQ23" s="145" t="n"/>
      <c r="AR23" s="145" t="inlineStr">
        <is>
          <t>4K stereoscopic obstacle sensing</t>
        </is>
      </c>
      <c r="AS23" s="145" t="inlineStr">
        <is>
          <t>Not disclosed</t>
        </is>
      </c>
      <c r="AT23" s="149" t="n"/>
      <c r="AU23" s="149" t="inlineStr">
        <is>
          <t>Not disclosed</t>
        </is>
      </c>
      <c r="AV23" s="145" t="inlineStr">
        <is>
          <t>FreeFlight 7 / enterprise tools</t>
        </is>
      </c>
      <c r="AW23" s="149" t="n"/>
      <c r="AX23" s="145" t="n"/>
      <c r="AY23" s="149" t="n"/>
      <c r="AZ23" s="149" t="n"/>
      <c r="BA23" s="149" t="n"/>
      <c r="BB23" s="149" t="n"/>
      <c r="BC23" s="149" t="n"/>
      <c r="BD23" s="145" t="n"/>
      <c r="BE23" s="145" t="inlineStr">
        <is>
          <t>Not disclosed</t>
        </is>
      </c>
      <c r="BF23" s="145" t="n"/>
      <c r="BG23" s="145" t="n"/>
      <c r="BH23" s="145" t="inlineStr">
        <is>
          <t>Not disclosed</t>
        </is>
      </c>
      <c r="BI23" s="145" t="n"/>
      <c r="BJ23" s="145" t="n"/>
      <c r="BK23" s="145" t="n"/>
      <c r="BL23" s="145" t="n"/>
      <c r="BM23" s="145" t="n"/>
      <c r="BN23" s="145" t="n"/>
      <c r="BO23" s="149" t="n"/>
      <c r="BP23" s="145" t="inlineStr">
        <is>
          <t>Not disclosed</t>
        </is>
      </c>
      <c r="BQ23" s="149" t="inlineStr">
        <is>
          <t>Enterprise / ISR</t>
        </is>
      </c>
      <c r="BR23" s="149" t="inlineStr">
        <is>
          <t>Not disclosed</t>
        </is>
      </c>
      <c r="BS23" s="149" t="n"/>
      <c r="BT23" s="145" t="n"/>
      <c r="BU23" s="145" t="n"/>
      <c r="BV23" s="149" t="inlineStr">
        <is>
          <t>4G BVLOS options; public safety and defense variants</t>
        </is>
      </c>
      <c r="BW23" s="149" t="inlineStr">
        <is>
          <t>Origin &amp; status — France · 2021 | Flight — Flight time Up to ≈ 32 min class · Range Not disclosed · Payload Not disclosed | Sensing — 32× zoom class; 4K | Buying notes — 4,000–16,000+ · 12 months (reseller-defined; typically 1 year) · Best fit: 4G BVLOS options; public safety and defense variants</t>
        </is>
      </c>
      <c r="BX23" s="149" t="inlineStr">
        <is>
          <t>as_shipped|ANAFI Ai|4000|As shipped</t>
        </is>
      </c>
      <c r="BY23" s="145" t="inlineStr">
        <is>
          <t>anafi_ai|Manufacturer finish|#e2e8f0|0</t>
        </is>
      </c>
      <c r="BZ23" s="145" t="inlineStr"/>
      <c r="CA23" s="149" t="inlineStr">
        <is>
          <t>Add-ons: case; 2 color options; Multi-year extended warranty available</t>
        </is>
      </c>
      <c r="CB23" s="149" t="inlineStr">
        <is>
          <t>12 months (reseller-defined; typically 1 year)</t>
        </is>
      </c>
      <c r="CC23" s="147" t="n">
        <v>12</v>
      </c>
      <c r="CD23" s="149" t="inlineStr">
        <is>
          <t>+3 Year Extended ≈24% of configuration (default in configurator)</t>
        </is>
      </c>
      <c r="CE23" s="145" t="inlineStr">
        <is>
          <t>Parrot FAQ + Crutchfield ANAFI USA listing</t>
        </is>
      </c>
      <c r="CF23" s="145" t="inlineStr">
        <is>
          <t>High</t>
        </is>
      </c>
      <c r="CG23" s="149" t="inlineStr">
        <is>
          <t>Parrot states period is defined by reseller; US retail commonly 1 year parts/labor.</t>
        </is>
      </c>
      <c r="CH23" s="145" t="inlineStr">
        <is>
          <t>10%</t>
        </is>
      </c>
      <c r="CI23" s="145" t="inlineStr">
        <is>
          <t>17%</t>
        </is>
      </c>
      <c r="CJ23" s="145" t="inlineStr">
        <is>
          <t>24%</t>
        </is>
      </c>
      <c r="CK23"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3"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3" s="145" t="inlineStr">
        <is>
          <t>12 months (reseller-defined; typically 1 year)</t>
        </is>
      </c>
    </row>
    <row r="24" ht="31.5" customHeight="1" s="102">
      <c r="A24" s="143" t="inlineStr">
        <is>
          <t>parrot_anafi_ai_ukr_series_anafi_ukr</t>
        </is>
      </c>
      <c r="B24" s="160" t="inlineStr">
        <is>
          <t>Website</t>
        </is>
      </c>
      <c r="C24" s="145" t="inlineStr">
        <is>
          <t>Parrot</t>
        </is>
      </c>
      <c r="D24" s="145" t="inlineStr">
        <is>
          <t>ANAFI UKR</t>
        </is>
      </c>
      <c r="E24" s="145" t="inlineStr">
        <is>
          <t>[Parrot] ANAFI UKR (2021)</t>
        </is>
      </c>
      <c r="F24" s="164" t="inlineStr">
        <is>
          <t>aerial</t>
        </is>
      </c>
      <c r="G24" s="145" t="inlineStr">
        <is>
          <t>France</t>
        </is>
      </c>
      <c r="H24" s="147" t="n">
        <v>2021</v>
      </c>
      <c r="I24" s="148" t="n">
        <v>4000</v>
      </c>
      <c r="J24" s="145" t="inlineStr">
        <is>
          <t>Website store</t>
        </is>
      </c>
      <c r="K24" s="149" t="inlineStr">
        <is>
          <t>[Parrot] ANAFI UKR (2021) is a aerial platform from Parrot (France, 2021), positioned for enterprise.</t>
        </is>
      </c>
      <c r="L24" s="101" t="inlineStr">
        <is>
          <t>[Parrot] ANAFI UKR (2021) is a aerial platform from Parrot (France, 2021), positioned for enterprise.</t>
        </is>
      </c>
      <c r="M24" s="101" t="inlineStr">
        <is>
          <t>ANAFI UKR is Parrot's aerial robot, introduced around 2021 in France. [Parrot] ANAFI UKR (2021) is a aerial platform from Parrot (France, 2021), positioned for enterprise. It is positioned for enterprise / ISR.</t>
        </is>
      </c>
      <c r="N24" s="145" t="n"/>
      <c r="O24" s="145" t="inlineStr">
        <is>
          <t>https://www.parrot.com</t>
        </is>
      </c>
      <c r="P24" s="145" t="n"/>
      <c r="Q24" s="145" t="n"/>
      <c r="R24" s="145" t="inlineStr">
        <is>
          <t>≈ 1.4 lb class</t>
        </is>
      </c>
      <c r="S24" s="145" t="n"/>
      <c r="T24" s="149" t="inlineStr">
        <is>
          <t>Not disclosed</t>
        </is>
      </c>
      <c r="U24" s="145" t="n"/>
      <c r="V24" s="145" t="n"/>
      <c r="W24" s="149" t="n"/>
      <c r="X24" s="145" t="inlineStr">
        <is>
          <t>Not disclosed</t>
        </is>
      </c>
      <c r="Y24" s="145" t="n"/>
      <c r="Z24" s="145" t="inlineStr">
        <is>
          <t>Not disclosed</t>
        </is>
      </c>
      <c r="AA24" s="145" t="n"/>
      <c r="AB24" s="145" t="n"/>
      <c r="AC24" s="149" t="inlineStr">
        <is>
          <t>Not disclosed</t>
        </is>
      </c>
      <c r="AD24" s="149" t="n"/>
      <c r="AE24" s="145" t="inlineStr">
        <is>
          <t>Up to ≈ 32 min class</t>
        </is>
      </c>
      <c r="AF24" s="145" t="inlineStr">
        <is>
          <t>Not disclosed</t>
        </is>
      </c>
      <c r="AG24" s="149" t="n"/>
      <c r="AH24" s="145" t="n"/>
      <c r="AI24" s="145" t="n"/>
      <c r="AJ24" s="149" t="inlineStr">
        <is>
          <t>32× zoom class; 4K</t>
        </is>
      </c>
      <c r="AK24" s="149" t="n"/>
      <c r="AL24" s="145" t="inlineStr">
        <is>
          <t>4K; secure enterprise transmission options</t>
        </is>
      </c>
      <c r="AM24" s="145" t="inlineStr">
        <is>
          <t>Not disclosed</t>
        </is>
      </c>
      <c r="AN24" s="145" t="n"/>
      <c r="AO24" s="145" t="n"/>
      <c r="AP24" s="145" t="n"/>
      <c r="AQ24" s="145" t="n"/>
      <c r="AR24" s="145" t="inlineStr">
        <is>
          <t>4K stereoscopic obstacle sensing</t>
        </is>
      </c>
      <c r="AS24" s="145" t="inlineStr">
        <is>
          <t>Not disclosed</t>
        </is>
      </c>
      <c r="AT24" s="149" t="n"/>
      <c r="AU24" s="149" t="inlineStr">
        <is>
          <t>Not disclosed</t>
        </is>
      </c>
      <c r="AV24" s="145" t="inlineStr">
        <is>
          <t>FreeFlight 7 / enterprise tools</t>
        </is>
      </c>
      <c r="AW24" s="149" t="n"/>
      <c r="AX24" s="145" t="n"/>
      <c r="AY24" s="149" t="n"/>
      <c r="AZ24" s="149" t="n"/>
      <c r="BA24" s="149" t="n"/>
      <c r="BB24" s="149" t="n"/>
      <c r="BC24" s="149" t="n"/>
      <c r="BD24" s="145" t="n"/>
      <c r="BE24" s="145" t="inlineStr">
        <is>
          <t>Not disclosed</t>
        </is>
      </c>
      <c r="BF24" s="145" t="n"/>
      <c r="BG24" s="145" t="n"/>
      <c r="BH24" s="145" t="inlineStr">
        <is>
          <t>Not disclosed</t>
        </is>
      </c>
      <c r="BI24" s="145" t="n"/>
      <c r="BJ24" s="145" t="n"/>
      <c r="BK24" s="145" t="n"/>
      <c r="BL24" s="145" t="n"/>
      <c r="BM24" s="145" t="n"/>
      <c r="BN24" s="145" t="n"/>
      <c r="BO24" s="149" t="n"/>
      <c r="BP24" s="145" t="inlineStr">
        <is>
          <t>Not disclosed</t>
        </is>
      </c>
      <c r="BQ24" s="149" t="inlineStr">
        <is>
          <t>Enterprise / ISR</t>
        </is>
      </c>
      <c r="BR24" s="149" t="inlineStr">
        <is>
          <t>Not disclosed</t>
        </is>
      </c>
      <c r="BS24" s="149" t="n"/>
      <c r="BT24" s="145" t="n"/>
      <c r="BU24" s="145" t="n"/>
      <c r="BV24" s="149" t="inlineStr">
        <is>
          <t>4G BVLOS options; public safety and defense variants</t>
        </is>
      </c>
      <c r="BW24" s="149" t="inlineStr">
        <is>
          <t>Origin &amp; status — France · 2021 | Flight — Flight time Up to ≈ 32 min class · Range Not disclosed · Payload Not disclosed | Sensing — 32× zoom class; 4K | Buying notes — 4,000–16,000+ · 12 months (reseller-defined; typically 1 year) · Best fit: 4G BVLOS options; public safety and defense variants</t>
        </is>
      </c>
      <c r="BX24" s="149" t="inlineStr">
        <is>
          <t>as_shipped|ANAFI UKR|4000|As shipped</t>
        </is>
      </c>
      <c r="BY24" s="145" t="inlineStr">
        <is>
          <t>anafi_ukr|Manufacturer finish|#e2e8f0|0</t>
        </is>
      </c>
      <c r="BZ24" s="145" t="inlineStr"/>
      <c r="CA24" s="149" t="inlineStr">
        <is>
          <t>Add-ons: case; 2 color options; Multi-year extended warranty available</t>
        </is>
      </c>
      <c r="CB24" s="149" t="inlineStr">
        <is>
          <t>12 months (reseller-defined; typically 1 year)</t>
        </is>
      </c>
      <c r="CC24" s="147" t="n">
        <v>12</v>
      </c>
      <c r="CD24" s="149" t="inlineStr">
        <is>
          <t>+3 Year Extended ≈24% of configuration (default in configurator)</t>
        </is>
      </c>
      <c r="CE24" s="145" t="inlineStr">
        <is>
          <t>Parrot FAQ + Crutchfield ANAFI USA listing</t>
        </is>
      </c>
      <c r="CF24" s="145" t="inlineStr">
        <is>
          <t>High</t>
        </is>
      </c>
      <c r="CG24" s="149" t="inlineStr">
        <is>
          <t>Parrot states period is defined by reseller; US retail commonly 1 year parts/labor.</t>
        </is>
      </c>
      <c r="CH24" s="145" t="inlineStr">
        <is>
          <t>10%</t>
        </is>
      </c>
      <c r="CI24" s="145" t="inlineStr">
        <is>
          <t>17%</t>
        </is>
      </c>
      <c r="CJ24" s="145" t="inlineStr">
        <is>
          <t>24%</t>
        </is>
      </c>
      <c r="CK24"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4"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4" s="145" t="inlineStr">
        <is>
          <t>12 months (reseller-defined; typically 1 year)</t>
        </is>
      </c>
    </row>
    <row r="25" ht="31.5" customHeight="1" s="102">
      <c r="A25" s="143" t="inlineStr">
        <is>
          <t>quantum_systems_vector</t>
        </is>
      </c>
      <c r="B25" s="160" t="inlineStr">
        <is>
          <t>Website</t>
        </is>
      </c>
      <c r="C25" s="145" t="inlineStr">
        <is>
          <t>Quantum Systems</t>
        </is>
      </c>
      <c r="D25" s="145" t="inlineStr">
        <is>
          <t>Vector</t>
        </is>
      </c>
      <c r="E25" s="145" t="inlineStr">
        <is>
          <t>[Quantum Systems] Vector (2019)</t>
        </is>
      </c>
      <c r="F25" s="164" t="inlineStr">
        <is>
          <t>aerial</t>
        </is>
      </c>
      <c r="G25" s="145" t="inlineStr">
        <is>
          <t>Germany</t>
        </is>
      </c>
      <c r="H25" s="147" t="n">
        <v>2019</v>
      </c>
      <c r="I25" s="148" t="n">
        <v>120000</v>
      </c>
      <c r="J25" s="145" t="inlineStr">
        <is>
          <t>Military VTOL UAS class estimate</t>
        </is>
      </c>
      <c r="K25" s="149" t="inlineStr">
        <is>
          <t>Vector is Quantum Systems's aerial robot — camera-centric. Modular ISR / mapping payloads; aimed at vTOL Dual-Use.</t>
        </is>
      </c>
      <c r="L25" s="101" t="inlineStr">
        <is>
          <t>Vector is Quantum Systems's aerial robot — camera-centric. Modular ISR / mapping payloads; aimed at vTOL Dual-Use.</t>
        </is>
      </c>
      <c r="M25" s="101" t="inlineStr">
        <is>
          <t>Vector is Quantum Systems's aerial robot — camera-centric. Modular ISR / mapping payloads; aimed at vTOL Dual-Use.</t>
        </is>
      </c>
      <c r="N25" s="145" t="n"/>
      <c r="O25" s="145" t="inlineStr">
        <is>
          <t>https://quantum-systems.com</t>
        </is>
      </c>
      <c r="P25" s="145" t="n"/>
      <c r="Q25" s="145" t="n"/>
      <c r="R25" s="145" t="inlineStr">
        <is>
          <t>Not disclosed</t>
        </is>
      </c>
      <c r="S25" s="145" t="n"/>
      <c r="T25" s="149" t="inlineStr">
        <is>
          <t>Not disclosed</t>
        </is>
      </c>
      <c r="U25" s="145" t="n"/>
      <c r="V25" s="145" t="n"/>
      <c r="W25" s="149" t="n"/>
      <c r="X25" s="145" t="inlineStr">
        <is>
          <t>Not disclosed</t>
        </is>
      </c>
      <c r="Y25" s="145" t="n"/>
      <c r="Z25" s="145" t="inlineStr">
        <is>
          <t>Not disclosed</t>
        </is>
      </c>
      <c r="AA25" s="145" t="n"/>
      <c r="AB25" s="145" t="n"/>
      <c r="AC25" s="149" t="inlineStr">
        <is>
          <t>Not disclosed</t>
        </is>
      </c>
      <c r="AD25" s="149" t="n"/>
      <c r="AE25" s="145" t="inlineStr">
        <is>
          <t>Not disclosed</t>
        </is>
      </c>
      <c r="AF25" s="145" t="inlineStr">
        <is>
          <t>Not disclosed</t>
        </is>
      </c>
      <c r="AG25" s="149" t="n"/>
      <c r="AH25" s="145" t="n"/>
      <c r="AI25" s="145" t="n"/>
      <c r="AJ25" s="149" t="inlineStr">
        <is>
          <t>Modular ISR / mapping payloads</t>
        </is>
      </c>
      <c r="AK25" s="149" t="n"/>
      <c r="AL25" s="145" t="inlineStr">
        <is>
          <t>Payload-dependent ISR video</t>
        </is>
      </c>
      <c r="AM25" s="145" t="inlineStr">
        <is>
          <t>Not disclosed</t>
        </is>
      </c>
      <c r="AN25" s="145" t="n"/>
      <c r="AO25" s="145" t="n"/>
      <c r="AP25" s="145" t="n"/>
      <c r="AQ25" s="145" t="n"/>
      <c r="AR25" s="145" t="inlineStr">
        <is>
          <t>Not disclosed</t>
        </is>
      </c>
      <c r="AS25" s="145" t="inlineStr">
        <is>
          <t>Not disclosed</t>
        </is>
      </c>
      <c r="AT25" s="149" t="n"/>
      <c r="AU25" s="149" t="inlineStr">
        <is>
          <t>Not disclosed</t>
        </is>
      </c>
      <c r="AV25" s="145" t="inlineStr">
        <is>
          <t>Quantum-Skies / military-oriented GCS options</t>
        </is>
      </c>
      <c r="AW25" s="149" t="n"/>
      <c r="AX25" s="145" t="n"/>
      <c r="AY25" s="149" t="n"/>
      <c r="AZ25" s="149" t="n"/>
      <c r="BA25" s="149" t="n"/>
      <c r="BB25" s="149" t="n"/>
      <c r="BC25" s="149" t="n"/>
      <c r="BD25" s="145" t="n"/>
      <c r="BE25" s="145" t="inlineStr">
        <is>
          <t>Not disclosed</t>
        </is>
      </c>
      <c r="BF25" s="145" t="n"/>
      <c r="BG25" s="145" t="n"/>
      <c r="BH25" s="145" t="inlineStr">
        <is>
          <t>Not disclosed</t>
        </is>
      </c>
      <c r="BI25" s="145" t="n"/>
      <c r="BJ25" s="145" t="n"/>
      <c r="BK25" s="145" t="n"/>
      <c r="BL25" s="145" t="n"/>
      <c r="BM25" s="145" t="n"/>
      <c r="BN25" s="145" t="n"/>
      <c r="BO25" s="149" t="n"/>
      <c r="BP25" s="145" t="inlineStr">
        <is>
          <t>Not disclosed</t>
        </is>
      </c>
      <c r="BQ25" s="149" t="inlineStr">
        <is>
          <t>VTOL Dual-Use</t>
        </is>
      </c>
      <c r="BR25" s="149" t="inlineStr">
        <is>
          <t>Not disclosed</t>
        </is>
      </c>
      <c r="BS25" s="149" t="n"/>
      <c r="BT25" s="145" t="n"/>
      <c r="BU25" s="145" t="n"/>
      <c r="BV25" s="149" t="inlineStr">
        <is>
          <t>Fixed-wing VTOL; AI focus; European commercial + defense</t>
        </is>
      </c>
      <c r="BW25" s="149" t="inlineStr">
        <is>
          <t>Origin &amp; status — Germany · 2019 | Flight — Flight time Not disclosed · Range Not disclosed · Payload Not disclosed | Sensing — Modular ISR / mapping payloads | Buying notes — 15,000+ · 12 months limited / contract-dependent · Best fit: Fixed-wing VTOL; AI focus; European commercial + defense</t>
        </is>
      </c>
      <c r="BX25" s="149" t="inlineStr">
        <is>
          <t>as_shipped|Vector|120000|As shipped</t>
        </is>
      </c>
      <c r="BY25" s="145" t="inlineStr">
        <is>
          <t>vector|Manufacturer finish|#e2e8f0|0</t>
        </is>
      </c>
      <c r="BZ25" s="145" t="inlineStr"/>
      <c r="CA25" s="149" t="inlineStr">
        <is>
          <t>Add-ons: case; 2 color options; Multi-year extended warranty available</t>
        </is>
      </c>
      <c r="CB25" s="149" t="inlineStr">
        <is>
          <t>12 months limited / contract-dependent</t>
        </is>
      </c>
      <c r="CC25" s="147" t="n">
        <v>12</v>
      </c>
      <c r="CD25" s="149" t="inlineStr">
        <is>
          <t>+3 Year Extended ≈24% of configuration (default in configurator)</t>
        </is>
      </c>
      <c r="CE25" s="145" t="inlineStr">
        <is>
          <t>Enterprise &amp; OEM UAV norms</t>
        </is>
      </c>
      <c r="CF25" s="145" t="inlineStr">
        <is>
          <t>Estimated</t>
        </is>
      </c>
      <c r="CG25" s="149" t="inlineStr">
        <is>
          <t>Military/industrial UAVs often under program SLA rather than retail warranty.</t>
        </is>
      </c>
      <c r="CH25" s="145" t="inlineStr">
        <is>
          <t>10%</t>
        </is>
      </c>
      <c r="CI25" s="145" t="inlineStr">
        <is>
          <t>17%</t>
        </is>
      </c>
      <c r="CJ25" s="145" t="inlineStr">
        <is>
          <t>24%</t>
        </is>
      </c>
      <c r="CK2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5" s="145" t="inlineStr">
        <is>
          <t>12 months limited / contract-dependent</t>
        </is>
      </c>
    </row>
    <row r="26" ht="31.5" customHeight="1" s="102">
      <c r="A26" s="159" t="inlineStr">
        <is>
          <t>sensefly_ageagle_ebee_x</t>
        </is>
      </c>
      <c r="B26" s="160" t="inlineStr">
        <is>
          <t>Website</t>
        </is>
      </c>
      <c r="C26" s="152" t="inlineStr">
        <is>
          <t>senseFly</t>
        </is>
      </c>
      <c r="D26" s="152" t="inlineStr">
        <is>
          <t>eBee X</t>
        </is>
      </c>
      <c r="E26" s="152" t="inlineStr">
        <is>
          <t>[senseFly] eBee X (2018)</t>
        </is>
      </c>
      <c r="F26" s="164" t="inlineStr">
        <is>
          <t>aerial</t>
        </is>
      </c>
      <c r="G26" s="152" t="inlineStr">
        <is>
          <t>USA</t>
        </is>
      </c>
      <c r="H26" s="154" t="n">
        <v>2018</v>
      </c>
      <c r="I26" s="155" t="n">
        <v>18000</v>
      </c>
      <c r="J26" s="152" t="inlineStr">
        <is>
          <t>eBee X mapping kit class estimate</t>
        </is>
      </c>
      <c r="K26" s="156" t="inlineStr">
        <is>
          <t>EBee X is senseFly's aerial robot — camera-centric. Swappable RGB, multispectral, thermal mapping cameras; aimed at fixed-Wing Survey.</t>
        </is>
      </c>
      <c r="L26" s="101" t="inlineStr">
        <is>
          <t>EBee X is senseFly's aerial robot — camera-centric. Swappable RGB, multispectral, thermal mapping cameras; aimed at fixed-Wing Survey.</t>
        </is>
      </c>
      <c r="M26" s="101" t="inlineStr">
        <is>
          <t>EBee X is senseFly's aerial robot — camera-centric. Swappable RGB, multispectral, thermal mapping cameras; aimed at fixed-Wing Survey.</t>
        </is>
      </c>
      <c r="N26" s="152" t="n"/>
      <c r="O26" s="152" t="inlineStr">
        <is>
          <t>https://www.sensefly.com</t>
        </is>
      </c>
      <c r="P26" s="152" t="n"/>
      <c r="Q26" s="152" t="n"/>
      <c r="R26" s="152" t="inlineStr">
        <is>
          <t>≈ 2.4–3.5 lb class depending on camera</t>
        </is>
      </c>
      <c r="S26" s="152" t="n"/>
      <c r="T26" s="156" t="inlineStr">
        <is>
          <t>Not disclosed</t>
        </is>
      </c>
      <c r="U26" s="152" t="n"/>
      <c r="V26" s="152" t="n"/>
      <c r="W26" s="156" t="n"/>
      <c r="X26" s="152" t="inlineStr">
        <is>
          <t>Not disclosed</t>
        </is>
      </c>
      <c r="Y26" s="152" t="n"/>
      <c r="Z26" s="152" t="inlineStr">
        <is>
          <t>Not disclosed</t>
        </is>
      </c>
      <c r="AA26" s="152" t="n"/>
      <c r="AB26" s="152" t="n"/>
      <c r="AC26" s="156" t="inlineStr">
        <is>
          <t>Not disclosed</t>
        </is>
      </c>
      <c r="AD26" s="156" t="n"/>
      <c r="AE26" s="152" t="inlineStr">
        <is>
          <t>Not disclosed</t>
        </is>
      </c>
      <c r="AF26" s="152" t="inlineStr">
        <is>
          <t>Not disclosed</t>
        </is>
      </c>
      <c r="AG26" s="156" t="n"/>
      <c r="AH26" s="152" t="n"/>
      <c r="AI26" s="152" t="n"/>
      <c r="AJ26" s="156" t="inlineStr">
        <is>
          <t>Swappable RGB, multispectral, thermal mapping cameras</t>
        </is>
      </c>
      <c r="AK26" s="156" t="n"/>
      <c r="AL26" s="152" t="inlineStr">
        <is>
          <t>Survey stills primary</t>
        </is>
      </c>
      <c r="AM26" s="152" t="inlineStr">
        <is>
          <t>Not disclosed</t>
        </is>
      </c>
      <c r="AN26" s="152" t="n"/>
      <c r="AO26" s="152" t="n"/>
      <c r="AP26" s="152" t="n"/>
      <c r="AQ26" s="152" t="n"/>
      <c r="AR26" s="152" t="inlineStr">
        <is>
          <t>Not disclosed</t>
        </is>
      </c>
      <c r="AS26" s="152" t="inlineStr">
        <is>
          <t>Not disclosed</t>
        </is>
      </c>
      <c r="AT26" s="156" t="n"/>
      <c r="AU26" s="156" t="inlineStr">
        <is>
          <t>Not disclosed</t>
        </is>
      </c>
      <c r="AV26" s="152" t="inlineStr">
        <is>
          <t>eMotion flight planning</t>
        </is>
      </c>
      <c r="AW26" s="156" t="n"/>
      <c r="AX26" s="152" t="n"/>
      <c r="AY26" s="156" t="n"/>
      <c r="AZ26" s="156" t="n"/>
      <c r="BA26" s="156" t="n"/>
      <c r="BB26" s="156" t="n"/>
      <c r="BC26" s="156" t="n"/>
      <c r="BD26" s="152" t="n"/>
      <c r="BE26" s="152" t="inlineStr">
        <is>
          <t>Not disclosed</t>
        </is>
      </c>
      <c r="BF26" s="152" t="n"/>
      <c r="BG26" s="152" t="n"/>
      <c r="BH26" s="152" t="inlineStr">
        <is>
          <t>Not disclosed</t>
        </is>
      </c>
      <c r="BI26" s="152" t="n"/>
      <c r="BJ26" s="152" t="n"/>
      <c r="BK26" s="152" t="n"/>
      <c r="BL26" s="152" t="n"/>
      <c r="BM26" s="152" t="n"/>
      <c r="BN26" s="152" t="n"/>
      <c r="BO26" s="156" t="n"/>
      <c r="BP26" s="152" t="inlineStr">
        <is>
          <t>Not disclosed</t>
        </is>
      </c>
      <c r="BQ26" s="156" t="inlineStr">
        <is>
          <t>Fixed-Wing Survey</t>
        </is>
      </c>
      <c r="BR26" s="156" t="inlineStr">
        <is>
          <t>Not disclosed</t>
        </is>
      </c>
      <c r="BS26" s="156" t="n"/>
      <c r="BT26" s="152" t="n"/>
      <c r="BU26" s="152" t="n"/>
      <c r="BV26" s="156" t="inlineStr">
        <is>
          <t>Efficient fixed-wing mapping platform; high coverage</t>
        </is>
      </c>
      <c r="BW26" s="156" t="inlineStr">
        <is>
          <t>Origin &amp; status — USA · 2018 | Flight — Flight time Not disclosed · Range Not disclosed · Payload Not disclosed | Sensing — Swappable RGB, multispectral, thermal mapping cameras | Buying notes — ~10,000+ · 12 months limited / contract-dependent · Best fit: Efficient fixed-wing mapping platform; high coverage</t>
        </is>
      </c>
      <c r="BX26" s="156" t="inlineStr">
        <is>
          <t>as_shipped|eBee X|18000|As shipped</t>
        </is>
      </c>
      <c r="BY26" s="152" t="inlineStr">
        <is>
          <t>ebee_x|Manufacturer finish|#e2e8f0|0</t>
        </is>
      </c>
      <c r="BZ26" s="152" t="inlineStr"/>
      <c r="CA26" s="156" t="inlineStr">
        <is>
          <t>Add-ons: case; 2 color options; Multi-year extended warranty available</t>
        </is>
      </c>
      <c r="CB26" s="156" t="inlineStr">
        <is>
          <t>12 months limited / contract-dependent</t>
        </is>
      </c>
      <c r="CC26" s="154" t="n">
        <v>12</v>
      </c>
      <c r="CD26" s="156" t="inlineStr">
        <is>
          <t>+3 Year Extended ≈24% of configuration (default in configurator)</t>
        </is>
      </c>
      <c r="CE26" s="152" t="inlineStr">
        <is>
          <t>Enterprise &amp; OEM UAV norms</t>
        </is>
      </c>
      <c r="CF26" s="152" t="inlineStr">
        <is>
          <t>Estimated</t>
        </is>
      </c>
      <c r="CG26" s="156" t="inlineStr">
        <is>
          <t>Military/industrial UAVs often under program SLA rather than retail warranty.</t>
        </is>
      </c>
      <c r="CH26" s="152" t="inlineStr">
        <is>
          <t>10%</t>
        </is>
      </c>
      <c r="CI26" s="152" t="inlineStr">
        <is>
          <t>17%</t>
        </is>
      </c>
      <c r="CJ26" s="152" t="inlineStr">
        <is>
          <t>24%</t>
        </is>
      </c>
      <c r="CK26"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6"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6" s="152" t="inlineStr">
        <is>
          <t>12 months limited / contract-dependent</t>
        </is>
      </c>
    </row>
    <row r="27" ht="31.5" customHeight="1" s="102">
      <c r="A27" s="143" t="inlineStr">
        <is>
          <t>skydio_skydio_2_2</t>
        </is>
      </c>
      <c r="B27" s="160" t="inlineStr">
        <is>
          <t>Website</t>
        </is>
      </c>
      <c r="C27" s="145" t="inlineStr">
        <is>
          <t>Skydio</t>
        </is>
      </c>
      <c r="D27" s="145" t="inlineStr">
        <is>
          <t>Skydio 2</t>
        </is>
      </c>
      <c r="E27" s="145" t="inlineStr">
        <is>
          <t>[Skydio] Skydio 2 (2019)</t>
        </is>
      </c>
      <c r="F27" s="164" t="inlineStr">
        <is>
          <t>aerial</t>
        </is>
      </c>
      <c r="G27" s="145" t="inlineStr">
        <is>
          <t>USA</t>
        </is>
      </c>
      <c r="H27" s="147" t="n">
        <v>2019</v>
      </c>
      <c r="I27" s="148" t="n">
        <v>999</v>
      </c>
      <c r="J27" s="145" t="inlineStr">
        <is>
          <t>Website store</t>
        </is>
      </c>
      <c r="K27" s="149" t="inlineStr">
        <is>
          <t>[Skydio] Skydio 2 (2019) is a aerial platform from Skydio (USA, 2019), positioned for consumer autonomous.</t>
        </is>
      </c>
      <c r="L27" s="101" t="inlineStr">
        <is>
          <t>[Skydio] Skydio 2 (2019) is a aerial platform from Skydio (USA, 2019), positioned for consumer autonomous.</t>
        </is>
      </c>
      <c r="M27" s="101" t="inlineStr">
        <is>
          <t>Skydio 2 is Skydio's aerial robot, introduced around 2019 in USA. [Skydio] Skydio 2 (2019) is a aerial platform from Skydio (USA, 2019), positioned for consumer autonomous.</t>
        </is>
      </c>
      <c r="N27" s="145" t="n"/>
      <c r="O27" s="145" t="inlineStr">
        <is>
          <t>https://www.skydio.com</t>
        </is>
      </c>
      <c r="P27" s="145" t="n"/>
      <c r="Q27" s="145" t="n"/>
      <c r="R27" s="145" t="inlineStr">
        <is>
          <t>≈ 1.7 lb class</t>
        </is>
      </c>
      <c r="S27" s="145" t="n"/>
      <c r="T27" s="149" t="inlineStr">
        <is>
          <t>Not disclosed</t>
        </is>
      </c>
      <c r="U27" s="145" t="n"/>
      <c r="V27" s="145" t="n"/>
      <c r="W27" s="149" t="n"/>
      <c r="X27" s="145" t="inlineStr">
        <is>
          <t>Not disclosed</t>
        </is>
      </c>
      <c r="Y27" s="145" t="n"/>
      <c r="Z27" s="145" t="inlineStr">
        <is>
          <t>Not disclosed</t>
        </is>
      </c>
      <c r="AA27" s="145" t="n"/>
      <c r="AB27" s="145" t="n"/>
      <c r="AC27" s="149" t="inlineStr">
        <is>
          <t>Not disclosed</t>
        </is>
      </c>
      <c r="AD27" s="149" t="n"/>
      <c r="AE27" s="145" t="inlineStr">
        <is>
          <t>Up to ≈ 27 min class</t>
        </is>
      </c>
      <c r="AF27" s="145" t="inlineStr">
        <is>
          <t>Not disclosed</t>
        </is>
      </c>
      <c r="AG27" s="149" t="n"/>
      <c r="AH27" s="145" t="n"/>
      <c r="AI27" s="145" t="n"/>
      <c r="AJ27" s="149" t="inlineStr">
        <is>
          <t>Primary camera + obstacle cameras</t>
        </is>
      </c>
      <c r="AK27" s="149" t="n"/>
      <c r="AL27" s="145" t="inlineStr">
        <is>
          <t>4K-class recording on supported firmware</t>
        </is>
      </c>
      <c r="AM27" s="145" t="inlineStr">
        <is>
          <t>Not disclosed</t>
        </is>
      </c>
      <c r="AN27" s="145" t="n"/>
      <c r="AO27" s="145" t="n"/>
      <c r="AP27" s="145" t="n"/>
      <c r="AQ27" s="145" t="n"/>
      <c r="AR27" s="145" t="inlineStr">
        <is>
          <t>360° obstacle avoidance class</t>
        </is>
      </c>
      <c r="AS27" s="145" t="inlineStr">
        <is>
          <t>Not disclosed</t>
        </is>
      </c>
      <c r="AT27" s="149" t="n"/>
      <c r="AU27" s="149" t="inlineStr">
        <is>
          <t>Not disclosed</t>
        </is>
      </c>
      <c r="AV27" s="145" t="inlineStr">
        <is>
          <t>Skydio app and Beacon</t>
        </is>
      </c>
      <c r="AW27" s="149" t="n"/>
      <c r="AX27" s="145" t="n"/>
      <c r="AY27" s="149" t="n"/>
      <c r="AZ27" s="149" t="n"/>
      <c r="BA27" s="149" t="n"/>
      <c r="BB27" s="149" t="n"/>
      <c r="BC27" s="149" t="n"/>
      <c r="BD27" s="145" t="n"/>
      <c r="BE27" s="145" t="inlineStr">
        <is>
          <t>Not disclosed</t>
        </is>
      </c>
      <c r="BF27" s="145" t="n"/>
      <c r="BG27" s="145" t="n"/>
      <c r="BH27" s="145" t="inlineStr">
        <is>
          <t>Not disclosed</t>
        </is>
      </c>
      <c r="BI27" s="145" t="n"/>
      <c r="BJ27" s="145" t="n"/>
      <c r="BK27" s="145" t="n"/>
      <c r="BL27" s="145" t="n"/>
      <c r="BM27" s="145" t="n"/>
      <c r="BN27" s="145" t="n"/>
      <c r="BO27" s="149" t="n"/>
      <c r="BP27" s="145" t="inlineStr">
        <is>
          <t>Not disclosed</t>
        </is>
      </c>
      <c r="BQ27" s="149" t="inlineStr">
        <is>
          <t>Consumer Autonomous</t>
        </is>
      </c>
      <c r="BR27" s="149" t="inlineStr">
        <is>
          <t>Not disclosed</t>
        </is>
      </c>
      <c r="BS27" s="149" t="n"/>
      <c r="BT27" s="145" t="n"/>
      <c r="BU27" s="145" t="n"/>
      <c r="BV27" s="149" t="inlineStr">
        <is>
          <t>Compact form factor; six navigation cameras; excellent obstacle avoidance</t>
        </is>
      </c>
      <c r="BW27" s="149" t="inlineStr">
        <is>
          <t>Origin &amp; status — USA · 2019 | Flight — Flight time Up to ≈ 27 min class · Range Not disclosed · Payload Not disclosed | Sensing — Primary camera + obstacle cameras | Buying notes — $999 · 12 months limited warranty from delivery · Best fit: Compact form factor; six navigation cameras; excellent obstacle avoidance</t>
        </is>
      </c>
      <c r="BX27" s="149" t="inlineStr">
        <is>
          <t>as_shipped|Skydio 2|999|As shipped</t>
        </is>
      </c>
      <c r="BY27" s="145" t="inlineStr">
        <is>
          <t>skydio_2|Manufacturer finish|#e2e8f0|0</t>
        </is>
      </c>
      <c r="BZ27" s="145" t="inlineStr"/>
      <c r="CA27" s="149" t="inlineStr">
        <is>
          <t>Add-ons: case; 2 color options; Multi-year extended warranty available</t>
        </is>
      </c>
      <c r="CB27" s="149" t="inlineStr">
        <is>
          <t>12 months limited warranty from delivery</t>
        </is>
      </c>
      <c r="CC27" s="147" t="n">
        <v>12</v>
      </c>
      <c r="CD27" s="149" t="inlineStr">
        <is>
          <t>+3 Year Extended ≈24% of configuration (default in configurator)</t>
        </is>
      </c>
      <c r="CE27" s="145" t="inlineStr">
        <is>
          <t>Skydio Limited Warranty / Enterprise Warranty Terms</t>
        </is>
      </c>
      <c r="CF27" s="145" t="inlineStr">
        <is>
          <t>Documented</t>
        </is>
      </c>
      <c r="CG27" s="149" t="inlineStr">
        <is>
          <t>Batteries: earlier of 1 year or 200 cycles. Propellers: no warranty. Skydio Care is optional add-on.</t>
        </is>
      </c>
      <c r="CH27" s="145" t="inlineStr">
        <is>
          <t>10%</t>
        </is>
      </c>
      <c r="CI27" s="145" t="inlineStr">
        <is>
          <t>17%</t>
        </is>
      </c>
      <c r="CJ27" s="145" t="inlineStr">
        <is>
          <t>24%</t>
        </is>
      </c>
      <c r="CK27"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7"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7" s="145" t="inlineStr">
        <is>
          <t>12 months limited warranty from delivery</t>
        </is>
      </c>
    </row>
    <row r="28" ht="31.5" customHeight="1" s="102">
      <c r="A28" s="159" t="inlineStr">
        <is>
          <t>skydio_r1</t>
        </is>
      </c>
      <c r="B28" s="160" t="inlineStr">
        <is>
          <t>Website</t>
        </is>
      </c>
      <c r="C28" s="152" t="inlineStr">
        <is>
          <t>Skydio</t>
        </is>
      </c>
      <c r="D28" s="152" t="inlineStr">
        <is>
          <t>R1</t>
        </is>
      </c>
      <c r="E28" s="152" t="inlineStr">
        <is>
          <t>[Skydio] R1 (2018)</t>
        </is>
      </c>
      <c r="F28" s="164" t="inlineStr">
        <is>
          <t>aerial</t>
        </is>
      </c>
      <c r="G28" s="152" t="inlineStr">
        <is>
          <t>USA</t>
        </is>
      </c>
      <c r="H28" s="154" t="n">
        <v>2018</v>
      </c>
      <c r="I28" s="155" t="n">
        <v>1999</v>
      </c>
      <c r="J28" s="152" t="inlineStr">
        <is>
          <t>Website store</t>
        </is>
      </c>
      <c r="K28" s="156" t="inlineStr">
        <is>
          <t>R1 is Skydio's aerial robot — camera-centric. Primary + navigation cameras; aimed at consumer Autonomous.</t>
        </is>
      </c>
      <c r="L28" s="101" t="inlineStr">
        <is>
          <t>R1 is Skydio's aerial robot — camera-centric. Primary + navigation cameras; aimed at consumer Autonomous.</t>
        </is>
      </c>
      <c r="M28" s="101" t="inlineStr">
        <is>
          <t>R1 is Skydio's aerial robot — camera-centric. Primary + navigation cameras; aimed at consumer Autonomous.</t>
        </is>
      </c>
      <c r="N28" s="152" t="n"/>
      <c r="O28" s="152" t="inlineStr">
        <is>
          <t>https://www.skydio.com</t>
        </is>
      </c>
      <c r="P28" s="152" t="n"/>
      <c r="Q28" s="152" t="n"/>
      <c r="R28" s="152" t="inlineStr">
        <is>
          <t>≈ 2.2 lb class</t>
        </is>
      </c>
      <c r="S28" s="152" t="n"/>
      <c r="T28" s="156" t="inlineStr">
        <is>
          <t>Not disclosed</t>
        </is>
      </c>
      <c r="U28" s="152" t="n"/>
      <c r="V28" s="152" t="n"/>
      <c r="W28" s="156" t="n"/>
      <c r="X28" s="152" t="inlineStr">
        <is>
          <t>Not disclosed</t>
        </is>
      </c>
      <c r="Y28" s="152" t="n"/>
      <c r="Z28" s="152" t="inlineStr">
        <is>
          <t>Not disclosed</t>
        </is>
      </c>
      <c r="AA28" s="152" t="n"/>
      <c r="AB28" s="152" t="n"/>
      <c r="AC28" s="156" t="inlineStr">
        <is>
          <t>Not disclosed</t>
        </is>
      </c>
      <c r="AD28" s="156" t="n"/>
      <c r="AE28" s="152" t="inlineStr">
        <is>
          <t>Not disclosed</t>
        </is>
      </c>
      <c r="AF28" s="152" t="inlineStr">
        <is>
          <t>Not disclosed</t>
        </is>
      </c>
      <c r="AG28" s="156" t="n"/>
      <c r="AH28" s="152" t="n"/>
      <c r="AI28" s="152" t="n"/>
      <c r="AJ28" s="156" t="inlineStr">
        <is>
          <t>Primary + navigation cameras</t>
        </is>
      </c>
      <c r="AK28" s="156" t="n"/>
      <c r="AL28" s="152" t="inlineStr">
        <is>
          <t>Early autonomous cinematic capture</t>
        </is>
      </c>
      <c r="AM28" s="152" t="inlineStr">
        <is>
          <t>Not disclosed</t>
        </is>
      </c>
      <c r="AN28" s="152" t="n"/>
      <c r="AO28" s="152" t="n"/>
      <c r="AP28" s="152" t="n"/>
      <c r="AQ28" s="152" t="n"/>
      <c r="AR28" s="152" t="inlineStr">
        <is>
          <t>Autonomous obstacle avoidance (first-gen Skydio)</t>
        </is>
      </c>
      <c r="AS28" s="152" t="inlineStr">
        <is>
          <t>Not disclosed</t>
        </is>
      </c>
      <c r="AT28" s="156" t="n"/>
      <c r="AU28" s="156" t="inlineStr">
        <is>
          <t>Not disclosed</t>
        </is>
      </c>
      <c r="AV28" s="152" t="inlineStr">
        <is>
          <t>Not disclosed</t>
        </is>
      </c>
      <c r="AW28" s="156" t="n"/>
      <c r="AX28" s="152" t="n"/>
      <c r="AY28" s="156" t="n"/>
      <c r="AZ28" s="156" t="n"/>
      <c r="BA28" s="156" t="n"/>
      <c r="BB28" s="156" t="n"/>
      <c r="BC28" s="156" t="n"/>
      <c r="BD28" s="152" t="n"/>
      <c r="BE28" s="152" t="inlineStr">
        <is>
          <t>Not disclosed</t>
        </is>
      </c>
      <c r="BF28" s="152" t="n"/>
      <c r="BG28" s="152" t="n"/>
      <c r="BH28" s="152" t="inlineStr">
        <is>
          <t>Not disclosed</t>
        </is>
      </c>
      <c r="BI28" s="152" t="n"/>
      <c r="BJ28" s="152" t="n"/>
      <c r="BK28" s="152" t="n"/>
      <c r="BL28" s="152" t="n"/>
      <c r="BM28" s="152" t="n"/>
      <c r="BN28" s="152" t="n"/>
      <c r="BO28" s="156" t="n"/>
      <c r="BP28" s="152" t="inlineStr">
        <is>
          <t>Not disclosed</t>
        </is>
      </c>
      <c r="BQ28" s="156" t="inlineStr">
        <is>
          <t>Consumer Autonomous</t>
        </is>
      </c>
      <c r="BR28" s="156" t="inlineStr">
        <is>
          <t>Not disclosed</t>
        </is>
      </c>
      <c r="BS28" s="156" t="n"/>
      <c r="BT28" s="152" t="n"/>
      <c r="BU28" s="152" t="n"/>
      <c r="BV28" s="156" t="inlineStr">
        <is>
          <t>AI subject tracking + 360° obstacle avoidance (Nvidia-powered)</t>
        </is>
      </c>
      <c r="BW28" s="156" t="inlineStr">
        <is>
          <t>Origin &amp; status — USA · 2018 | Flight — Flight time Not disclosed · Range Not disclosed · Payload Not disclosed | Sensing — Primary + navigation cameras | Buying notes — 1,999–2,499 · 12 months limited warranty from delivery · Best fit: AI subject tracking + 360° obstacle avoidance (Nvidia-powered)</t>
        </is>
      </c>
      <c r="BX28" s="156" t="inlineStr">
        <is>
          <t>as_shipped|R1|1999|As shipped</t>
        </is>
      </c>
      <c r="BY28" s="152" t="inlineStr">
        <is>
          <t>r1|Manufacturer finish|#e2e8f0|0</t>
        </is>
      </c>
      <c r="BZ28" s="152" t="inlineStr"/>
      <c r="CA28" s="156" t="inlineStr">
        <is>
          <t>Add-ons: case; 2 color options; Multi-year extended warranty available</t>
        </is>
      </c>
      <c r="CB28" s="156" t="inlineStr">
        <is>
          <t>12 months limited warranty from delivery</t>
        </is>
      </c>
      <c r="CC28" s="154" t="n">
        <v>12</v>
      </c>
      <c r="CD28" s="156" t="inlineStr">
        <is>
          <t>+3 Year Extended ≈24% of configuration (default in configurator)</t>
        </is>
      </c>
      <c r="CE28" s="152" t="inlineStr">
        <is>
          <t>Skydio Limited Warranty / Enterprise Warranty Terms</t>
        </is>
      </c>
      <c r="CF28" s="152" t="inlineStr">
        <is>
          <t>Documented</t>
        </is>
      </c>
      <c r="CG28" s="156" t="inlineStr">
        <is>
          <t>Batteries: earlier of 1 year or 200 cycles. Propellers: no warranty. Skydio Care is optional add-on.</t>
        </is>
      </c>
      <c r="CH28" s="152" t="inlineStr">
        <is>
          <t>10%</t>
        </is>
      </c>
      <c r="CI28" s="152" t="inlineStr">
        <is>
          <t>17%</t>
        </is>
      </c>
      <c r="CJ28" s="152" t="inlineStr">
        <is>
          <t>24%</t>
        </is>
      </c>
      <c r="CK28"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8"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8" s="152" t="inlineStr">
        <is>
          <t>12 months limited warranty from delivery</t>
        </is>
      </c>
    </row>
    <row r="29" ht="31.5" customHeight="1" s="102">
      <c r="A29" s="143" t="inlineStr">
        <is>
          <t>skydio_x10</t>
        </is>
      </c>
      <c r="B29" s="160" t="inlineStr">
        <is>
          <t>Website</t>
        </is>
      </c>
      <c r="C29" s="145" t="inlineStr">
        <is>
          <t>Skydio</t>
        </is>
      </c>
      <c r="D29" s="145" t="inlineStr">
        <is>
          <t>X10</t>
        </is>
      </c>
      <c r="E29" s="145" t="inlineStr">
        <is>
          <t>[Skydio] X10 (2023)</t>
        </is>
      </c>
      <c r="F29" s="164" t="inlineStr">
        <is>
          <t>aerial</t>
        </is>
      </c>
      <c r="G29" s="145" t="inlineStr">
        <is>
          <t>USA</t>
        </is>
      </c>
      <c r="H29" s="147" t="n">
        <v>2023</v>
      </c>
      <c r="I29" s="148" t="n">
        <v>9999</v>
      </c>
      <c r="J29" s="145" t="inlineStr">
        <is>
          <t>Website store</t>
        </is>
      </c>
      <c r="K29" s="149" t="inlineStr">
        <is>
          <t>X10 is Skydio's aerial robot — Up to ≈ 40 min max · hover ≈ 35 min flight time, camera-centric. Modular VT300 payloads: 1" 50.3 MP wide and/or 48 MP tele + 64 MP narrow + optional 640×512 radiometric thermal; aimed at enterprise.</t>
        </is>
      </c>
      <c r="L29" s="101" t="inlineStr">
        <is>
          <t>X10 is Skydio's aerial robot — Up to ≈ 40 min max · hover ≈ 35 min flight time, camera-centric. Modular VT300 payloads: 1" 50.3 MP wide and/or 48 MP tele + 64 MP narrow + optional 640×512 radiometric thermal; aimed at enterprise.</t>
        </is>
      </c>
      <c r="M29" s="101" t="inlineStr">
        <is>
          <t>X10 is Skydio's aerial robot — Up to ≈ 40 min max · hover ≈ 35 min flight time, camera-centric. Modular VT300 payloads: 1" 50.3 MP wide and/or 48 MP tele + 64 MP narrow + optional 640×512 radiometric thermal; aimed at enterprise. It is positioned for enterprise / Public Safety.</t>
        </is>
      </c>
      <c r="N29" s="145" t="n"/>
      <c r="O29" s="145" t="inlineStr">
        <is>
          <t>https://www.skydio.com</t>
        </is>
      </c>
      <c r="P29" s="145" t="n"/>
      <c r="Q29" s="145" t="n"/>
      <c r="R29" s="145" t="inlineStr">
        <is>
          <t>≈ 4.65 lb with battery (Connect SL) · max takeoff ≈ 5.49 lb</t>
        </is>
      </c>
      <c r="S29" s="145" t="n"/>
      <c r="T29" s="149" t="inlineStr">
        <is>
          <t>Unfolded ≈ 31.1 × 25.6 × 5.7 in · Folded ≈ 13.8 × 6.5 × 4.7 in</t>
        </is>
      </c>
      <c r="U29" s="145" t="n"/>
      <c r="V29" s="145" t="n"/>
      <c r="W29" s="149" t="n"/>
      <c r="X29" s="145" t="inlineStr">
        <is>
          <t>Not disclosed</t>
        </is>
      </c>
      <c r="Y29" s="145" t="n"/>
      <c r="Z29" s="145" t="inlineStr">
        <is>
          <t>≈ 45 mph horizontal</t>
        </is>
      </c>
      <c r="AA29" s="145" t="n"/>
      <c r="AB29" s="145" t="n"/>
      <c r="AC29" s="149" t="inlineStr">
        <is>
          <t>Not disclosed</t>
        </is>
      </c>
      <c r="AD29" s="149" t="n"/>
      <c r="AE29" s="145" t="inlineStr">
        <is>
          <t>Up to ≈ 40 min max · hover ≈ 35 min</t>
        </is>
      </c>
      <c r="AF29" s="145" t="inlineStr">
        <is>
          <t>Not disclosed</t>
        </is>
      </c>
      <c r="AG29" s="149" t="n"/>
      <c r="AH29" s="145" t="n"/>
      <c r="AI29" s="145" t="n"/>
      <c r="AJ29" s="149" t="inlineStr">
        <is>
          <t>Modular VT300 payloads: 1" 50.3 MP wide and/or 48 MP tele + 64 MP narrow + optional 640×512 radiometric thermal</t>
        </is>
      </c>
      <c r="AK29" s="149" t="n"/>
      <c r="AL29" s="145" t="inlineStr">
        <is>
          <t>Up to 3840×2880 class video; multi-sensor visible + thermal</t>
        </is>
      </c>
      <c r="AM29" s="145" t="inlineStr">
        <is>
          <t>Stabilized imaging payload options</t>
        </is>
      </c>
      <c r="AN29" s="145" t="n"/>
      <c r="AO29" s="145" t="n"/>
      <c r="AP29" s="145" t="n"/>
      <c r="AQ29" s="145" t="n"/>
      <c r="AR29" s="145" t="inlineStr">
        <is>
          <t>True 360° autonomous obstacle avoidance (6 navigation cameras)</t>
        </is>
      </c>
      <c r="AS29" s="145" t="inlineStr">
        <is>
          <t>NVIDIA Jetson Orin + Qualcomm Snapdragon class</t>
        </is>
      </c>
      <c r="AT29" s="149" t="n"/>
      <c r="AU29" s="149" t="inlineStr">
        <is>
          <t>Not disclosed</t>
        </is>
      </c>
      <c r="AV29" s="145" t="inlineStr">
        <is>
          <t>Skydio Enterprise software, Autonomy, Dock integration</t>
        </is>
      </c>
      <c r="AW29" s="149" t="n"/>
      <c r="AX29" s="145" t="n"/>
      <c r="AY29" s="149" t="n"/>
      <c r="AZ29" s="149" t="n"/>
      <c r="BA29" s="149" t="n"/>
      <c r="BB29" s="149" t="n"/>
      <c r="BC29" s="149" t="n"/>
      <c r="BD29" s="145" t="n"/>
      <c r="BE29" s="145" t="inlineStr">
        <is>
          <t>IP55</t>
        </is>
      </c>
      <c r="BF29" s="145" t="n"/>
      <c r="BG29" s="145" t="n"/>
      <c r="BH29" s="145" t="inlineStr">
        <is>
          <t>Connect SL up to ≈ 7.5 mi class · Connect 5G cellular option</t>
        </is>
      </c>
      <c r="BI29" s="145" t="n"/>
      <c r="BJ29" s="145" t="n"/>
      <c r="BK29" s="145" t="n"/>
      <c r="BL29" s="145" t="n"/>
      <c r="BM29" s="145" t="n"/>
      <c r="BN29" s="145" t="n"/>
      <c r="BO29" s="149" t="n"/>
      <c r="BP29" s="145" t="inlineStr">
        <is>
          <t>−4°F to 113°F · service ceiling ≈ 15,000 ft</t>
        </is>
      </c>
      <c r="BQ29" s="149" t="inlineStr">
        <is>
          <t>Enterprise / Public Safety</t>
        </is>
      </c>
      <c r="BR29" s="149" t="inlineStr">
        <is>
          <t>Not disclosed</t>
        </is>
      </c>
      <c r="BS29" s="149" t="n"/>
      <c r="BT29" s="145" t="n"/>
      <c r="BU29" s="145" t="n"/>
      <c r="BV29" s="149" t="inlineStr">
        <is>
          <t>Autonomy features and optional dock system for persistent operations</t>
        </is>
      </c>
      <c r="BW29" s="149" t="inlineStr">
        <is>
          <t>Origin &amp; status — USA · 2023 | Flight — Flight time Up to ≈ 40 min max · hover ≈ 35 min · Range Connect SL up to ≈ 7.5 mi class · Connect 5G cellular option · Payload Not disclosed | Sensing — Modular VT300 payloads: 1" 50.3 MP wide and/or 48 MP tele + 64 MP narrow + optional 640×512 radiometric thermal | Buying notes — $9,999 · 12 months limited warranty from delivery · Best fit: Autonomy features and optional dock system for persistent operations</t>
        </is>
      </c>
      <c r="BX29" s="149" t="inlineStr">
        <is>
          <t>x10|X10|9999|Enterprise VTOL || x10d|X10D|0|Defense config</t>
        </is>
      </c>
      <c r="BY29" s="145" t="inlineStr">
        <is>
          <t>black|Skydio Black|#111111|0</t>
        </is>
      </c>
      <c r="BZ29" s="145" t="inlineStr">
        <is>
          <t>battery, charger, controller</t>
        </is>
      </c>
      <c r="CA29" s="149" t="inlineStr">
        <is>
          <t>Add-ons: case; 2 color options; Multi-year extended warranty available</t>
        </is>
      </c>
      <c r="CB29" s="149" t="inlineStr">
        <is>
          <t>12 months limited warranty from delivery</t>
        </is>
      </c>
      <c r="CC29" s="147" t="n">
        <v>12</v>
      </c>
      <c r="CD29" s="149" t="inlineStr">
        <is>
          <t>+3 Year Extended ≈24% of configuration (default in configurator)</t>
        </is>
      </c>
      <c r="CE29" s="145" t="inlineStr">
        <is>
          <t>Skydio Limited Warranty / Enterprise Warranty Terms</t>
        </is>
      </c>
      <c r="CF29" s="145" t="inlineStr">
        <is>
          <t>Documented</t>
        </is>
      </c>
      <c r="CG29" s="149" t="inlineStr">
        <is>
          <t>Batteries: earlier of 1 year or 200 cycles. Propellers: no warranty. Skydio Care is optional add-on.</t>
        </is>
      </c>
      <c r="CH29" s="145" t="inlineStr">
        <is>
          <t>10%</t>
        </is>
      </c>
      <c r="CI29" s="145" t="inlineStr">
        <is>
          <t>17%</t>
        </is>
      </c>
      <c r="CJ29" s="145" t="inlineStr">
        <is>
          <t>24%</t>
        </is>
      </c>
      <c r="CK2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9" s="145" t="inlineStr">
        <is>
          <t>12 months limited warranty from delivery</t>
        </is>
      </c>
    </row>
    <row r="30" ht="31.5" customHeight="1" s="102">
      <c r="A30" s="159" t="inlineStr">
        <is>
          <t>skydio_x2</t>
        </is>
      </c>
      <c r="B30" s="160" t="inlineStr">
        <is>
          <t>Website</t>
        </is>
      </c>
      <c r="C30" s="152" t="inlineStr">
        <is>
          <t>Skydio</t>
        </is>
      </c>
      <c r="D30" s="152" t="inlineStr">
        <is>
          <t>X2</t>
        </is>
      </c>
      <c r="E30" s="152" t="inlineStr">
        <is>
          <t>[Skydio] X2 (2021)</t>
        </is>
      </c>
      <c r="F30" s="164" t="inlineStr">
        <is>
          <t>aerial</t>
        </is>
      </c>
      <c r="G30" s="152" t="inlineStr">
        <is>
          <t>USA</t>
        </is>
      </c>
      <c r="H30" s="154" t="n">
        <v>2021</v>
      </c>
      <c r="I30" s="155" t="n">
        <v>10999</v>
      </c>
      <c r="J30" s="152" t="inlineStr">
        <is>
          <t>Website store</t>
        </is>
      </c>
      <c r="K30" s="156" t="inlineStr">
        <is>
          <t>X2 is Skydio's aerial robot — Up to ≈ 35 min class flight time, camera-centric. RGB + optional thermal; aimed at enterprise.</t>
        </is>
      </c>
      <c r="L30" s="101" t="inlineStr">
        <is>
          <t>X2 is Skydio's aerial robot — Up to ≈ 35 min class flight time, camera-centric. RGB + optional thermal; aimed at enterprise.</t>
        </is>
      </c>
      <c r="M30" s="101" t="inlineStr">
        <is>
          <t>X2 is Skydio's aerial robot — Up to ≈ 35 min class flight time, camera-centric. RGB + optional thermal; aimed at enterprise. It is positioned for enterprise / Defense.</t>
        </is>
      </c>
      <c r="N30" s="152" t="n"/>
      <c r="O30" s="152" t="inlineStr">
        <is>
          <t>https://www.skydio.com</t>
        </is>
      </c>
      <c r="P30" s="152" t="n"/>
      <c r="Q30" s="152" t="n"/>
      <c r="R30" s="152" t="inlineStr">
        <is>
          <t>≈ 1.8 lb class</t>
        </is>
      </c>
      <c r="S30" s="152" t="n"/>
      <c r="T30" s="156" t="inlineStr">
        <is>
          <t>Not disclosed</t>
        </is>
      </c>
      <c r="U30" s="152" t="n"/>
      <c r="V30" s="152" t="n"/>
      <c r="W30" s="156" t="n"/>
      <c r="X30" s="152" t="inlineStr">
        <is>
          <t>Not disclosed</t>
        </is>
      </c>
      <c r="Y30" s="152" t="n"/>
      <c r="Z30" s="152" t="inlineStr">
        <is>
          <t>Not disclosed</t>
        </is>
      </c>
      <c r="AA30" s="152" t="n"/>
      <c r="AB30" s="152" t="n"/>
      <c r="AC30" s="156" t="inlineStr">
        <is>
          <t>Not disclosed</t>
        </is>
      </c>
      <c r="AD30" s="156" t="n"/>
      <c r="AE30" s="152" t="inlineStr">
        <is>
          <t>Up to ≈ 35 min class</t>
        </is>
      </c>
      <c r="AF30" s="152" t="inlineStr">
        <is>
          <t>Not disclosed</t>
        </is>
      </c>
      <c r="AG30" s="156" t="n"/>
      <c r="AH30" s="152" t="n"/>
      <c r="AI30" s="152" t="n"/>
      <c r="AJ30" s="156" t="inlineStr">
        <is>
          <t>RGB + optional thermal</t>
        </is>
      </c>
      <c r="AK30" s="156" t="n"/>
      <c r="AL30" s="152" t="inlineStr">
        <is>
          <t>Record and livestream for public safety / inspection</t>
        </is>
      </c>
      <c r="AM30" s="152" t="inlineStr">
        <is>
          <t>Not disclosed</t>
        </is>
      </c>
      <c r="AN30" s="152" t="n"/>
      <c r="AO30" s="152" t="n"/>
      <c r="AP30" s="152" t="n"/>
      <c r="AQ30" s="152" t="n"/>
      <c r="AR30" s="152" t="inlineStr">
        <is>
          <t>Autonomous obstacle avoidance</t>
        </is>
      </c>
      <c r="AS30" s="152" t="inlineStr">
        <is>
          <t>Not disclosed</t>
        </is>
      </c>
      <c r="AT30" s="156" t="n"/>
      <c r="AU30" s="156" t="inlineStr">
        <is>
          <t>Not disclosed</t>
        </is>
      </c>
      <c r="AV30" s="152" t="inlineStr">
        <is>
          <t>Skydio enterprise control apps</t>
        </is>
      </c>
      <c r="AW30" s="156" t="n"/>
      <c r="AX30" s="152" t="n"/>
      <c r="AY30" s="156" t="n"/>
      <c r="AZ30" s="156" t="n"/>
      <c r="BA30" s="156" t="n"/>
      <c r="BB30" s="156" t="n"/>
      <c r="BC30" s="156" t="n"/>
      <c r="BD30" s="152" t="n"/>
      <c r="BE30" s="152" t="inlineStr">
        <is>
          <t>Not disclosed</t>
        </is>
      </c>
      <c r="BF30" s="152" t="n"/>
      <c r="BG30" s="152" t="n"/>
      <c r="BH30" s="152" t="inlineStr">
        <is>
          <t>Not disclosed</t>
        </is>
      </c>
      <c r="BI30" s="152" t="n"/>
      <c r="BJ30" s="152" t="n"/>
      <c r="BK30" s="152" t="n"/>
      <c r="BL30" s="152" t="n"/>
      <c r="BM30" s="152" t="n"/>
      <c r="BN30" s="152" t="n"/>
      <c r="BO30" s="156" t="n"/>
      <c r="BP30" s="152" t="inlineStr">
        <is>
          <t>Not disclosed</t>
        </is>
      </c>
      <c r="BQ30" s="156" t="inlineStr">
        <is>
          <t>Enterprise / Defense</t>
        </is>
      </c>
      <c r="BR30" s="156" t="inlineStr">
        <is>
          <t>Not disclosed</t>
        </is>
      </c>
      <c r="BS30" s="156" t="n"/>
      <c r="BT30" s="152" t="n"/>
      <c r="BU30" s="152" t="n"/>
      <c r="BV30" s="156" t="inlineStr">
        <is>
          <t>Thermal options; NDAA-oriented; public safety and enterprise focus</t>
        </is>
      </c>
      <c r="BW30" s="156" t="inlineStr">
        <is>
          <t>Origin &amp; status — USA · 2021 | Flight — Flight time Up to ≈ 35 min class · Range Not disclosed · Payload Not disclosed | Sensing — RGB + optional thermal | Buying notes — $10,999 · 12 months limited warranty from delivery · Best fit: Thermal options; NDAA-oriented; public safety and enterprise focus</t>
        </is>
      </c>
      <c r="BX30" s="156" t="inlineStr">
        <is>
          <t>as_shipped|X2|10999|As shipped</t>
        </is>
      </c>
      <c r="BY30" s="152" t="inlineStr">
        <is>
          <t>x2|Manufacturer finish|#e2e8f0|0</t>
        </is>
      </c>
      <c r="BZ30" s="152" t="inlineStr"/>
      <c r="CA30" s="156" t="inlineStr">
        <is>
          <t>Add-ons: case; 2 color options; Multi-year extended warranty available</t>
        </is>
      </c>
      <c r="CB30" s="156" t="inlineStr">
        <is>
          <t>12 months limited warranty from delivery</t>
        </is>
      </c>
      <c r="CC30" s="154" t="n">
        <v>12</v>
      </c>
      <c r="CD30" s="156" t="inlineStr">
        <is>
          <t>+3 Year Extended ≈24% of configuration (default in configurator)</t>
        </is>
      </c>
      <c r="CE30" s="152" t="inlineStr">
        <is>
          <t>Skydio Limited Warranty / Enterprise Warranty Terms</t>
        </is>
      </c>
      <c r="CF30" s="152" t="inlineStr">
        <is>
          <t>Documented</t>
        </is>
      </c>
      <c r="CG30" s="156" t="inlineStr">
        <is>
          <t>Batteries: earlier of 1 year or 200 cycles. Propellers: no warranty. Skydio Care is optional add-on.</t>
        </is>
      </c>
      <c r="CH30" s="152" t="inlineStr">
        <is>
          <t>10%</t>
        </is>
      </c>
      <c r="CI30" s="152" t="inlineStr">
        <is>
          <t>17%</t>
        </is>
      </c>
      <c r="CJ30" s="152" t="inlineStr">
        <is>
          <t>24%</t>
        </is>
      </c>
      <c r="CK30"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30"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0" s="152" t="inlineStr">
        <is>
          <t>12 months limited warranty from delivery</t>
        </is>
      </c>
    </row>
    <row r="31" ht="31.5" customHeight="1" s="102">
      <c r="A31" s="143" t="inlineStr">
        <is>
          <t>teal_drones_teal_2_golden_eagle</t>
        </is>
      </c>
      <c r="B31" s="160" t="inlineStr">
        <is>
          <t>Website</t>
        </is>
      </c>
      <c r="C31" s="145" t="inlineStr">
        <is>
          <t>Teal Drones</t>
        </is>
      </c>
      <c r="D31" s="145" t="inlineStr">
        <is>
          <t>Teal 2</t>
        </is>
      </c>
      <c r="E31" s="145" t="inlineStr">
        <is>
          <t>[Teal] Teal 2 (2020)</t>
        </is>
      </c>
      <c r="F31" s="164" t="inlineStr">
        <is>
          <t>aerial</t>
        </is>
      </c>
      <c r="G31" s="145" t="inlineStr">
        <is>
          <t>USA</t>
        </is>
      </c>
      <c r="H31" s="147" t="n">
        <v>2020</v>
      </c>
      <c r="I31" s="148" t="n">
        <v>20000</v>
      </c>
      <c r="J31" s="145" t="inlineStr">
        <is>
          <t>US small-UAS class estimate</t>
        </is>
      </c>
      <c r="K31" s="149" t="inlineStr">
        <is>
          <t>[Teal] Teal 2 (2020) is a aerial platform from Teal Drones (USA, 2020), positioned for enterprise.</t>
        </is>
      </c>
      <c r="L31" s="101" t="inlineStr">
        <is>
          <t>[Teal] Teal 2 (2020) is a aerial platform from Teal Drones (USA, 2020), positioned for enterprise.</t>
        </is>
      </c>
      <c r="M31" s="101" t="inlineStr">
        <is>
          <t>[Teal] Teal 2 (2020) is a aerial platform from Teal Drones (USA, 2020), positioned for enterprise. It is positioned for enterprise / Defense.</t>
        </is>
      </c>
      <c r="N31" s="145" t="n"/>
      <c r="O31" s="145" t="inlineStr">
        <is>
          <t>https://tealdrones.com</t>
        </is>
      </c>
      <c r="P31" s="145" t="n"/>
      <c r="Q31" s="145" t="n"/>
      <c r="R31" s="145" t="inlineStr">
        <is>
          <t>Not disclosed</t>
        </is>
      </c>
      <c r="S31" s="145" t="n"/>
      <c r="T31" s="149" t="inlineStr">
        <is>
          <t>Not disclosed</t>
        </is>
      </c>
      <c r="U31" s="145" t="n"/>
      <c r="V31" s="145" t="n"/>
      <c r="W31" s="149" t="n"/>
      <c r="X31" s="145" t="inlineStr">
        <is>
          <t>Not disclosed</t>
        </is>
      </c>
      <c r="Y31" s="145" t="n"/>
      <c r="Z31" s="145" t="inlineStr">
        <is>
          <t>Not disclosed</t>
        </is>
      </c>
      <c r="AA31" s="145" t="n"/>
      <c r="AB31" s="145" t="n"/>
      <c r="AC31" s="149" t="inlineStr">
        <is>
          <t>Not disclosed</t>
        </is>
      </c>
      <c r="AD31" s="149" t="n"/>
      <c r="AE31" s="145" t="inlineStr">
        <is>
          <t>Not disclosed</t>
        </is>
      </c>
      <c r="AF31" s="145" t="inlineStr">
        <is>
          <t>Not disclosed</t>
        </is>
      </c>
      <c r="AG31" s="149" t="n"/>
      <c r="AH31" s="145" t="n"/>
      <c r="AI31" s="145" t="n"/>
      <c r="AJ31" s="149" t="inlineStr">
        <is>
          <t>EO/IR options on military small-UAS configurations</t>
        </is>
      </c>
      <c r="AK31" s="149" t="n"/>
      <c r="AL31" s="145" t="inlineStr">
        <is>
          <t>ISR video streams</t>
        </is>
      </c>
      <c r="AM31" s="145" t="inlineStr">
        <is>
          <t>Not disclosed</t>
        </is>
      </c>
      <c r="AN31" s="145" t="n"/>
      <c r="AO31" s="145" t="n"/>
      <c r="AP31" s="145" t="n"/>
      <c r="AQ31" s="145" t="n"/>
      <c r="AR31" s="145" t="inlineStr">
        <is>
          <t>Not disclosed</t>
        </is>
      </c>
      <c r="AS31" s="145" t="inlineStr">
        <is>
          <t>Not disclosed</t>
        </is>
      </c>
      <c r="AT31" s="149" t="n"/>
      <c r="AU31" s="149" t="inlineStr">
        <is>
          <t>Not disclosed</t>
        </is>
      </c>
      <c r="AV31" s="145" t="inlineStr">
        <is>
          <t>Blue UAS aligned control ecosystems</t>
        </is>
      </c>
      <c r="AW31" s="149" t="n"/>
      <c r="AX31" s="145" t="n"/>
      <c r="AY31" s="149" t="n"/>
      <c r="AZ31" s="149" t="n"/>
      <c r="BA31" s="149" t="n"/>
      <c r="BB31" s="149" t="n"/>
      <c r="BC31" s="149" t="n"/>
      <c r="BD31" s="145" t="n"/>
      <c r="BE31" s="145" t="inlineStr">
        <is>
          <t>Not disclosed</t>
        </is>
      </c>
      <c r="BF31" s="145" t="n"/>
      <c r="BG31" s="145" t="n"/>
      <c r="BH31" s="145" t="inlineStr">
        <is>
          <t>Not disclosed</t>
        </is>
      </c>
      <c r="BI31" s="145" t="n"/>
      <c r="BJ31" s="145" t="n"/>
      <c r="BK31" s="145" t="n"/>
      <c r="BL31" s="145" t="n"/>
      <c r="BM31" s="145" t="n"/>
      <c r="BN31" s="145" t="n"/>
      <c r="BO31" s="149" t="n"/>
      <c r="BP31" s="145" t="inlineStr">
        <is>
          <t>Not disclosed</t>
        </is>
      </c>
      <c r="BQ31" s="149" t="inlineStr">
        <is>
          <t>Enterprise / Defense</t>
        </is>
      </c>
      <c r="BR31" s="149" t="inlineStr">
        <is>
          <t>Not disclosed</t>
        </is>
      </c>
      <c r="BS31" s="149" t="n"/>
      <c r="BT31" s="145" t="n"/>
      <c r="BU31" s="145" t="n"/>
      <c r="BV31" s="149" t="inlineStr">
        <is>
          <t>NDAA-compliant American tactical / public-safety platform</t>
        </is>
      </c>
      <c r="BW31" s="149" t="inlineStr">
        <is>
          <t>Origin &amp; status — USA · 2020 | Flight — Flight time Not disclosed · Range Not disclosed · Payload Not disclosed | Sensing — EO/IR options on military small-UAS configurations | Buying notes — $20,000 · 12 months manufacturer standard (typical) · Best fit: NDAA-compliant American tactical / public-safety platform</t>
        </is>
      </c>
      <c r="BX31" s="149" t="inlineStr">
        <is>
          <t>as_shipped|Teal 2|20000|As shipped</t>
        </is>
      </c>
      <c r="BY31" s="145" t="inlineStr">
        <is>
          <t>teal_2|Manufacturer finish|#e2e8f0|0</t>
        </is>
      </c>
      <c r="BZ31" s="145" t="inlineStr"/>
      <c r="CA31" s="149" t="inlineStr">
        <is>
          <t>Add-ons: case; 2 color options; Multi-year extended warranty available</t>
        </is>
      </c>
      <c r="CB31" s="149" t="inlineStr">
        <is>
          <t>12 months manufacturer standard (typical)</t>
        </is>
      </c>
      <c r="CC31" s="147" t="n">
        <v>12</v>
      </c>
      <c r="CD31" s="149" t="inlineStr">
        <is>
          <t>+3 Year Extended ≈24% of configuration (default in configurator)</t>
        </is>
      </c>
      <c r="CE31" s="145" t="inlineStr">
        <is>
          <t>Industry default when OEM sheet not public</t>
        </is>
      </c>
      <c r="CF31" s="145" t="inlineStr">
        <is>
          <t>Estimated</t>
        </is>
      </c>
      <c r="CG31" s="149" t="inlineStr">
        <is>
          <t>Always confirm exact warranty on formal quote before purchase.</t>
        </is>
      </c>
      <c r="CH31" s="145" t="inlineStr">
        <is>
          <t>10%</t>
        </is>
      </c>
      <c r="CI31" s="145" t="inlineStr">
        <is>
          <t>17%</t>
        </is>
      </c>
      <c r="CJ31" s="145" t="inlineStr">
        <is>
          <t>24%</t>
        </is>
      </c>
      <c r="CK3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3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1" s="145" t="inlineStr">
        <is>
          <t>12 months manufacturer standard (typical)</t>
        </is>
      </c>
    </row>
    <row r="32" ht="31.5" customHeight="1" s="102">
      <c r="A32" s="143" t="inlineStr">
        <is>
          <t>teal_drones_teal_2_golden_eagle_golden_eagle</t>
        </is>
      </c>
      <c r="B32" s="160" t="inlineStr">
        <is>
          <t>Website</t>
        </is>
      </c>
      <c r="C32" s="145" t="inlineStr">
        <is>
          <t>Teal Drones</t>
        </is>
      </c>
      <c r="D32" s="145" t="inlineStr">
        <is>
          <t>Golden Eagle</t>
        </is>
      </c>
      <c r="E32" s="145" t="inlineStr">
        <is>
          <t>[Teal] Golden Eagle (2020)</t>
        </is>
      </c>
      <c r="F32" s="164" t="inlineStr">
        <is>
          <t>aerial</t>
        </is>
      </c>
      <c r="G32" s="145" t="inlineStr">
        <is>
          <t>USA</t>
        </is>
      </c>
      <c r="H32" s="147" t="n">
        <v>2020</v>
      </c>
      <c r="I32" s="148" t="n">
        <v>35000</v>
      </c>
      <c r="J32" s="145" t="inlineStr">
        <is>
          <t>Golden Eagle UAS class estimate</t>
        </is>
      </c>
      <c r="K32" s="149" t="inlineStr">
        <is>
          <t>[Teal] Golden Eagle (2020) is a aerial platform from Teal Drones (USA, 2020), positioned for enterprise.</t>
        </is>
      </c>
      <c r="L32" s="101" t="inlineStr">
        <is>
          <t>[Teal] Golden Eagle (2020) is a aerial platform from Teal Drones (USA, 2020), positioned for enterprise.</t>
        </is>
      </c>
      <c r="M32" s="101" t="inlineStr">
        <is>
          <t>[Teal] Golden Eagle (2020) is a aerial platform from Teal Drones (USA, 2020), positioned for enterprise. It is positioned for enterprise / Defense.</t>
        </is>
      </c>
      <c r="N32" s="145" t="n"/>
      <c r="O32" s="145" t="inlineStr">
        <is>
          <t>https://tealdrones.com</t>
        </is>
      </c>
      <c r="P32" s="145" t="n"/>
      <c r="Q32" s="145" t="n"/>
      <c r="R32" s="145" t="inlineStr">
        <is>
          <t>Not disclosed</t>
        </is>
      </c>
      <c r="S32" s="145" t="n"/>
      <c r="T32" s="149" t="inlineStr">
        <is>
          <t>Not disclosed</t>
        </is>
      </c>
      <c r="U32" s="145" t="n"/>
      <c r="V32" s="145" t="n"/>
      <c r="W32" s="149" t="n"/>
      <c r="X32" s="145" t="inlineStr">
        <is>
          <t>Not disclosed</t>
        </is>
      </c>
      <c r="Y32" s="145" t="n"/>
      <c r="Z32" s="145" t="inlineStr">
        <is>
          <t>Not disclosed</t>
        </is>
      </c>
      <c r="AA32" s="145" t="n"/>
      <c r="AB32" s="145" t="n"/>
      <c r="AC32" s="149" t="inlineStr">
        <is>
          <t>Not disclosed</t>
        </is>
      </c>
      <c r="AD32" s="149" t="n"/>
      <c r="AE32" s="145" t="inlineStr">
        <is>
          <t>Not disclosed</t>
        </is>
      </c>
      <c r="AF32" s="145" t="inlineStr">
        <is>
          <t>Not disclosed</t>
        </is>
      </c>
      <c r="AG32" s="149" t="n"/>
      <c r="AH32" s="145" t="n"/>
      <c r="AI32" s="145" t="n"/>
      <c r="AJ32" s="149" t="inlineStr">
        <is>
          <t>EO/IR options on military small-UAS configurations</t>
        </is>
      </c>
      <c r="AK32" s="149" t="n"/>
      <c r="AL32" s="145" t="inlineStr">
        <is>
          <t>ISR video streams</t>
        </is>
      </c>
      <c r="AM32" s="145" t="inlineStr">
        <is>
          <t>Not disclosed</t>
        </is>
      </c>
      <c r="AN32" s="145" t="n"/>
      <c r="AO32" s="145" t="n"/>
      <c r="AP32" s="145" t="n"/>
      <c r="AQ32" s="145" t="n"/>
      <c r="AR32" s="145" t="inlineStr">
        <is>
          <t>Not disclosed</t>
        </is>
      </c>
      <c r="AS32" s="145" t="inlineStr">
        <is>
          <t>Not disclosed</t>
        </is>
      </c>
      <c r="AT32" s="149" t="n"/>
      <c r="AU32" s="149" t="inlineStr">
        <is>
          <t>Not disclosed</t>
        </is>
      </c>
      <c r="AV32" s="145" t="inlineStr">
        <is>
          <t>Blue UAS aligned control ecosystems</t>
        </is>
      </c>
      <c r="AW32" s="149" t="n"/>
      <c r="AX32" s="145" t="n"/>
      <c r="AY32" s="149" t="n"/>
      <c r="AZ32" s="149" t="n"/>
      <c r="BA32" s="149" t="n"/>
      <c r="BB32" s="149" t="n"/>
      <c r="BC32" s="149" t="n"/>
      <c r="BD32" s="145" t="n"/>
      <c r="BE32" s="145" t="inlineStr">
        <is>
          <t>Not disclosed</t>
        </is>
      </c>
      <c r="BF32" s="145" t="n"/>
      <c r="BG32" s="145" t="n"/>
      <c r="BH32" s="145" t="inlineStr">
        <is>
          <t>Not disclosed</t>
        </is>
      </c>
      <c r="BI32" s="145" t="n"/>
      <c r="BJ32" s="145" t="n"/>
      <c r="BK32" s="145" t="n"/>
      <c r="BL32" s="145" t="n"/>
      <c r="BM32" s="145" t="n"/>
      <c r="BN32" s="145" t="n"/>
      <c r="BO32" s="149" t="n"/>
      <c r="BP32" s="145" t="inlineStr">
        <is>
          <t>Not disclosed</t>
        </is>
      </c>
      <c r="BQ32" s="149" t="inlineStr">
        <is>
          <t>Enterprise / Defense</t>
        </is>
      </c>
      <c r="BR32" s="149" t="inlineStr">
        <is>
          <t>Not disclosed</t>
        </is>
      </c>
      <c r="BS32" s="149" t="n"/>
      <c r="BT32" s="145" t="n"/>
      <c r="BU32" s="145" t="n"/>
      <c r="BV32" s="149" t="inlineStr">
        <is>
          <t>NDAA-compliant American tactical / public-safety platform</t>
        </is>
      </c>
      <c r="BW32" s="149" t="inlineStr">
        <is>
          <t>Origin &amp; status — USA · 2020 | Flight — Flight time Not disclosed · Range Not disclosed · Payload Not disclosed | Sensing — EO/IR options on military small-UAS configurations | Buying notes — $35,000 · 12 months manufacturer standard (typical) · Best fit: NDAA-compliant American tactical / public-safety platform</t>
        </is>
      </c>
      <c r="BX32" s="149" t="inlineStr">
        <is>
          <t>as_shipped|Golden Eagle|35000|As shipped</t>
        </is>
      </c>
      <c r="BY32" s="145" t="inlineStr">
        <is>
          <t>golden_eagle|Manufacturer finish|#e2e8f0|0</t>
        </is>
      </c>
      <c r="BZ32" s="145" t="inlineStr"/>
      <c r="CA32" s="149" t="inlineStr">
        <is>
          <t>Add-ons: case; 2 color options; Multi-year extended warranty available</t>
        </is>
      </c>
      <c r="CB32" s="149" t="inlineStr">
        <is>
          <t>12 months manufacturer standard (typical)</t>
        </is>
      </c>
      <c r="CC32" s="147" t="n">
        <v>12</v>
      </c>
      <c r="CD32" s="149" t="inlineStr">
        <is>
          <t>+3 Year Extended ≈24% of configuration (default in configurator)</t>
        </is>
      </c>
      <c r="CE32" s="145" t="inlineStr">
        <is>
          <t>Industry default when OEM sheet not public</t>
        </is>
      </c>
      <c r="CF32" s="145" t="inlineStr">
        <is>
          <t>Estimated</t>
        </is>
      </c>
      <c r="CG32" s="149" t="inlineStr">
        <is>
          <t>Always confirm exact warranty on formal quote before purchase.</t>
        </is>
      </c>
      <c r="CH32" s="145" t="inlineStr">
        <is>
          <t>10%</t>
        </is>
      </c>
      <c r="CI32" s="145" t="inlineStr">
        <is>
          <t>17%</t>
        </is>
      </c>
      <c r="CJ32" s="145" t="inlineStr">
        <is>
          <t>24%</t>
        </is>
      </c>
      <c r="CK32"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32"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2" s="145" t="inlineStr">
        <is>
          <t>12 months manufacturer standard (typical)</t>
        </is>
      </c>
    </row>
    <row r="33" ht="31.5" customHeight="1" s="102">
      <c r="A33" s="143" t="inlineStr">
        <is>
          <t>wingtra_wingtraone</t>
        </is>
      </c>
      <c r="B33" s="160" t="inlineStr">
        <is>
          <t>Website</t>
        </is>
      </c>
      <c r="C33" s="145" t="inlineStr">
        <is>
          <t>Wingtra</t>
        </is>
      </c>
      <c r="D33" s="145" t="inlineStr">
        <is>
          <t>WingtraOne</t>
        </is>
      </c>
      <c r="E33" s="145" t="inlineStr">
        <is>
          <t>[Wingtra] WingtraOne (2017)</t>
        </is>
      </c>
      <c r="F33" s="164" t="inlineStr">
        <is>
          <t>aerial</t>
        </is>
      </c>
      <c r="G33" s="145" t="inlineStr">
        <is>
          <t>Switzerland</t>
        </is>
      </c>
      <c r="H33" s="147" t="n">
        <v>2017</v>
      </c>
      <c r="I33" s="148" t="n">
        <v>20000</v>
      </c>
      <c r="J33" s="145" t="inlineStr">
        <is>
          <t>Website store</t>
        </is>
      </c>
      <c r="K33" s="149" t="inlineStr">
        <is>
          <t>WingtraOne is Wingtra's aerial robot — camera-centric. Survey-grade mapping cameras; aimed at vTOL Survey.</t>
        </is>
      </c>
      <c r="L33" s="101" t="inlineStr">
        <is>
          <t>WingtraOne is Wingtra's aerial robot — camera-centric. Survey-grade mapping cameras; aimed at vTOL Survey.</t>
        </is>
      </c>
      <c r="M33" s="101" t="inlineStr">
        <is>
          <t>WingtraOne is Wingtra's aerial robot — camera-centric. Survey-grade mapping cameras; aimed at vTOL Survey. It is positioned for vTOL Survey / Mapping.</t>
        </is>
      </c>
      <c r="N33" s="145" t="n"/>
      <c r="O33" s="145" t="inlineStr">
        <is>
          <t>https://wingtra.com</t>
        </is>
      </c>
      <c r="P33" s="145" t="n"/>
      <c r="Q33" s="145" t="n"/>
      <c r="R33" s="145" t="inlineStr">
        <is>
          <t>≈ 7.5–11 lb class depending on camera</t>
        </is>
      </c>
      <c r="S33" s="145" t="n"/>
      <c r="T33" s="149" t="inlineStr">
        <is>
          <t>Not disclosed</t>
        </is>
      </c>
      <c r="U33" s="145" t="n"/>
      <c r="V33" s="145" t="n"/>
      <c r="W33" s="149" t="n"/>
      <c r="X33" s="145" t="inlineStr">
        <is>
          <t>Not disclosed</t>
        </is>
      </c>
      <c r="Y33" s="145" t="n"/>
      <c r="Z33" s="145" t="inlineStr">
        <is>
          <t>Not disclosed</t>
        </is>
      </c>
      <c r="AA33" s="145" t="n"/>
      <c r="AB33" s="145" t="n"/>
      <c r="AC33" s="149" t="inlineStr">
        <is>
          <t>Not disclosed</t>
        </is>
      </c>
      <c r="AD33" s="149" t="n"/>
      <c r="AE33" s="145" t="inlineStr">
        <is>
          <t>Not disclosed</t>
        </is>
      </c>
      <c r="AF33" s="145" t="inlineStr">
        <is>
          <t>Not disclosed</t>
        </is>
      </c>
      <c r="AG33" s="149" t="n"/>
      <c r="AH33" s="145" t="n"/>
      <c r="AI33" s="145" t="n"/>
      <c r="AJ33" s="149" t="inlineStr">
        <is>
          <t>Survey-grade mapping cameras</t>
        </is>
      </c>
      <c r="AK33" s="149" t="n"/>
      <c r="AL33" s="145" t="inlineStr">
        <is>
          <t>Photogrammetry still capture primary</t>
        </is>
      </c>
      <c r="AM33" s="145" t="inlineStr">
        <is>
          <t>Nadir mapping mount</t>
        </is>
      </c>
      <c r="AN33" s="145" t="n"/>
      <c r="AO33" s="145" t="n"/>
      <c r="AP33" s="145" t="n"/>
      <c r="AQ33" s="145" t="n"/>
      <c r="AR33" s="145" t="inlineStr">
        <is>
          <t>Not disclosed</t>
        </is>
      </c>
      <c r="AS33" s="145" t="inlineStr">
        <is>
          <t>Not disclosed</t>
        </is>
      </c>
      <c r="AT33" s="149" t="n"/>
      <c r="AU33" s="149" t="inlineStr">
        <is>
          <t>Not disclosed</t>
        </is>
      </c>
      <c r="AV33" s="145" t="inlineStr">
        <is>
          <t>WingtraPilot</t>
        </is>
      </c>
      <c r="AW33" s="149" t="n"/>
      <c r="AX33" s="145" t="n"/>
      <c r="AY33" s="149" t="n"/>
      <c r="AZ33" s="149" t="n"/>
      <c r="BA33" s="149" t="n"/>
      <c r="BB33" s="149" t="n"/>
      <c r="BC33" s="149" t="n"/>
      <c r="BD33" s="145" t="n"/>
      <c r="BE33" s="145" t="inlineStr">
        <is>
          <t>Not disclosed</t>
        </is>
      </c>
      <c r="BF33" s="145" t="n"/>
      <c r="BG33" s="145" t="n"/>
      <c r="BH33" s="145" t="inlineStr">
        <is>
          <t>Not disclosed</t>
        </is>
      </c>
      <c r="BI33" s="145" t="n"/>
      <c r="BJ33" s="145" t="n"/>
      <c r="BK33" s="145" t="n"/>
      <c r="BL33" s="145" t="n"/>
      <c r="BM33" s="145" t="n"/>
      <c r="BN33" s="145" t="n"/>
      <c r="BO33" s="149" t="n"/>
      <c r="BP33" s="145" t="inlineStr">
        <is>
          <t>Not disclosed</t>
        </is>
      </c>
      <c r="BQ33" s="149" t="inlineStr">
        <is>
          <t>VTOL Survey / Mapping</t>
        </is>
      </c>
      <c r="BR33" s="149" t="inlineStr">
        <is>
          <t>Not disclosed</t>
        </is>
      </c>
      <c r="BS33" s="149" t="n"/>
      <c r="BT33" s="145" t="n"/>
      <c r="BU33" s="145" t="n"/>
      <c r="BV33" s="149" t="inlineStr">
        <is>
          <t>Tailsitter VTOL fixed-wing; high-accuracy PPK; long endurance mapping</t>
        </is>
      </c>
      <c r="BW33" s="149" t="inlineStr">
        <is>
          <t>Origin &amp; status — Switzerland · 2017 | Flight — Flight time Not disclosed · Range Not disclosed · Payload Not disclosed | Sensing — Survey-grade mapping cameras | Buying notes — ~20,000 · 12 months manufacturer standard (typical) · Best fit: Tailsitter VTOL fixed-wing; high-accuracy PPK; long endurance mapping</t>
        </is>
      </c>
      <c r="BX33" s="149" t="inlineStr">
        <is>
          <t>as_shipped|WingtraOne|20000|As shipped</t>
        </is>
      </c>
      <c r="BY33" s="145" t="inlineStr">
        <is>
          <t>wingtraone|Manufacturer finish|#e2e8f0|0</t>
        </is>
      </c>
      <c r="BZ33" s="145" t="inlineStr"/>
      <c r="CA33" s="149" t="inlineStr">
        <is>
          <t>Add-ons: case; 2 color options; Multi-year extended warranty available</t>
        </is>
      </c>
      <c r="CB33" s="149" t="inlineStr">
        <is>
          <t>12 months manufacturer standard (typical)</t>
        </is>
      </c>
      <c r="CC33" s="147" t="n">
        <v>12</v>
      </c>
      <c r="CD33" s="149" t="inlineStr">
        <is>
          <t>+3 Year Extended ≈24% of configuration (default in configurator)</t>
        </is>
      </c>
      <c r="CE33" s="145" t="inlineStr">
        <is>
          <t>Industry default when OEM sheet not public</t>
        </is>
      </c>
      <c r="CF33" s="145" t="inlineStr">
        <is>
          <t>Estimated</t>
        </is>
      </c>
      <c r="CG33" s="149" t="inlineStr">
        <is>
          <t>Always confirm exact warranty on formal quote before purchase.</t>
        </is>
      </c>
      <c r="CH33" s="145" t="inlineStr">
        <is>
          <t>10%</t>
        </is>
      </c>
      <c r="CI33" s="145" t="inlineStr">
        <is>
          <t>17%</t>
        </is>
      </c>
      <c r="CJ33" s="145" t="inlineStr">
        <is>
          <t>24%</t>
        </is>
      </c>
      <c r="CK33"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33"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3" s="145" t="inlineStr">
        <is>
          <t>12 months manufacturer standard (typical)</t>
        </is>
      </c>
    </row>
    <row r="34" ht="31.5" customHeight="1" s="102">
      <c r="A34" s="159" t="inlineStr">
        <is>
          <t>wingtra_wingtraone_gen_ii</t>
        </is>
      </c>
      <c r="B34" s="160" t="inlineStr">
        <is>
          <t>Website</t>
        </is>
      </c>
      <c r="C34" s="152" t="inlineStr">
        <is>
          <t>Wingtra</t>
        </is>
      </c>
      <c r="D34" s="152" t="inlineStr">
        <is>
          <t>WingtraOne GEN II</t>
        </is>
      </c>
      <c r="E34" s="152" t="inlineStr">
        <is>
          <t>[Wingtra] WingtraOne GEN II (2021)</t>
        </is>
      </c>
      <c r="F34" s="164" t="inlineStr">
        <is>
          <t>aerial</t>
        </is>
      </c>
      <c r="G34" s="152" t="inlineStr">
        <is>
          <t>Switzerland</t>
        </is>
      </c>
      <c r="H34" s="154" t="n">
        <v>2021</v>
      </c>
      <c r="I34" s="155" t="n">
        <v>19900</v>
      </c>
      <c r="J34" s="152" t="inlineStr">
        <is>
          <t>Website store</t>
        </is>
      </c>
      <c r="K34" s="156" t="inlineStr">
        <is>
          <t>WingtraOne GEN II is Wingtra's aerial robot — camera-centric. Survey cameras including 61 MP class options; aimed at vTOL Survey.</t>
        </is>
      </c>
      <c r="L34" s="101" t="inlineStr">
        <is>
          <t>WingtraOne GEN II is Wingtra's aerial robot — camera-centric. Survey cameras including 61 MP class options; aimed at vTOL Survey.</t>
        </is>
      </c>
      <c r="M34" s="101" t="inlineStr">
        <is>
          <t>WingtraOne GEN II is Wingtra's aerial robot — camera-centric. Survey cameras including 61 MP class options; aimed at vTOL Survey.</t>
        </is>
      </c>
      <c r="N34" s="152" t="n"/>
      <c r="O34" s="152" t="inlineStr">
        <is>
          <t>https://wingtra.com</t>
        </is>
      </c>
      <c r="P34" s="152" t="n"/>
      <c r="Q34" s="152" t="n"/>
      <c r="R34" s="152" t="inlineStr">
        <is>
          <t>≈ 7.5–11 lb class</t>
        </is>
      </c>
      <c r="S34" s="152" t="n"/>
      <c r="T34" s="156" t="inlineStr">
        <is>
          <t>Not disclosed</t>
        </is>
      </c>
      <c r="U34" s="152" t="n"/>
      <c r="V34" s="152" t="n"/>
      <c r="W34" s="156" t="n"/>
      <c r="X34" s="152" t="inlineStr">
        <is>
          <t>Not disclosed</t>
        </is>
      </c>
      <c r="Y34" s="152" t="n"/>
      <c r="Z34" s="152" t="inlineStr">
        <is>
          <t>Not disclosed</t>
        </is>
      </c>
      <c r="AA34" s="152" t="n"/>
      <c r="AB34" s="152" t="n"/>
      <c r="AC34" s="156" t="inlineStr">
        <is>
          <t>Not disclosed</t>
        </is>
      </c>
      <c r="AD34" s="156" t="n"/>
      <c r="AE34" s="152" t="inlineStr">
        <is>
          <t>Not disclosed</t>
        </is>
      </c>
      <c r="AF34" s="152" t="inlineStr">
        <is>
          <t>Not disclosed</t>
        </is>
      </c>
      <c r="AG34" s="156" t="n"/>
      <c r="AH34" s="152" t="n"/>
      <c r="AI34" s="152" t="n"/>
      <c r="AJ34" s="156" t="inlineStr">
        <is>
          <t>Survey cameras including 61 MP class options</t>
        </is>
      </c>
      <c r="AK34" s="156" t="n"/>
      <c r="AL34" s="152" t="inlineStr">
        <is>
          <t>Mapping stills primary; PPK/RTK workflows</t>
        </is>
      </c>
      <c r="AM34" s="152" t="inlineStr">
        <is>
          <t>Not disclosed</t>
        </is>
      </c>
      <c r="AN34" s="152" t="n"/>
      <c r="AO34" s="152" t="n"/>
      <c r="AP34" s="152" t="n"/>
      <c r="AQ34" s="152" t="n"/>
      <c r="AR34" s="152" t="inlineStr">
        <is>
          <t>Not disclosed</t>
        </is>
      </c>
      <c r="AS34" s="152" t="inlineStr">
        <is>
          <t>Not disclosed</t>
        </is>
      </c>
      <c r="AT34" s="156" t="n"/>
      <c r="AU34" s="156" t="inlineStr">
        <is>
          <t>Not disclosed</t>
        </is>
      </c>
      <c r="AV34" s="152" t="inlineStr">
        <is>
          <t>WingtraPilot Gen II workflow</t>
        </is>
      </c>
      <c r="AW34" s="156" t="n"/>
      <c r="AX34" s="152" t="n"/>
      <c r="AY34" s="156" t="n"/>
      <c r="AZ34" s="156" t="n"/>
      <c r="BA34" s="156" t="n"/>
      <c r="BB34" s="156" t="n"/>
      <c r="BC34" s="156" t="n"/>
      <c r="BD34" s="152" t="n"/>
      <c r="BE34" s="152" t="inlineStr">
        <is>
          <t>Not disclosed</t>
        </is>
      </c>
      <c r="BF34" s="152" t="n"/>
      <c r="BG34" s="152" t="n"/>
      <c r="BH34" s="152" t="inlineStr">
        <is>
          <t>Not disclosed</t>
        </is>
      </c>
      <c r="BI34" s="152" t="n"/>
      <c r="BJ34" s="152" t="n"/>
      <c r="BK34" s="152" t="n"/>
      <c r="BL34" s="152" t="n"/>
      <c r="BM34" s="152" t="n"/>
      <c r="BN34" s="152" t="n"/>
      <c r="BO34" s="156" t="n"/>
      <c r="BP34" s="152" t="inlineStr">
        <is>
          <t>Not disclosed</t>
        </is>
      </c>
      <c r="BQ34" s="156" t="inlineStr">
        <is>
          <t>VTOL Survey</t>
        </is>
      </c>
      <c r="BR34" s="156" t="inlineStr">
        <is>
          <t>Not disclosed</t>
        </is>
      </c>
      <c r="BS34" s="156" t="n"/>
      <c r="BT34" s="152" t="n"/>
      <c r="BU34" s="152" t="n"/>
      <c r="BV34" s="156" t="inlineStr">
        <is>
          <t>Improved reliability; oblique camera options; cm-level accuracy</t>
        </is>
      </c>
      <c r="BW34" s="156" t="inlineStr">
        <is>
          <t>Origin &amp; status — Switzerland · 2021 | Flight — Flight time Not disclosed · Range Not disclosed · Payload Not disclosed | Sensing — Survey cameras including 61 MP class options | Buying notes — 19,900–29,000 · 12 months manufacturer standard (typical) · Best fit: Improved reliability; oblique camera options; cm-level accuracy</t>
        </is>
      </c>
      <c r="BX34" s="156" t="inlineStr">
        <is>
          <t>as_shipped|WingtraOne GEN II|19900|As shipped</t>
        </is>
      </c>
      <c r="BY34" s="152" t="inlineStr">
        <is>
          <t>wingtraone_gen_ii|Manufacturer finish|#e2e8f0|0</t>
        </is>
      </c>
      <c r="BZ34" s="152" t="inlineStr"/>
      <c r="CA34" s="156" t="inlineStr">
        <is>
          <t>Add-ons: case; 2 color options; Multi-year extended warranty available</t>
        </is>
      </c>
      <c r="CB34" s="156" t="inlineStr">
        <is>
          <t>12 months manufacturer standard (typical)</t>
        </is>
      </c>
      <c r="CC34" s="154" t="n">
        <v>12</v>
      </c>
      <c r="CD34" s="156" t="inlineStr">
        <is>
          <t>+3 Year Extended ≈24% of configuration (default in configurator)</t>
        </is>
      </c>
      <c r="CE34" s="152" t="inlineStr">
        <is>
          <t>Industry default when OEM sheet not public</t>
        </is>
      </c>
      <c r="CF34" s="152" t="inlineStr">
        <is>
          <t>Estimated</t>
        </is>
      </c>
      <c r="CG34" s="156" t="inlineStr">
        <is>
          <t>Always confirm exact warranty on formal quote before purchase.</t>
        </is>
      </c>
      <c r="CH34" s="152" t="inlineStr">
        <is>
          <t>10%</t>
        </is>
      </c>
      <c r="CI34" s="152" t="inlineStr">
        <is>
          <t>17%</t>
        </is>
      </c>
      <c r="CJ34" s="152" t="inlineStr">
        <is>
          <t>24%</t>
        </is>
      </c>
      <c r="CK34"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34"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4" s="152" t="inlineStr">
        <is>
          <t>12 months manufacturer standard (typical)</t>
        </is>
      </c>
    </row>
    <row r="35" ht="31.5" customHeight="1" s="102">
      <c r="A35" s="143" t="inlineStr">
        <is>
          <t>xag_p_series_agricultural</t>
        </is>
      </c>
      <c r="B35" s="160" t="inlineStr">
        <is>
          <t>Website</t>
        </is>
      </c>
      <c r="C35" s="145" t="inlineStr">
        <is>
          <t>XAG</t>
        </is>
      </c>
      <c r="D35" s="145" t="inlineStr">
        <is>
          <t>P-Series Agricultural</t>
        </is>
      </c>
      <c r="E35" s="145" t="inlineStr">
        <is>
          <t>[XAG] P-Series Agricultural (2010)</t>
        </is>
      </c>
      <c r="F35" s="164" t="inlineStr">
        <is>
          <t>aerial</t>
        </is>
      </c>
      <c r="G35" s="145" t="inlineStr">
        <is>
          <t>China</t>
        </is>
      </c>
      <c r="H35" s="147" t="n">
        <v>2010</v>
      </c>
      <c r="I35" s="148" t="n">
        <v>18000</v>
      </c>
      <c r="J35" s="145" t="inlineStr">
        <is>
          <t>Agricultural drone kit class estimate</t>
        </is>
      </c>
      <c r="K35" s="149" t="inlineStr">
        <is>
          <t>P-Series Agricultural is XAG's aerial robot — camera-centric. Agricultural sensing and terrain following sensors; aimed at agricultural.</t>
        </is>
      </c>
      <c r="L35" s="101" t="inlineStr">
        <is>
          <t>P-Series Agricultural is XAG's aerial robot — camera-centric. Agricultural sensing and terrain following sensors; aimed at agricultural.</t>
        </is>
      </c>
      <c r="M35" s="101" t="inlineStr">
        <is>
          <t>P-Series Agricultural is XAG's aerial robot — camera-centric. Agricultural sensing and terrain following sensors; aimed at agricultural.</t>
        </is>
      </c>
      <c r="N35" s="145" t="n"/>
      <c r="O35" s="145" t="inlineStr">
        <is>
          <t>https://www.xa.com</t>
        </is>
      </c>
      <c r="P35" s="145" t="n"/>
      <c r="Q35" s="145" t="n"/>
      <c r="R35" s="145" t="inlineStr">
        <is>
          <t>Not disclosed</t>
        </is>
      </c>
      <c r="S35" s="145" t="n"/>
      <c r="T35" s="149" t="inlineStr">
        <is>
          <t>Not disclosed</t>
        </is>
      </c>
      <c r="U35" s="145" t="n"/>
      <c r="V35" s="145" t="n"/>
      <c r="W35" s="149" t="n"/>
      <c r="X35" s="145" t="inlineStr">
        <is>
          <t>Not disclosed</t>
        </is>
      </c>
      <c r="Y35" s="145" t="n"/>
      <c r="Z35" s="145" t="inlineStr">
        <is>
          <t>Not disclosed</t>
        </is>
      </c>
      <c r="AA35" s="145" t="n"/>
      <c r="AB35" s="145" t="n"/>
      <c r="AC35" s="149" t="inlineStr">
        <is>
          <t>Not disclosed</t>
        </is>
      </c>
      <c r="AD35" s="149" t="n"/>
      <c r="AE35" s="145" t="inlineStr">
        <is>
          <t>Not disclosed</t>
        </is>
      </c>
      <c r="AF35" s="145" t="inlineStr">
        <is>
          <t>Not disclosed</t>
        </is>
      </c>
      <c r="AG35" s="149" t="n"/>
      <c r="AH35" s="145" t="n"/>
      <c r="AI35" s="145" t="n"/>
      <c r="AJ35" s="149" t="inlineStr">
        <is>
          <t>Agricultural sensing and terrain following sensors</t>
        </is>
      </c>
      <c r="AK35" s="149" t="n"/>
      <c r="AL35" s="145" t="inlineStr">
        <is>
          <t>Operational monitoring</t>
        </is>
      </c>
      <c r="AM35" s="145" t="inlineStr">
        <is>
          <t>Not disclosed</t>
        </is>
      </c>
      <c r="AN35" s="145" t="n"/>
      <c r="AO35" s="145" t="n"/>
      <c r="AP35" s="145" t="n"/>
      <c r="AQ35" s="145" t="n"/>
      <c r="AR35" s="145" t="inlineStr">
        <is>
          <t>Not disclosed</t>
        </is>
      </c>
      <c r="AS35" s="145" t="inlineStr">
        <is>
          <t>Not disclosed</t>
        </is>
      </c>
      <c r="AT35" s="149" t="n"/>
      <c r="AU35" s="149" t="inlineStr">
        <is>
          <t>Not disclosed</t>
        </is>
      </c>
      <c r="AV35" s="145" t="inlineStr">
        <is>
          <t>XAG agricultural mission software</t>
        </is>
      </c>
      <c r="AW35" s="149" t="n"/>
      <c r="AX35" s="145" t="n"/>
      <c r="AY35" s="149" t="n"/>
      <c r="AZ35" s="149" t="n"/>
      <c r="BA35" s="149" t="n"/>
      <c r="BB35" s="149" t="n"/>
      <c r="BC35" s="149" t="n"/>
      <c r="BD35" s="145" t="n"/>
      <c r="BE35" s="145" t="inlineStr">
        <is>
          <t>Not disclosed</t>
        </is>
      </c>
      <c r="BF35" s="145" t="n"/>
      <c r="BG35" s="145" t="n"/>
      <c r="BH35" s="145" t="inlineStr">
        <is>
          <t>Not disclosed</t>
        </is>
      </c>
      <c r="BI35" s="145" t="n"/>
      <c r="BJ35" s="145" t="n"/>
      <c r="BK35" s="145" t="n"/>
      <c r="BL35" s="145" t="n"/>
      <c r="BM35" s="145" t="n"/>
      <c r="BN35" s="145" t="n"/>
      <c r="BO35" s="149" t="n"/>
      <c r="BP35" s="145" t="inlineStr">
        <is>
          <t>Not disclosed</t>
        </is>
      </c>
      <c r="BQ35" s="149" t="inlineStr">
        <is>
          <t>Agricultural</t>
        </is>
      </c>
      <c r="BR35" s="149" t="inlineStr">
        <is>
          <t>Not disclosed</t>
        </is>
      </c>
      <c r="BS35" s="149" t="n"/>
      <c r="BT35" s="145" t="n"/>
      <c r="BU35" s="145" t="n"/>
      <c r="BV35" s="149" t="inlineStr">
        <is>
          <t>High-volume spraying and mapping drones; strong Asia presence</t>
        </is>
      </c>
      <c r="BW35" s="149" t="inlineStr">
        <is>
          <t>Origin &amp; status — China · 2010 | Flight — Flight time Not disclosed · Range Not disclosed · Payload Not disclosed | Sensing — Agricultural sensing and terrain following sensors | Buying notes — 5,000–15,000 · 12 months limited / contract-dependent · Best fit: High-volume spraying and mapping drones; strong Asia presence</t>
        </is>
      </c>
      <c r="BX35" s="149" t="inlineStr">
        <is>
          <t>as_shipped|P-Series Agricultural|18000|As shipped</t>
        </is>
      </c>
      <c r="BY35" s="145" t="inlineStr">
        <is>
          <t>p_series_agricultura|Manufacturer finish|#e2e8f0|0</t>
        </is>
      </c>
      <c r="BZ35" s="145" t="inlineStr"/>
      <c r="CA35" s="149" t="inlineStr">
        <is>
          <t>Add-ons: case; 2 color options; Multi-year extended warranty available</t>
        </is>
      </c>
      <c r="CB35" s="149" t="inlineStr">
        <is>
          <t>12 months limited / contract-dependent</t>
        </is>
      </c>
      <c r="CC35" s="147" t="n">
        <v>12</v>
      </c>
      <c r="CD35" s="149" t="inlineStr">
        <is>
          <t>+3 Year Extended ≈24% of configuration (default in configurator)</t>
        </is>
      </c>
      <c r="CE35" s="145" t="inlineStr">
        <is>
          <t>Enterprise &amp; OEM UAV norms</t>
        </is>
      </c>
      <c r="CF35" s="145" t="inlineStr">
        <is>
          <t>Estimated</t>
        </is>
      </c>
      <c r="CG35" s="149" t="inlineStr">
        <is>
          <t>Military/industrial UAVs often under program SLA rather than retail warranty.</t>
        </is>
      </c>
      <c r="CH35" s="145" t="inlineStr">
        <is>
          <t>10%</t>
        </is>
      </c>
      <c r="CI35" s="145" t="inlineStr">
        <is>
          <t>17%</t>
        </is>
      </c>
      <c r="CJ35" s="145" t="inlineStr">
        <is>
          <t>24%</t>
        </is>
      </c>
      <c r="CK3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3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5" s="145" t="inlineStr">
        <is>
          <t>12 months limited / contract-dependent</t>
        </is>
      </c>
    </row>
    <row r="36" ht="31.5" customHeight="1" s="102">
      <c r="A36" s="159" t="inlineStr">
        <is>
          <t>yuneec_typhoon_h_h520</t>
        </is>
      </c>
      <c r="B36" s="160" t="inlineStr">
        <is>
          <t>Website</t>
        </is>
      </c>
      <c r="C36" s="152" t="inlineStr">
        <is>
          <t>Yuneec</t>
        </is>
      </c>
      <c r="D36" s="152" t="inlineStr">
        <is>
          <t>Typhoon H</t>
        </is>
      </c>
      <c r="E36" s="152" t="inlineStr">
        <is>
          <t>[Yuneec] Typhoon H (2016)</t>
        </is>
      </c>
      <c r="F36" s="164" t="inlineStr">
        <is>
          <t>aerial</t>
        </is>
      </c>
      <c r="G36" s="152" t="inlineStr">
        <is>
          <t>China</t>
        </is>
      </c>
      <c r="H36" s="154" t="n">
        <v>2016</v>
      </c>
      <c r="I36" s="155" t="n">
        <v>1299</v>
      </c>
      <c r="J36" s="152" t="inlineStr">
        <is>
          <t>Website store</t>
        </is>
      </c>
      <c r="K36" s="156" t="inlineStr">
        <is>
          <t>[Yuneec] Typhoon H (2016) is a aerial platform from Yuneec (China, 2016), positioned for consumer.</t>
        </is>
      </c>
      <c r="L36" s="101" t="inlineStr">
        <is>
          <t>[Yuneec] Typhoon H (2016) is a aerial platform from Yuneec (China, 2016), positioned for consumer.</t>
        </is>
      </c>
      <c r="M36" s="101" t="inlineStr">
        <is>
          <t>Typhoon H is Yuneec's aerial robot, introduced around 2016 in China. [Yuneec] Typhoon H (2016) is a aerial platform from Yuneec (China, 2016), positioned for consumer. It is positioned for consumer / Light Enterprise.</t>
        </is>
      </c>
      <c r="N36" s="152" t="n"/>
      <c r="O36" s="152" t="inlineStr">
        <is>
          <t>https://us.yuneec.com</t>
        </is>
      </c>
      <c r="P36" s="152" t="n"/>
      <c r="Q36" s="152" t="n"/>
      <c r="R36" s="152" t="inlineStr">
        <is>
          <t>≈ 4.4–5.5 lb class</t>
        </is>
      </c>
      <c r="S36" s="152" t="n"/>
      <c r="T36" s="156" t="inlineStr">
        <is>
          <t>Not disclosed</t>
        </is>
      </c>
      <c r="U36" s="152" t="n"/>
      <c r="V36" s="152" t="n"/>
      <c r="W36" s="156" t="n"/>
      <c r="X36" s="152" t="inlineStr">
        <is>
          <t>Not disclosed</t>
        </is>
      </c>
      <c r="Y36" s="152" t="n"/>
      <c r="Z36" s="152" t="inlineStr">
        <is>
          <t>Not disclosed</t>
        </is>
      </c>
      <c r="AA36" s="152" t="n"/>
      <c r="AB36" s="152" t="n"/>
      <c r="AC36" s="156" t="inlineStr">
        <is>
          <t>Not disclosed</t>
        </is>
      </c>
      <c r="AD36" s="156" t="n"/>
      <c r="AE36" s="152" t="inlineStr">
        <is>
          <t>Up to ≈ 25–30 min class</t>
        </is>
      </c>
      <c r="AF36" s="152" t="inlineStr">
        <is>
          <t>Not disclosed</t>
        </is>
      </c>
      <c r="AG36" s="156" t="n"/>
      <c r="AH36" s="152" t="n"/>
      <c r="AI36" s="152" t="n"/>
      <c r="AJ36" s="156" t="inlineStr">
        <is>
          <t>Cumulonimbus / E90 class options</t>
        </is>
      </c>
      <c r="AK36" s="156" t="n"/>
      <c r="AL36" s="152" t="inlineStr">
        <is>
          <t>Up to 4K class</t>
        </is>
      </c>
      <c r="AM36" s="152" t="inlineStr">
        <is>
          <t>3-axis</t>
        </is>
      </c>
      <c r="AN36" s="152" t="n"/>
      <c r="AO36" s="152" t="n"/>
      <c r="AP36" s="152" t="n"/>
      <c r="AQ36" s="152" t="n"/>
      <c r="AR36" s="152" t="inlineStr">
        <is>
          <t>Not disclosed</t>
        </is>
      </c>
      <c r="AS36" s="152" t="inlineStr">
        <is>
          <t>Not disclosed</t>
        </is>
      </c>
      <c r="AT36" s="156" t="n"/>
      <c r="AU36" s="156" t="inlineStr">
        <is>
          <t>Not disclosed</t>
        </is>
      </c>
      <c r="AV36" s="152" t="inlineStr">
        <is>
          <t>ST16/ST16S class transmitters</t>
        </is>
      </c>
      <c r="AW36" s="156" t="n"/>
      <c r="AX36" s="152" t="n"/>
      <c r="AY36" s="156" t="n"/>
      <c r="AZ36" s="156" t="n"/>
      <c r="BA36" s="156" t="n"/>
      <c r="BB36" s="156" t="n"/>
      <c r="BC36" s="156" t="n"/>
      <c r="BD36" s="152" t="n"/>
      <c r="BE36" s="152" t="inlineStr">
        <is>
          <t>Not disclosed</t>
        </is>
      </c>
      <c r="BF36" s="152" t="n"/>
      <c r="BG36" s="152" t="n"/>
      <c r="BH36" s="152" t="inlineStr">
        <is>
          <t>Not disclosed</t>
        </is>
      </c>
      <c r="BI36" s="152" t="n"/>
      <c r="BJ36" s="152" t="n"/>
      <c r="BK36" s="152" t="n"/>
      <c r="BL36" s="152" t="n"/>
      <c r="BM36" s="152" t="n"/>
      <c r="BN36" s="152" t="n"/>
      <c r="BO36" s="156" t="n"/>
      <c r="BP36" s="152" t="inlineStr">
        <is>
          <t>Not disclosed</t>
        </is>
      </c>
      <c r="BQ36" s="156" t="inlineStr">
        <is>
          <t>Consumer / Light Enterprise</t>
        </is>
      </c>
      <c r="BR36" s="156" t="inlineStr">
        <is>
          <t>Not disclosed</t>
        </is>
      </c>
      <c r="BS36" s="156" t="n"/>
      <c r="BT36" s="152" t="n"/>
      <c r="BU36" s="152" t="n"/>
      <c r="BV36" s="156" t="inlineStr">
        <is>
          <t>Hexacopter layout; Intel RealSense obstacle sensing</t>
        </is>
      </c>
      <c r="BW36" s="156" t="inlineStr">
        <is>
          <t>Origin &amp; status — China · 2016 | Flight — Flight time Up to ≈ 25–30 min class · Range Not disclosed · Payload Not disclosed | Sensing — Cumulonimbus / E90 class options | Buying notes — ~1,299 · 12 months limited manufacturer warranty (typical consumer UAV) · Best fit: Hexacopter layout; Intel RealSense obstacle sensing</t>
        </is>
      </c>
      <c r="BX36" s="156" t="inlineStr">
        <is>
          <t>as_shipped|Typhoon H|1299|As shipped</t>
        </is>
      </c>
      <c r="BY36" s="152" t="inlineStr">
        <is>
          <t>typhoon_h|Manufacturer finish|#e2e8f0|0</t>
        </is>
      </c>
      <c r="BZ36" s="152" t="inlineStr"/>
      <c r="CA36" s="156" t="inlineStr">
        <is>
          <t>Add-ons: case; 2 color options; Multi-year extended warranty available</t>
        </is>
      </c>
      <c r="CB36" s="156" t="inlineStr">
        <is>
          <t>12 months limited manufacturer warranty (typical consumer UAV)</t>
        </is>
      </c>
      <c r="CC36" s="154" t="n">
        <v>12</v>
      </c>
      <c r="CD36" s="156" t="inlineStr">
        <is>
          <t>+3 Year Extended ≈24% of configuration (default in configurator)</t>
        </is>
      </c>
      <c r="CE36" s="152" t="inlineStr">
        <is>
          <t>Consumer drone category standard</t>
        </is>
      </c>
      <c r="CF36" s="152" t="inlineStr">
        <is>
          <t>Estimated</t>
        </is>
      </c>
      <c r="CG36" s="156" t="inlineStr">
        <is>
          <t>Batteries/propellers often shorter or excluded.</t>
        </is>
      </c>
      <c r="CH36" s="152" t="inlineStr">
        <is>
          <t>10%</t>
        </is>
      </c>
      <c r="CI36" s="152" t="inlineStr">
        <is>
          <t>17%</t>
        </is>
      </c>
      <c r="CJ36" s="152" t="inlineStr">
        <is>
          <t>24%</t>
        </is>
      </c>
      <c r="CK36"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36"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6" s="152" t="inlineStr">
        <is>
          <t>12 months limited manufacturer warranty (typical consumer UAV)</t>
        </is>
      </c>
    </row>
    <row r="37" ht="31.5" customHeight="1" s="102">
      <c r="A37" s="159" t="inlineStr">
        <is>
          <t>yuneec_typhoon_h_h520_typhoon_h520</t>
        </is>
      </c>
      <c r="B37" s="160" t="inlineStr">
        <is>
          <t>Website</t>
        </is>
      </c>
      <c r="C37" s="152" t="inlineStr">
        <is>
          <t>Yuneec</t>
        </is>
      </c>
      <c r="D37" s="152" t="inlineStr">
        <is>
          <t>Typhoon H520</t>
        </is>
      </c>
      <c r="E37" s="152" t="inlineStr">
        <is>
          <t>[Yuneec] Typhoon H520 (2016)</t>
        </is>
      </c>
      <c r="F37" s="164" t="inlineStr">
        <is>
          <t>aerial</t>
        </is>
      </c>
      <c r="G37" s="152" t="inlineStr">
        <is>
          <t>China</t>
        </is>
      </c>
      <c r="H37" s="154" t="n">
        <v>2016</v>
      </c>
      <c r="I37" s="155" t="n">
        <v>1299</v>
      </c>
      <c r="J37" s="152" t="inlineStr">
        <is>
          <t>Website store</t>
        </is>
      </c>
      <c r="K37" s="156" t="inlineStr">
        <is>
          <t>[Yuneec] Typhoon H520 (2016) is a aerial platform from Yuneec (China, 2016), positioned for consumer.</t>
        </is>
      </c>
      <c r="L37" s="101" t="inlineStr">
        <is>
          <t>[Yuneec] Typhoon H520 (2016) is a aerial platform from Yuneec (China, 2016), positioned for consumer.</t>
        </is>
      </c>
      <c r="M37" s="101" t="inlineStr">
        <is>
          <t>Typhoon H520 is Yuneec's aerial robot, introduced around 2016 in China. [Yuneec] Typhoon H520 (2016) is a aerial platform from Yuneec (China, 2016), positioned for consumer. It is positioned for consumer / Light Enterprise.</t>
        </is>
      </c>
      <c r="N37" s="152" t="n"/>
      <c r="O37" s="152" t="inlineStr">
        <is>
          <t>https://us.yuneec.com</t>
        </is>
      </c>
      <c r="P37" s="152" t="n"/>
      <c r="Q37" s="152" t="n"/>
      <c r="R37" s="152" t="inlineStr">
        <is>
          <t>≈ 4.4–5.5 lb class</t>
        </is>
      </c>
      <c r="S37" s="152" t="n"/>
      <c r="T37" s="156" t="inlineStr">
        <is>
          <t>Not disclosed</t>
        </is>
      </c>
      <c r="U37" s="152" t="n"/>
      <c r="V37" s="152" t="n"/>
      <c r="W37" s="156" t="n"/>
      <c r="X37" s="152" t="inlineStr">
        <is>
          <t>Not disclosed</t>
        </is>
      </c>
      <c r="Y37" s="152" t="n"/>
      <c r="Z37" s="152" t="inlineStr">
        <is>
          <t>Not disclosed</t>
        </is>
      </c>
      <c r="AA37" s="152" t="n"/>
      <c r="AB37" s="152" t="n"/>
      <c r="AC37" s="156" t="inlineStr">
        <is>
          <t>Not disclosed</t>
        </is>
      </c>
      <c r="AD37" s="156" t="n"/>
      <c r="AE37" s="152" t="inlineStr">
        <is>
          <t>Up to ≈ 25–30 min class</t>
        </is>
      </c>
      <c r="AF37" s="152" t="inlineStr">
        <is>
          <t>Not disclosed</t>
        </is>
      </c>
      <c r="AG37" s="156" t="n"/>
      <c r="AH37" s="152" t="n"/>
      <c r="AI37" s="152" t="n"/>
      <c r="AJ37" s="156" t="inlineStr">
        <is>
          <t>Cumulonimbus / E90 class options</t>
        </is>
      </c>
      <c r="AK37" s="156" t="n"/>
      <c r="AL37" s="152" t="inlineStr">
        <is>
          <t>Up to 4K class</t>
        </is>
      </c>
      <c r="AM37" s="152" t="inlineStr">
        <is>
          <t>3-axis</t>
        </is>
      </c>
      <c r="AN37" s="152" t="n"/>
      <c r="AO37" s="152" t="n"/>
      <c r="AP37" s="152" t="n"/>
      <c r="AQ37" s="152" t="n"/>
      <c r="AR37" s="152" t="inlineStr">
        <is>
          <t>Not disclosed</t>
        </is>
      </c>
      <c r="AS37" s="152" t="inlineStr">
        <is>
          <t>Not disclosed</t>
        </is>
      </c>
      <c r="AT37" s="156" t="n"/>
      <c r="AU37" s="156" t="inlineStr">
        <is>
          <t>Not disclosed</t>
        </is>
      </c>
      <c r="AV37" s="152" t="inlineStr">
        <is>
          <t>ST16/ST16S class transmitters</t>
        </is>
      </c>
      <c r="AW37" s="156" t="n"/>
      <c r="AX37" s="152" t="n"/>
      <c r="AY37" s="156" t="n"/>
      <c r="AZ37" s="156" t="n"/>
      <c r="BA37" s="156" t="n"/>
      <c r="BB37" s="156" t="n"/>
      <c r="BC37" s="156" t="n"/>
      <c r="BD37" s="152" t="n"/>
      <c r="BE37" s="152" t="inlineStr">
        <is>
          <t>Not disclosed</t>
        </is>
      </c>
      <c r="BF37" s="152" t="n"/>
      <c r="BG37" s="152" t="n"/>
      <c r="BH37" s="152" t="inlineStr">
        <is>
          <t>Not disclosed</t>
        </is>
      </c>
      <c r="BI37" s="152" t="n"/>
      <c r="BJ37" s="152" t="n"/>
      <c r="BK37" s="152" t="n"/>
      <c r="BL37" s="152" t="n"/>
      <c r="BM37" s="152" t="n"/>
      <c r="BN37" s="152" t="n"/>
      <c r="BO37" s="156" t="n"/>
      <c r="BP37" s="152" t="inlineStr">
        <is>
          <t>Not disclosed</t>
        </is>
      </c>
      <c r="BQ37" s="156" t="inlineStr">
        <is>
          <t>Consumer / Light Enterprise</t>
        </is>
      </c>
      <c r="BR37" s="156" t="inlineStr">
        <is>
          <t>Not disclosed</t>
        </is>
      </c>
      <c r="BS37" s="156" t="n"/>
      <c r="BT37" s="152" t="n"/>
      <c r="BU37" s="152" t="n"/>
      <c r="BV37" s="156" t="inlineStr">
        <is>
          <t>Hexacopter layout; Intel RealSense obstacle sensing</t>
        </is>
      </c>
      <c r="BW37" s="156" t="inlineStr">
        <is>
          <t>Origin &amp; status — China · 2016 | Flight — Flight time Up to ≈ 25–30 min class · Range Not disclosed · Payload Not disclosed | Sensing — Cumulonimbus / E90 class options | Buying notes — ~1,299 · 12 months limited manufacturer warranty (typical consumer UAV) · Best fit: Hexacopter layout; Intel RealSense obstacle sensing</t>
        </is>
      </c>
      <c r="BX37" s="156" t="inlineStr">
        <is>
          <t>as_shipped|Typhoon H520|1299|As shipped</t>
        </is>
      </c>
      <c r="BY37" s="152" t="inlineStr">
        <is>
          <t>typhoon_h520|Manufacturer finish|#e2e8f0|0</t>
        </is>
      </c>
      <c r="BZ37" s="152" t="inlineStr"/>
      <c r="CA37" s="156" t="inlineStr">
        <is>
          <t>Add-ons: case; 2 color options; Multi-year extended warranty available</t>
        </is>
      </c>
      <c r="CB37" s="156" t="inlineStr">
        <is>
          <t>12 months limited manufacturer warranty (typical consumer UAV)</t>
        </is>
      </c>
      <c r="CC37" s="154" t="n">
        <v>12</v>
      </c>
      <c r="CD37" s="156" t="inlineStr">
        <is>
          <t>+3 Year Extended ≈24% of configuration (default in configurator)</t>
        </is>
      </c>
      <c r="CE37" s="152" t="inlineStr">
        <is>
          <t>Consumer drone category standard</t>
        </is>
      </c>
      <c r="CF37" s="152" t="inlineStr">
        <is>
          <t>Estimated</t>
        </is>
      </c>
      <c r="CG37" s="156" t="inlineStr">
        <is>
          <t>Batteries/propellers often shorter or excluded.</t>
        </is>
      </c>
      <c r="CH37" s="152" t="inlineStr">
        <is>
          <t>10%</t>
        </is>
      </c>
      <c r="CI37" s="152" t="inlineStr">
        <is>
          <t>17%</t>
        </is>
      </c>
      <c r="CJ37" s="152" t="inlineStr">
        <is>
          <t>24%</t>
        </is>
      </c>
      <c r="CK37"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37"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7" s="152" t="inlineStr">
        <is>
          <t>12 months limited manufacturer warranty (typical consumer UAV)</t>
        </is>
      </c>
    </row>
    <row r="38" ht="31.5" customHeight="1" s="102">
      <c r="A38" s="143" t="inlineStr">
        <is>
          <t>skydio_skydio_2_2_skydio_2</t>
        </is>
      </c>
      <c r="B38" s="160" t="inlineStr">
        <is>
          <t>Website</t>
        </is>
      </c>
      <c r="C38" s="145" t="inlineStr">
        <is>
          <t>Skydio</t>
        </is>
      </c>
      <c r="D38" s="145" t="inlineStr">
        <is>
          <t>Skydio 2+</t>
        </is>
      </c>
      <c r="E38" s="145" t="inlineStr">
        <is>
          <t>[Skydio] Skydio 2+ (2019)</t>
        </is>
      </c>
      <c r="F38" s="164" t="inlineStr">
        <is>
          <t>aerial</t>
        </is>
      </c>
      <c r="G38" s="145" t="inlineStr">
        <is>
          <t>Japan</t>
        </is>
      </c>
      <c r="H38" s="147" t="n">
        <v>2019</v>
      </c>
      <c r="I38" s="148" t="n">
        <v>999</v>
      </c>
      <c r="J38" s="145" t="inlineStr">
        <is>
          <t>Website store</t>
        </is>
      </c>
      <c r="K38" s="149" t="inlineStr">
        <is>
          <t>[Skydio] Skydio 2+ (2019) is a aerial platform from Skydio (USA, 2019), positioned for consumer autonomous.</t>
        </is>
      </c>
      <c r="L38" s="101" t="inlineStr">
        <is>
          <t>[Skydio] Skydio 2+ (2019) is a aerial platform from Skydio (USA, 2019), positioned for consumer autonomous.</t>
        </is>
      </c>
      <c r="M38" s="101" t="inlineStr">
        <is>
          <t>Skydio 2+ is Skydio's aerial robot, introduced around 2019 in USA. [Skydio] Skydio 2+ (2019) is a aerial platform from Skydio (USA, 2019), positioned for consumer autonomous.</t>
        </is>
      </c>
      <c r="N38" s="145" t="n"/>
      <c r="O38" s="145" t="inlineStr">
        <is>
          <t>https://www.skydio.com</t>
        </is>
      </c>
      <c r="P38" s="145" t="n"/>
      <c r="Q38" s="145" t="n"/>
      <c r="R38" s="145" t="inlineStr">
        <is>
          <t>≈ 1.7 lb class</t>
        </is>
      </c>
      <c r="S38" s="145" t="n"/>
      <c r="T38" s="149" t="inlineStr">
        <is>
          <t>Not disclosed</t>
        </is>
      </c>
      <c r="U38" s="145" t="n"/>
      <c r="V38" s="145" t="n"/>
      <c r="W38" s="149" t="n"/>
      <c r="X38" s="145" t="inlineStr">
        <is>
          <t>Not disclosed</t>
        </is>
      </c>
      <c r="Y38" s="145" t="n"/>
      <c r="Z38" s="145" t="inlineStr">
        <is>
          <t>Not disclosed</t>
        </is>
      </c>
      <c r="AA38" s="145" t="n"/>
      <c r="AB38" s="145" t="n"/>
      <c r="AC38" s="149" t="inlineStr">
        <is>
          <t>Not disclosed</t>
        </is>
      </c>
      <c r="AD38" s="149" t="n"/>
      <c r="AE38" s="145" t="inlineStr">
        <is>
          <t>Up to ≈ 27 min class</t>
        </is>
      </c>
      <c r="AF38" s="145" t="inlineStr">
        <is>
          <t>Not disclosed</t>
        </is>
      </c>
      <c r="AG38" s="149" t="n"/>
      <c r="AH38" s="145" t="n"/>
      <c r="AI38" s="145" t="n"/>
      <c r="AJ38" s="149" t="inlineStr">
        <is>
          <t>Industrial inspection cameras</t>
        </is>
      </c>
      <c r="AK38" s="149" t="n"/>
      <c r="AL38" s="145" t="inlineStr">
        <is>
          <t>Secure industrial video paths</t>
        </is>
      </c>
      <c r="AM38" s="145" t="inlineStr">
        <is>
          <t>Not disclosed</t>
        </is>
      </c>
      <c r="AN38" s="145" t="n"/>
      <c r="AO38" s="145" t="n"/>
      <c r="AP38" s="145" t="n"/>
      <c r="AQ38" s="145" t="n"/>
      <c r="AR38" s="145" t="inlineStr">
        <is>
          <t>360° obstacle avoidance class</t>
        </is>
      </c>
      <c r="AS38" s="145" t="inlineStr">
        <is>
          <t>Not disclosed</t>
        </is>
      </c>
      <c r="AT38" s="149" t="n"/>
      <c r="AU38" s="149" t="inlineStr">
        <is>
          <t>Not disclosed</t>
        </is>
      </c>
      <c r="AV38" s="145" t="inlineStr">
        <is>
          <t>ACSL industrial flight software</t>
        </is>
      </c>
      <c r="AW38" s="149" t="n"/>
      <c r="AX38" s="145" t="n"/>
      <c r="AY38" s="149" t="n"/>
      <c r="AZ38" s="149" t="n"/>
      <c r="BA38" s="149" t="n"/>
      <c r="BB38" s="149" t="n"/>
      <c r="BC38" s="149" t="n"/>
      <c r="BD38" s="145" t="n"/>
      <c r="BE38" s="145" t="inlineStr">
        <is>
          <t>Not disclosed</t>
        </is>
      </c>
      <c r="BF38" s="145" t="n"/>
      <c r="BG38" s="145" t="n"/>
      <c r="BH38" s="145" t="inlineStr">
        <is>
          <t>Not disclosed</t>
        </is>
      </c>
      <c r="BI38" s="145" t="n"/>
      <c r="BJ38" s="145" t="n"/>
      <c r="BK38" s="145" t="n"/>
      <c r="BL38" s="145" t="n"/>
      <c r="BM38" s="145" t="n"/>
      <c r="BN38" s="145" t="n"/>
      <c r="BO38" s="149" t="n"/>
      <c r="BP38" s="145" t="inlineStr">
        <is>
          <t>Not disclosed</t>
        </is>
      </c>
      <c r="BQ38" s="149" t="inlineStr">
        <is>
          <t>Industrial / Survey / Inspection</t>
        </is>
      </c>
      <c r="BR38" s="149" t="inlineStr">
        <is>
          <t>Not disclosed</t>
        </is>
      </c>
      <c r="BS38" s="149" t="n"/>
      <c r="BT38" s="145" t="n"/>
      <c r="BU38" s="145" t="n"/>
      <c r="BV38" s="149" t="inlineStr">
        <is>
          <t>Japanese NDAA-friendly industrial multirotor; strong enterprise &amp; infrastructure focus</t>
        </is>
      </c>
      <c r="BW38" s="149" t="inlineStr">
        <is>
          <t>Origin &amp; status — USA · 2019 | Flight — Flight time Up to ≈ 27 min class · Range Not disclosed · Payload Not disclosed | Sensing — Primary camera + obstacle cameras | Buying notes — $999 · 12 months manufacturer standard (typical) · Best fit: Compact form factor; six navigation cameras; excellent obstacle avoidance</t>
        </is>
      </c>
      <c r="BX38" s="149" t="inlineStr">
        <is>
          <t>as_shipped|Skydio 2+|999|As shipped</t>
        </is>
      </c>
      <c r="BY38" s="145" t="inlineStr">
        <is>
          <t>skydio_2|Manufacturer finish|#e2e8f0|0</t>
        </is>
      </c>
      <c r="BZ38" s="145" t="inlineStr"/>
      <c r="CA38" s="149" t="inlineStr">
        <is>
          <t>Add-ons: case; 2 color options; Multi-year extended warranty available</t>
        </is>
      </c>
      <c r="CB38" s="149" t="inlineStr">
        <is>
          <t>12 months manufacturer standard (typical)</t>
        </is>
      </c>
      <c r="CC38" s="147" t="n">
        <v>12</v>
      </c>
      <c r="CD38" s="149" t="inlineStr">
        <is>
          <t>+3 Year Extended ≈24% of configuration (default in configurator)</t>
        </is>
      </c>
      <c r="CE38" s="145" t="inlineStr">
        <is>
          <t>Industry default when OEM sheet not public</t>
        </is>
      </c>
      <c r="CF38" s="145" t="inlineStr">
        <is>
          <t>Estimated</t>
        </is>
      </c>
      <c r="CG38" s="149" t="inlineStr">
        <is>
          <t>Always confirm exact warranty on formal quote before purchase.</t>
        </is>
      </c>
      <c r="CH38" s="145" t="inlineStr">
        <is>
          <t>10%</t>
        </is>
      </c>
      <c r="CI38" s="145" t="inlineStr">
        <is>
          <t>17%</t>
        </is>
      </c>
      <c r="CJ38" s="145" t="inlineStr">
        <is>
          <t>24%</t>
        </is>
      </c>
      <c r="CK38"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38"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8" s="145" t="inlineStr">
        <is>
          <t>12 months manufacturer standard (typical)</t>
        </is>
      </c>
    </row>
    <row r="39" ht="31.5" customHeight="1" s="102">
      <c r="A39" s="143" t="inlineStr">
        <is>
          <t>dji_inspire_3</t>
        </is>
      </c>
      <c r="B39" s="160" t="inlineStr">
        <is>
          <t>Website</t>
        </is>
      </c>
      <c r="C39" s="145" t="inlineStr">
        <is>
          <t>DJI</t>
        </is>
      </c>
      <c r="D39" s="145" t="inlineStr">
        <is>
          <t>Inspire 3</t>
        </is>
      </c>
      <c r="E39" s="145" t="inlineStr">
        <is>
          <t>[DJI] Inspire 3 (2023)</t>
        </is>
      </c>
      <c r="F39" s="164" t="inlineStr">
        <is>
          <t>aerial</t>
        </is>
      </c>
      <c r="G39" s="145" t="inlineStr">
        <is>
          <t>Japan</t>
        </is>
      </c>
      <c r="H39" s="147" t="n">
        <v>2023</v>
      </c>
      <c r="I39" s="148" t="n">
        <v>16499</v>
      </c>
      <c r="J39" s="145" t="inlineStr">
        <is>
          <t>Website store</t>
        </is>
      </c>
      <c r="K39" s="149" t="inlineStr">
        <is>
          <t>Inspire 3 is DJI's aerial robot — Up to ≈ 28 min flight time, camera-centric. Cinema camera platform with DL mount full-frame ecosystem; aimed at cinema.</t>
        </is>
      </c>
      <c r="L39" s="101" t="inlineStr">
        <is>
          <t>Inspire 3 is DJI's aerial robot — Up to ≈ 28 min flight time, camera-centric. Cinema camera platform with DL mount full-frame ecosystem; aimed at cinema.</t>
        </is>
      </c>
      <c r="M39" s="101" t="inlineStr">
        <is>
          <t>Inspire 3 is DJI's aerial robot — Up to ≈ 28 min flight time, camera-centric. Cinema camera platform with DL mount full-frame ecosystem; aimed at cinema. It is positioned for cinema / Professional.</t>
        </is>
      </c>
      <c r="N39" s="145" t="n"/>
      <c r="O39" s="145" t="inlineStr">
        <is>
          <t>https://www.dji.com</t>
        </is>
      </c>
      <c r="P39" s="145" t="n"/>
      <c r="Q39" s="145" t="n"/>
      <c r="R39" s="145" t="inlineStr">
        <is>
          <t>≈ 8.8 lb takeoff class</t>
        </is>
      </c>
      <c r="S39" s="145" t="n"/>
      <c r="T39" s="149" t="inlineStr">
        <is>
          <t>Not disclosed</t>
        </is>
      </c>
      <c r="U39" s="145" t="n"/>
      <c r="V39" s="145" t="n"/>
      <c r="W39" s="149" t="n"/>
      <c r="X39" s="145" t="inlineStr">
        <is>
          <t>Not disclosed</t>
        </is>
      </c>
      <c r="Y39" s="145" t="n"/>
      <c r="Z39" s="145" t="inlineStr">
        <is>
          <t>≈ 58 mph class</t>
        </is>
      </c>
      <c r="AA39" s="145" t="n"/>
      <c r="AB39" s="145" t="n"/>
      <c r="AC39" s="149" t="inlineStr">
        <is>
          <t>Not disclosed</t>
        </is>
      </c>
      <c r="AD39" s="149" t="n"/>
      <c r="AE39" s="145" t="inlineStr">
        <is>
          <t>Up to ≈ 28 min</t>
        </is>
      </c>
      <c r="AF39" s="145" t="inlineStr">
        <is>
          <t>Not disclosed</t>
        </is>
      </c>
      <c r="AG39" s="149" t="n"/>
      <c r="AH39" s="145" t="n"/>
      <c r="AI39" s="145" t="n"/>
      <c r="AJ39" s="149" t="inlineStr">
        <is>
          <t>Industrial inspection cameras</t>
        </is>
      </c>
      <c r="AK39" s="149" t="n"/>
      <c r="AL39" s="145" t="inlineStr">
        <is>
          <t>Secure industrial video paths</t>
        </is>
      </c>
      <c r="AM39" s="145" t="inlineStr">
        <is>
          <t>3-axis dual-gimbal capable</t>
        </is>
      </c>
      <c r="AN39" s="145" t="n"/>
      <c r="AO39" s="145" t="n"/>
      <c r="AP39" s="145" t="n"/>
      <c r="AQ39" s="145" t="n"/>
      <c r="AR39" s="145" t="inlineStr">
        <is>
          <t>Omnidirectional multi-sensor</t>
        </is>
      </c>
      <c r="AS39" s="145" t="inlineStr">
        <is>
          <t>Not disclosed</t>
        </is>
      </c>
      <c r="AT39" s="149" t="n"/>
      <c r="AU39" s="149" t="inlineStr">
        <is>
          <t>Not disclosed</t>
        </is>
      </c>
      <c r="AV39" s="145" t="inlineStr">
        <is>
          <t>ACSL industrial flight software</t>
        </is>
      </c>
      <c r="AW39" s="149" t="n"/>
      <c r="AX39" s="145" t="n"/>
      <c r="AY39" s="149" t="n"/>
      <c r="AZ39" s="149" t="n"/>
      <c r="BA39" s="149" t="n"/>
      <c r="BB39" s="149" t="n"/>
      <c r="BC39" s="149" t="n"/>
      <c r="BD39" s="145" t="n"/>
      <c r="BE39" s="145" t="inlineStr">
        <is>
          <t>Not disclosed</t>
        </is>
      </c>
      <c r="BF39" s="145" t="n"/>
      <c r="BG39" s="145" t="n"/>
      <c r="BH39" s="145" t="inlineStr">
        <is>
          <t>Not disclosed</t>
        </is>
      </c>
      <c r="BI39" s="145" t="n"/>
      <c r="BJ39" s="145" t="n"/>
      <c r="BK39" s="145" t="n"/>
      <c r="BL39" s="145" t="n"/>
      <c r="BM39" s="145" t="n"/>
      <c r="BN39" s="145" t="n"/>
      <c r="BO39" s="149" t="n"/>
      <c r="BP39" s="145" t="inlineStr">
        <is>
          <t>Not disclosed</t>
        </is>
      </c>
      <c r="BQ39" s="149" t="inlineStr">
        <is>
          <t>Industrial / Survey / Inspection</t>
        </is>
      </c>
      <c r="BR39" s="149" t="inlineStr">
        <is>
          <t>Not disclosed</t>
        </is>
      </c>
      <c r="BS39" s="149" t="n"/>
      <c r="BT39" s="145" t="n"/>
      <c r="BU39" s="145" t="n"/>
      <c r="BV39" s="149" t="inlineStr">
        <is>
          <t>Japanese NDAA-friendly industrial multirotor; strong enterprise &amp; infrastructure focus</t>
        </is>
      </c>
      <c r="BW39" s="149" t="inlineStr">
        <is>
          <t>Origin &amp; status — China · 2023 | Flight — Flight time Up to ≈ 28 min · Range Not disclosed · Payload Not disclosed | Sensing — Cinema camera platform with DL mount full-frame ecosystem | Buying notes — 16,499 · 12 months manufacturer standard (typical) · Best fit: Full-frame 8K cinema capability; dual-operator workflow; high-end production</t>
        </is>
      </c>
      <c r="BX39" s="149" t="inlineStr">
        <is>
          <t>aircraft|Inspire 3 Aircraft|16499|Cinema airframe || combo|Inspire 3 Combo|21498|Pro combo</t>
        </is>
      </c>
      <c r="BY39" s="145" t="inlineStr">
        <is>
          <t>gray|Inspire Gray|#3f3f46|0</t>
        </is>
      </c>
      <c r="BZ39" s="145" t="inlineStr">
        <is>
          <t>battery, charger</t>
        </is>
      </c>
      <c r="CA39" s="149" t="inlineStr">
        <is>
          <t>Add-ons: case; 2 color options; Multi-year extended warranty available</t>
        </is>
      </c>
      <c r="CB39" s="149" t="inlineStr">
        <is>
          <t>12 months manufacturer standard (typical)</t>
        </is>
      </c>
      <c r="CC39" s="147" t="n">
        <v>12</v>
      </c>
      <c r="CD39" s="149" t="inlineStr">
        <is>
          <t>+3 Year Extended ≈24% of configuration (default in configurator)</t>
        </is>
      </c>
      <c r="CE39" s="145" t="inlineStr">
        <is>
          <t>Industry default when OEM sheet not public</t>
        </is>
      </c>
      <c r="CF39" s="145" t="inlineStr">
        <is>
          <t>Estimated</t>
        </is>
      </c>
      <c r="CG39" s="149" t="inlineStr">
        <is>
          <t>Always confirm exact warranty on formal quote before purchase.</t>
        </is>
      </c>
      <c r="CH39" s="145" t="inlineStr">
        <is>
          <t>10%</t>
        </is>
      </c>
      <c r="CI39" s="145" t="inlineStr">
        <is>
          <t>17%</t>
        </is>
      </c>
      <c r="CJ39" s="145" t="inlineStr">
        <is>
          <t>24%</t>
        </is>
      </c>
      <c r="CK3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3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9" s="145" t="inlineStr">
        <is>
          <t>12 months manufacturer standard (typical)</t>
        </is>
      </c>
    </row>
    <row r="40" ht="31.5" customHeight="1" s="102">
      <c r="A40" s="143" t="inlineStr">
        <is>
          <t>parrot_anafi_usa</t>
        </is>
      </c>
      <c r="B40" s="160" t="inlineStr">
        <is>
          <t>Website</t>
        </is>
      </c>
      <c r="C40" s="145" t="inlineStr">
        <is>
          <t>Parrot</t>
        </is>
      </c>
      <c r="D40" s="145" t="inlineStr">
        <is>
          <t>ANAFI USA</t>
        </is>
      </c>
      <c r="E40" s="145" t="inlineStr">
        <is>
          <t>[Parrot] ANAFI USA (2020)</t>
        </is>
      </c>
      <c r="F40" s="164" t="inlineStr">
        <is>
          <t>aerial</t>
        </is>
      </c>
      <c r="G40" s="145" t="inlineStr">
        <is>
          <t>Japan</t>
        </is>
      </c>
      <c r="H40" s="147" t="n">
        <v>2020</v>
      </c>
      <c r="I40" s="148" t="n">
        <v>7000</v>
      </c>
      <c r="J40" s="145" t="inlineStr">
        <is>
          <t>Website store</t>
        </is>
      </c>
      <c r="K40" s="149" t="inlineStr">
        <is>
          <t>ANAFI USA is Parrot's aerial robot — camera-centric. 32× zoom class; NDAA-oriented configuration lineage; aimed at enterprise.</t>
        </is>
      </c>
      <c r="L40" s="101" t="inlineStr">
        <is>
          <t>ANAFI USA is Parrot's aerial robot — camera-centric. 32× zoom class; NDAA-oriented configuration lineage; aimed at enterprise.</t>
        </is>
      </c>
      <c r="M40" s="101" t="inlineStr">
        <is>
          <t>ANAFI USA is Parrot's aerial robot — camera-centric. 32× zoom class; NDAA-oriented configuration lineage; aimed at enterprise. It is positioned for enterprise / Government.</t>
        </is>
      </c>
      <c r="N40" s="145" t="n"/>
      <c r="O40" s="145" t="inlineStr">
        <is>
          <t>https://www.parrot.com</t>
        </is>
      </c>
      <c r="P40" s="145" t="n"/>
      <c r="Q40" s="145" t="n"/>
      <c r="R40" s="145" t="inlineStr">
        <is>
          <t>≈ 1.4 lb class</t>
        </is>
      </c>
      <c r="S40" s="145" t="n"/>
      <c r="T40" s="149" t="inlineStr">
        <is>
          <t>Not disclosed</t>
        </is>
      </c>
      <c r="U40" s="145" t="n"/>
      <c r="V40" s="145" t="n"/>
      <c r="W40" s="149" t="n"/>
      <c r="X40" s="145" t="inlineStr">
        <is>
          <t>Not disclosed</t>
        </is>
      </c>
      <c r="Y40" s="145" t="n"/>
      <c r="Z40" s="145" t="inlineStr">
        <is>
          <t>Not disclosed</t>
        </is>
      </c>
      <c r="AA40" s="145" t="n"/>
      <c r="AB40" s="145" t="n"/>
      <c r="AC40" s="149" t="inlineStr">
        <is>
          <t>Not disclosed</t>
        </is>
      </c>
      <c r="AD40" s="149" t="n"/>
      <c r="AE40" s="145" t="inlineStr">
        <is>
          <t>Not disclosed</t>
        </is>
      </c>
      <c r="AF40" s="145" t="inlineStr">
        <is>
          <t>Not disclosed</t>
        </is>
      </c>
      <c r="AG40" s="149" t="n"/>
      <c r="AH40" s="145" t="n"/>
      <c r="AI40" s="145" t="n"/>
      <c r="AJ40" s="149" t="inlineStr">
        <is>
          <t>Industrial inspection cameras</t>
        </is>
      </c>
      <c r="AK40" s="149" t="n"/>
      <c r="AL40" s="145" t="inlineStr">
        <is>
          <t>Secure industrial video paths</t>
        </is>
      </c>
      <c r="AM40" s="145" t="inlineStr">
        <is>
          <t>Not disclosed</t>
        </is>
      </c>
      <c r="AN40" s="145" t="n"/>
      <c r="AO40" s="145" t="n"/>
      <c r="AP40" s="145" t="n"/>
      <c r="AQ40" s="145" t="n"/>
      <c r="AR40" s="145" t="inlineStr">
        <is>
          <t>Not disclosed</t>
        </is>
      </c>
      <c r="AS40" s="145" t="inlineStr">
        <is>
          <t>Not disclosed</t>
        </is>
      </c>
      <c r="AT40" s="149" t="n"/>
      <c r="AU40" s="149" t="inlineStr">
        <is>
          <t>Not disclosed</t>
        </is>
      </c>
      <c r="AV40" s="145" t="inlineStr">
        <is>
          <t>ACSL industrial flight software</t>
        </is>
      </c>
      <c r="AW40" s="149" t="n"/>
      <c r="AX40" s="145" t="n"/>
      <c r="AY40" s="149" t="n"/>
      <c r="AZ40" s="149" t="n"/>
      <c r="BA40" s="149" t="n"/>
      <c r="BB40" s="149" t="n"/>
      <c r="BC40" s="149" t="n"/>
      <c r="BD40" s="145" t="n"/>
      <c r="BE40" s="145" t="inlineStr">
        <is>
          <t>Not disclosed</t>
        </is>
      </c>
      <c r="BF40" s="145" t="n"/>
      <c r="BG40" s="145" t="n"/>
      <c r="BH40" s="145" t="inlineStr">
        <is>
          <t>Not disclosed</t>
        </is>
      </c>
      <c r="BI40" s="145" t="n"/>
      <c r="BJ40" s="145" t="n"/>
      <c r="BK40" s="145" t="n"/>
      <c r="BL40" s="145" t="n"/>
      <c r="BM40" s="145" t="n"/>
      <c r="BN40" s="145" t="n"/>
      <c r="BO40" s="149" t="n"/>
      <c r="BP40" s="145" t="inlineStr">
        <is>
          <t>Not disclosed</t>
        </is>
      </c>
      <c r="BQ40" s="149" t="inlineStr">
        <is>
          <t>Industrial / Survey / Inspection</t>
        </is>
      </c>
      <c r="BR40" s="149" t="inlineStr">
        <is>
          <t>Not disclosed</t>
        </is>
      </c>
      <c r="BS40" s="149" t="n"/>
      <c r="BT40" s="145" t="n"/>
      <c r="BU40" s="145" t="n"/>
      <c r="BV40" s="149" t="inlineStr">
        <is>
          <t>Japanese NDAA-friendly industrial multirotor; strong enterprise &amp; infrastructure focus</t>
        </is>
      </c>
      <c r="BW40" s="149" t="inlineStr">
        <is>
          <t>Origin &amp; status — France · 2020 | Flight — Flight time Not disclosed · Range Not disclosed · Payload Not disclosed | Sensing — 32× zoom class; NDAA-oriented configuration lineage | Buying notes — ~7,000 · 12 months manufacturer standard (typical) · Best fit: First-responder oriented; 32× zoom + thermal; Blue UAS pathway</t>
        </is>
      </c>
      <c r="BX40" s="149" t="inlineStr">
        <is>
          <t>as_shipped|ANAFI USA|7000|As shipped</t>
        </is>
      </c>
      <c r="BY40" s="145" t="inlineStr">
        <is>
          <t>anafi_usa|Manufacturer finish|#e2e8f0|0</t>
        </is>
      </c>
      <c r="BZ40" s="145" t="inlineStr"/>
      <c r="CA40" s="149" t="inlineStr">
        <is>
          <t>Add-ons: case; 2 color options; Multi-year extended warranty available</t>
        </is>
      </c>
      <c r="CB40" s="149" t="inlineStr">
        <is>
          <t>12 months manufacturer standard (typical)</t>
        </is>
      </c>
      <c r="CC40" s="147" t="n">
        <v>12</v>
      </c>
      <c r="CD40" s="149" t="inlineStr">
        <is>
          <t>+3 Year Extended ≈24% of configuration (default in configurator)</t>
        </is>
      </c>
      <c r="CE40" s="145" t="inlineStr">
        <is>
          <t>Industry default when OEM sheet not public</t>
        </is>
      </c>
      <c r="CF40" s="145" t="inlineStr">
        <is>
          <t>Estimated</t>
        </is>
      </c>
      <c r="CG40" s="149" t="inlineStr">
        <is>
          <t>Always confirm exact warranty on formal quote before purchase.</t>
        </is>
      </c>
      <c r="CH40" s="145" t="inlineStr">
        <is>
          <t>10%</t>
        </is>
      </c>
      <c r="CI40" s="145" t="inlineStr">
        <is>
          <t>17%</t>
        </is>
      </c>
      <c r="CJ40" s="145" t="inlineStr">
        <is>
          <t>24%</t>
        </is>
      </c>
      <c r="CK40"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40"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40" s="145" t="inlineStr">
        <is>
          <t>12 months manufacturer standard (typical)</t>
        </is>
      </c>
    </row>
    <row r="41" ht="31.5" customHeight="1" s="102">
      <c r="A41" s="143" t="inlineStr">
        <is>
          <t>teledyne_flir_black_hornet_black_hornet_</t>
        </is>
      </c>
      <c r="B41" s="160" t="inlineStr">
        <is>
          <t>Website</t>
        </is>
      </c>
      <c r="C41" s="145" t="inlineStr">
        <is>
          <t>Teledyne FLIR / Black Hornet</t>
        </is>
      </c>
      <c r="D41" s="145" t="inlineStr">
        <is>
          <t>Black Hornet 4</t>
        </is>
      </c>
      <c r="E41" s="145" t="inlineStr">
        <is>
          <t>[Teledyne FLIR] Black Hornet 4 (2020)</t>
        </is>
      </c>
      <c r="F41" s="164" t="inlineStr">
        <is>
          <t>aerial</t>
        </is>
      </c>
      <c r="G41" s="145" t="inlineStr">
        <is>
          <t>Japan</t>
        </is>
      </c>
      <c r="H41" s="147" t="n">
        <v>2020</v>
      </c>
      <c r="I41" s="148" t="n">
        <v>195000</v>
      </c>
      <c r="J41" s="145" t="inlineStr">
        <is>
          <t>Black Hornet 4 system class estimate</t>
        </is>
      </c>
      <c r="K41" s="149" t="inlineStr">
        <is>
          <t>Black Hornet 4 is Teledyne FLIR / Black Hornet's aerial robot — camera-centric. Primary imaging sensor and/or modular payload cameras; aimed at nano reconnaissance.</t>
        </is>
      </c>
      <c r="L41" s="101" t="inlineStr">
        <is>
          <t>Black Hornet 4 is Teledyne FLIR / Black Hornet's aerial robot — camera-centric. Primary imaging sensor and/or modular payload cameras; aimed at nano reconnaissance.</t>
        </is>
      </c>
      <c r="M41" s="101" t="inlineStr">
        <is>
          <t>Black Hornet 4 is Teledyne FLIR / Black Hornet's aerial robot — camera-centric. Primary imaging sensor and/or modular payload cameras; aimed at nano reconnaissance. It is positioned for nano reconnaissance; personal ISR for squad-level use.</t>
        </is>
      </c>
      <c r="N41" s="145" t="n"/>
      <c r="O41" s="145" t="inlineStr">
        <is>
          <t>https://www.flir.com</t>
        </is>
      </c>
      <c r="P41" s="145" t="n"/>
      <c r="Q41" s="145" t="n"/>
      <c r="R41" s="145" t="inlineStr">
        <is>
          <t>Not disclosed</t>
        </is>
      </c>
      <c r="S41" s="145" t="n"/>
      <c r="T41" s="149" t="inlineStr">
        <is>
          <t>Not disclosed</t>
        </is>
      </c>
      <c r="U41" s="145" t="n"/>
      <c r="V41" s="145" t="n"/>
      <c r="W41" s="149" t="n"/>
      <c r="X41" s="145" t="inlineStr">
        <is>
          <t>Not disclosed</t>
        </is>
      </c>
      <c r="Y41" s="145" t="n"/>
      <c r="Z41" s="145" t="inlineStr">
        <is>
          <t>Not disclosed</t>
        </is>
      </c>
      <c r="AA41" s="145" t="n"/>
      <c r="AB41" s="145" t="n"/>
      <c r="AC41" s="149" t="inlineStr">
        <is>
          <t>Not disclosed</t>
        </is>
      </c>
      <c r="AD41" s="149" t="n"/>
      <c r="AE41" s="145" t="inlineStr">
        <is>
          <t>Not disclosed</t>
        </is>
      </c>
      <c r="AF41" s="145" t="inlineStr">
        <is>
          <t>Not disclosed</t>
        </is>
      </c>
      <c r="AG41" s="149" t="n"/>
      <c r="AH41" s="145" t="n"/>
      <c r="AI41" s="145" t="n"/>
      <c r="AJ41" s="149" t="inlineStr">
        <is>
          <t>Industrial inspection cameras</t>
        </is>
      </c>
      <c r="AK41" s="149" t="n"/>
      <c r="AL41" s="145" t="inlineStr">
        <is>
          <t>Secure industrial video paths</t>
        </is>
      </c>
      <c r="AM41" s="145" t="inlineStr">
        <is>
          <t>Stabilized mount when equipped</t>
        </is>
      </c>
      <c r="AN41" s="145" t="n"/>
      <c r="AO41" s="145" t="n"/>
      <c r="AP41" s="145" t="n"/>
      <c r="AQ41" s="145" t="n"/>
      <c r="AR41" s="145" t="inlineStr">
        <is>
          <t>Vision or multi-sensor obstacle avoidance on modern platforms</t>
        </is>
      </c>
      <c r="AS41" s="145" t="inlineStr">
        <is>
          <t>Not disclosed</t>
        </is>
      </c>
      <c r="AT41" s="149" t="n"/>
      <c r="AU41" s="149" t="inlineStr">
        <is>
          <t>Not disclosed</t>
        </is>
      </c>
      <c r="AV41" s="145" t="inlineStr">
        <is>
          <t>ACSL industrial flight software</t>
        </is>
      </c>
      <c r="AW41" s="149" t="n"/>
      <c r="AX41" s="145" t="n"/>
      <c r="AY41" s="149" t="n"/>
      <c r="AZ41" s="149" t="n"/>
      <c r="BA41" s="149" t="n"/>
      <c r="BB41" s="149" t="n"/>
      <c r="BC41" s="149" t="n"/>
      <c r="BD41" s="145" t="n"/>
      <c r="BE41" s="145" t="inlineStr">
        <is>
          <t>Not disclosed</t>
        </is>
      </c>
      <c r="BF41" s="145" t="n"/>
      <c r="BG41" s="145" t="n"/>
      <c r="BH41" s="145" t="inlineStr">
        <is>
          <t>Not disclosed</t>
        </is>
      </c>
      <c r="BI41" s="145" t="n"/>
      <c r="BJ41" s="145" t="n"/>
      <c r="BK41" s="145" t="n"/>
      <c r="BL41" s="145" t="n"/>
      <c r="BM41" s="145" t="n"/>
      <c r="BN41" s="145" t="n"/>
      <c r="BO41" s="149" t="n"/>
      <c r="BP41" s="145" t="inlineStr">
        <is>
          <t>Not disclosed</t>
        </is>
      </c>
      <c r="BQ41" s="149" t="inlineStr">
        <is>
          <t>Industrial / Survey / Inspection</t>
        </is>
      </c>
      <c r="BR41" s="149" t="inlineStr">
        <is>
          <t>Not disclosed</t>
        </is>
      </c>
      <c r="BS41" s="149" t="n"/>
      <c r="BT41" s="145" t="n"/>
      <c r="BU41" s="145" t="n"/>
      <c r="BV41" s="149" t="inlineStr">
        <is>
          <t>Japanese NDAA-friendly industrial multirotor; strong enterprise &amp; infrastructure focus</t>
        </is>
      </c>
      <c r="BW41" s="149" t="inlineStr">
        <is>
          <t>Origin &amp; status — USA · 2020 | Flight — Flight time Not disclosed · Range Not disclosed · Payload Not disclosed | Sensing — Primary imaging sensor and/or modular payload cameras | Buying notes — Inquiry · 12 months manufacturer standard (typical) · Best fit: Nano reconnaissance; personal ISR for squad-level use</t>
        </is>
      </c>
      <c r="BX41" s="149" t="inlineStr">
        <is>
          <t>as_shipped|Black Hornet 4|195000|As shipped</t>
        </is>
      </c>
      <c r="BY41" s="145" t="inlineStr">
        <is>
          <t>black_hornet_4|Manufacturer finish|#e2e8f0|0</t>
        </is>
      </c>
      <c r="BZ41" s="145" t="inlineStr"/>
      <c r="CA41" s="149" t="inlineStr">
        <is>
          <t>Add-ons: case; 2 color options; Multi-year extended warranty available</t>
        </is>
      </c>
      <c r="CB41" s="149" t="inlineStr">
        <is>
          <t>12 months manufacturer standard (typical)</t>
        </is>
      </c>
      <c r="CC41" s="147" t="n">
        <v>12</v>
      </c>
      <c r="CD41" s="149" t="inlineStr">
        <is>
          <t>+3 Year Extended ≈24% of configuration (default in configurator)</t>
        </is>
      </c>
      <c r="CE41" s="145" t="inlineStr">
        <is>
          <t>Industry default when OEM sheet not public</t>
        </is>
      </c>
      <c r="CF41" s="145" t="inlineStr">
        <is>
          <t>Estimated</t>
        </is>
      </c>
      <c r="CG41" s="149" t="inlineStr">
        <is>
          <t>Always confirm exact warranty on formal quote before purchase.</t>
        </is>
      </c>
      <c r="CH41" s="145" t="inlineStr">
        <is>
          <t>10%</t>
        </is>
      </c>
      <c r="CI41" s="145" t="inlineStr">
        <is>
          <t>17%</t>
        </is>
      </c>
      <c r="CJ41" s="145" t="inlineStr">
        <is>
          <t>24%</t>
        </is>
      </c>
      <c r="CK4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4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41" s="145" t="inlineStr">
        <is>
          <t>12 months manufacturer standard (typical)</t>
        </is>
      </c>
    </row>
  </sheetData>
  <autoFilter ref="A4:CK36">
    <sortState ref="A5:CK36">
      <sortCondition ref="A5:A36" customList=""/>
    </sortState>
  </autoFilter>
  <mergeCells count="13">
    <mergeCell ref="AH3:AP3"/>
    <mergeCell ref="BP3:BU3"/>
    <mergeCell ref="A2:L2"/>
    <mergeCell ref="AQ3:AY3"/>
    <mergeCell ref="BK3:BO3"/>
    <mergeCell ref="AZ3:BJ3"/>
    <mergeCell ref="A1:L1"/>
    <mergeCell ref="BZ3:CK3"/>
    <mergeCell ref="A3:M3"/>
    <mergeCell ref="AE3:AG3"/>
    <mergeCell ref="BV3:BY3"/>
    <mergeCell ref="N3:S3"/>
    <mergeCell ref="T3:AD3"/>
  </mergeCells>
  <printOptions horizontalCentered="0" verticalCentered="0" headings="0" gridLines="0" gridLinesSet="1"/>
  <pageMargins left="0.75" right="0.75" top="1" bottom="1" header="0.5" footer="0.5"/>
  <pageSetup orientation="landscape" paperSize="3" scale="100" fitToHeight="0" fitToWidth="1" pageOrder="downThenOver" blackAndWhite="0" draft="0" horizontalDpi="300" verticalDpi="300" copies="1"/>
  <headerFooter differentOddEven="0" differentFirst="0">
    <oddHeader>&amp;LThe Official Robot™</oddHeader>
    <oddFooter>&amp;LAERIAL DRONES / UAV&amp;RConfidential  |  August 2026</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filterMode="0">
    <outlinePr summaryBelow="1" summaryRight="1"/>
    <pageSetUpPr fitToPage="1"/>
  </sheetPr>
  <dimension ref="A1:CM46"/>
  <sheetViews>
    <sheetView showFormulas="0" showGridLines="0" showRowColHeaders="1" showZeros="1" rightToLeft="0" tabSelected="0" showOutlineSymbols="1" defaultGridColor="1" view="normal" topLeftCell="A1" colorId="64" zoomScale="90" zoomScaleNormal="90" zoomScalePageLayoutView="100" workbookViewId="0">
      <selection pane="topLeft" activeCell="A1" activeCellId="0" sqref="A1"/>
    </sheetView>
  </sheetViews>
  <sheetFormatPr baseColWidth="8" defaultColWidth="8.6796875" defaultRowHeight="15" zeroHeight="0" outlineLevelRow="0"/>
  <cols>
    <col width="28" customWidth="1" style="101" min="1" max="1"/>
    <col width="16" customWidth="1" style="101" min="2" max="2"/>
    <col width="28" customWidth="1" style="101" min="3" max="3"/>
    <col width="26" customWidth="1" style="101" min="4" max="4"/>
    <col width="36" customWidth="1" style="101" min="5" max="5"/>
    <col width="14" customWidth="1" style="101" min="6" max="6"/>
    <col width="16" customWidth="1" style="101" min="7" max="7"/>
    <col width="12" customWidth="1" style="101" min="8" max="8"/>
    <col width="16" customWidth="1" style="101" min="9" max="9"/>
    <col width="20" customWidth="1" style="101" min="10" max="10"/>
    <col width="56" customWidth="1" style="101" min="11" max="11"/>
    <col width="48" customWidth="1" style="101" min="12" max="12"/>
    <col width="32" customWidth="1" style="101" min="13" max="13"/>
    <col width="14" customWidth="1" style="101" min="14" max="14"/>
    <col width="12" customWidth="1" style="101" min="15" max="17"/>
    <col width="26" customWidth="1" style="101" min="18" max="18"/>
    <col width="16" customWidth="1" style="101" min="19" max="19"/>
    <col width="22" customWidth="1" style="101" min="20" max="20"/>
    <col width="28" customWidth="1" style="101" min="21" max="21"/>
    <col width="12" customWidth="1" style="101" min="22" max="22"/>
    <col width="13" customWidth="1" style="101" min="23" max="23"/>
    <col width="14" customWidth="1" style="101" min="24" max="24"/>
    <col width="15" customWidth="1" style="101" min="25" max="25"/>
    <col width="18" customWidth="1" style="101" min="26" max="26"/>
    <col width="28" customWidth="1" style="101" min="27" max="27"/>
    <col width="22" customWidth="1" style="101" min="28" max="28"/>
    <col width="16" customWidth="1" style="101" min="29" max="29"/>
    <col width="22" customWidth="1" style="101" min="30" max="30"/>
    <col width="28" customWidth="1" style="101" min="31" max="31"/>
    <col width="16" customWidth="1" style="101" min="32" max="32"/>
    <col width="22" customWidth="1" style="101" min="33" max="33"/>
    <col width="36" customWidth="1" style="101" min="34" max="34"/>
    <col width="32" customWidth="1" style="101" min="35" max="35"/>
    <col width="22" customWidth="1" style="101" min="36" max="36"/>
    <col width="14" customWidth="1" style="101" min="37" max="37"/>
    <col width="18" customWidth="1" style="101" min="38" max="38"/>
    <col width="20" customWidth="1" style="101" min="39" max="39"/>
    <col width="28" customWidth="1" style="101" min="40" max="40"/>
    <col width="22" customWidth="1" style="101" min="41" max="42"/>
    <col width="20" customWidth="1" style="101" min="43" max="43"/>
    <col width="36" customWidth="1" style="101" min="44" max="44"/>
    <col width="28" customWidth="1" style="101" min="45" max="45"/>
    <col width="24" customWidth="1" style="101" min="46" max="46"/>
    <col width="28" customWidth="1" style="101" min="47" max="47"/>
    <col width="22" customWidth="1" style="101" min="48" max="48"/>
    <col width="28" customWidth="1" style="101" min="49" max="49"/>
    <col width="40" customWidth="1" style="101" min="50" max="50"/>
    <col width="32" customWidth="1" style="101" min="51" max="52"/>
    <col width="28" customWidth="1" style="101" min="53" max="53"/>
    <col width="24" customWidth="1" style="101" min="54" max="54"/>
    <col width="14" customWidth="1" style="101" min="55" max="55"/>
    <col width="18" customWidth="1" style="101" min="56" max="56"/>
    <col width="14" customWidth="1" style="101" min="57" max="61"/>
    <col width="18" customWidth="1" style="101" min="62" max="62"/>
    <col width="16" customWidth="1" style="101" min="63" max="63"/>
    <col width="22" customWidth="1" style="101" min="64" max="64"/>
    <col width="64" customWidth="1" style="101" min="65" max="65"/>
    <col width="22" customWidth="1" style="101" min="66" max="66"/>
    <col width="36" customWidth="1" style="101" min="67" max="67"/>
    <col width="28" customWidth="1" style="101" min="68" max="69"/>
    <col width="20" customWidth="1" style="101" min="70" max="70"/>
    <col width="14" customWidth="1" style="101" min="71" max="71"/>
    <col width="36" customWidth="1" style="101" min="72" max="74"/>
    <col width="32" customWidth="1" style="101" min="75" max="75"/>
    <col width="22" customWidth="1" style="101" min="76" max="76"/>
    <col width="36" customWidth="1" style="101" min="77" max="78"/>
    <col width="16" customWidth="1" style="101" min="79" max="79"/>
    <col width="36" customWidth="1" style="101" min="80" max="80"/>
    <col width="28" customWidth="1" style="101" min="81" max="81"/>
    <col width="16" customWidth="1" style="101" min="82" max="82"/>
    <col width="32" customWidth="1" style="101" min="83" max="83"/>
    <col width="18" customWidth="1" style="101" min="84" max="86"/>
    <col width="36" customWidth="1" style="101" min="87" max="87"/>
    <col width="40" customWidth="1" style="101" min="88" max="88"/>
    <col width="28" customWidth="1" style="101" min="89" max="89"/>
  </cols>
  <sheetData>
    <row r="1" ht="27.75" customHeight="1" s="102">
      <c r="A1" s="128" t="inlineStr">
        <is>
          <t>SEA / MARINE ROBOTIC PLATFORMS</t>
        </is>
      </c>
      <c r="O1" s="129" t="n"/>
      <c r="P1" s="129" t="n"/>
      <c r="Q1" s="129" t="n"/>
      <c r="R1" s="129" t="n"/>
      <c r="S1" s="129" t="n"/>
      <c r="T1" s="129" t="n"/>
      <c r="U1" s="129" t="n"/>
      <c r="V1" s="129" t="n"/>
      <c r="W1" s="129" t="n"/>
      <c r="X1" s="129" t="n"/>
      <c r="Y1" s="129" t="n"/>
      <c r="Z1" s="129" t="n"/>
      <c r="AA1" s="129" t="n"/>
      <c r="AB1" s="129" t="n"/>
      <c r="AC1" s="129" t="n"/>
      <c r="AD1" s="129" t="n"/>
      <c r="AE1" s="129" t="n"/>
      <c r="AF1" s="129" t="n"/>
      <c r="AG1" s="129" t="n"/>
      <c r="AH1" s="129" t="n"/>
      <c r="AI1" s="129" t="n"/>
      <c r="AJ1" s="129" t="n"/>
      <c r="AK1" s="129" t="n"/>
      <c r="AL1" s="129" t="n"/>
      <c r="AM1" s="129" t="n"/>
      <c r="AN1" s="129" t="n"/>
      <c r="AO1" s="129" t="n"/>
      <c r="AP1" s="129" t="n"/>
      <c r="AQ1" s="129" t="n"/>
      <c r="AR1" s="129" t="n"/>
      <c r="AS1" s="129" t="n"/>
      <c r="AT1" s="129" t="n"/>
      <c r="AU1" s="129" t="n"/>
      <c r="AV1" s="129" t="n"/>
      <c r="AW1" s="129" t="n"/>
      <c r="AX1" s="129" t="n"/>
      <c r="AY1" s="129" t="n"/>
      <c r="AZ1" s="129" t="n"/>
      <c r="BA1" s="129" t="n"/>
      <c r="BB1" s="129" t="n"/>
      <c r="BC1" s="129" t="n"/>
      <c r="BD1" s="129" t="n"/>
      <c r="BE1" s="129" t="n"/>
      <c r="BF1" s="129" t="n"/>
      <c r="BG1" s="129" t="n"/>
      <c r="BH1" s="129" t="n"/>
      <c r="BI1" s="129" t="n"/>
      <c r="BJ1" s="129" t="n"/>
      <c r="BK1" s="129" t="n"/>
      <c r="BL1" s="129" t="n"/>
      <c r="BM1" s="129" t="n"/>
      <c r="BN1" s="129" t="n"/>
      <c r="BO1" s="129" t="n"/>
      <c r="BP1" s="129" t="n"/>
      <c r="BQ1" s="129" t="n"/>
      <c r="BR1" s="129" t="n"/>
      <c r="BS1" s="129" t="n"/>
      <c r="BT1" s="129" t="n"/>
      <c r="BU1" s="129" t="n"/>
      <c r="BV1" s="129" t="n"/>
      <c r="BW1" s="129" t="n"/>
      <c r="BX1" s="129" t="n"/>
      <c r="BY1" s="129" t="n"/>
      <c r="BZ1" s="129" t="n"/>
      <c r="CA1" s="129" t="n"/>
      <c r="CB1" s="129" t="n"/>
      <c r="CC1" s="129" t="n"/>
      <c r="CD1" s="129" t="n"/>
      <c r="CE1" s="129" t="n"/>
      <c r="CF1" s="129" t="n"/>
      <c r="CG1" s="129" t="n"/>
      <c r="CH1" s="129" t="n"/>
      <c r="CI1" s="129" t="n"/>
      <c r="CJ1" s="129" t="n"/>
      <c r="CK1" s="129" t="n"/>
      <c r="CL1" s="129" t="n"/>
      <c r="CM1" s="129" t="n"/>
    </row>
    <row r="2" ht="18" customHeight="1" s="102">
      <c r="A2" s="130" t="inlineStr">
        <is>
          <t>25 platforms from theofficialrobot.com store catalog  ·  Schema aligned with humanoid directory</t>
        </is>
      </c>
      <c r="O2" s="131" t="n"/>
      <c r="P2" s="131" t="n"/>
      <c r="Q2" s="131" t="n"/>
      <c r="R2" s="131" t="n"/>
      <c r="S2" s="131" t="n"/>
      <c r="T2" s="131" t="n"/>
      <c r="U2" s="131" t="n"/>
      <c r="V2" s="131" t="n"/>
      <c r="W2" s="131" t="n"/>
      <c r="X2" s="131" t="n"/>
      <c r="Y2" s="131" t="n"/>
      <c r="Z2" s="131" t="n"/>
      <c r="AA2" s="131" t="n"/>
      <c r="AB2" s="131" t="n"/>
      <c r="AC2" s="131" t="n"/>
      <c r="AD2" s="131" t="n"/>
      <c r="AE2" s="131" t="n"/>
      <c r="AF2" s="131" t="n"/>
      <c r="AG2" s="131" t="n"/>
      <c r="AH2" s="131" t="n"/>
      <c r="AI2" s="131" t="n"/>
      <c r="AJ2" s="131" t="n"/>
      <c r="AK2" s="131" t="n"/>
      <c r="AL2" s="131" t="n"/>
      <c r="AM2" s="131" t="n"/>
      <c r="AN2" s="131" t="n"/>
      <c r="AO2" s="131" t="n"/>
      <c r="AP2" s="131" t="n"/>
      <c r="AQ2" s="131" t="n"/>
      <c r="AR2" s="131" t="n"/>
      <c r="AS2" s="131" t="n"/>
      <c r="AT2" s="131" t="n"/>
      <c r="AU2" s="131" t="n"/>
      <c r="AV2" s="131" t="n"/>
      <c r="AW2" s="131" t="n"/>
      <c r="AX2" s="131" t="n"/>
      <c r="AY2" s="131" t="n"/>
      <c r="AZ2" s="131" t="n"/>
      <c r="BA2" s="131" t="n"/>
      <c r="BB2" s="131" t="n"/>
      <c r="BC2" s="131" t="n"/>
      <c r="BD2" s="131" t="n"/>
      <c r="BE2" s="131" t="n"/>
      <c r="BF2" s="131" t="n"/>
      <c r="BG2" s="131" t="n"/>
      <c r="BH2" s="131" t="n"/>
      <c r="BI2" s="131" t="n"/>
      <c r="BJ2" s="131" t="n"/>
      <c r="BK2" s="131" t="n"/>
      <c r="BL2" s="131" t="n"/>
      <c r="BM2" s="131" t="n"/>
      <c r="BN2" s="131" t="n"/>
      <c r="BO2" s="131" t="n"/>
      <c r="BP2" s="131" t="n"/>
      <c r="BQ2" s="131" t="n"/>
      <c r="BR2" s="131" t="n"/>
      <c r="BS2" s="131" t="n"/>
      <c r="BT2" s="131" t="n"/>
      <c r="BU2" s="131" t="n"/>
      <c r="BV2" s="131" t="n"/>
      <c r="BW2" s="131" t="n"/>
      <c r="BX2" s="131" t="n"/>
      <c r="BY2" s="131" t="n"/>
      <c r="BZ2" s="131" t="n"/>
      <c r="CA2" s="131" t="n"/>
      <c r="CB2" s="131" t="n"/>
      <c r="CC2" s="131" t="n"/>
      <c r="CD2" s="131" t="n"/>
      <c r="CE2" s="131" t="n"/>
      <c r="CF2" s="131" t="n"/>
      <c r="CG2" s="131" t="n"/>
      <c r="CH2" s="131" t="n"/>
      <c r="CI2" s="131" t="n"/>
      <c r="CJ2" s="131" t="n"/>
      <c r="CK2" s="131" t="n"/>
      <c r="CL2" s="131" t="n"/>
      <c r="CM2" s="131" t="n"/>
    </row>
    <row r="3" ht="18" customHeight="1" s="102">
      <c r="A3" s="132" t="inlineStr">
        <is>
          <t>IDENTITY</t>
        </is>
      </c>
    </row>
    <row r="4" ht="36" customHeight="1" s="102">
      <c r="A4" s="193" t="inlineStr">
        <is>
          <t>Website ID</t>
        </is>
      </c>
      <c r="B4" s="193" t="inlineStr">
        <is>
          <t>Catalog Source</t>
        </is>
      </c>
      <c r="C4" s="193" t="inlineStr">
        <is>
          <t>Manufacturer</t>
        </is>
      </c>
      <c r="D4" s="193" t="inlineStr">
        <is>
          <t>Model Name</t>
        </is>
      </c>
      <c r="E4" s="193" t="inlineStr">
        <is>
          <t>Model Name (Website)</t>
        </is>
      </c>
      <c r="F4" s="193" t="inlineStr">
        <is>
          <t>Type</t>
        </is>
      </c>
      <c r="G4" s="193" t="inlineStr">
        <is>
          <t>Country of Origin</t>
        </is>
      </c>
      <c r="H4" s="193" t="inlineStr">
        <is>
          <t>First Year (YYYY)</t>
        </is>
      </c>
      <c r="I4" s="193" t="inlineStr">
        <is>
          <t>Approx. Cost (USD)</t>
        </is>
      </c>
      <c r="J4" s="193" t="inlineStr">
        <is>
          <t>Price Source</t>
        </is>
      </c>
      <c r="K4" s="193" t="inlineStr">
        <is>
          <t>Description (1 sentence)</t>
        </is>
      </c>
      <c r="L4" s="193" t="inlineStr">
        <is>
          <t>Unique Summary</t>
        </is>
      </c>
      <c r="M4" s="193" t="inlineStr">
        <is>
          <t>Bio / History</t>
        </is>
      </c>
      <c r="N4" s="193" t="inlineStr">
        <is>
          <t>Humanoid.guide URL</t>
        </is>
      </c>
      <c r="O4" s="193" t="inlineStr">
        <is>
          <t>OEM Website</t>
        </is>
      </c>
      <c r="P4" s="193" t="inlineStr">
        <is>
          <t>Height (ft in)</t>
        </is>
      </c>
      <c r="Q4" s="193" t="inlineStr">
        <is>
          <t>Height (cm)</t>
        </is>
      </c>
      <c r="R4" s="193" t="inlineStr">
        <is>
          <t>Weight (lb)</t>
        </is>
      </c>
      <c r="S4" s="193" t="inlineStr">
        <is>
          <t>Weight (kg)</t>
        </is>
      </c>
      <c r="T4" s="193" t="inlineStr">
        <is>
          <t>Standing Size / Envelope (in)</t>
        </is>
      </c>
      <c r="U4" s="193" t="inlineStr">
        <is>
          <t>Shipping Size</t>
        </is>
      </c>
      <c r="V4" s="193" t="inlineStr">
        <is>
          <t>Degrees of Freedom (DOF)</t>
        </is>
      </c>
      <c r="W4" s="193" t="inlineStr">
        <is>
          <t>DOF Hands</t>
        </is>
      </c>
      <c r="X4" s="193" t="inlineStr">
        <is>
          <t>Payload (lb)</t>
        </is>
      </c>
      <c r="Y4" s="193" t="inlineStr">
        <is>
          <t>Strength (kg)</t>
        </is>
      </c>
      <c r="Z4" s="193" t="inlineStr">
        <is>
          <t>Max Speed (mph)</t>
        </is>
      </c>
      <c r="AA4" s="193" t="inlineStr">
        <is>
          <t>Max Speed (km/h)</t>
        </is>
      </c>
      <c r="AB4" s="193" t="inlineStr">
        <is>
          <t>Walking Speed (km/h)</t>
        </is>
      </c>
      <c r="AC4" s="193" t="inlineStr">
        <is>
          <t>Battery / Runtime (Wh / h)</t>
        </is>
      </c>
      <c r="AD4" s="193" t="inlineStr">
        <is>
          <t>Runtime (hours)</t>
        </is>
      </c>
      <c r="AE4" s="193" t="inlineStr">
        <is>
          <t>Flight Time (min)</t>
        </is>
      </c>
      <c r="AF4" s="193" t="inlineStr">
        <is>
          <t>Charging</t>
        </is>
      </c>
      <c r="AG4" s="193" t="inlineStr">
        <is>
          <t>Hands / End-effectors</t>
        </is>
      </c>
      <c r="AH4" s="193" t="inlineStr">
        <is>
          <t>Number of Fingers</t>
        </is>
      </c>
      <c r="AI4" s="193" t="inlineStr">
        <is>
          <t>Manipulation Performance (1–4)</t>
        </is>
      </c>
      <c r="AJ4" s="193" t="inlineStr">
        <is>
          <t>Camera / Vision</t>
        </is>
      </c>
      <c r="AK4" s="193" t="inlineStr">
        <is>
          <t>Camera Resolution</t>
        </is>
      </c>
      <c r="AL4" s="193" t="inlineStr">
        <is>
          <t>Video</t>
        </is>
      </c>
      <c r="AM4" s="193" t="inlineStr">
        <is>
          <t>Gimbal</t>
        </is>
      </c>
      <c r="AN4" s="193" t="inlineStr">
        <is>
          <t>LiDAR</t>
        </is>
      </c>
      <c r="AO4" s="193" t="inlineStr">
        <is>
          <t>Audio</t>
        </is>
      </c>
      <c r="AP4" s="193" t="inlineStr">
        <is>
          <t>Sensors</t>
        </is>
      </c>
      <c r="AQ4" s="193" t="inlineStr">
        <is>
          <t>Tactile / Force Sensors</t>
        </is>
      </c>
      <c r="AR4" s="193" t="inlineStr">
        <is>
          <t>Obstacle Sensing</t>
        </is>
      </c>
      <c r="AS4" s="193" t="inlineStr">
        <is>
          <t>Compute (TOPS / class)</t>
        </is>
      </c>
      <c r="AT4" s="193" t="inlineStr">
        <is>
          <t>CPU / GPU</t>
        </is>
      </c>
      <c r="AU4" s="193" t="inlineStr">
        <is>
          <t>Connectivity</t>
        </is>
      </c>
      <c r="AV4" s="193" t="inlineStr">
        <is>
          <t>Control Interface</t>
        </is>
      </c>
      <c r="AW4" s="193" t="inlineStr">
        <is>
          <t>Navigation</t>
        </is>
      </c>
      <c r="AX4" s="193" t="inlineStr">
        <is>
          <t>Navigation Performance (1–4)</t>
        </is>
      </c>
      <c r="AY4" s="193" t="inlineStr">
        <is>
          <t>Operating System</t>
        </is>
      </c>
      <c r="AZ4" s="193" t="inlineStr">
        <is>
          <t>LLM Integration</t>
        </is>
      </c>
      <c r="BA4" s="193" t="inlineStr">
        <is>
          <t>Latency Glass-to-Action</t>
        </is>
      </c>
      <c r="BB4" s="193" t="inlineStr">
        <is>
          <t>Motor Tech</t>
        </is>
      </c>
      <c r="BC4" s="193" t="inlineStr">
        <is>
          <t>Gear Tech</t>
        </is>
      </c>
      <c r="BD4" s="193" t="inlineStr">
        <is>
          <t>Main Structural Material</t>
        </is>
      </c>
      <c r="BE4" s="193" t="inlineStr">
        <is>
          <t>IP Rating (IPxx)</t>
        </is>
      </c>
      <c r="BF4" s="193" t="inlineStr">
        <is>
          <t>Ingress Protection</t>
        </is>
      </c>
      <c r="BG4" s="193" t="inlineStr">
        <is>
          <t>Depth Rating (ft)</t>
        </is>
      </c>
      <c r="BH4" s="193" t="inlineStr">
        <is>
          <t>Range / Link (mi)</t>
        </is>
      </c>
      <c r="BI4" s="193" t="inlineStr">
        <is>
          <t>Lights</t>
        </is>
      </c>
      <c r="BJ4" s="193" t="inlineStr">
        <is>
          <t>Thrusters</t>
        </is>
      </c>
      <c r="BK4" s="193" t="inlineStr">
        <is>
          <t>Tether</t>
        </is>
      </c>
      <c r="BL4" s="193" t="inlineStr">
        <is>
          <t>Protection</t>
        </is>
      </c>
      <c r="BM4" s="193" t="inlineStr">
        <is>
          <t>Safe with Humans</t>
        </is>
      </c>
      <c r="BN4" s="193" t="inlineStr">
        <is>
          <t>Capable of Rising After Fall</t>
        </is>
      </c>
      <c r="BO4" s="193" t="inlineStr">
        <is>
          <t>Capabilities / Skills Summary</t>
        </is>
      </c>
      <c r="BP4" s="193" t="inlineStr">
        <is>
          <t>Operating Environment</t>
        </is>
      </c>
      <c r="BQ4" s="193" t="inlineStr">
        <is>
          <t>Primary Use / Main Market</t>
        </is>
      </c>
      <c r="BR4" s="193" t="inlineStr">
        <is>
          <t>Commercial Status</t>
        </is>
      </c>
      <c r="BS4" s="193" t="inlineStr">
        <is>
          <t>Availability (HG)</t>
        </is>
      </c>
      <c r="BT4" s="193" t="inlineStr">
        <is>
          <t>Color Options (HG)</t>
        </is>
      </c>
      <c r="BU4" s="193" t="inlineStr">
        <is>
          <t>Verified (HG)</t>
        </is>
      </c>
      <c r="BV4" s="193" t="inlineStr">
        <is>
          <t>Notes</t>
        </is>
      </c>
      <c r="BW4" s="193" t="inlineStr">
        <is>
          <t>Bullet Highlights</t>
        </is>
      </c>
      <c r="BX4" s="193" t="inlineStr">
        <is>
          <t>Variants (id|name|price|desc)</t>
        </is>
      </c>
      <c r="BY4" s="193" t="inlineStr">
        <is>
          <t>Colors (id|name|hex|premium)</t>
        </is>
      </c>
      <c r="BZ4" s="193" t="inlineStr">
        <is>
          <t>Platform Add-ons (IDs)</t>
        </is>
      </c>
      <c r="CA4" s="193" t="inlineStr">
        <is>
          <t>Key Upgrades / Accessories Summary</t>
        </is>
      </c>
      <c r="CB4" s="193" t="inlineStr">
        <is>
          <t>Manufacturer Warranty (label)</t>
        </is>
      </c>
      <c r="CC4" s="193" t="inlineStr">
        <is>
          <t>Manufacturer Warranty (months)</t>
        </is>
      </c>
      <c r="CD4" s="193" t="inlineStr">
        <is>
          <t>Default Extended Warranty</t>
        </is>
      </c>
      <c r="CE4" s="193" t="inlineStr">
        <is>
          <t>Warranty Source</t>
        </is>
      </c>
      <c r="CF4" s="193" t="inlineStr">
        <is>
          <t>Warranty Confidence</t>
        </is>
      </c>
      <c r="CG4" s="193" t="inlineStr">
        <is>
          <t>Warranty Notes</t>
        </is>
      </c>
      <c r="CH4" s="193" t="inlineStr">
        <is>
          <t>Extended Warranty +1yr (% of config)</t>
        </is>
      </c>
      <c r="CI4" s="193" t="inlineStr">
        <is>
          <t>Extended Warranty +2yr (% of config)</t>
        </is>
      </c>
      <c r="CJ4" s="193" t="inlineStr">
        <is>
          <t>Extended Warranty +3yr (% of config)</t>
        </is>
      </c>
      <c r="CK4" s="193" t="inlineStr">
        <is>
          <t>Extended Warranty Options</t>
        </is>
      </c>
      <c r="CL4" s="193" t="inlineStr">
        <is>
          <t>Extended Warranty Pricing Rationale</t>
        </is>
      </c>
      <c r="CM4" s="193" t="inlineStr">
        <is>
          <t>Warranty</t>
        </is>
      </c>
    </row>
    <row r="5" ht="31.5" customHeight="1" s="102">
      <c r="A5" s="143" t="inlineStr">
        <is>
          <t>anduril_industries_dive_ld_dive_xl_ghost</t>
        </is>
      </c>
      <c r="B5" s="160" t="inlineStr">
        <is>
          <t>Website</t>
        </is>
      </c>
      <c r="C5" s="145" t="inlineStr">
        <is>
          <t>Anduril Industries</t>
        </is>
      </c>
      <c r="D5" s="145" t="inlineStr">
        <is>
          <t>Dive-LD</t>
        </is>
      </c>
      <c r="E5" s="145" t="inlineStr">
        <is>
          <t>[Anduril] Dive-LD (2020)</t>
        </is>
      </c>
      <c r="F5" s="165" t="inlineStr">
        <is>
          <t>water</t>
        </is>
      </c>
      <c r="G5" s="145" t="inlineStr">
        <is>
          <t>USA</t>
        </is>
      </c>
      <c r="H5" s="147" t="n">
        <v>2020</v>
      </c>
      <c r="I5" s="148" t="n">
        <v>8000000</v>
      </c>
      <c r="J5" s="145" t="inlineStr">
        <is>
          <t>Extra-large AUV class estimate · quote-only</t>
        </is>
      </c>
      <c r="K5" s="149" t="inlineStr">
        <is>
          <t>[Anduril] Dive-LD (2020) is a marine platform from Anduril Industries (USA, 2020), positioned for auv.</t>
        </is>
      </c>
      <c r="L5" s="101" t="inlineStr">
        <is>
          <t>[Anduril] Dive-LD (2020) is a marine platform from Anduril Industries (USA, 2020), positioned for auv.</t>
        </is>
      </c>
      <c r="M5" s="101" t="inlineStr">
        <is>
          <t>Dive-LD is Anduril Industries's marine robot, introduced around 2020 in USA. [Anduril] Dive-LD (2020) is a marine platform from Anduril Industries (USA, 2020), positioned for auv.</t>
        </is>
      </c>
      <c r="N5" s="145" t="n"/>
      <c r="O5" s="145" t="inlineStr">
        <is>
          <t>https://www.anduril.com</t>
        </is>
      </c>
      <c r="P5" s="145" t="n"/>
      <c r="Q5" s="145" t="n"/>
      <c r="R5" s="145" t="inlineStr">
        <is>
          <t>Not disclosed</t>
        </is>
      </c>
      <c r="S5" s="145" t="n"/>
      <c r="T5" s="149" t="inlineStr">
        <is>
          <t>Not disclosed</t>
        </is>
      </c>
      <c r="U5" s="145" t="n"/>
      <c r="V5" s="145" t="n"/>
      <c r="W5" s="149" t="n"/>
      <c r="X5" s="145" t="inlineStr">
        <is>
          <t>Not disclosed</t>
        </is>
      </c>
      <c r="Y5" s="145" t="n"/>
      <c r="Z5" s="145" t="inlineStr">
        <is>
          <t>Not disclosed</t>
        </is>
      </c>
      <c r="AA5" s="145" t="n"/>
      <c r="AB5" s="145" t="n"/>
      <c r="AC5" s="149" t="inlineStr">
        <is>
          <t>Not disclosed</t>
        </is>
      </c>
      <c r="AD5" s="149" t="n"/>
      <c r="AE5" s="145" t="n"/>
      <c r="AF5" s="145" t="inlineStr">
        <is>
          <t>Not disclosed</t>
        </is>
      </c>
      <c r="AG5" s="149" t="n"/>
      <c r="AH5" s="145" t="n"/>
      <c r="AI5" s="145" t="n"/>
      <c r="AJ5" s="149" t="inlineStr">
        <is>
          <t>Autonomous underwater perception suites (configuration specific)</t>
        </is>
      </c>
      <c r="AK5" s="149" t="n"/>
      <c r="AL5" s="145" t="inlineStr">
        <is>
          <t>Mission and autonomy sensing data</t>
        </is>
      </c>
      <c r="AM5" s="145" t="n"/>
      <c r="AN5" s="145" t="n"/>
      <c r="AO5" s="145" t="n"/>
      <c r="AP5" s="145" t="inlineStr">
        <is>
          <t>Not disclosed</t>
        </is>
      </c>
      <c r="AQ5" s="145" t="n"/>
      <c r="AR5" s="145" t="n"/>
      <c r="AS5" s="145" t="n"/>
      <c r="AT5" s="149" t="n"/>
      <c r="AU5" s="149" t="inlineStr">
        <is>
          <t>Not disclosed</t>
        </is>
      </c>
      <c r="AV5" s="145" t="inlineStr">
        <is>
          <t>Anduril Lattice-oriented autonomy command</t>
        </is>
      </c>
      <c r="AW5" s="149" t="inlineStr">
        <is>
          <t>Not disclosed</t>
        </is>
      </c>
      <c r="AX5" s="145" t="n"/>
      <c r="AY5" s="149" t="n"/>
      <c r="AZ5" s="149" t="n"/>
      <c r="BA5" s="149" t="n"/>
      <c r="BB5" s="149" t="n"/>
      <c r="BC5" s="149" t="n"/>
      <c r="BD5" s="145" t="n"/>
      <c r="BE5" s="145" t="inlineStr">
        <is>
          <t>Not disclosed</t>
        </is>
      </c>
      <c r="BF5" s="145" t="n"/>
      <c r="BG5" s="145" t="inlineStr">
        <is>
          <t>Not disclosed</t>
        </is>
      </c>
      <c r="BH5" s="145" t="inlineStr">
        <is>
          <t>Not disclosed</t>
        </is>
      </c>
      <c r="BI5" s="145" t="inlineStr">
        <is>
          <t>Not disclosed</t>
        </is>
      </c>
      <c r="BJ5" s="145" t="inlineStr">
        <is>
          <t>Not disclosed</t>
        </is>
      </c>
      <c r="BK5" s="145" t="inlineStr">
        <is>
          <t>Not disclosed</t>
        </is>
      </c>
      <c r="BL5" s="145" t="n"/>
      <c r="BM5" s="145" t="n"/>
      <c r="BN5" s="145" t="n"/>
      <c r="BO5" s="149" t="n"/>
      <c r="BP5" s="145" t="inlineStr">
        <is>
          <t>Not disclosed</t>
        </is>
      </c>
      <c r="BQ5" s="149" t="inlineStr">
        <is>
          <t>AUV</t>
        </is>
      </c>
      <c r="BR5" s="149" t="inlineStr">
        <is>
          <t>Not disclosed</t>
        </is>
      </c>
      <c r="BS5" s="149" t="n"/>
      <c r="BT5" s="145" t="n"/>
      <c r="BU5" s="145" t="n"/>
      <c r="BV5" s="149" t="inlineStr">
        <is>
          <t>Extra-large AUVs; mass production focus; Lattice AI</t>
        </is>
      </c>
      <c r="BW5" s="149" t="inlineStr">
        <is>
          <t>Origin &amp; status — USA · 2020 | Mission — Depth Not disclosed · Payload Not disclosed | Sensing — Autonomous underwater perception suites (configuration specific) | Buying notes — Enterprise / Defense contracts · 12 months limited / contract-dependent · Best fit: Extra-large AUVs; mass production focus; Lattice AI</t>
        </is>
      </c>
      <c r="BX5" s="149" t="inlineStr">
        <is>
          <t>as_shipped|Dive-LD|8000000|As shipped</t>
        </is>
      </c>
      <c r="BY5" s="145" t="inlineStr">
        <is>
          <t>dive_ld|Manufacturer finish|#e2e8f0|0</t>
        </is>
      </c>
      <c r="BZ5" s="145" t="inlineStr"/>
      <c r="CA5" s="149" t="inlineStr">
        <is>
          <t>Add-ons: case; 2 color options; Multi-year extended warranty available</t>
        </is>
      </c>
      <c r="CB5" s="149" t="inlineStr">
        <is>
          <t>12 months limited / contract-dependent</t>
        </is>
      </c>
      <c r="CC5" s="147" t="n">
        <v>12</v>
      </c>
      <c r="CD5" s="149" t="inlineStr">
        <is>
          <t>+3 Year Extended ≈24% of configuration (default in configurator)</t>
        </is>
      </c>
      <c r="CE5" s="145" t="inlineStr">
        <is>
          <t>Enterprise marine robotics norms</t>
        </is>
      </c>
      <c r="CF5" s="145" t="inlineStr">
        <is>
          <t>Estimated</t>
        </is>
      </c>
      <c r="CG5" s="149" t="inlineStr">
        <is>
          <t>Confirm inclusions and sea-trial terms on quote.</t>
        </is>
      </c>
      <c r="CH5" s="145" t="inlineStr">
        <is>
          <t>10%</t>
        </is>
      </c>
      <c r="CI5" s="145" t="inlineStr">
        <is>
          <t>17%</t>
        </is>
      </c>
      <c r="CJ5" s="145" t="inlineStr">
        <is>
          <t>24%</t>
        </is>
      </c>
      <c r="CK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5" s="145" t="inlineStr">
        <is>
          <t>12 months limited / contract-dependent</t>
        </is>
      </c>
    </row>
    <row r="6" ht="31.5" customHeight="1" s="102">
      <c r="A6" s="143" t="inlineStr">
        <is>
          <t>anduril_industries_dive_ld_dive_xl_ghost_dive_xl</t>
        </is>
      </c>
      <c r="B6" s="160" t="inlineStr">
        <is>
          <t>Website</t>
        </is>
      </c>
      <c r="C6" s="145" t="inlineStr">
        <is>
          <t>Anduril Industries</t>
        </is>
      </c>
      <c r="D6" s="145" t="inlineStr">
        <is>
          <t>Dive-XL</t>
        </is>
      </c>
      <c r="E6" s="145" t="inlineStr">
        <is>
          <t>[Anduril] Dive-XL (2020)</t>
        </is>
      </c>
      <c r="F6" s="165" t="inlineStr">
        <is>
          <t>water</t>
        </is>
      </c>
      <c r="G6" s="145" t="inlineStr">
        <is>
          <t>USA</t>
        </is>
      </c>
      <c r="H6" s="147" t="n">
        <v>2020</v>
      </c>
      <c r="I6" s="148" t="n">
        <v>15000000</v>
      </c>
      <c r="J6" s="145" t="inlineStr">
        <is>
          <t>XL AUV class estimate · quote-only</t>
        </is>
      </c>
      <c r="K6" s="149" t="inlineStr">
        <is>
          <t>[Anduril] Dive-XL (2020) is a marine platform from Anduril Industries (USA, 2020), positioned for auv.</t>
        </is>
      </c>
      <c r="L6" s="101" t="inlineStr">
        <is>
          <t>[Anduril] Dive-XL (2020) is a marine platform from Anduril Industries (USA, 2020), positioned for auv.</t>
        </is>
      </c>
      <c r="M6" s="101" t="inlineStr">
        <is>
          <t>Dive-XL is Anduril Industries's marine robot, introduced around 2020 in USA. [Anduril] Dive-XL (2020) is a marine platform from Anduril Industries (USA, 2020), positioned for auv.</t>
        </is>
      </c>
      <c r="N6" s="145" t="n"/>
      <c r="O6" s="145" t="inlineStr">
        <is>
          <t>https://www.anduril.com</t>
        </is>
      </c>
      <c r="P6" s="145" t="n"/>
      <c r="Q6" s="145" t="n"/>
      <c r="R6" s="145" t="inlineStr">
        <is>
          <t>Not disclosed</t>
        </is>
      </c>
      <c r="S6" s="145" t="n"/>
      <c r="T6" s="149" t="inlineStr">
        <is>
          <t>Not disclosed</t>
        </is>
      </c>
      <c r="U6" s="145" t="n"/>
      <c r="V6" s="145" t="n"/>
      <c r="W6" s="149" t="n"/>
      <c r="X6" s="145" t="inlineStr">
        <is>
          <t>Not disclosed</t>
        </is>
      </c>
      <c r="Y6" s="145" t="n"/>
      <c r="Z6" s="145" t="inlineStr">
        <is>
          <t>Not disclosed</t>
        </is>
      </c>
      <c r="AA6" s="145" t="n"/>
      <c r="AB6" s="145" t="n"/>
      <c r="AC6" s="149" t="inlineStr">
        <is>
          <t>Not disclosed</t>
        </is>
      </c>
      <c r="AD6" s="149" t="n"/>
      <c r="AE6" s="145" t="n"/>
      <c r="AF6" s="145" t="inlineStr">
        <is>
          <t>Not disclosed</t>
        </is>
      </c>
      <c r="AG6" s="149" t="n"/>
      <c r="AH6" s="145" t="n"/>
      <c r="AI6" s="145" t="n"/>
      <c r="AJ6" s="149" t="inlineStr">
        <is>
          <t>Autonomous underwater perception suites (configuration specific)</t>
        </is>
      </c>
      <c r="AK6" s="149" t="n"/>
      <c r="AL6" s="145" t="inlineStr">
        <is>
          <t>Mission and autonomy sensing data</t>
        </is>
      </c>
      <c r="AM6" s="145" t="n"/>
      <c r="AN6" s="145" t="n"/>
      <c r="AO6" s="145" t="n"/>
      <c r="AP6" s="145" t="inlineStr">
        <is>
          <t>Not disclosed</t>
        </is>
      </c>
      <c r="AQ6" s="145" t="n"/>
      <c r="AR6" s="145" t="n"/>
      <c r="AS6" s="145" t="n"/>
      <c r="AT6" s="149" t="n"/>
      <c r="AU6" s="149" t="inlineStr">
        <is>
          <t>Not disclosed</t>
        </is>
      </c>
      <c r="AV6" s="145" t="inlineStr">
        <is>
          <t>Anduril Lattice-oriented autonomy command</t>
        </is>
      </c>
      <c r="AW6" s="149" t="inlineStr">
        <is>
          <t>Not disclosed</t>
        </is>
      </c>
      <c r="AX6" s="145" t="n"/>
      <c r="AY6" s="149" t="n"/>
      <c r="AZ6" s="149" t="n"/>
      <c r="BA6" s="149" t="n"/>
      <c r="BB6" s="149" t="n"/>
      <c r="BC6" s="149" t="n"/>
      <c r="BD6" s="145" t="n"/>
      <c r="BE6" s="145" t="inlineStr">
        <is>
          <t>Not disclosed</t>
        </is>
      </c>
      <c r="BF6" s="145" t="n"/>
      <c r="BG6" s="145" t="inlineStr">
        <is>
          <t>Not disclosed</t>
        </is>
      </c>
      <c r="BH6" s="145" t="inlineStr">
        <is>
          <t>Not disclosed</t>
        </is>
      </c>
      <c r="BI6" s="145" t="inlineStr">
        <is>
          <t>Not disclosed</t>
        </is>
      </c>
      <c r="BJ6" s="145" t="inlineStr">
        <is>
          <t>Not disclosed</t>
        </is>
      </c>
      <c r="BK6" s="145" t="inlineStr">
        <is>
          <t>Not disclosed</t>
        </is>
      </c>
      <c r="BL6" s="145" t="n"/>
      <c r="BM6" s="145" t="n"/>
      <c r="BN6" s="145" t="n"/>
      <c r="BO6" s="149" t="n"/>
      <c r="BP6" s="145" t="inlineStr">
        <is>
          <t>Not disclosed</t>
        </is>
      </c>
      <c r="BQ6" s="149" t="inlineStr">
        <is>
          <t>AUV</t>
        </is>
      </c>
      <c r="BR6" s="149" t="inlineStr">
        <is>
          <t>Not disclosed</t>
        </is>
      </c>
      <c r="BS6" s="149" t="n"/>
      <c r="BT6" s="145" t="n"/>
      <c r="BU6" s="145" t="n"/>
      <c r="BV6" s="149" t="inlineStr">
        <is>
          <t>Extra-large AUVs; mass production focus; Lattice AI</t>
        </is>
      </c>
      <c r="BW6" s="149" t="inlineStr">
        <is>
          <t>Origin &amp; status — USA · 2020 | Mission — Depth Not disclosed · Payload Not disclosed | Sensing — Autonomous underwater perception suites (configuration specific) | Buying notes — Enterprise / Defense contracts · 12 months limited / contract-dependent · Best fit: Extra-large AUVs; mass production focus; Lattice AI</t>
        </is>
      </c>
      <c r="BX6" s="149" t="inlineStr">
        <is>
          <t>as_shipped|Dive-XL|15000000|As shipped</t>
        </is>
      </c>
      <c r="BY6" s="145" t="inlineStr">
        <is>
          <t>dive_xl|Manufacturer finish|#e2e8f0|0</t>
        </is>
      </c>
      <c r="BZ6" s="145" t="inlineStr"/>
      <c r="CA6" s="149" t="inlineStr">
        <is>
          <t>Add-ons: case; 2 color options; Multi-year extended warranty available</t>
        </is>
      </c>
      <c r="CB6" s="149" t="inlineStr">
        <is>
          <t>12 months limited / contract-dependent</t>
        </is>
      </c>
      <c r="CC6" s="147" t="n">
        <v>12</v>
      </c>
      <c r="CD6" s="149" t="inlineStr">
        <is>
          <t>+3 Year Extended ≈24% of configuration (default in configurator)</t>
        </is>
      </c>
      <c r="CE6" s="145" t="inlineStr">
        <is>
          <t>Enterprise marine robotics norms</t>
        </is>
      </c>
      <c r="CF6" s="145" t="inlineStr">
        <is>
          <t>Estimated</t>
        </is>
      </c>
      <c r="CG6" s="149" t="inlineStr">
        <is>
          <t>Confirm inclusions and sea-trial terms on quote.</t>
        </is>
      </c>
      <c r="CH6" s="145" t="inlineStr">
        <is>
          <t>10%</t>
        </is>
      </c>
      <c r="CI6" s="145" t="inlineStr">
        <is>
          <t>17%</t>
        </is>
      </c>
      <c r="CJ6" s="145" t="inlineStr">
        <is>
          <t>24%</t>
        </is>
      </c>
      <c r="CK6"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6"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6" s="145" t="inlineStr">
        <is>
          <t>12 months limited / contract-dependent</t>
        </is>
      </c>
    </row>
    <row r="7" ht="31.5" customHeight="1" s="102">
      <c r="A7" s="143" t="inlineStr">
        <is>
          <t>anduril_industries_dive_ld_dive_xl_ghost_ghost_s</t>
        </is>
      </c>
      <c r="B7" s="160" t="inlineStr">
        <is>
          <t>Website</t>
        </is>
      </c>
      <c r="C7" s="145" t="inlineStr">
        <is>
          <t>Anduril Industries</t>
        </is>
      </c>
      <c r="D7" s="145" t="inlineStr">
        <is>
          <t>Ghost Shark</t>
        </is>
      </c>
      <c r="E7" s="145" t="inlineStr">
        <is>
          <t>[Anduril] Ghost Shark (2020)</t>
        </is>
      </c>
      <c r="F7" s="165" t="inlineStr">
        <is>
          <t>water</t>
        </is>
      </c>
      <c r="G7" s="145" t="inlineStr">
        <is>
          <t>USA</t>
        </is>
      </c>
      <c r="H7" s="147" t="n">
        <v>2020</v>
      </c>
      <c r="I7" s="148" t="n">
        <v>12000000</v>
      </c>
      <c r="J7" s="145" t="inlineStr">
        <is>
          <t>Ghost Shark program unit-class estimate</t>
        </is>
      </c>
      <c r="K7" s="149" t="inlineStr">
        <is>
          <t>[Anduril] Ghost Shark (2020) is a marine platform from Anduril Industries (USA, 2020), positioned for auv.</t>
        </is>
      </c>
      <c r="L7" s="101" t="inlineStr">
        <is>
          <t>[Anduril] Ghost Shark (2020) is a marine platform from Anduril Industries (USA, 2020), positioned for auv.</t>
        </is>
      </c>
      <c r="M7" s="101" t="inlineStr">
        <is>
          <t>Ghost Shark is Anduril Industries's marine robot, introduced around 2020 in USA. [Anduril] Ghost Shark (2020) is a marine platform from Anduril Industries (USA, 2020), positioned for auv.</t>
        </is>
      </c>
      <c r="N7" s="145" t="n"/>
      <c r="O7" s="145" t="inlineStr">
        <is>
          <t>https://www.anduril.com</t>
        </is>
      </c>
      <c r="P7" s="145" t="n"/>
      <c r="Q7" s="145" t="n"/>
      <c r="R7" s="145" t="inlineStr">
        <is>
          <t>Not disclosed</t>
        </is>
      </c>
      <c r="S7" s="145" t="n"/>
      <c r="T7" s="149" t="inlineStr">
        <is>
          <t>Not disclosed</t>
        </is>
      </c>
      <c r="U7" s="145" t="n"/>
      <c r="V7" s="145" t="n"/>
      <c r="W7" s="149" t="n"/>
      <c r="X7" s="145" t="inlineStr">
        <is>
          <t>Not disclosed</t>
        </is>
      </c>
      <c r="Y7" s="145" t="n"/>
      <c r="Z7" s="145" t="inlineStr">
        <is>
          <t>Not disclosed</t>
        </is>
      </c>
      <c r="AA7" s="145" t="n"/>
      <c r="AB7" s="145" t="n"/>
      <c r="AC7" s="149" t="inlineStr">
        <is>
          <t>Not disclosed</t>
        </is>
      </c>
      <c r="AD7" s="149" t="n"/>
      <c r="AE7" s="145" t="n"/>
      <c r="AF7" s="145" t="inlineStr">
        <is>
          <t>Not disclosed</t>
        </is>
      </c>
      <c r="AG7" s="149" t="n"/>
      <c r="AH7" s="145" t="n"/>
      <c r="AI7" s="145" t="n"/>
      <c r="AJ7" s="149" t="inlineStr">
        <is>
          <t>Autonomous underwater perception suites (configuration specific)</t>
        </is>
      </c>
      <c r="AK7" s="149" t="n"/>
      <c r="AL7" s="145" t="inlineStr">
        <is>
          <t>Mission and autonomy sensing data</t>
        </is>
      </c>
      <c r="AM7" s="145" t="n"/>
      <c r="AN7" s="145" t="n"/>
      <c r="AO7" s="145" t="n"/>
      <c r="AP7" s="145" t="inlineStr">
        <is>
          <t>Not disclosed</t>
        </is>
      </c>
      <c r="AQ7" s="145" t="n"/>
      <c r="AR7" s="145" t="n"/>
      <c r="AS7" s="145" t="n"/>
      <c r="AT7" s="149" t="n"/>
      <c r="AU7" s="149" t="inlineStr">
        <is>
          <t>Not disclosed</t>
        </is>
      </c>
      <c r="AV7" s="145" t="inlineStr">
        <is>
          <t>Anduril Lattice-oriented autonomy command</t>
        </is>
      </c>
      <c r="AW7" s="149" t="inlineStr">
        <is>
          <t>Not disclosed</t>
        </is>
      </c>
      <c r="AX7" s="145" t="n"/>
      <c r="AY7" s="149" t="n"/>
      <c r="AZ7" s="149" t="n"/>
      <c r="BA7" s="149" t="n"/>
      <c r="BB7" s="149" t="n"/>
      <c r="BC7" s="149" t="n"/>
      <c r="BD7" s="145" t="n"/>
      <c r="BE7" s="145" t="inlineStr">
        <is>
          <t>Not disclosed</t>
        </is>
      </c>
      <c r="BF7" s="145" t="n"/>
      <c r="BG7" s="145" t="inlineStr">
        <is>
          <t>Not disclosed</t>
        </is>
      </c>
      <c r="BH7" s="145" t="inlineStr">
        <is>
          <t>Not disclosed</t>
        </is>
      </c>
      <c r="BI7" s="145" t="inlineStr">
        <is>
          <t>Not disclosed</t>
        </is>
      </c>
      <c r="BJ7" s="145" t="inlineStr">
        <is>
          <t>Not disclosed</t>
        </is>
      </c>
      <c r="BK7" s="145" t="inlineStr">
        <is>
          <t>Not disclosed</t>
        </is>
      </c>
      <c r="BL7" s="145" t="n"/>
      <c r="BM7" s="145" t="n"/>
      <c r="BN7" s="145" t="n"/>
      <c r="BO7" s="149" t="n"/>
      <c r="BP7" s="145" t="inlineStr">
        <is>
          <t>Not disclosed</t>
        </is>
      </c>
      <c r="BQ7" s="149" t="inlineStr">
        <is>
          <t>AUV</t>
        </is>
      </c>
      <c r="BR7" s="149" t="inlineStr">
        <is>
          <t>Not disclosed</t>
        </is>
      </c>
      <c r="BS7" s="149" t="n"/>
      <c r="BT7" s="145" t="n"/>
      <c r="BU7" s="145" t="n"/>
      <c r="BV7" s="149" t="inlineStr">
        <is>
          <t>Extra-large AUVs; mass production focus; Lattice AI</t>
        </is>
      </c>
      <c r="BW7" s="149" t="inlineStr">
        <is>
          <t>Origin &amp; status — USA · 2020 | Mission — Depth Not disclosed · Payload Not disclosed | Sensing — Autonomous underwater perception suites (configuration specific) | Buying notes — Enterprise / Defense contracts · 12 months limited / contract-dependent · Best fit: Extra-large AUVs; mass production focus; Lattice AI</t>
        </is>
      </c>
      <c r="BX7" s="149" t="inlineStr">
        <is>
          <t>as_shipped|Ghost Shark|12000000|As shipped</t>
        </is>
      </c>
      <c r="BY7" s="145" t="inlineStr">
        <is>
          <t>ghost_shark|Manufacturer finish|#e2e8f0|0</t>
        </is>
      </c>
      <c r="BZ7" s="145" t="inlineStr"/>
      <c r="CA7" s="149" t="inlineStr">
        <is>
          <t>Add-ons: case; 2 color options; Multi-year extended warranty available</t>
        </is>
      </c>
      <c r="CB7" s="149" t="inlineStr">
        <is>
          <t>12 months limited / contract-dependent</t>
        </is>
      </c>
      <c r="CC7" s="147" t="n">
        <v>12</v>
      </c>
      <c r="CD7" s="149" t="inlineStr">
        <is>
          <t>+3 Year Extended ≈24% of configuration (default in configurator)</t>
        </is>
      </c>
      <c r="CE7" s="145" t="inlineStr">
        <is>
          <t>Enterprise marine robotics norms</t>
        </is>
      </c>
      <c r="CF7" s="145" t="inlineStr">
        <is>
          <t>Estimated</t>
        </is>
      </c>
      <c r="CG7" s="149" t="inlineStr">
        <is>
          <t>Confirm inclusions and sea-trial terms on quote.</t>
        </is>
      </c>
      <c r="CH7" s="145" t="inlineStr">
        <is>
          <t>10%</t>
        </is>
      </c>
      <c r="CI7" s="145" t="inlineStr">
        <is>
          <t>17%</t>
        </is>
      </c>
      <c r="CJ7" s="145" t="inlineStr">
        <is>
          <t>24%</t>
        </is>
      </c>
      <c r="CK7"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7"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7" s="145" t="inlineStr">
        <is>
          <t>12 months limited / contract-dependent</t>
        </is>
      </c>
    </row>
    <row r="8" ht="31.5" customHeight="1" s="102">
      <c r="A8" s="159" t="inlineStr">
        <is>
          <t>chasing_innovation_dory</t>
        </is>
      </c>
      <c r="B8" s="160" t="inlineStr">
        <is>
          <t>Website</t>
        </is>
      </c>
      <c r="C8" s="152" t="inlineStr">
        <is>
          <t>Chasing Innovation</t>
        </is>
      </c>
      <c r="D8" s="152" t="inlineStr">
        <is>
          <t>Dory</t>
        </is>
      </c>
      <c r="E8" s="152" t="inlineStr">
        <is>
          <t>[Chasing] Dory (2020)</t>
        </is>
      </c>
      <c r="F8" s="165" t="inlineStr">
        <is>
          <t>water</t>
        </is>
      </c>
      <c r="G8" s="152" t="inlineStr">
        <is>
          <t>China</t>
        </is>
      </c>
      <c r="H8" s="154" t="n">
        <v>2020</v>
      </c>
      <c r="I8" s="155" t="n">
        <v>600</v>
      </c>
      <c r="J8" s="152" t="inlineStr">
        <is>
          <t>Website store</t>
        </is>
      </c>
      <c r="K8" s="156" t="inlineStr">
        <is>
          <t>Dory is Chasing Innovation's marine robot — ≈ 330 ft class depth. HD underwater camera; aimed at rOV.</t>
        </is>
      </c>
      <c r="L8" s="101" t="inlineStr">
        <is>
          <t>Dory is Chasing Innovation's marine robot — ≈ 330 ft class depth. HD underwater camera; aimed at rOV.</t>
        </is>
      </c>
      <c r="M8" s="101" t="inlineStr">
        <is>
          <t>Dory is Chasing Innovation's marine robot — ≈ 330 ft class depth. HD underwater camera; aimed at rOV.</t>
        </is>
      </c>
      <c r="N8" s="152" t="n"/>
      <c r="O8" s="152" t="inlineStr">
        <is>
          <t>https://www.chasing.com</t>
        </is>
      </c>
      <c r="P8" s="152" t="n"/>
      <c r="Q8" s="152" t="n"/>
      <c r="R8" s="152" t="inlineStr">
        <is>
          <t>≈ 2.5–3.5 lb class</t>
        </is>
      </c>
      <c r="S8" s="152" t="n"/>
      <c r="T8" s="156" t="inlineStr">
        <is>
          <t>Not disclosed</t>
        </is>
      </c>
      <c r="U8" s="152" t="n"/>
      <c r="V8" s="152" t="n"/>
      <c r="W8" s="156" t="n"/>
      <c r="X8" s="152" t="inlineStr">
        <is>
          <t>Not disclosed</t>
        </is>
      </c>
      <c r="Y8" s="152" t="n"/>
      <c r="Z8" s="152" t="inlineStr">
        <is>
          <t>Not disclosed</t>
        </is>
      </c>
      <c r="AA8" s="152" t="n"/>
      <c r="AB8" s="152" t="n"/>
      <c r="AC8" s="156" t="inlineStr">
        <is>
          <t>Not disclosed</t>
        </is>
      </c>
      <c r="AD8" s="156" t="n"/>
      <c r="AE8" s="152" t="n"/>
      <c r="AF8" s="152" t="inlineStr">
        <is>
          <t>Not disclosed</t>
        </is>
      </c>
      <c r="AG8" s="156" t="n"/>
      <c r="AH8" s="152" t="n"/>
      <c r="AI8" s="152" t="n"/>
      <c r="AJ8" s="156" t="inlineStr">
        <is>
          <t>HD underwater camera</t>
        </is>
      </c>
      <c r="AK8" s="156" t="n"/>
      <c r="AL8" s="152" t="inlineStr">
        <is>
          <t>HD capture</t>
        </is>
      </c>
      <c r="AM8" s="152" t="n"/>
      <c r="AN8" s="152" t="n"/>
      <c r="AO8" s="152" t="n"/>
      <c r="AP8" s="152" t="inlineStr">
        <is>
          <t>Not disclosed</t>
        </is>
      </c>
      <c r="AQ8" s="152" t="n"/>
      <c r="AR8" s="152" t="n"/>
      <c r="AS8" s="152" t="n"/>
      <c r="AT8" s="156" t="n"/>
      <c r="AU8" s="156" t="inlineStr">
        <is>
          <t>Not disclosed</t>
        </is>
      </c>
      <c r="AV8" s="152" t="inlineStr">
        <is>
          <t>Simple consumer controller</t>
        </is>
      </c>
      <c r="AW8" s="156" t="inlineStr">
        <is>
          <t>Not disclosed</t>
        </is>
      </c>
      <c r="AX8" s="152" t="n"/>
      <c r="AY8" s="156" t="n"/>
      <c r="AZ8" s="156" t="n"/>
      <c r="BA8" s="156" t="n"/>
      <c r="BB8" s="156" t="n"/>
      <c r="BC8" s="156" t="n"/>
      <c r="BD8" s="152" t="n"/>
      <c r="BE8" s="152" t="inlineStr">
        <is>
          <t>Not disclosed</t>
        </is>
      </c>
      <c r="BF8" s="152" t="n"/>
      <c r="BG8" s="152" t="inlineStr">
        <is>
          <t>≈ 330 ft class</t>
        </is>
      </c>
      <c r="BH8" s="152" t="inlineStr">
        <is>
          <t>Not disclosed</t>
        </is>
      </c>
      <c r="BI8" s="152" t="inlineStr">
        <is>
          <t>Not disclosed</t>
        </is>
      </c>
      <c r="BJ8" s="152" t="inlineStr">
        <is>
          <t>Not disclosed</t>
        </is>
      </c>
      <c r="BK8" s="152" t="inlineStr">
        <is>
          <t>Not disclosed</t>
        </is>
      </c>
      <c r="BL8" s="152" t="n"/>
      <c r="BM8" s="152" t="n"/>
      <c r="BN8" s="152" t="n"/>
      <c r="BO8" s="156" t="n"/>
      <c r="BP8" s="152" t="inlineStr">
        <is>
          <t>Not disclosed</t>
        </is>
      </c>
      <c r="BQ8" s="156" t="inlineStr">
        <is>
          <t>ROV</t>
        </is>
      </c>
      <c r="BR8" s="156" t="inlineStr">
        <is>
          <t>Not disclosed</t>
        </is>
      </c>
      <c r="BS8" s="156" t="n"/>
      <c r="BT8" s="152" t="n"/>
      <c r="BU8" s="152" t="n"/>
      <c r="BV8" s="156" t="inlineStr">
        <is>
          <t>Palm-sized entry level; 15–328 ft variants; travel/fun</t>
        </is>
      </c>
      <c r="BW8" s="156" t="inlineStr">
        <is>
          <t>Origin &amp; status — China · 2020 | Mission — Depth ≈ 330 ft class · Payload Not disclosed | Sensing — HD underwater camera | Buying notes — $600 – $1,299 · 12 months on main ROV / camera / electronics (batteries/thrusters often 6 months) · Best fit: Palm-sized entry level; 15–328 ft variants; travel/fun</t>
        </is>
      </c>
      <c r="BX8" s="156" t="inlineStr">
        <is>
          <t>as_shipped|Dory|600|As shipped</t>
        </is>
      </c>
      <c r="BY8" s="152" t="inlineStr">
        <is>
          <t>dory|Manufacturer finish|#e2e8f0|0</t>
        </is>
      </c>
      <c r="BZ8" s="152" t="inlineStr"/>
      <c r="CA8" s="156" t="inlineStr">
        <is>
          <t>Add-ons: case; 2 color options; Multi-year extended warranty available</t>
        </is>
      </c>
      <c r="CB8" s="156" t="inlineStr">
        <is>
          <t>12 months on main ROV / camera / electronics (batteries/thrusters often 6 months)</t>
        </is>
      </c>
      <c r="CC8" s="154" t="n">
        <v>12</v>
      </c>
      <c r="CD8" s="156" t="inlineStr">
        <is>
          <t>+3 Year Extended ≈24% of configuration (default in configurator)</t>
        </is>
      </c>
      <c r="CE8" s="152" t="inlineStr">
        <is>
          <t>Chasing Innovation Warranty Policy</t>
        </is>
      </c>
      <c r="CF8" s="152" t="inlineStr">
        <is>
          <t>Documented</t>
        </is>
      </c>
      <c r="CG8" s="156" t="inlineStr">
        <is>
          <t>Propellers/tether wear items often no warranty. Period starts at end-user sale date.</t>
        </is>
      </c>
      <c r="CH8" s="152" t="inlineStr">
        <is>
          <t>10%</t>
        </is>
      </c>
      <c r="CI8" s="152" t="inlineStr">
        <is>
          <t>17%</t>
        </is>
      </c>
      <c r="CJ8" s="152" t="inlineStr">
        <is>
          <t>24%</t>
        </is>
      </c>
      <c r="CK8"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8"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8" s="152" t="inlineStr">
        <is>
          <t>12 months on main ROV / camera / electronics (batteries/thrusters often 6 months)</t>
        </is>
      </c>
    </row>
    <row r="9" ht="31.5" customHeight="1" s="102">
      <c r="A9" s="143" t="inlineStr">
        <is>
          <t>chasing_innovation_gladius_mini_s</t>
        </is>
      </c>
      <c r="B9" s="160" t="inlineStr">
        <is>
          <t>Website</t>
        </is>
      </c>
      <c r="C9" s="145" t="inlineStr">
        <is>
          <t>Chasing Innovation</t>
        </is>
      </c>
      <c r="D9" s="145" t="inlineStr">
        <is>
          <t>Gladius Mini S</t>
        </is>
      </c>
      <c r="E9" s="145" t="inlineStr">
        <is>
          <t>[Chasing] Gladius Mini S (2020)</t>
        </is>
      </c>
      <c r="F9" s="165" t="inlineStr">
        <is>
          <t>water</t>
        </is>
      </c>
      <c r="G9" s="145" t="inlineStr">
        <is>
          <t>China</t>
        </is>
      </c>
      <c r="H9" s="147" t="n">
        <v>2020</v>
      </c>
      <c r="I9" s="148" t="n">
        <v>1199</v>
      </c>
      <c r="J9" s="145" t="inlineStr">
        <is>
          <t>Website store</t>
        </is>
      </c>
      <c r="K9" s="149" t="inlineStr">
        <is>
          <t>Gladius Mini S is Chasing Innovation's marine robot — ≈ 330 ft class depth. 4K underwater camera; aimed at rOV.</t>
        </is>
      </c>
      <c r="L9" s="101" t="inlineStr">
        <is>
          <t>Gladius Mini S is Chasing Innovation's marine robot — ≈ 330 ft class depth. 4K underwater camera; aimed at rOV.</t>
        </is>
      </c>
      <c r="M9" s="101" t="inlineStr">
        <is>
          <t>Gladius Mini S is Chasing Innovation's marine robot — ≈ 330 ft class depth. 4K underwater camera; aimed at rOV.</t>
        </is>
      </c>
      <c r="N9" s="145" t="n"/>
      <c r="O9" s="145" t="inlineStr">
        <is>
          <t>https://www.chasing.com</t>
        </is>
      </c>
      <c r="P9" s="145" t="n"/>
      <c r="Q9" s="145" t="n"/>
      <c r="R9" s="145" t="inlineStr">
        <is>
          <t>≈ 5–7 lb class</t>
        </is>
      </c>
      <c r="S9" s="145" t="n"/>
      <c r="T9" s="149" t="inlineStr">
        <is>
          <t>Not disclosed</t>
        </is>
      </c>
      <c r="U9" s="145" t="n"/>
      <c r="V9" s="145" t="n"/>
      <c r="W9" s="149" t="n"/>
      <c r="X9" s="145" t="inlineStr">
        <is>
          <t>Not disclosed</t>
        </is>
      </c>
      <c r="Y9" s="145" t="n"/>
      <c r="Z9" s="145" t="inlineStr">
        <is>
          <t>Not disclosed</t>
        </is>
      </c>
      <c r="AA9" s="145" t="n"/>
      <c r="AB9" s="145" t="n"/>
      <c r="AC9" s="149" t="inlineStr">
        <is>
          <t>Not disclosed</t>
        </is>
      </c>
      <c r="AD9" s="149" t="n"/>
      <c r="AE9" s="145" t="n"/>
      <c r="AF9" s="145" t="inlineStr">
        <is>
          <t>Not disclosed</t>
        </is>
      </c>
      <c r="AG9" s="149" t="n"/>
      <c r="AH9" s="145" t="n"/>
      <c r="AI9" s="145" t="n"/>
      <c r="AJ9" s="149" t="inlineStr">
        <is>
          <t>4K underwater camera</t>
        </is>
      </c>
      <c r="AK9" s="149" t="n"/>
      <c r="AL9" s="145" t="inlineStr">
        <is>
          <t>4K recording</t>
        </is>
      </c>
      <c r="AM9" s="145" t="n"/>
      <c r="AN9" s="145" t="n"/>
      <c r="AO9" s="145" t="n"/>
      <c r="AP9" s="145" t="inlineStr">
        <is>
          <t>Not disclosed</t>
        </is>
      </c>
      <c r="AQ9" s="145" t="n"/>
      <c r="AR9" s="145" t="n"/>
      <c r="AS9" s="145" t="n"/>
      <c r="AT9" s="149" t="n"/>
      <c r="AU9" s="149" t="inlineStr">
        <is>
          <t>Not disclosed</t>
        </is>
      </c>
      <c r="AV9" s="145" t="inlineStr">
        <is>
          <t>Handheld controller + app</t>
        </is>
      </c>
      <c r="AW9" s="149" t="inlineStr">
        <is>
          <t>Not disclosed</t>
        </is>
      </c>
      <c r="AX9" s="145" t="n"/>
      <c r="AY9" s="149" t="n"/>
      <c r="AZ9" s="149" t="n"/>
      <c r="BA9" s="149" t="n"/>
      <c r="BB9" s="149" t="n"/>
      <c r="BC9" s="149" t="n"/>
      <c r="BD9" s="145" t="n"/>
      <c r="BE9" s="145" t="inlineStr">
        <is>
          <t>Not disclosed</t>
        </is>
      </c>
      <c r="BF9" s="145" t="n"/>
      <c r="BG9" s="145" t="inlineStr">
        <is>
          <t>≈ 330 ft class</t>
        </is>
      </c>
      <c r="BH9" s="145" t="inlineStr">
        <is>
          <t>Not disclosed</t>
        </is>
      </c>
      <c r="BI9" s="145" t="inlineStr">
        <is>
          <t>Not disclosed</t>
        </is>
      </c>
      <c r="BJ9" s="145" t="inlineStr">
        <is>
          <t>Not disclosed</t>
        </is>
      </c>
      <c r="BK9" s="145" t="inlineStr">
        <is>
          <t>Not disclosed</t>
        </is>
      </c>
      <c r="BL9" s="145" t="n"/>
      <c r="BM9" s="145" t="n"/>
      <c r="BN9" s="145" t="n"/>
      <c r="BO9" s="149" t="n"/>
      <c r="BP9" s="145" t="inlineStr">
        <is>
          <t>Not disclosed</t>
        </is>
      </c>
      <c r="BQ9" s="149" t="inlineStr">
        <is>
          <t>ROV</t>
        </is>
      </c>
      <c r="BR9" s="149" t="inlineStr">
        <is>
          <t>Not disclosed</t>
        </is>
      </c>
      <c r="BS9" s="149" t="n"/>
      <c r="BT9" s="145" t="n"/>
      <c r="BU9" s="145" t="n"/>
      <c r="BV9" s="149" t="inlineStr">
        <is>
          <t>Consumer/prosumer; 328 ft depth; 4K; 5 thrusters</t>
        </is>
      </c>
      <c r="BW9" s="149" t="inlineStr">
        <is>
          <t>Origin &amp; status — China · 2020 | Mission — Depth ≈ 330 ft class · Payload Not disclosed | Sensing — 4K underwater camera | Buying notes — $1,199 · 12 months on main ROV / camera / electronics (batteries/thrusters often 6 months) · Best fit: Consumer/prosumer; 328 ft depth; 4K; 5 thrusters</t>
        </is>
      </c>
      <c r="BX9" s="149" t="inlineStr">
        <is>
          <t>as_shipped|Gladius Mini S|1199|As shipped</t>
        </is>
      </c>
      <c r="BY9" s="145" t="inlineStr">
        <is>
          <t>gladius_mini_s|Manufacturer finish|#e2e8f0|0</t>
        </is>
      </c>
      <c r="BZ9" s="145" t="inlineStr"/>
      <c r="CA9" s="149" t="inlineStr">
        <is>
          <t>Add-ons: case; 2 color options; Multi-year extended warranty available</t>
        </is>
      </c>
      <c r="CB9" s="149" t="inlineStr">
        <is>
          <t>12 months on main ROV / camera / electronics (batteries/thrusters often 6 months)</t>
        </is>
      </c>
      <c r="CC9" s="147" t="n">
        <v>12</v>
      </c>
      <c r="CD9" s="149" t="inlineStr">
        <is>
          <t>+3 Year Extended ≈24% of configuration (default in configurator)</t>
        </is>
      </c>
      <c r="CE9" s="145" t="inlineStr">
        <is>
          <t>Chasing Innovation Warranty Policy</t>
        </is>
      </c>
      <c r="CF9" s="145" t="inlineStr">
        <is>
          <t>Documented</t>
        </is>
      </c>
      <c r="CG9" s="149" t="inlineStr">
        <is>
          <t>Propellers/tether wear items often no warranty. Period starts at end-user sale date.</t>
        </is>
      </c>
      <c r="CH9" s="145" t="inlineStr">
        <is>
          <t>10%</t>
        </is>
      </c>
      <c r="CI9" s="145" t="inlineStr">
        <is>
          <t>17%</t>
        </is>
      </c>
      <c r="CJ9" s="145" t="inlineStr">
        <is>
          <t>24%</t>
        </is>
      </c>
      <c r="CK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9" s="145" t="inlineStr">
        <is>
          <t>12 months on main ROV / camera / electronics (batteries/thrusters often 6 months)</t>
        </is>
      </c>
    </row>
    <row r="10" ht="31.5" customHeight="1" s="102">
      <c r="A10" s="159" t="inlineStr">
        <is>
          <t>chasing_innovation_m2_pro_max</t>
        </is>
      </c>
      <c r="B10" s="160" t="inlineStr">
        <is>
          <t>Website</t>
        </is>
      </c>
      <c r="C10" s="152" t="inlineStr">
        <is>
          <t>Chasing Innovation</t>
        </is>
      </c>
      <c r="D10" s="152" t="inlineStr">
        <is>
          <t>M2 Pro Max</t>
        </is>
      </c>
      <c r="E10" s="152" t="inlineStr">
        <is>
          <t>[Chasing] M2 Pro Max (2022)</t>
        </is>
      </c>
      <c r="F10" s="165" t="inlineStr">
        <is>
          <t>water</t>
        </is>
      </c>
      <c r="G10" s="152" t="inlineStr">
        <is>
          <t>China</t>
        </is>
      </c>
      <c r="H10" s="154" t="n">
        <v>2022</v>
      </c>
      <c r="I10" s="155" t="n">
        <v>6999</v>
      </c>
      <c r="J10" s="152" t="inlineStr">
        <is>
          <t>Website store</t>
        </is>
      </c>
      <c r="K10" s="156" t="inlineStr">
        <is>
          <t>M2 Pro Max is Chasing Innovation's marine robot — ≈ 656 ft (200 m) depth. 4K UHD underwater camera; secondary low-light camera options; aimed at rOV.</t>
        </is>
      </c>
      <c r="L10" s="101" t="inlineStr">
        <is>
          <t>M2 Pro Max is Chasing Innovation's marine robot — ≈ 656 ft (200 m) depth. 4K UHD underwater camera; secondary low-light camera options; aimed at rOV.</t>
        </is>
      </c>
      <c r="M10" s="101" t="inlineStr">
        <is>
          <t>M2 Pro Max is Chasing Innovation's marine robot — ≈ 656 ft (200 m) depth. 4K UHD underwater camera; secondary low-light camera options; aimed at rOV.</t>
        </is>
      </c>
      <c r="N10" s="152" t="n"/>
      <c r="O10" s="152" t="inlineStr">
        <is>
          <t>https://www.chasing.com</t>
        </is>
      </c>
      <c r="P10" s="152" t="n"/>
      <c r="Q10" s="152" t="n"/>
      <c r="R10" s="152" t="inlineStr">
        <is>
          <t>≈ 12–15 lb class (ROV body; varies with ballast/tether)</t>
        </is>
      </c>
      <c r="S10" s="152" t="n"/>
      <c r="T10" s="156" t="inlineStr">
        <is>
          <t>Not disclosed</t>
        </is>
      </c>
      <c r="U10" s="152" t="n"/>
      <c r="V10" s="152" t="n"/>
      <c r="W10" s="156" t="n"/>
      <c r="X10" s="152" t="inlineStr">
        <is>
          <t>Not disclosed</t>
        </is>
      </c>
      <c r="Y10" s="152" t="n"/>
      <c r="Z10" s="152" t="inlineStr">
        <is>
          <t>Not disclosed</t>
        </is>
      </c>
      <c r="AA10" s="152" t="n"/>
      <c r="AB10" s="152" t="n"/>
      <c r="AC10" s="156" t="inlineStr">
        <is>
          <t>Not disclosed</t>
        </is>
      </c>
      <c r="AD10" s="156" t="n"/>
      <c r="AE10" s="152" t="n"/>
      <c r="AF10" s="152" t="inlineStr">
        <is>
          <t>Not disclosed</t>
        </is>
      </c>
      <c r="AG10" s="156" t="n"/>
      <c r="AH10" s="152" t="n"/>
      <c r="AI10" s="152" t="n"/>
      <c r="AJ10" s="156" t="inlineStr">
        <is>
          <t>4K UHD underwater camera; secondary low-light camera options</t>
        </is>
      </c>
      <c r="AK10" s="156" t="n"/>
      <c r="AL10" s="152" t="inlineStr">
        <is>
          <t>4K recording; livestream over tether</t>
        </is>
      </c>
      <c r="AM10" s="152" t="n"/>
      <c r="AN10" s="152" t="n"/>
      <c r="AO10" s="152" t="n"/>
      <c r="AP10" s="152" t="inlineStr">
        <is>
          <t>Not disclosed</t>
        </is>
      </c>
      <c r="AQ10" s="152" t="n"/>
      <c r="AR10" s="152" t="n"/>
      <c r="AS10" s="152" t="n"/>
      <c r="AT10" s="156" t="n"/>
      <c r="AU10" s="156" t="inlineStr">
        <is>
          <t>Not disclosed</t>
        </is>
      </c>
      <c r="AV10" s="152" t="inlineStr">
        <is>
          <t>Chasing app / controller; VR options on some kits</t>
        </is>
      </c>
      <c r="AW10" s="156" t="inlineStr">
        <is>
          <t>Not disclosed</t>
        </is>
      </c>
      <c r="AX10" s="152" t="n"/>
      <c r="AY10" s="156" t="n"/>
      <c r="AZ10" s="156" t="n"/>
      <c r="BA10" s="156" t="n"/>
      <c r="BB10" s="156" t="n"/>
      <c r="BC10" s="156" t="n"/>
      <c r="BD10" s="152" t="n"/>
      <c r="BE10" s="152" t="inlineStr">
        <is>
          <t>Not disclosed</t>
        </is>
      </c>
      <c r="BF10" s="152" t="n"/>
      <c r="BG10" s="152" t="inlineStr">
        <is>
          <t>≈ 656 ft (200 m)</t>
        </is>
      </c>
      <c r="BH10" s="152" t="inlineStr">
        <is>
          <t>Not disclosed</t>
        </is>
      </c>
      <c r="BI10" s="152" t="inlineStr">
        <is>
          <t>High-power LED lighting modules</t>
        </is>
      </c>
      <c r="BJ10" s="152" t="inlineStr">
        <is>
          <t>Multi-vector thruster layout for 360° maneuvering</t>
        </is>
      </c>
      <c r="BK10" s="152" t="inlineStr">
        <is>
          <t>Optional tether lengths for real-time control and power/data</t>
        </is>
      </c>
      <c r="BL10" s="152" t="n"/>
      <c r="BM10" s="152" t="n"/>
      <c r="BN10" s="152" t="n"/>
      <c r="BO10" s="156" t="n"/>
      <c r="BP10" s="152" t="inlineStr">
        <is>
          <t>Not disclosed</t>
        </is>
      </c>
      <c r="BQ10" s="156" t="inlineStr">
        <is>
          <t>ROV</t>
        </is>
      </c>
      <c r="BR10" s="156" t="inlineStr">
        <is>
          <t>Not disclosed</t>
        </is>
      </c>
      <c r="BS10" s="156" t="n"/>
      <c r="BT10" s="152" t="n"/>
      <c r="BU10" s="152" t="n"/>
      <c r="BV10" s="156" t="inlineStr">
        <is>
          <t>Deep industrial; 656 ft; high power; extensive modularity</t>
        </is>
      </c>
      <c r="BW10" s="156" t="inlineStr">
        <is>
          <t>Origin &amp; status — China · 2022 | Mission — Depth ≈ 656 ft (200 m) · Multi-vector thruster layout for 360° maneuvering · Optional tether lengths for real-time control and power/data · Payload Not disclosed | Sensing — 4K UHD underwater camera; secondary low-light camera options | Buying notes — $6,999 · 12 months on main ROV / camera / electronics (batteries/thrusters often 6 months) · Best fit: Deep industrial; 656 ft; high power; extensive modularity</t>
        </is>
      </c>
      <c r="BX10" s="156" t="inlineStr">
        <is>
          <t>as_shipped|M2 Pro Max|6999|As shipped</t>
        </is>
      </c>
      <c r="BY10" s="152" t="inlineStr">
        <is>
          <t>m2_pro_max|Manufacturer finish|#e2e8f0|0</t>
        </is>
      </c>
      <c r="BZ10" s="152" t="inlineStr"/>
      <c r="CA10" s="156" t="inlineStr">
        <is>
          <t>Add-ons: case; 2 color options; Multi-year extended warranty available</t>
        </is>
      </c>
      <c r="CB10" s="156" t="inlineStr">
        <is>
          <t>12 months on main ROV / camera / electronics (batteries/thrusters often 6 months)</t>
        </is>
      </c>
      <c r="CC10" s="154" t="n">
        <v>12</v>
      </c>
      <c r="CD10" s="156" t="inlineStr">
        <is>
          <t>+3 Year Extended ≈24% of configuration (default in configurator)</t>
        </is>
      </c>
      <c r="CE10" s="152" t="inlineStr">
        <is>
          <t>Chasing Innovation Warranty Policy</t>
        </is>
      </c>
      <c r="CF10" s="152" t="inlineStr">
        <is>
          <t>Documented</t>
        </is>
      </c>
      <c r="CG10" s="156" t="inlineStr">
        <is>
          <t>Propellers/tether wear items often no warranty. Period starts at end-user sale date.</t>
        </is>
      </c>
      <c r="CH10" s="152" t="inlineStr">
        <is>
          <t>10%</t>
        </is>
      </c>
      <c r="CI10" s="152" t="inlineStr">
        <is>
          <t>17%</t>
        </is>
      </c>
      <c r="CJ10" s="152" t="inlineStr">
        <is>
          <t>24%</t>
        </is>
      </c>
      <c r="CK10"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10"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0" s="152" t="inlineStr">
        <is>
          <t>12 months on main ROV / camera / electronics (batteries/thrusters often 6 months)</t>
        </is>
      </c>
    </row>
    <row r="11" ht="31.5" customHeight="1" s="102">
      <c r="A11" s="143" t="inlineStr">
        <is>
          <t>chasing_innovation_m2_s</t>
        </is>
      </c>
      <c r="B11" s="160" t="inlineStr">
        <is>
          <t>Website</t>
        </is>
      </c>
      <c r="C11" s="145" t="inlineStr">
        <is>
          <t>Chasing Innovation</t>
        </is>
      </c>
      <c r="D11" s="145" t="inlineStr">
        <is>
          <t>M2 S</t>
        </is>
      </c>
      <c r="E11" s="145" t="inlineStr">
        <is>
          <t>[Chasing] M2 S (2023)</t>
        </is>
      </c>
      <c r="F11" s="165" t="inlineStr">
        <is>
          <t>water</t>
        </is>
      </c>
      <c r="G11" s="145" t="inlineStr">
        <is>
          <t>China</t>
        </is>
      </c>
      <c r="H11" s="147" t="n">
        <v>2023</v>
      </c>
      <c r="I11" s="148" t="n">
        <v>2269</v>
      </c>
      <c r="J11" s="145" t="inlineStr">
        <is>
          <t>Website store</t>
        </is>
      </c>
      <c r="K11" s="149" t="inlineStr">
        <is>
          <t>M2 S is Chasing Innovation's marine robot — ≈ 328–656 ft class depending on configuration depth. 4K-class ROV camera; aimed at rOV.</t>
        </is>
      </c>
      <c r="L11" s="101" t="inlineStr">
        <is>
          <t>M2 S is Chasing Innovation's marine robot — ≈ 328–656 ft class depending on configuration depth. 4K-class ROV camera; aimed at rOV.</t>
        </is>
      </c>
      <c r="M11" s="101" t="inlineStr">
        <is>
          <t>M2 S is Chasing Innovation's marine robot — ≈ 328–656 ft class depending on configuration depth. 4K-class ROV camera; aimed at rOV.</t>
        </is>
      </c>
      <c r="N11" s="145" t="n"/>
      <c r="O11" s="145" t="inlineStr">
        <is>
          <t>https://www.chasing.com</t>
        </is>
      </c>
      <c r="P11" s="145" t="n"/>
      <c r="Q11" s="145" t="n"/>
      <c r="R11" s="145" t="inlineStr">
        <is>
          <t>≈ 10–13 lb class</t>
        </is>
      </c>
      <c r="S11" s="145" t="n"/>
      <c r="T11" s="149" t="inlineStr">
        <is>
          <t>Not disclosed</t>
        </is>
      </c>
      <c r="U11" s="145" t="n"/>
      <c r="V11" s="145" t="n"/>
      <c r="W11" s="149" t="n"/>
      <c r="X11" s="145" t="inlineStr">
        <is>
          <t>Not disclosed</t>
        </is>
      </c>
      <c r="Y11" s="145" t="n"/>
      <c r="Z11" s="145" t="inlineStr">
        <is>
          <t>Not disclosed</t>
        </is>
      </c>
      <c r="AA11" s="145" t="n"/>
      <c r="AB11" s="145" t="n"/>
      <c r="AC11" s="149" t="inlineStr">
        <is>
          <t>Not disclosed</t>
        </is>
      </c>
      <c r="AD11" s="149" t="n"/>
      <c r="AE11" s="145" t="n"/>
      <c r="AF11" s="145" t="inlineStr">
        <is>
          <t>Not disclosed</t>
        </is>
      </c>
      <c r="AG11" s="149" t="n"/>
      <c r="AH11" s="145" t="n"/>
      <c r="AI11" s="145" t="n"/>
      <c r="AJ11" s="149" t="inlineStr">
        <is>
          <t>4K-class ROV camera</t>
        </is>
      </c>
      <c r="AK11" s="149" t="n"/>
      <c r="AL11" s="145" t="inlineStr">
        <is>
          <t>4K capture and livestream</t>
        </is>
      </c>
      <c r="AM11" s="145" t="n"/>
      <c r="AN11" s="145" t="n"/>
      <c r="AO11" s="145" t="n"/>
      <c r="AP11" s="145" t="inlineStr">
        <is>
          <t>Not disclosed</t>
        </is>
      </c>
      <c r="AQ11" s="145" t="n"/>
      <c r="AR11" s="145" t="n"/>
      <c r="AS11" s="145" t="n"/>
      <c r="AT11" s="149" t="n"/>
      <c r="AU11" s="149" t="inlineStr">
        <is>
          <t>Not disclosed</t>
        </is>
      </c>
      <c r="AV11" s="145" t="inlineStr">
        <is>
          <t>Chasing control app</t>
        </is>
      </c>
      <c r="AW11" s="149" t="inlineStr">
        <is>
          <t>Not disclosed</t>
        </is>
      </c>
      <c r="AX11" s="145" t="n"/>
      <c r="AY11" s="149" t="n"/>
      <c r="AZ11" s="149" t="n"/>
      <c r="BA11" s="149" t="n"/>
      <c r="BB11" s="149" t="n"/>
      <c r="BC11" s="149" t="n"/>
      <c r="BD11" s="145" t="n"/>
      <c r="BE11" s="145" t="inlineStr">
        <is>
          <t>Not disclosed</t>
        </is>
      </c>
      <c r="BF11" s="145" t="n"/>
      <c r="BG11" s="145" t="inlineStr">
        <is>
          <t>≈ 328–656 ft class depending on configuration</t>
        </is>
      </c>
      <c r="BH11" s="145" t="inlineStr">
        <is>
          <t>Not disclosed</t>
        </is>
      </c>
      <c r="BI11" s="145" t="inlineStr">
        <is>
          <t>LED illumination</t>
        </is>
      </c>
      <c r="BJ11" s="145" t="inlineStr">
        <is>
          <t>Not disclosed</t>
        </is>
      </c>
      <c r="BK11" s="145" t="inlineStr">
        <is>
          <t>Not disclosed</t>
        </is>
      </c>
      <c r="BL11" s="145" t="n"/>
      <c r="BM11" s="145" t="n"/>
      <c r="BN11" s="145" t="n"/>
      <c r="BO11" s="149" t="n"/>
      <c r="BP11" s="145" t="inlineStr">
        <is>
          <t>Not disclosed</t>
        </is>
      </c>
      <c r="BQ11" s="149" t="inlineStr">
        <is>
          <t>ROV</t>
        </is>
      </c>
      <c r="BR11" s="149" t="inlineStr">
        <is>
          <t>Not disclosed</t>
        </is>
      </c>
      <c r="BS11" s="149" t="n"/>
      <c r="BT11" s="145" t="n"/>
      <c r="BU11" s="145" t="n"/>
      <c r="BV11" s="149" t="inlineStr">
        <is>
          <t>Light industrial; 328 ft; 8 thrusters; portable</t>
        </is>
      </c>
      <c r="BW11" s="149" t="inlineStr">
        <is>
          <t>Origin &amp; status — China · 2023 | Mission — Depth ≈ 328–656 ft class depending on configuration · Payload Not disclosed | Sensing — 4K-class ROV camera | Buying notes — $2,269 · 12 months on main ROV / camera / electronics (batteries/thrusters often 6 months) · Best fit: Light industrial; 328 ft; 8 thrusters; portable</t>
        </is>
      </c>
      <c r="BX11" s="149" t="inlineStr">
        <is>
          <t>as_shipped|M2 S|2269|As shipped</t>
        </is>
      </c>
      <c r="BY11" s="145" t="inlineStr">
        <is>
          <t>m2_s|Manufacturer finish|#e2e8f0|0</t>
        </is>
      </c>
      <c r="BZ11" s="145" t="inlineStr"/>
      <c r="CA11" s="149" t="inlineStr">
        <is>
          <t>Add-ons: case; 2 color options; Multi-year extended warranty available</t>
        </is>
      </c>
      <c r="CB11" s="149" t="inlineStr">
        <is>
          <t>12 months on main ROV / camera / electronics (batteries/thrusters often 6 months)</t>
        </is>
      </c>
      <c r="CC11" s="147" t="n">
        <v>12</v>
      </c>
      <c r="CD11" s="149" t="inlineStr">
        <is>
          <t>+3 Year Extended ≈24% of configuration (default in configurator)</t>
        </is>
      </c>
      <c r="CE11" s="145" t="inlineStr">
        <is>
          <t>Chasing Innovation Warranty Policy</t>
        </is>
      </c>
      <c r="CF11" s="145" t="inlineStr">
        <is>
          <t>Documented</t>
        </is>
      </c>
      <c r="CG11" s="149" t="inlineStr">
        <is>
          <t>Propellers/tether wear items often no warranty. Period starts at end-user sale date.</t>
        </is>
      </c>
      <c r="CH11" s="145" t="inlineStr">
        <is>
          <t>10%</t>
        </is>
      </c>
      <c r="CI11" s="145" t="inlineStr">
        <is>
          <t>17%</t>
        </is>
      </c>
      <c r="CJ11" s="145" t="inlineStr">
        <is>
          <t>24%</t>
        </is>
      </c>
      <c r="CK1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1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1" s="145" t="inlineStr">
        <is>
          <t>12 months on main ROV / camera / electronics (batteries/thrusters often 6 months)</t>
        </is>
      </c>
    </row>
    <row r="12" ht="31.5" customHeight="1" s="102">
      <c r="A12" s="159" t="inlineStr">
        <is>
          <t>deep_trekker_dtg3</t>
        </is>
      </c>
      <c r="B12" s="160" t="inlineStr">
        <is>
          <t>Website</t>
        </is>
      </c>
      <c r="C12" s="152" t="inlineStr">
        <is>
          <t>Deep Trekker</t>
        </is>
      </c>
      <c r="D12" s="152" t="inlineStr">
        <is>
          <t>DTG3</t>
        </is>
      </c>
      <c r="E12" s="152" t="inlineStr">
        <is>
          <t>[Deep Trekker] DTG3 (2019)</t>
        </is>
      </c>
      <c r="F12" s="165" t="inlineStr">
        <is>
          <t>water</t>
        </is>
      </c>
      <c r="G12" s="152" t="inlineStr">
        <is>
          <t>Canada</t>
        </is>
      </c>
      <c r="H12" s="154" t="n">
        <v>2019</v>
      </c>
      <c r="I12" s="155" t="n">
        <v>12000</v>
      </c>
      <c r="J12" s="152" t="inlineStr">
        <is>
          <t>DTG3 professional kit estimate</t>
        </is>
      </c>
      <c r="K12" s="156" t="inlineStr">
        <is>
          <t>DTG3 is Deep Trekker's marine robot — ≈ 500–660 ft class depth. HD camera with continuous 360° rotation options; aimed at rOV.</t>
        </is>
      </c>
      <c r="L12" s="101" t="inlineStr">
        <is>
          <t>DTG3 is Deep Trekker's marine robot — ≈ 500–660 ft class depth. HD camera with continuous 360° rotation options; aimed at rOV.</t>
        </is>
      </c>
      <c r="M12" s="101" t="inlineStr">
        <is>
          <t>DTG3 is Deep Trekker's marine robot — ≈ 500–660 ft class depth. HD camera with continuous 360° rotation options; aimed at rOV.</t>
        </is>
      </c>
      <c r="N12" s="152" t="n"/>
      <c r="O12" s="152" t="inlineStr">
        <is>
          <t>https://www.deeptrekker.com</t>
        </is>
      </c>
      <c r="P12" s="152" t="n"/>
      <c r="Q12" s="152" t="n"/>
      <c r="R12" s="152" t="inlineStr">
        <is>
          <t>≈ 18–25 lb class</t>
        </is>
      </c>
      <c r="S12" s="152" t="n"/>
      <c r="T12" s="156" t="inlineStr">
        <is>
          <t>Not disclosed</t>
        </is>
      </c>
      <c r="U12" s="152" t="n"/>
      <c r="V12" s="152" t="n"/>
      <c r="W12" s="156" t="n"/>
      <c r="X12" s="152" t="inlineStr">
        <is>
          <t>Not disclosed</t>
        </is>
      </c>
      <c r="Y12" s="152" t="n"/>
      <c r="Z12" s="152" t="inlineStr">
        <is>
          <t>Not disclosed</t>
        </is>
      </c>
      <c r="AA12" s="152" t="n"/>
      <c r="AB12" s="152" t="n"/>
      <c r="AC12" s="156" t="inlineStr">
        <is>
          <t>Not disclosed</t>
        </is>
      </c>
      <c r="AD12" s="156" t="n"/>
      <c r="AE12" s="152" t="n"/>
      <c r="AF12" s="152" t="inlineStr">
        <is>
          <t>Not disclosed</t>
        </is>
      </c>
      <c r="AG12" s="156" t="n"/>
      <c r="AH12" s="152" t="n"/>
      <c r="AI12" s="152" t="n"/>
      <c r="AJ12" s="156" t="inlineStr">
        <is>
          <t>HD camera with continuous 360° rotation options</t>
        </is>
      </c>
      <c r="AK12" s="156" t="n"/>
      <c r="AL12" s="152" t="inlineStr">
        <is>
          <t>HD video over tether</t>
        </is>
      </c>
      <c r="AM12" s="152" t="n"/>
      <c r="AN12" s="152" t="n"/>
      <c r="AO12" s="152" t="n"/>
      <c r="AP12" s="152" t="inlineStr">
        <is>
          <t>Not disclosed</t>
        </is>
      </c>
      <c r="AQ12" s="152" t="n"/>
      <c r="AR12" s="152" t="n"/>
      <c r="AS12" s="152" t="n"/>
      <c r="AT12" s="156" t="n"/>
      <c r="AU12" s="156" t="inlineStr">
        <is>
          <t>Not disclosed</t>
        </is>
      </c>
      <c r="AV12" s="152" t="inlineStr">
        <is>
          <t>Deep Trekker controller</t>
        </is>
      </c>
      <c r="AW12" s="156" t="inlineStr">
        <is>
          <t>Not disclosed</t>
        </is>
      </c>
      <c r="AX12" s="152" t="n"/>
      <c r="AY12" s="156" t="n"/>
      <c r="AZ12" s="156" t="n"/>
      <c r="BA12" s="156" t="n"/>
      <c r="BB12" s="156" t="n"/>
      <c r="BC12" s="156" t="n"/>
      <c r="BD12" s="152" t="n"/>
      <c r="BE12" s="152" t="inlineStr">
        <is>
          <t>Not disclosed</t>
        </is>
      </c>
      <c r="BF12" s="152" t="n"/>
      <c r="BG12" s="152" t="inlineStr">
        <is>
          <t>≈ 500–660 ft class</t>
        </is>
      </c>
      <c r="BH12" s="152" t="inlineStr">
        <is>
          <t>Not disclosed</t>
        </is>
      </c>
      <c r="BI12" s="152" t="inlineStr">
        <is>
          <t>Not disclosed</t>
        </is>
      </c>
      <c r="BJ12" s="152" t="inlineStr">
        <is>
          <t>Not disclosed</t>
        </is>
      </c>
      <c r="BK12" s="152" t="inlineStr">
        <is>
          <t>Not disclosed</t>
        </is>
      </c>
      <c r="BL12" s="152" t="n"/>
      <c r="BM12" s="152" t="n"/>
      <c r="BN12" s="152" t="n"/>
      <c r="BO12" s="156" t="n"/>
      <c r="BP12" s="152" t="inlineStr">
        <is>
          <t>Not disclosed</t>
        </is>
      </c>
      <c r="BQ12" s="156" t="inlineStr">
        <is>
          <t>ROV</t>
        </is>
      </c>
      <c r="BR12" s="156" t="inlineStr">
        <is>
          <t>Not disclosed</t>
        </is>
      </c>
      <c r="BS12" s="156" t="n"/>
      <c r="BT12" s="152" t="n"/>
      <c r="BU12" s="152" t="n"/>
      <c r="BV12" s="156" t="inlineStr">
        <is>
          <t>656 ft depth; portable commercial; BRIDGE tech; 4K; Canadian made</t>
        </is>
      </c>
      <c r="BW12" s="156" t="inlineStr">
        <is>
          <t>Origin &amp; status — Canada · 2019 | Mission — Depth ≈ 500–660 ft class · Payload Not disclosed | Sensing — HD camera with continuous 360° rotation options | Buying notes — $12,000 · 12 months manufacturer standard (typical) · Best fit: 656 ft depth; portable commercial; BRIDGE tech; 4K; Canadian made</t>
        </is>
      </c>
      <c r="BX12" s="156" t="inlineStr">
        <is>
          <t>as_shipped|DTG3|12000|As shipped</t>
        </is>
      </c>
      <c r="BY12" s="152" t="inlineStr">
        <is>
          <t>dtg3|Manufacturer finish|#e2e8f0|0</t>
        </is>
      </c>
      <c r="BZ12" s="152" t="inlineStr"/>
      <c r="CA12" s="156" t="inlineStr">
        <is>
          <t>Add-ons: case; 2 color options; Multi-year extended warranty available</t>
        </is>
      </c>
      <c r="CB12" s="156" t="inlineStr">
        <is>
          <t>12 months manufacturer standard (typical)</t>
        </is>
      </c>
      <c r="CC12" s="154" t="n">
        <v>12</v>
      </c>
      <c r="CD12" s="156" t="inlineStr">
        <is>
          <t>+3 Year Extended ≈24% of configuration (default in configurator)</t>
        </is>
      </c>
      <c r="CE12" s="152" t="inlineStr">
        <is>
          <t>Industry default when OEM sheet not public</t>
        </is>
      </c>
      <c r="CF12" s="152" t="inlineStr">
        <is>
          <t>Estimated</t>
        </is>
      </c>
      <c r="CG12" s="156" t="inlineStr">
        <is>
          <t>Always confirm exact warranty on formal quote before purchase.</t>
        </is>
      </c>
      <c r="CH12" s="152" t="inlineStr">
        <is>
          <t>10%</t>
        </is>
      </c>
      <c r="CI12" s="152" t="inlineStr">
        <is>
          <t>17%</t>
        </is>
      </c>
      <c r="CJ12" s="152" t="inlineStr">
        <is>
          <t>24%</t>
        </is>
      </c>
      <c r="CK12"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12"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2" s="152" t="inlineStr">
        <is>
          <t>12 months manufacturer standard (typical)</t>
        </is>
      </c>
    </row>
    <row r="13" ht="31.5" customHeight="1" s="102">
      <c r="A13" s="143" t="inlineStr">
        <is>
          <t>exail_formerly_eca_group_inspector_a18_r</t>
        </is>
      </c>
      <c r="B13" s="160" t="inlineStr">
        <is>
          <t>Website</t>
        </is>
      </c>
      <c r="C13" s="145" t="inlineStr">
        <is>
          <t>Exail</t>
        </is>
      </c>
      <c r="D13" s="145" t="inlineStr">
        <is>
          <t>Inspector</t>
        </is>
      </c>
      <c r="E13" s="145" t="inlineStr">
        <is>
          <t>[Exail] Inspector (2022)</t>
        </is>
      </c>
      <c r="F13" s="165" t="inlineStr">
        <is>
          <t>water</t>
        </is>
      </c>
      <c r="G13" s="145" t="inlineStr">
        <is>
          <t>France</t>
        </is>
      </c>
      <c r="H13" s="147" t="n">
        <v>2022</v>
      </c>
      <c r="I13" s="148" t="n">
        <v>120000</v>
      </c>
      <c r="J13" s="145" t="inlineStr">
        <is>
          <t>Inspector-class ROV/USV estimate</t>
        </is>
      </c>
      <c r="K13" s="149" t="inlineStr">
        <is>
          <t>[Exail] Inspector (2022) is a marine platform from Exail (France, 2022), positioned for usv.</t>
        </is>
      </c>
      <c r="L13" s="101" t="inlineStr">
        <is>
          <t>[Exail] Inspector (2022) is a marine platform from Exail (France, 2022), positioned for usv.</t>
        </is>
      </c>
      <c r="M13" s="101" t="inlineStr">
        <is>
          <t>[Exail] Inspector (2022) is a marine platform from Exail (France, 2022), positioned for usv. It is positioned for uSV / AUV / ROV.</t>
        </is>
      </c>
      <c r="N13" s="145" t="n"/>
      <c r="O13" s="145" t="inlineStr">
        <is>
          <t>https://www.exail.com</t>
        </is>
      </c>
      <c r="P13" s="145" t="n"/>
      <c r="Q13" s="145" t="n"/>
      <c r="R13" s="145" t="inlineStr">
        <is>
          <t>Not disclosed</t>
        </is>
      </c>
      <c r="S13" s="145" t="n"/>
      <c r="T13" s="149" t="inlineStr">
        <is>
          <t>Not disclosed</t>
        </is>
      </c>
      <c r="U13" s="145" t="n"/>
      <c r="V13" s="145" t="n"/>
      <c r="W13" s="149" t="n"/>
      <c r="X13" s="145" t="inlineStr">
        <is>
          <t>Not disclosed</t>
        </is>
      </c>
      <c r="Y13" s="145" t="n"/>
      <c r="Z13" s="145" t="inlineStr">
        <is>
          <t>Not disclosed</t>
        </is>
      </c>
      <c r="AA13" s="145" t="n"/>
      <c r="AB13" s="145" t="n"/>
      <c r="AC13" s="149" t="inlineStr">
        <is>
          <t>Not disclosed</t>
        </is>
      </c>
      <c r="AD13" s="149" t="n"/>
      <c r="AE13" s="145" t="n"/>
      <c r="AF13" s="145" t="inlineStr">
        <is>
          <t>Not disclosed</t>
        </is>
      </c>
      <c r="AG13" s="149" t="n"/>
      <c r="AH13" s="145" t="n"/>
      <c r="AI13" s="145" t="n"/>
      <c r="AJ13" s="149" t="inlineStr">
        <is>
          <t>Mine countermeasure and inspection cameras / sonar</t>
        </is>
      </c>
      <c r="AK13" s="149" t="n"/>
      <c r="AL13" s="145" t="inlineStr">
        <is>
          <t>Naval inspection and MCM video/sonar</t>
        </is>
      </c>
      <c r="AM13" s="145" t="n"/>
      <c r="AN13" s="145" t="n"/>
      <c r="AO13" s="145" t="n"/>
      <c r="AP13" s="145" t="inlineStr">
        <is>
          <t>Not disclosed</t>
        </is>
      </c>
      <c r="AQ13" s="145" t="n"/>
      <c r="AR13" s="145" t="n"/>
      <c r="AS13" s="145" t="n"/>
      <c r="AT13" s="149" t="n"/>
      <c r="AU13" s="149" t="inlineStr">
        <is>
          <t>Not disclosed</t>
        </is>
      </c>
      <c r="AV13" s="145" t="inlineStr">
        <is>
          <t>Naval GCS for USV/AUV/ROV family</t>
        </is>
      </c>
      <c r="AW13" s="149" t="inlineStr">
        <is>
          <t>Not disclosed</t>
        </is>
      </c>
      <c r="AX13" s="145" t="n"/>
      <c r="AY13" s="149" t="n"/>
      <c r="AZ13" s="149" t="n"/>
      <c r="BA13" s="149" t="n"/>
      <c r="BB13" s="149" t="n"/>
      <c r="BC13" s="149" t="n"/>
      <c r="BD13" s="145" t="n"/>
      <c r="BE13" s="145" t="inlineStr">
        <is>
          <t>Not disclosed</t>
        </is>
      </c>
      <c r="BF13" s="145" t="n"/>
      <c r="BG13" s="145" t="inlineStr">
        <is>
          <t>Not disclosed</t>
        </is>
      </c>
      <c r="BH13" s="145" t="inlineStr">
        <is>
          <t>Not disclosed</t>
        </is>
      </c>
      <c r="BI13" s="145" t="inlineStr">
        <is>
          <t>Not disclosed</t>
        </is>
      </c>
      <c r="BJ13" s="145" t="inlineStr">
        <is>
          <t>Not disclosed</t>
        </is>
      </c>
      <c r="BK13" s="145" t="inlineStr">
        <is>
          <t>Not disclosed</t>
        </is>
      </c>
      <c r="BL13" s="145" t="n"/>
      <c r="BM13" s="145" t="n"/>
      <c r="BN13" s="145" t="n"/>
      <c r="BO13" s="149" t="n"/>
      <c r="BP13" s="145" t="inlineStr">
        <is>
          <t>Not disclosed</t>
        </is>
      </c>
      <c r="BQ13" s="149" t="inlineStr">
        <is>
          <t>USV / AUV / ROV</t>
        </is>
      </c>
      <c r="BR13" s="149" t="inlineStr">
        <is>
          <t>Not disclosed</t>
        </is>
      </c>
      <c r="BS13" s="149" t="n"/>
      <c r="BT13" s="145" t="n"/>
      <c r="BU13" s="145" t="n"/>
      <c r="BV13" s="149" t="inlineStr">
        <is>
          <t>Mine countermeasures specialist; European naval programs</t>
        </is>
      </c>
      <c r="BW13" s="149" t="inlineStr">
        <is>
          <t>Origin &amp; status — France · 2022 | Mission — Depth Not disclosed · Payload Not disclosed | Sensing — Mine countermeasure and inspection cameras / sonar | Buying notes — Contact / multi-hundred k to millions · 12 months limited / contract-dependent · Best fit: Mine countermeasures specialist; European naval programs</t>
        </is>
      </c>
      <c r="BX13" s="149" t="inlineStr">
        <is>
          <t>as_shipped|Inspector|120000|As shipped</t>
        </is>
      </c>
      <c r="BY13" s="145" t="inlineStr">
        <is>
          <t>inspector|Manufacturer finish|#e2e8f0|0</t>
        </is>
      </c>
      <c r="BZ13" s="145" t="inlineStr"/>
      <c r="CA13" s="149" t="inlineStr">
        <is>
          <t>Add-ons: case; 2 color options; Multi-year extended warranty available</t>
        </is>
      </c>
      <c r="CB13" s="149" t="inlineStr">
        <is>
          <t>12 months limited / contract-dependent</t>
        </is>
      </c>
      <c r="CC13" s="147" t="n">
        <v>12</v>
      </c>
      <c r="CD13" s="149" t="inlineStr">
        <is>
          <t>+3 Year Extended ≈24% of configuration (default in configurator)</t>
        </is>
      </c>
      <c r="CE13" s="145" t="inlineStr">
        <is>
          <t>Enterprise marine robotics norms</t>
        </is>
      </c>
      <c r="CF13" s="145" t="inlineStr">
        <is>
          <t>Estimated</t>
        </is>
      </c>
      <c r="CG13" s="149" t="inlineStr">
        <is>
          <t>Confirm inclusions and sea-trial terms on quote.</t>
        </is>
      </c>
      <c r="CH13" s="145" t="inlineStr">
        <is>
          <t>10%</t>
        </is>
      </c>
      <c r="CI13" s="145" t="inlineStr">
        <is>
          <t>17%</t>
        </is>
      </c>
      <c r="CJ13" s="145" t="inlineStr">
        <is>
          <t>24%</t>
        </is>
      </c>
      <c r="CK13"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13"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3" s="145" t="inlineStr">
        <is>
          <t>12 months limited / contract-dependent</t>
        </is>
      </c>
    </row>
    <row r="14" ht="31.5" customHeight="1" s="102">
      <c r="A14" s="143" t="inlineStr">
        <is>
          <t>exail_formerly_eca_group_inspector_a18_r_a18</t>
        </is>
      </c>
      <c r="B14" s="160" t="inlineStr">
        <is>
          <t>Website</t>
        </is>
      </c>
      <c r="C14" s="145" t="inlineStr">
        <is>
          <t>Exail</t>
        </is>
      </c>
      <c r="D14" s="145" t="inlineStr">
        <is>
          <t>A18</t>
        </is>
      </c>
      <c r="E14" s="145" t="inlineStr">
        <is>
          <t>[Exail] A18 (2022)</t>
        </is>
      </c>
      <c r="F14" s="165" t="inlineStr">
        <is>
          <t>water</t>
        </is>
      </c>
      <c r="G14" s="145" t="inlineStr">
        <is>
          <t>France</t>
        </is>
      </c>
      <c r="H14" s="147" t="n">
        <v>2022</v>
      </c>
      <c r="I14" s="148" t="n">
        <v>1800000</v>
      </c>
      <c r="J14" s="145" t="inlineStr">
        <is>
          <t>A18 AUV class estimate</t>
        </is>
      </c>
      <c r="K14" s="149" t="inlineStr">
        <is>
          <t>A18 is Exail's marine robot. Mine countermeasure and inspection cameras / sonar; aimed at uSV.</t>
        </is>
      </c>
      <c r="L14" s="101" t="inlineStr">
        <is>
          <t>A18 is Exail's marine robot. Mine countermeasure and inspection cameras / sonar; aimed at uSV.</t>
        </is>
      </c>
      <c r="M14" s="101" t="inlineStr">
        <is>
          <t>A18 is Exail's marine robot. Mine countermeasure and inspection cameras / sonar; aimed at uSV. It is positioned for uSV / AUV / ROV.</t>
        </is>
      </c>
      <c r="N14" s="145" t="n"/>
      <c r="O14" s="145" t="inlineStr">
        <is>
          <t>https://www.exail.com</t>
        </is>
      </c>
      <c r="P14" s="145" t="n"/>
      <c r="Q14" s="145" t="n"/>
      <c r="R14" s="145" t="inlineStr">
        <is>
          <t>Not disclosed</t>
        </is>
      </c>
      <c r="S14" s="145" t="n"/>
      <c r="T14" s="149" t="inlineStr">
        <is>
          <t>Not disclosed</t>
        </is>
      </c>
      <c r="U14" s="145" t="n"/>
      <c r="V14" s="145" t="n"/>
      <c r="W14" s="149" t="n"/>
      <c r="X14" s="145" t="inlineStr">
        <is>
          <t>Not disclosed</t>
        </is>
      </c>
      <c r="Y14" s="145" t="n"/>
      <c r="Z14" s="145" t="inlineStr">
        <is>
          <t>Not disclosed</t>
        </is>
      </c>
      <c r="AA14" s="145" t="n"/>
      <c r="AB14" s="145" t="n"/>
      <c r="AC14" s="149" t="inlineStr">
        <is>
          <t>Not disclosed</t>
        </is>
      </c>
      <c r="AD14" s="149" t="n"/>
      <c r="AE14" s="145" t="n"/>
      <c r="AF14" s="145" t="inlineStr">
        <is>
          <t>Not disclosed</t>
        </is>
      </c>
      <c r="AG14" s="149" t="n"/>
      <c r="AH14" s="145" t="n"/>
      <c r="AI14" s="145" t="n"/>
      <c r="AJ14" s="149" t="inlineStr">
        <is>
          <t>Mine countermeasure and inspection cameras / sonar</t>
        </is>
      </c>
      <c r="AK14" s="149" t="n"/>
      <c r="AL14" s="145" t="inlineStr">
        <is>
          <t>Naval inspection and MCM video/sonar</t>
        </is>
      </c>
      <c r="AM14" s="145" t="n"/>
      <c r="AN14" s="145" t="n"/>
      <c r="AO14" s="145" t="n"/>
      <c r="AP14" s="145" t="inlineStr">
        <is>
          <t>Not disclosed</t>
        </is>
      </c>
      <c r="AQ14" s="145" t="n"/>
      <c r="AR14" s="145" t="n"/>
      <c r="AS14" s="145" t="n"/>
      <c r="AT14" s="149" t="n"/>
      <c r="AU14" s="149" t="inlineStr">
        <is>
          <t>Not disclosed</t>
        </is>
      </c>
      <c r="AV14" s="145" t="inlineStr">
        <is>
          <t>Naval GCS for USV/AUV/ROV family</t>
        </is>
      </c>
      <c r="AW14" s="149" t="inlineStr">
        <is>
          <t>Not disclosed</t>
        </is>
      </c>
      <c r="AX14" s="145" t="n"/>
      <c r="AY14" s="149" t="n"/>
      <c r="AZ14" s="149" t="n"/>
      <c r="BA14" s="149" t="n"/>
      <c r="BB14" s="149" t="n"/>
      <c r="BC14" s="149" t="n"/>
      <c r="BD14" s="145" t="n"/>
      <c r="BE14" s="145" t="inlineStr">
        <is>
          <t>Not disclosed</t>
        </is>
      </c>
      <c r="BF14" s="145" t="n"/>
      <c r="BG14" s="145" t="inlineStr">
        <is>
          <t>Not disclosed</t>
        </is>
      </c>
      <c r="BH14" s="145" t="inlineStr">
        <is>
          <t>Not disclosed</t>
        </is>
      </c>
      <c r="BI14" s="145" t="inlineStr">
        <is>
          <t>Not disclosed</t>
        </is>
      </c>
      <c r="BJ14" s="145" t="inlineStr">
        <is>
          <t>Not disclosed</t>
        </is>
      </c>
      <c r="BK14" s="145" t="inlineStr">
        <is>
          <t>Not disclosed</t>
        </is>
      </c>
      <c r="BL14" s="145" t="n"/>
      <c r="BM14" s="145" t="n"/>
      <c r="BN14" s="145" t="n"/>
      <c r="BO14" s="149" t="n"/>
      <c r="BP14" s="145" t="inlineStr">
        <is>
          <t>Not disclosed</t>
        </is>
      </c>
      <c r="BQ14" s="149" t="inlineStr">
        <is>
          <t>USV / AUV / ROV</t>
        </is>
      </c>
      <c r="BR14" s="149" t="inlineStr">
        <is>
          <t>Not disclosed</t>
        </is>
      </c>
      <c r="BS14" s="149" t="n"/>
      <c r="BT14" s="145" t="n"/>
      <c r="BU14" s="145" t="n"/>
      <c r="BV14" s="149" t="inlineStr">
        <is>
          <t>Mine countermeasures specialist; European naval programs</t>
        </is>
      </c>
      <c r="BW14" s="149" t="inlineStr">
        <is>
          <t>Origin &amp; status — France · 2022 | Mission — Depth Not disclosed · Payload Not disclosed | Sensing — Mine countermeasure and inspection cameras / sonar | Buying notes — Contact / multi-hundred k to millions · 12 months limited / contract-dependent · Best fit: Mine countermeasures specialist; European naval programs</t>
        </is>
      </c>
      <c r="BX14" s="149" t="inlineStr">
        <is>
          <t>as_shipped|A18|1800000|As shipped</t>
        </is>
      </c>
      <c r="BY14" s="145" t="inlineStr">
        <is>
          <t>a18|Manufacturer finish|#e2e8f0|0</t>
        </is>
      </c>
      <c r="BZ14" s="145" t="inlineStr"/>
      <c r="CA14" s="149" t="inlineStr">
        <is>
          <t>Add-ons: case; 2 color options; Multi-year extended warranty available</t>
        </is>
      </c>
      <c r="CB14" s="149" t="inlineStr">
        <is>
          <t>12 months limited / contract-dependent</t>
        </is>
      </c>
      <c r="CC14" s="147" t="n">
        <v>12</v>
      </c>
      <c r="CD14" s="149" t="inlineStr">
        <is>
          <t>+3 Year Extended ≈24% of configuration (default in configurator)</t>
        </is>
      </c>
      <c r="CE14" s="145" t="inlineStr">
        <is>
          <t>Enterprise marine robotics norms</t>
        </is>
      </c>
      <c r="CF14" s="145" t="inlineStr">
        <is>
          <t>Estimated</t>
        </is>
      </c>
      <c r="CG14" s="149" t="inlineStr">
        <is>
          <t>Confirm inclusions and sea-trial terms on quote.</t>
        </is>
      </c>
      <c r="CH14" s="145" t="inlineStr">
        <is>
          <t>10%</t>
        </is>
      </c>
      <c r="CI14" s="145" t="inlineStr">
        <is>
          <t>17%</t>
        </is>
      </c>
      <c r="CJ14" s="145" t="inlineStr">
        <is>
          <t>24%</t>
        </is>
      </c>
      <c r="CK14"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14"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4" s="145" t="inlineStr">
        <is>
          <t>12 months limited / contract-dependent</t>
        </is>
      </c>
    </row>
    <row r="15" ht="31.5" customHeight="1" s="102">
      <c r="A15" s="143" t="inlineStr">
        <is>
          <t>exail_formerly_eca_group_inspector_a18_r_r7</t>
        </is>
      </c>
      <c r="B15" s="160" t="inlineStr">
        <is>
          <t>Website</t>
        </is>
      </c>
      <c r="C15" s="145" t="inlineStr">
        <is>
          <t>Exail</t>
        </is>
      </c>
      <c r="D15" s="145" t="inlineStr">
        <is>
          <t>R7</t>
        </is>
      </c>
      <c r="E15" s="145" t="inlineStr">
        <is>
          <t>[Exail] R7 (2022)</t>
        </is>
      </c>
      <c r="F15" s="165" t="inlineStr">
        <is>
          <t>water</t>
        </is>
      </c>
      <c r="G15" s="145" t="inlineStr">
        <is>
          <t>France</t>
        </is>
      </c>
      <c r="H15" s="147" t="n">
        <v>2022</v>
      </c>
      <c r="I15" s="148" t="n">
        <v>450000</v>
      </c>
      <c r="J15" s="145" t="inlineStr">
        <is>
          <t>R7-class estimate</t>
        </is>
      </c>
      <c r="K15" s="149" t="inlineStr">
        <is>
          <t>R7 is Exail's marine robot. Mine countermeasure and inspection cameras / sonar; aimed at uSV.</t>
        </is>
      </c>
      <c r="L15" s="101" t="inlineStr">
        <is>
          <t>R7 is Exail's marine robot. Mine countermeasure and inspection cameras / sonar; aimed at uSV.</t>
        </is>
      </c>
      <c r="M15" s="101" t="inlineStr">
        <is>
          <t>R7 is Exail's marine robot. Mine countermeasure and inspection cameras / sonar; aimed at uSV. It is positioned for uSV / AUV / ROV.</t>
        </is>
      </c>
      <c r="N15" s="145" t="n"/>
      <c r="O15" s="145" t="inlineStr">
        <is>
          <t>https://www.exail.com</t>
        </is>
      </c>
      <c r="P15" s="145" t="n"/>
      <c r="Q15" s="145" t="n"/>
      <c r="R15" s="145" t="inlineStr">
        <is>
          <t>Not disclosed</t>
        </is>
      </c>
      <c r="S15" s="145" t="n"/>
      <c r="T15" s="149" t="inlineStr">
        <is>
          <t>Not disclosed</t>
        </is>
      </c>
      <c r="U15" s="145" t="n"/>
      <c r="V15" s="145" t="n"/>
      <c r="W15" s="149" t="n"/>
      <c r="X15" s="145" t="inlineStr">
        <is>
          <t>Not disclosed</t>
        </is>
      </c>
      <c r="Y15" s="145" t="n"/>
      <c r="Z15" s="145" t="inlineStr">
        <is>
          <t>Not disclosed</t>
        </is>
      </c>
      <c r="AA15" s="145" t="n"/>
      <c r="AB15" s="145" t="n"/>
      <c r="AC15" s="149" t="inlineStr">
        <is>
          <t>Not disclosed</t>
        </is>
      </c>
      <c r="AD15" s="149" t="n"/>
      <c r="AE15" s="145" t="n"/>
      <c r="AF15" s="145" t="inlineStr">
        <is>
          <t>Not disclosed</t>
        </is>
      </c>
      <c r="AG15" s="149" t="n"/>
      <c r="AH15" s="145" t="n"/>
      <c r="AI15" s="145" t="n"/>
      <c r="AJ15" s="149" t="inlineStr">
        <is>
          <t>Mine countermeasure and inspection cameras / sonar</t>
        </is>
      </c>
      <c r="AK15" s="149" t="n"/>
      <c r="AL15" s="145" t="inlineStr">
        <is>
          <t>Naval inspection and MCM video/sonar</t>
        </is>
      </c>
      <c r="AM15" s="145" t="n"/>
      <c r="AN15" s="145" t="n"/>
      <c r="AO15" s="145" t="n"/>
      <c r="AP15" s="145" t="inlineStr">
        <is>
          <t>Not disclosed</t>
        </is>
      </c>
      <c r="AQ15" s="145" t="n"/>
      <c r="AR15" s="145" t="n"/>
      <c r="AS15" s="145" t="n"/>
      <c r="AT15" s="149" t="n"/>
      <c r="AU15" s="149" t="inlineStr">
        <is>
          <t>Not disclosed</t>
        </is>
      </c>
      <c r="AV15" s="145" t="inlineStr">
        <is>
          <t>Naval GCS for USV/AUV/ROV family</t>
        </is>
      </c>
      <c r="AW15" s="149" t="inlineStr">
        <is>
          <t>Not disclosed</t>
        </is>
      </c>
      <c r="AX15" s="145" t="n"/>
      <c r="AY15" s="149" t="n"/>
      <c r="AZ15" s="149" t="n"/>
      <c r="BA15" s="149" t="n"/>
      <c r="BB15" s="149" t="n"/>
      <c r="BC15" s="149" t="n"/>
      <c r="BD15" s="145" t="n"/>
      <c r="BE15" s="145" t="inlineStr">
        <is>
          <t>Not disclosed</t>
        </is>
      </c>
      <c r="BF15" s="145" t="n"/>
      <c r="BG15" s="145" t="inlineStr">
        <is>
          <t>Not disclosed</t>
        </is>
      </c>
      <c r="BH15" s="145" t="inlineStr">
        <is>
          <t>Not disclosed</t>
        </is>
      </c>
      <c r="BI15" s="145" t="inlineStr">
        <is>
          <t>Not disclosed</t>
        </is>
      </c>
      <c r="BJ15" s="145" t="inlineStr">
        <is>
          <t>Not disclosed</t>
        </is>
      </c>
      <c r="BK15" s="145" t="inlineStr">
        <is>
          <t>Not disclosed</t>
        </is>
      </c>
      <c r="BL15" s="145" t="n"/>
      <c r="BM15" s="145" t="n"/>
      <c r="BN15" s="145" t="n"/>
      <c r="BO15" s="149" t="n"/>
      <c r="BP15" s="145" t="inlineStr">
        <is>
          <t>Not disclosed</t>
        </is>
      </c>
      <c r="BQ15" s="149" t="inlineStr">
        <is>
          <t>USV / AUV / ROV</t>
        </is>
      </c>
      <c r="BR15" s="149" t="inlineStr">
        <is>
          <t>Not disclosed</t>
        </is>
      </c>
      <c r="BS15" s="149" t="n"/>
      <c r="BT15" s="145" t="n"/>
      <c r="BU15" s="145" t="n"/>
      <c r="BV15" s="149" t="inlineStr">
        <is>
          <t>Mine countermeasures specialist; European naval programs</t>
        </is>
      </c>
      <c r="BW15" s="149" t="inlineStr">
        <is>
          <t>Origin &amp; status — France · 2022 | Mission — Depth Not disclosed · Payload Not disclosed | Sensing — Mine countermeasure and inspection cameras / sonar | Buying notes — Contact / multi-hundred k to millions · 12 months limited / contract-dependent · Best fit: Mine countermeasures specialist; European naval programs</t>
        </is>
      </c>
      <c r="BX15" s="149" t="inlineStr">
        <is>
          <t>as_shipped|R7|450000|As shipped</t>
        </is>
      </c>
      <c r="BY15" s="145" t="inlineStr">
        <is>
          <t>r7|Manufacturer finish|#e2e8f0|0</t>
        </is>
      </c>
      <c r="BZ15" s="145" t="inlineStr"/>
      <c r="CA15" s="149" t="inlineStr">
        <is>
          <t>Add-ons: case; 2 color options; Multi-year extended warranty available</t>
        </is>
      </c>
      <c r="CB15" s="149" t="inlineStr">
        <is>
          <t>12 months limited / contract-dependent</t>
        </is>
      </c>
      <c r="CC15" s="147" t="n">
        <v>12</v>
      </c>
      <c r="CD15" s="149" t="inlineStr">
        <is>
          <t>+3 Year Extended ≈24% of configuration (default in configurator)</t>
        </is>
      </c>
      <c r="CE15" s="145" t="inlineStr">
        <is>
          <t>Enterprise marine robotics norms</t>
        </is>
      </c>
      <c r="CF15" s="145" t="inlineStr">
        <is>
          <t>Estimated</t>
        </is>
      </c>
      <c r="CG15" s="149" t="inlineStr">
        <is>
          <t>Confirm inclusions and sea-trial terms on quote.</t>
        </is>
      </c>
      <c r="CH15" s="145" t="inlineStr">
        <is>
          <t>10%</t>
        </is>
      </c>
      <c r="CI15" s="145" t="inlineStr">
        <is>
          <t>17%</t>
        </is>
      </c>
      <c r="CJ15" s="145" t="inlineStr">
        <is>
          <t>24%</t>
        </is>
      </c>
      <c r="CK1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1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5" s="145" t="inlineStr">
        <is>
          <t>12 months limited / contract-dependent</t>
        </is>
      </c>
    </row>
    <row r="16" ht="31.5" customHeight="1" s="102">
      <c r="A16" s="159" t="inlineStr">
        <is>
          <t>kongsberg_maritime_hugin_series_incl_sup</t>
        </is>
      </c>
      <c r="B16" s="160" t="inlineStr">
        <is>
          <t>Website</t>
        </is>
      </c>
      <c r="C16" s="152" t="inlineStr">
        <is>
          <t>Kongsberg Maritime</t>
        </is>
      </c>
      <c r="D16" s="152" t="inlineStr">
        <is>
          <t>HUGIN Series</t>
        </is>
      </c>
      <c r="E16" s="152" t="inlineStr">
        <is>
          <t>[Kongsberg] HUGIN Series (2022)</t>
        </is>
      </c>
      <c r="F16" s="165" t="inlineStr">
        <is>
          <t>water</t>
        </is>
      </c>
      <c r="G16" s="152" t="inlineStr">
        <is>
          <t>Norway</t>
        </is>
      </c>
      <c r="H16" s="154" t="n">
        <v>2022</v>
      </c>
      <c r="I16" s="155" t="n">
        <v>4500000</v>
      </c>
      <c r="J16" s="152" t="inlineStr">
        <is>
          <t>HUGIN 3000-class documented awards ~$4.5–8M</t>
        </is>
      </c>
      <c r="K16" s="156" t="inlineStr">
        <is>
          <t>HUGIN Series is Kongsberg Maritime's marine robot. High-end survey sonar and optical payloads; aimed at aUV.</t>
        </is>
      </c>
      <c r="L16" s="101" t="inlineStr">
        <is>
          <t>HUGIN Series is Kongsberg Maritime's marine robot. High-end survey sonar and optical payloads; aimed at aUV.</t>
        </is>
      </c>
      <c r="M16" s="101" t="inlineStr">
        <is>
          <t>HUGIN Series is Kongsberg Maritime's marine robot. High-end survey sonar and optical payloads; aimed at aUV.</t>
        </is>
      </c>
      <c r="N16" s="152" t="n"/>
      <c r="O16" s="152" t="inlineStr">
        <is>
          <t>https://www.kongsberg.com/maritime</t>
        </is>
      </c>
      <c r="P16" s="152" t="n"/>
      <c r="Q16" s="152" t="n"/>
      <c r="R16" s="152" t="inlineStr">
        <is>
          <t>Not disclosed</t>
        </is>
      </c>
      <c r="S16" s="152" t="n"/>
      <c r="T16" s="156" t="inlineStr">
        <is>
          <t>Not disclosed</t>
        </is>
      </c>
      <c r="U16" s="152" t="n"/>
      <c r="V16" s="152" t="n"/>
      <c r="W16" s="156" t="n"/>
      <c r="X16" s="152" t="inlineStr">
        <is>
          <t>Not disclosed</t>
        </is>
      </c>
      <c r="Y16" s="152" t="n"/>
      <c r="Z16" s="152" t="inlineStr">
        <is>
          <t>Not disclosed</t>
        </is>
      </c>
      <c r="AA16" s="152" t="n"/>
      <c r="AB16" s="152" t="n"/>
      <c r="AC16" s="156" t="inlineStr">
        <is>
          <t>Not disclosed</t>
        </is>
      </c>
      <c r="AD16" s="156" t="n"/>
      <c r="AE16" s="152" t="n"/>
      <c r="AF16" s="152" t="inlineStr">
        <is>
          <t>Not disclosed</t>
        </is>
      </c>
      <c r="AG16" s="156" t="n"/>
      <c r="AH16" s="152" t="n"/>
      <c r="AI16" s="152" t="n"/>
      <c r="AJ16" s="156" t="inlineStr">
        <is>
          <t>High-end survey sonar and optical payloads</t>
        </is>
      </c>
      <c r="AK16" s="156" t="n"/>
      <c r="AL16" s="152" t="inlineStr">
        <is>
          <t>Oceanographic and seabed survey data products</t>
        </is>
      </c>
      <c r="AM16" s="152" t="n"/>
      <c r="AN16" s="152" t="n"/>
      <c r="AO16" s="152" t="n"/>
      <c r="AP16" s="152" t="inlineStr">
        <is>
          <t>Not disclosed</t>
        </is>
      </c>
      <c r="AQ16" s="152" t="n"/>
      <c r="AR16" s="152" t="n"/>
      <c r="AS16" s="152" t="n"/>
      <c r="AT16" s="156" t="n"/>
      <c r="AU16" s="156" t="inlineStr">
        <is>
          <t>Not disclosed</t>
        </is>
      </c>
      <c r="AV16" s="152" t="inlineStr">
        <is>
          <t>Kongsberg survey operations software</t>
        </is>
      </c>
      <c r="AW16" s="156" t="inlineStr">
        <is>
          <t>Not disclosed</t>
        </is>
      </c>
      <c r="AX16" s="152" t="n"/>
      <c r="AY16" s="156" t="n"/>
      <c r="AZ16" s="156" t="n"/>
      <c r="BA16" s="156" t="n"/>
      <c r="BB16" s="156" t="n"/>
      <c r="BC16" s="156" t="n"/>
      <c r="BD16" s="152" t="n"/>
      <c r="BE16" s="152" t="inlineStr">
        <is>
          <t>Not disclosed</t>
        </is>
      </c>
      <c r="BF16" s="152" t="n"/>
      <c r="BG16" s="152" t="inlineStr">
        <is>
          <t>Not disclosed</t>
        </is>
      </c>
      <c r="BH16" s="152" t="inlineStr">
        <is>
          <t>Not disclosed</t>
        </is>
      </c>
      <c r="BI16" s="152" t="inlineStr">
        <is>
          <t>Not disclosed</t>
        </is>
      </c>
      <c r="BJ16" s="152" t="inlineStr">
        <is>
          <t>Not disclosed</t>
        </is>
      </c>
      <c r="BK16" s="152" t="inlineStr">
        <is>
          <t>Not disclosed</t>
        </is>
      </c>
      <c r="BL16" s="152" t="n"/>
      <c r="BM16" s="152" t="n"/>
      <c r="BN16" s="152" t="n"/>
      <c r="BO16" s="156" t="n"/>
      <c r="BP16" s="152" t="inlineStr">
        <is>
          <t>Not disclosed</t>
        </is>
      </c>
      <c r="BQ16" s="156" t="inlineStr">
        <is>
          <t>AUV</t>
        </is>
      </c>
      <c r="BR16" s="156" t="inlineStr">
        <is>
          <t>Not disclosed</t>
        </is>
      </c>
      <c r="BS16" s="156" t="n"/>
      <c r="BT16" s="152" t="n"/>
      <c r="BU16" s="152" t="n"/>
      <c r="BV16" s="156" t="inlineStr">
        <is>
          <t>Leading commercial AUV; 3000–19685 ft depth; survey, MCM, HISAS sonar</t>
        </is>
      </c>
      <c r="BW16" s="156" t="inlineStr">
        <is>
          <t>Origin &amp; status — Norway · 2022 | Mission — Depth Not disclosed · Payload Not disclosed | Sensing — High-end survey sonar and optical payloads | Buying notes — Several million USD per system (e.g. multi-M contracts) · 12 months manufacturer standard (typical) · Best fit: Leading commercial AUV; 3000–19685 ft depth; surve…</t>
        </is>
      </c>
      <c r="BX16" s="156" t="inlineStr">
        <is>
          <t>as_shipped|HUGIN Series|4500000|As shipped</t>
        </is>
      </c>
      <c r="BY16" s="152" t="inlineStr">
        <is>
          <t>hugin_series|Manufacturer finish|#e2e8f0|0</t>
        </is>
      </c>
      <c r="BZ16" s="152" t="inlineStr"/>
      <c r="CA16" s="156" t="inlineStr">
        <is>
          <t>Add-ons: case; 2 color options; Multi-year extended warranty available</t>
        </is>
      </c>
      <c r="CB16" s="156" t="inlineStr">
        <is>
          <t>12 months manufacturer standard (typical)</t>
        </is>
      </c>
      <c r="CC16" s="154" t="n">
        <v>12</v>
      </c>
      <c r="CD16" s="156" t="inlineStr">
        <is>
          <t>+3 Year Extended ≈24% of configuration (default in configurator)</t>
        </is>
      </c>
      <c r="CE16" s="152" t="inlineStr">
        <is>
          <t>Industry default when OEM sheet not public</t>
        </is>
      </c>
      <c r="CF16" s="152" t="inlineStr">
        <is>
          <t>Estimated</t>
        </is>
      </c>
      <c r="CG16" s="156" t="inlineStr">
        <is>
          <t>Always confirm exact warranty on formal quote before purchase.</t>
        </is>
      </c>
      <c r="CH16" s="152" t="inlineStr">
        <is>
          <t>10%</t>
        </is>
      </c>
      <c r="CI16" s="152" t="inlineStr">
        <is>
          <t>17%</t>
        </is>
      </c>
      <c r="CJ16" s="152" t="inlineStr">
        <is>
          <t>24%</t>
        </is>
      </c>
      <c r="CK16"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16"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6" s="152" t="inlineStr">
        <is>
          <t>12 months manufacturer standard (typical)</t>
        </is>
      </c>
    </row>
    <row r="17" ht="31.5" customHeight="1" s="102">
      <c r="A17" s="143" t="inlineStr">
        <is>
          <t>martac_mantas_t_series_t12_t38_devil_ray</t>
        </is>
      </c>
      <c r="B17" s="160" t="inlineStr">
        <is>
          <t>Website</t>
        </is>
      </c>
      <c r="C17" s="145" t="inlineStr">
        <is>
          <t>MARTAC</t>
        </is>
      </c>
      <c r="D17" s="145" t="inlineStr">
        <is>
          <t>MANTAS T12</t>
        </is>
      </c>
      <c r="E17" s="145" t="inlineStr">
        <is>
          <t>[MARTAC] MANTAS T12 (2010)</t>
        </is>
      </c>
      <c r="F17" s="165" t="inlineStr">
        <is>
          <t>water</t>
        </is>
      </c>
      <c r="G17" s="145" t="inlineStr">
        <is>
          <t>USA</t>
        </is>
      </c>
      <c r="H17" s="147" t="n">
        <v>2010</v>
      </c>
      <c r="I17" s="148" t="n">
        <v>175000</v>
      </c>
      <c r="J17" s="145" t="inlineStr">
        <is>
          <t>MANTAS T12 USV class estimate</t>
        </is>
      </c>
      <c r="K17" s="149" t="inlineStr">
        <is>
          <t>[MARTAC] MANTAS T12 (2010) is a marine platform from MARTAC (USA, 2010), positioned for usv.</t>
        </is>
      </c>
      <c r="L17" s="101" t="inlineStr">
        <is>
          <t>[MARTAC] MANTAS T12 (2010) is a marine platform from MARTAC (USA, 2010), positioned for usv.</t>
        </is>
      </c>
      <c r="M17" s="101" t="inlineStr">
        <is>
          <t>MANTAS T12 is MARTAC's marine robot, introduced around 2010 in USA. [MARTAC] MANTAS T12 (2010) is a marine platform from MARTAC (USA, 2010), positioned for usv.</t>
        </is>
      </c>
      <c r="N17" s="145" t="n"/>
      <c r="O17" s="145" t="inlineStr">
        <is>
          <t>https://www.martacsystems.com</t>
        </is>
      </c>
      <c r="P17" s="145" t="n"/>
      <c r="Q17" s="145" t="n"/>
      <c r="R17" s="145" t="inlineStr">
        <is>
          <t>Not disclosed</t>
        </is>
      </c>
      <c r="S17" s="145" t="n"/>
      <c r="T17" s="149" t="inlineStr">
        <is>
          <t>Not disclosed</t>
        </is>
      </c>
      <c r="U17" s="145" t="n"/>
      <c r="V17" s="145" t="n"/>
      <c r="W17" s="149" t="n"/>
      <c r="X17" s="145" t="inlineStr">
        <is>
          <t>Not disclosed</t>
        </is>
      </c>
      <c r="Y17" s="145" t="n"/>
      <c r="Z17" s="145" t="inlineStr">
        <is>
          <t>Not disclosed</t>
        </is>
      </c>
      <c r="AA17" s="145" t="n"/>
      <c r="AB17" s="145" t="n"/>
      <c r="AC17" s="149" t="inlineStr">
        <is>
          <t>Not disclosed</t>
        </is>
      </c>
      <c r="AD17" s="149" t="n"/>
      <c r="AE17" s="145" t="n"/>
      <c r="AF17" s="145" t="inlineStr">
        <is>
          <t>Not disclosed</t>
        </is>
      </c>
      <c r="AG17" s="149" t="n"/>
      <c r="AH17" s="145" t="n"/>
      <c r="AI17" s="145" t="n"/>
      <c r="AJ17" s="149" t="inlineStr">
        <is>
          <t>Modular ISR / survey payloads</t>
        </is>
      </c>
      <c r="AK17" s="149" t="n"/>
      <c r="AL17" s="145" t="inlineStr">
        <is>
          <t>USV mission video</t>
        </is>
      </c>
      <c r="AM17" s="145" t="n"/>
      <c r="AN17" s="145" t="n"/>
      <c r="AO17" s="145" t="n"/>
      <c r="AP17" s="145" t="inlineStr">
        <is>
          <t>Not disclosed</t>
        </is>
      </c>
      <c r="AQ17" s="145" t="n"/>
      <c r="AR17" s="145" t="n"/>
      <c r="AS17" s="145" t="n"/>
      <c r="AT17" s="149" t="n"/>
      <c r="AU17" s="149" t="inlineStr">
        <is>
          <t>Not disclosed</t>
        </is>
      </c>
      <c r="AV17" s="145" t="inlineStr">
        <is>
          <t>MARTAC autonomous USV software</t>
        </is>
      </c>
      <c r="AW17" s="149" t="inlineStr">
        <is>
          <t>Not disclosed</t>
        </is>
      </c>
      <c r="AX17" s="145" t="n"/>
      <c r="AY17" s="149" t="n"/>
      <c r="AZ17" s="149" t="n"/>
      <c r="BA17" s="149" t="n"/>
      <c r="BB17" s="149" t="n"/>
      <c r="BC17" s="149" t="n"/>
      <c r="BD17" s="145" t="n"/>
      <c r="BE17" s="145" t="inlineStr">
        <is>
          <t>Not disclosed</t>
        </is>
      </c>
      <c r="BF17" s="145" t="n"/>
      <c r="BG17" s="145" t="inlineStr">
        <is>
          <t>Not disclosed</t>
        </is>
      </c>
      <c r="BH17" s="145" t="inlineStr">
        <is>
          <t>Not disclosed</t>
        </is>
      </c>
      <c r="BI17" s="145" t="inlineStr">
        <is>
          <t>Not disclosed</t>
        </is>
      </c>
      <c r="BJ17" s="145" t="inlineStr">
        <is>
          <t>Not disclosed</t>
        </is>
      </c>
      <c r="BK17" s="145" t="inlineStr">
        <is>
          <t>Not disclosed</t>
        </is>
      </c>
      <c r="BL17" s="145" t="n"/>
      <c r="BM17" s="145" t="n"/>
      <c r="BN17" s="145" t="n"/>
      <c r="BO17" s="149" t="n"/>
      <c r="BP17" s="145" t="inlineStr">
        <is>
          <t>Not disclosed</t>
        </is>
      </c>
      <c r="BQ17" s="149" t="inlineStr">
        <is>
          <t>USV</t>
        </is>
      </c>
      <c r="BR17" s="149" t="inlineStr">
        <is>
          <t>Not disclosed</t>
        </is>
      </c>
      <c r="BS17" s="149" t="n"/>
      <c r="BT17" s="145" t="n"/>
      <c r="BU17" s="145" t="n"/>
      <c r="BV17" s="149" t="inlineStr">
        <is>
          <t>12–38ft; maritime patrol, ISR, MCM</t>
        </is>
      </c>
      <c r="BW17" s="149" t="inlineStr">
        <is>
          <t>Origin &amp; status — USA · 2010 | Mission — Depth Not disclosed · Payload Not disclosed | Sensing — Modular ISR / survey payloads | Buying notes — Contact / Defense · 12 months limited / contract-dependent · Best fit: 12–38ft; maritime patrol, ISR, MCM</t>
        </is>
      </c>
      <c r="BX17" s="149" t="inlineStr">
        <is>
          <t>as_shipped|MANTAS T12|175000|As shipped</t>
        </is>
      </c>
      <c r="BY17" s="145" t="inlineStr">
        <is>
          <t>mantas_t12|Manufacturer finish|#e2e8f0|0</t>
        </is>
      </c>
      <c r="BZ17" s="145" t="inlineStr"/>
      <c r="CA17" s="149" t="inlineStr">
        <is>
          <t>Add-ons: case; 2 color options; Multi-year extended warranty available</t>
        </is>
      </c>
      <c r="CB17" s="149" t="inlineStr">
        <is>
          <t>12 months limited / contract-dependent</t>
        </is>
      </c>
      <c r="CC17" s="147" t="n">
        <v>12</v>
      </c>
      <c r="CD17" s="149" t="inlineStr">
        <is>
          <t>+3 Year Extended ≈24% of configuration (default in configurator)</t>
        </is>
      </c>
      <c r="CE17" s="145" t="inlineStr">
        <is>
          <t>Enterprise marine robotics norms</t>
        </is>
      </c>
      <c r="CF17" s="145" t="inlineStr">
        <is>
          <t>Estimated</t>
        </is>
      </c>
      <c r="CG17" s="149" t="inlineStr">
        <is>
          <t>Confirm inclusions and sea-trial terms on quote.</t>
        </is>
      </c>
      <c r="CH17" s="145" t="inlineStr">
        <is>
          <t>10%</t>
        </is>
      </c>
      <c r="CI17" s="145" t="inlineStr">
        <is>
          <t>17%</t>
        </is>
      </c>
      <c r="CJ17" s="145" t="inlineStr">
        <is>
          <t>24%</t>
        </is>
      </c>
      <c r="CK17"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17"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7" s="145" t="inlineStr">
        <is>
          <t>12 months limited / contract-dependent</t>
        </is>
      </c>
    </row>
    <row r="18" ht="31.5" customHeight="1" s="102">
      <c r="A18" s="143" t="inlineStr">
        <is>
          <t>martac_mantas_t_series_t12_t38_devil_ray_mantas_</t>
        </is>
      </c>
      <c r="B18" s="160" t="inlineStr">
        <is>
          <t>Website</t>
        </is>
      </c>
      <c r="C18" s="145" t="inlineStr">
        <is>
          <t>MARTAC</t>
        </is>
      </c>
      <c r="D18" s="145" t="inlineStr">
        <is>
          <t>MANTAS T38 Devil Ray</t>
        </is>
      </c>
      <c r="E18" s="145" t="inlineStr">
        <is>
          <t>[MARTAC] MANTAS T38 Devil Ray (2010)</t>
        </is>
      </c>
      <c r="F18" s="165" t="inlineStr">
        <is>
          <t>water</t>
        </is>
      </c>
      <c r="G18" s="145" t="inlineStr">
        <is>
          <t>USA</t>
        </is>
      </c>
      <c r="H18" s="147" t="n">
        <v>2010</v>
      </c>
      <c r="I18" s="148" t="n">
        <v>750000</v>
      </c>
      <c r="J18" s="145" t="inlineStr">
        <is>
          <t>MANTAS T38 Devil Ray class estimate</t>
        </is>
      </c>
      <c r="K18" s="149" t="inlineStr">
        <is>
          <t>[MARTAC] MANTAS T38 Devil Ray (2010) is a marine platform from MARTAC (USA, 2010), positioned for usv.</t>
        </is>
      </c>
      <c r="L18" s="101" t="inlineStr">
        <is>
          <t>[MARTAC] MANTAS T38 Devil Ray (2010) is a marine platform from MARTAC (USA, 2010), positioned for usv.</t>
        </is>
      </c>
      <c r="M18" s="101" t="inlineStr">
        <is>
          <t>MANTAS T38 Devil Ray is MARTAC's marine robot, introduced around 2010 in USA. [MARTAC] MANTAS T38 Devil Ray (2010) is a marine platform from MARTAC (USA, 2010), positioned for usv.</t>
        </is>
      </c>
      <c r="N18" s="145" t="n"/>
      <c r="O18" s="145" t="inlineStr">
        <is>
          <t>https://www.martacsystems.com</t>
        </is>
      </c>
      <c r="P18" s="145" t="n"/>
      <c r="Q18" s="145" t="n"/>
      <c r="R18" s="145" t="inlineStr">
        <is>
          <t>Not disclosed</t>
        </is>
      </c>
      <c r="S18" s="145" t="n"/>
      <c r="T18" s="149" t="inlineStr">
        <is>
          <t>Not disclosed</t>
        </is>
      </c>
      <c r="U18" s="145" t="n"/>
      <c r="V18" s="145" t="n"/>
      <c r="W18" s="149" t="n"/>
      <c r="X18" s="145" t="inlineStr">
        <is>
          <t>Not disclosed</t>
        </is>
      </c>
      <c r="Y18" s="145" t="n"/>
      <c r="Z18" s="145" t="inlineStr">
        <is>
          <t>Not disclosed</t>
        </is>
      </c>
      <c r="AA18" s="145" t="n"/>
      <c r="AB18" s="145" t="n"/>
      <c r="AC18" s="149" t="inlineStr">
        <is>
          <t>Not disclosed</t>
        </is>
      </c>
      <c r="AD18" s="149" t="n"/>
      <c r="AE18" s="145" t="n"/>
      <c r="AF18" s="145" t="inlineStr">
        <is>
          <t>Not disclosed</t>
        </is>
      </c>
      <c r="AG18" s="149" t="n"/>
      <c r="AH18" s="145" t="n"/>
      <c r="AI18" s="145" t="n"/>
      <c r="AJ18" s="149" t="inlineStr">
        <is>
          <t>Modular ISR / survey payloads</t>
        </is>
      </c>
      <c r="AK18" s="149" t="n"/>
      <c r="AL18" s="145" t="inlineStr">
        <is>
          <t>USV mission video</t>
        </is>
      </c>
      <c r="AM18" s="145" t="n"/>
      <c r="AN18" s="145" t="n"/>
      <c r="AO18" s="145" t="n"/>
      <c r="AP18" s="145" t="inlineStr">
        <is>
          <t>Not disclosed</t>
        </is>
      </c>
      <c r="AQ18" s="145" t="n"/>
      <c r="AR18" s="145" t="n"/>
      <c r="AS18" s="145" t="n"/>
      <c r="AT18" s="149" t="n"/>
      <c r="AU18" s="149" t="inlineStr">
        <is>
          <t>Not disclosed</t>
        </is>
      </c>
      <c r="AV18" s="145" t="inlineStr">
        <is>
          <t>MARTAC autonomous USV software</t>
        </is>
      </c>
      <c r="AW18" s="149" t="inlineStr">
        <is>
          <t>Not disclosed</t>
        </is>
      </c>
      <c r="AX18" s="145" t="n"/>
      <c r="AY18" s="149" t="n"/>
      <c r="AZ18" s="149" t="n"/>
      <c r="BA18" s="149" t="n"/>
      <c r="BB18" s="149" t="n"/>
      <c r="BC18" s="149" t="n"/>
      <c r="BD18" s="145" t="n"/>
      <c r="BE18" s="145" t="inlineStr">
        <is>
          <t>Not disclosed</t>
        </is>
      </c>
      <c r="BF18" s="145" t="n"/>
      <c r="BG18" s="145" t="inlineStr">
        <is>
          <t>Not disclosed</t>
        </is>
      </c>
      <c r="BH18" s="145" t="inlineStr">
        <is>
          <t>Not disclosed</t>
        </is>
      </c>
      <c r="BI18" s="145" t="inlineStr">
        <is>
          <t>Not disclosed</t>
        </is>
      </c>
      <c r="BJ18" s="145" t="inlineStr">
        <is>
          <t>Not disclosed</t>
        </is>
      </c>
      <c r="BK18" s="145" t="inlineStr">
        <is>
          <t>Not disclosed</t>
        </is>
      </c>
      <c r="BL18" s="145" t="n"/>
      <c r="BM18" s="145" t="n"/>
      <c r="BN18" s="145" t="n"/>
      <c r="BO18" s="149" t="n"/>
      <c r="BP18" s="145" t="inlineStr">
        <is>
          <t>Not disclosed</t>
        </is>
      </c>
      <c r="BQ18" s="149" t="inlineStr">
        <is>
          <t>USV</t>
        </is>
      </c>
      <c r="BR18" s="149" t="inlineStr">
        <is>
          <t>Not disclosed</t>
        </is>
      </c>
      <c r="BS18" s="149" t="n"/>
      <c r="BT18" s="145" t="n"/>
      <c r="BU18" s="145" t="n"/>
      <c r="BV18" s="149" t="inlineStr">
        <is>
          <t>12–38ft; maritime patrol, ISR, MCM</t>
        </is>
      </c>
      <c r="BW18" s="149" t="inlineStr">
        <is>
          <t>Origin &amp; status — USA · 2010 | Mission — Depth Not disclosed · Payload Not disclosed | Sensing — Modular ISR / survey payloads | Buying notes — Contact / Defense · 12 months limited / contract-dependent · Best fit: 12–38ft; maritime patrol, ISR, MCM</t>
        </is>
      </c>
      <c r="BX18" s="149" t="inlineStr">
        <is>
          <t>as_shipped|MANTAS T38 Devil Ray|750000|As shipped</t>
        </is>
      </c>
      <c r="BY18" s="145" t="inlineStr">
        <is>
          <t>mantas_t38_devil_ray|Manufacturer finish|#e2e8f0|0</t>
        </is>
      </c>
      <c r="BZ18" s="145" t="inlineStr"/>
      <c r="CA18" s="149" t="inlineStr">
        <is>
          <t>Add-ons: case; 2 color options; Multi-year extended warranty available</t>
        </is>
      </c>
      <c r="CB18" s="149" t="inlineStr">
        <is>
          <t>12 months limited / contract-dependent</t>
        </is>
      </c>
      <c r="CC18" s="147" t="n">
        <v>12</v>
      </c>
      <c r="CD18" s="149" t="inlineStr">
        <is>
          <t>+3 Year Extended ≈24% of configuration (default in configurator)</t>
        </is>
      </c>
      <c r="CE18" s="145" t="inlineStr">
        <is>
          <t>Enterprise marine robotics norms</t>
        </is>
      </c>
      <c r="CF18" s="145" t="inlineStr">
        <is>
          <t>Estimated</t>
        </is>
      </c>
      <c r="CG18" s="149" t="inlineStr">
        <is>
          <t>Confirm inclusions and sea-trial terms on quote.</t>
        </is>
      </c>
      <c r="CH18" s="145" t="inlineStr">
        <is>
          <t>10%</t>
        </is>
      </c>
      <c r="CI18" s="145" t="inlineStr">
        <is>
          <t>17%</t>
        </is>
      </c>
      <c r="CJ18" s="145" t="inlineStr">
        <is>
          <t>24%</t>
        </is>
      </c>
      <c r="CK18"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18"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8" s="145" t="inlineStr">
        <is>
          <t>12 months limited / contract-dependent</t>
        </is>
      </c>
    </row>
    <row r="19" ht="31.5" customHeight="1" s="102">
      <c r="A19" s="159" t="inlineStr">
        <is>
          <t>oceanalpha_l25_l42_series_l42</t>
        </is>
      </c>
      <c r="B19" s="160" t="inlineStr">
        <is>
          <t>Website</t>
        </is>
      </c>
      <c r="C19" s="152" t="inlineStr">
        <is>
          <t>OceanAlpha</t>
        </is>
      </c>
      <c r="D19" s="152" t="inlineStr">
        <is>
          <t>L42</t>
        </is>
      </c>
      <c r="E19" s="152" t="inlineStr">
        <is>
          <t>[OceanAlpha] L42 (2018)</t>
        </is>
      </c>
      <c r="F19" s="165" t="inlineStr">
        <is>
          <t>water</t>
        </is>
      </c>
      <c r="G19" s="152" t="inlineStr">
        <is>
          <t>China</t>
        </is>
      </c>
      <c r="H19" s="154" t="n">
        <v>2018</v>
      </c>
      <c r="I19" s="155" t="n">
        <v>220000</v>
      </c>
      <c r="J19" s="152" t="inlineStr">
        <is>
          <t>8.3 m / 3.5 t survey USV class estimate · quote-only OEM</t>
        </is>
      </c>
      <c r="K19" s="156" t="inlineStr">
        <is>
          <t>[OceanAlpha] L42 (2018) is a marine platform from OceanAlpha (China, 2018), positioned for usv.</t>
        </is>
      </c>
      <c r="L19" s="101" t="inlineStr">
        <is>
          <t>[OceanAlpha] L42 (2018) is a marine platform from OceanAlpha (China, 2018), positioned for usv.</t>
        </is>
      </c>
      <c r="M19" s="101" t="inlineStr">
        <is>
          <t>L42 is OceanAlpha's marine robot, introduced around 2018 in China. [OceanAlpha] L42 (2018) is a marine platform from OceanAlpha (China, 2018), positioned for usv.</t>
        </is>
      </c>
      <c r="N19" s="152" t="n"/>
      <c r="O19" s="152" t="inlineStr">
        <is>
          <t>https://www.oceanalpha.com</t>
        </is>
      </c>
      <c r="P19" s="152" t="n"/>
      <c r="Q19" s="152" t="n"/>
      <c r="R19" s="152" t="inlineStr">
        <is>
          <t>Not disclosed</t>
        </is>
      </c>
      <c r="S19" s="152" t="n"/>
      <c r="T19" s="156" t="inlineStr">
        <is>
          <t>Not disclosed</t>
        </is>
      </c>
      <c r="U19" s="152" t="n"/>
      <c r="V19" s="152" t="n"/>
      <c r="W19" s="156" t="n"/>
      <c r="X19" s="152" t="inlineStr">
        <is>
          <t>Not disclosed</t>
        </is>
      </c>
      <c r="Y19" s="152" t="n"/>
      <c r="Z19" s="152" t="inlineStr">
        <is>
          <t>Not disclosed</t>
        </is>
      </c>
      <c r="AA19" s="152" t="n"/>
      <c r="AB19" s="152" t="n"/>
      <c r="AC19" s="156" t="inlineStr">
        <is>
          <t>Not disclosed</t>
        </is>
      </c>
      <c r="AD19" s="156" t="n"/>
      <c r="AE19" s="152" t="n"/>
      <c r="AF19" s="152" t="inlineStr">
        <is>
          <t>Not disclosed</t>
        </is>
      </c>
      <c r="AG19" s="156" t="n"/>
      <c r="AH19" s="152" t="n"/>
      <c r="AI19" s="152" t="n"/>
      <c r="AJ19" s="156" t="inlineStr">
        <is>
          <t>Surface/USV cameras and optional payload sensors</t>
        </is>
      </c>
      <c r="AK19" s="156" t="n"/>
      <c r="AL19" s="152" t="inlineStr">
        <is>
          <t>Navigation and survey video</t>
        </is>
      </c>
      <c r="AM19" s="152" t="n"/>
      <c r="AN19" s="152" t="n"/>
      <c r="AO19" s="152" t="n"/>
      <c r="AP19" s="152" t="inlineStr">
        <is>
          <t>Not disclosed</t>
        </is>
      </c>
      <c r="AQ19" s="152" t="n"/>
      <c r="AR19" s="152" t="n"/>
      <c r="AS19" s="152" t="n"/>
      <c r="AT19" s="156" t="n"/>
      <c r="AU19" s="156" t="inlineStr">
        <is>
          <t>Not disclosed</t>
        </is>
      </c>
      <c r="AV19" s="152" t="inlineStr">
        <is>
          <t>OceanAlpha USV control systems</t>
        </is>
      </c>
      <c r="AW19" s="156" t="inlineStr">
        <is>
          <t>Not disclosed</t>
        </is>
      </c>
      <c r="AX19" s="152" t="n"/>
      <c r="AY19" s="156" t="n"/>
      <c r="AZ19" s="156" t="n"/>
      <c r="BA19" s="156" t="n"/>
      <c r="BB19" s="156" t="n"/>
      <c r="BC19" s="156" t="n"/>
      <c r="BD19" s="152" t="n"/>
      <c r="BE19" s="152" t="inlineStr">
        <is>
          <t>Not disclosed</t>
        </is>
      </c>
      <c r="BF19" s="152" t="n"/>
      <c r="BG19" s="152" t="inlineStr">
        <is>
          <t>Not disclosed</t>
        </is>
      </c>
      <c r="BH19" s="152" t="inlineStr">
        <is>
          <t>Not disclosed</t>
        </is>
      </c>
      <c r="BI19" s="152" t="inlineStr">
        <is>
          <t>Not disclosed</t>
        </is>
      </c>
      <c r="BJ19" s="152" t="inlineStr">
        <is>
          <t>Not disclosed</t>
        </is>
      </c>
      <c r="BK19" s="152" t="inlineStr">
        <is>
          <t>Not disclosed</t>
        </is>
      </c>
      <c r="BL19" s="152" t="n"/>
      <c r="BM19" s="152" t="n"/>
      <c r="BN19" s="152" t="n"/>
      <c r="BO19" s="156" t="n"/>
      <c r="BP19" s="152" t="inlineStr">
        <is>
          <t>Not disclosed</t>
        </is>
      </c>
      <c r="BQ19" s="156" t="inlineStr">
        <is>
          <t>USV</t>
        </is>
      </c>
      <c r="BR19" s="156" t="inlineStr">
        <is>
          <t>Not disclosed</t>
        </is>
      </c>
      <c r="BS19" s="156" t="n"/>
      <c r="BT19" s="152" t="n"/>
      <c r="BU19" s="152" t="n"/>
      <c r="BV19" s="156" t="inlineStr">
        <is>
          <t>Hydrographic survey; hybrid propulsion; L42 8+ days endurance</t>
        </is>
      </c>
      <c r="BW19" s="156" t="inlineStr">
        <is>
          <t>Origin &amp; status — China · 2018 | Mission — Depth Not disclosed · Payload Not disclosed | Sensing — Surface/USV cameras and optional payload sensors | Buying notes — Contact manufacturer (mid-size survey ~$100k–$500k+ est.) · 12 months limited / contract-dependent · Best fit: Hydrographic survey; hybrid propulsion; L42 8+ days…</t>
        </is>
      </c>
      <c r="BX19" s="156" t="inlineStr">
        <is>
          <t>as_shipped|L42|220000|As shipped</t>
        </is>
      </c>
      <c r="BY19" s="152" t="inlineStr">
        <is>
          <t>l42|Manufacturer finish|#e2e8f0|0</t>
        </is>
      </c>
      <c r="BZ19" s="152" t="inlineStr"/>
      <c r="CA19" s="156" t="inlineStr">
        <is>
          <t>Add-ons: case; 2 color options; Multi-year extended warranty available</t>
        </is>
      </c>
      <c r="CB19" s="156" t="inlineStr">
        <is>
          <t>12 months limited / contract-dependent</t>
        </is>
      </c>
      <c r="CC19" s="154" t="n">
        <v>12</v>
      </c>
      <c r="CD19" s="156" t="inlineStr">
        <is>
          <t>+3 Year Extended ≈24% of configuration (default in configurator)</t>
        </is>
      </c>
      <c r="CE19" s="152" t="inlineStr">
        <is>
          <t>Enterprise marine robotics norms</t>
        </is>
      </c>
      <c r="CF19" s="152" t="inlineStr">
        <is>
          <t>Estimated</t>
        </is>
      </c>
      <c r="CG19" s="156" t="inlineStr">
        <is>
          <t>Confirm inclusions and sea-trial terms on quote.</t>
        </is>
      </c>
      <c r="CH19" s="152" t="inlineStr">
        <is>
          <t>10%</t>
        </is>
      </c>
      <c r="CI19" s="152" t="inlineStr">
        <is>
          <t>17%</t>
        </is>
      </c>
      <c r="CJ19" s="152" t="inlineStr">
        <is>
          <t>24%</t>
        </is>
      </c>
      <c r="CK19"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19"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19" s="152" t="inlineStr">
        <is>
          <t>12 months limited / contract-dependent</t>
        </is>
      </c>
    </row>
    <row r="20" ht="31.5" customHeight="1" s="102">
      <c r="A20" s="143" t="inlineStr">
        <is>
          <t>oceanalpha_l30_m75_m75</t>
        </is>
      </c>
      <c r="B20" s="160" t="inlineStr">
        <is>
          <t>Website</t>
        </is>
      </c>
      <c r="C20" s="145" t="inlineStr">
        <is>
          <t>OceanAlpha</t>
        </is>
      </c>
      <c r="D20" s="145" t="inlineStr">
        <is>
          <t>M75</t>
        </is>
      </c>
      <c r="E20" s="145" t="inlineStr">
        <is>
          <t>[OceanAlpha] M75 (2018)</t>
        </is>
      </c>
      <c r="F20" s="165" t="inlineStr">
        <is>
          <t>water</t>
        </is>
      </c>
      <c r="G20" s="145" t="inlineStr">
        <is>
          <t>China</t>
        </is>
      </c>
      <c r="H20" s="147" t="n">
        <v>2018</v>
      </c>
      <c r="I20" s="148" t="n">
        <v>150000</v>
      </c>
      <c r="J20" s="145" t="inlineStr">
        <is>
          <t>5.5 m / 1.2 t patrol USV class estimate · quote-only OEM</t>
        </is>
      </c>
      <c r="K20" s="149" t="inlineStr">
        <is>
          <t>[OceanAlpha] M75 (2018) is a marine platform from OceanAlpha (China, 2018), positioned for usv.</t>
        </is>
      </c>
      <c r="L20" s="101" t="inlineStr">
        <is>
          <t>[OceanAlpha] M75 (2018) is a marine platform from OceanAlpha (China, 2018), positioned for usv.</t>
        </is>
      </c>
      <c r="M20" s="101" t="inlineStr">
        <is>
          <t>M75 is OceanAlpha's marine robot, introduced around 2018 in China. [OceanAlpha] M75 (2018) is a marine platform from OceanAlpha (China, 2018), positioned for usv.</t>
        </is>
      </c>
      <c r="N20" s="145" t="n"/>
      <c r="O20" s="145" t="inlineStr">
        <is>
          <t>https://www.oceanalpha.com</t>
        </is>
      </c>
      <c r="P20" s="145" t="n"/>
      <c r="Q20" s="145" t="n"/>
      <c r="R20" s="145" t="inlineStr">
        <is>
          <t>Not disclosed</t>
        </is>
      </c>
      <c r="S20" s="145" t="n"/>
      <c r="T20" s="149" t="inlineStr">
        <is>
          <t>Not disclosed</t>
        </is>
      </c>
      <c r="U20" s="145" t="n"/>
      <c r="V20" s="145" t="n"/>
      <c r="W20" s="149" t="n"/>
      <c r="X20" s="145" t="inlineStr">
        <is>
          <t>Not disclosed</t>
        </is>
      </c>
      <c r="Y20" s="145" t="n"/>
      <c r="Z20" s="145" t="inlineStr">
        <is>
          <t>Not disclosed</t>
        </is>
      </c>
      <c r="AA20" s="145" t="n"/>
      <c r="AB20" s="145" t="n"/>
      <c r="AC20" s="149" t="inlineStr">
        <is>
          <t>Not disclosed</t>
        </is>
      </c>
      <c r="AD20" s="149" t="n"/>
      <c r="AE20" s="145" t="n"/>
      <c r="AF20" s="145" t="inlineStr">
        <is>
          <t>Not disclosed</t>
        </is>
      </c>
      <c r="AG20" s="149" t="n"/>
      <c r="AH20" s="145" t="n"/>
      <c r="AI20" s="145" t="n"/>
      <c r="AJ20" s="149" t="inlineStr">
        <is>
          <t>USV navigation and payload cameras</t>
        </is>
      </c>
      <c r="AK20" s="149" t="n"/>
      <c r="AL20" s="145" t="inlineStr">
        <is>
          <t>Survey monitoring streams</t>
        </is>
      </c>
      <c r="AM20" s="145" t="n"/>
      <c r="AN20" s="145" t="n"/>
      <c r="AO20" s="145" t="n"/>
      <c r="AP20" s="145" t="inlineStr">
        <is>
          <t>Not disclosed</t>
        </is>
      </c>
      <c r="AQ20" s="145" t="n"/>
      <c r="AR20" s="145" t="n"/>
      <c r="AS20" s="145" t="n"/>
      <c r="AT20" s="149" t="n"/>
      <c r="AU20" s="149" t="inlineStr">
        <is>
          <t>Not disclosed</t>
        </is>
      </c>
      <c r="AV20" s="145" t="inlineStr">
        <is>
          <t>OceanAlpha GCS</t>
        </is>
      </c>
      <c r="AW20" s="149" t="inlineStr">
        <is>
          <t>Not disclosed</t>
        </is>
      </c>
      <c r="AX20" s="145" t="n"/>
      <c r="AY20" s="149" t="n"/>
      <c r="AZ20" s="149" t="n"/>
      <c r="BA20" s="149" t="n"/>
      <c r="BB20" s="149" t="n"/>
      <c r="BC20" s="149" t="n"/>
      <c r="BD20" s="145" t="n"/>
      <c r="BE20" s="145" t="inlineStr">
        <is>
          <t>Not disclosed</t>
        </is>
      </c>
      <c r="BF20" s="145" t="n"/>
      <c r="BG20" s="145" t="inlineStr">
        <is>
          <t>Not disclosed</t>
        </is>
      </c>
      <c r="BH20" s="145" t="inlineStr">
        <is>
          <t>Not disclosed</t>
        </is>
      </c>
      <c r="BI20" s="145" t="inlineStr">
        <is>
          <t>Not disclosed</t>
        </is>
      </c>
      <c r="BJ20" s="145" t="inlineStr">
        <is>
          <t>Not disclosed</t>
        </is>
      </c>
      <c r="BK20" s="145" t="inlineStr">
        <is>
          <t>Not disclosed</t>
        </is>
      </c>
      <c r="BL20" s="145" t="n"/>
      <c r="BM20" s="145" t="n"/>
      <c r="BN20" s="145" t="n"/>
      <c r="BO20" s="149" t="n"/>
      <c r="BP20" s="145" t="inlineStr">
        <is>
          <t>Not disclosed</t>
        </is>
      </c>
      <c r="BQ20" s="149" t="inlineStr">
        <is>
          <t>USV</t>
        </is>
      </c>
      <c r="BR20" s="149" t="inlineStr">
        <is>
          <t>Not disclosed</t>
        </is>
      </c>
      <c r="BS20" s="149" t="n"/>
      <c r="BT20" s="145" t="n"/>
      <c r="BU20" s="145" t="n"/>
      <c r="BV20" s="149" t="inlineStr">
        <is>
          <t>High-speed maritime safety/patrol USVs up to 36kn</t>
        </is>
      </c>
      <c r="BW20" s="149" t="inlineStr">
        <is>
          <t>Origin &amp; status — China · 2018 | Mission — Depth Not disclosed · Payload Not disclosed | Sensing — USV navigation and payload cameras | Buying notes — Contact (high-speed patrol models) · 12 months limited / contract-dependent · Best fit: High-speed maritime safety/patrol USVs up to 36kn</t>
        </is>
      </c>
      <c r="BX20" s="149" t="inlineStr">
        <is>
          <t>as_shipped|M75|150000|As shipped</t>
        </is>
      </c>
      <c r="BY20" s="145" t="inlineStr">
        <is>
          <t>m75|Manufacturer finish|#e2e8f0|0</t>
        </is>
      </c>
      <c r="BZ20" s="145" t="inlineStr"/>
      <c r="CA20" s="149" t="inlineStr">
        <is>
          <t>Add-ons: case; 2 color options; Multi-year extended warranty available</t>
        </is>
      </c>
      <c r="CB20" s="149" t="inlineStr">
        <is>
          <t>12 months limited / contract-dependent</t>
        </is>
      </c>
      <c r="CC20" s="147" t="n">
        <v>12</v>
      </c>
      <c r="CD20" s="149" t="inlineStr">
        <is>
          <t>+3 Year Extended ≈24% of configuration (default in configurator)</t>
        </is>
      </c>
      <c r="CE20" s="145" t="inlineStr">
        <is>
          <t>Enterprise marine robotics norms</t>
        </is>
      </c>
      <c r="CF20" s="145" t="inlineStr">
        <is>
          <t>Estimated</t>
        </is>
      </c>
      <c r="CG20" s="149" t="inlineStr">
        <is>
          <t>Confirm inclusions and sea-trial terms on quote.</t>
        </is>
      </c>
      <c r="CH20" s="145" t="inlineStr">
        <is>
          <t>10%</t>
        </is>
      </c>
      <c r="CI20" s="145" t="inlineStr">
        <is>
          <t>17%</t>
        </is>
      </c>
      <c r="CJ20" s="145" t="inlineStr">
        <is>
          <t>24%</t>
        </is>
      </c>
      <c r="CK20"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0"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0" s="145" t="inlineStr">
        <is>
          <t>12 months limited / contract-dependent</t>
        </is>
      </c>
    </row>
    <row r="21" ht="31.5" customHeight="1" s="102">
      <c r="A21" s="159" t="inlineStr">
        <is>
          <t>oceanalpha_m40p_sl_series_m40p_sl</t>
        </is>
      </c>
      <c r="B21" s="160" t="inlineStr">
        <is>
          <t>Website</t>
        </is>
      </c>
      <c r="C21" s="152" t="inlineStr">
        <is>
          <t>OceanAlpha</t>
        </is>
      </c>
      <c r="D21" s="152" t="inlineStr">
        <is>
          <t>M40P SL</t>
        </is>
      </c>
      <c r="E21" s="152" t="inlineStr">
        <is>
          <t>[OceanAlpha] M40P SL (2015)</t>
        </is>
      </c>
      <c r="F21" s="165" t="inlineStr">
        <is>
          <t>water</t>
        </is>
      </c>
      <c r="G21" s="152" t="inlineStr">
        <is>
          <t>China</t>
        </is>
      </c>
      <c r="H21" s="154" t="n">
        <v>2015</v>
      </c>
      <c r="I21" s="155" t="n">
        <v>85000</v>
      </c>
      <c r="J21" s="152" t="inlineStr">
        <is>
          <t>M40 compact survey USV class estimate · quote-only OEM</t>
        </is>
      </c>
      <c r="K21" s="156" t="inlineStr">
        <is>
          <t>[OceanAlpha] M40P SL (2015) is a marine platform from OceanAlpha (China, 2015), positioned for usv.</t>
        </is>
      </c>
      <c r="L21" s="101" t="inlineStr">
        <is>
          <t>[OceanAlpha] M40P SL (2015) is a marine platform from OceanAlpha (China, 2015), positioned for usv.</t>
        </is>
      </c>
      <c r="M21" s="101" t="inlineStr">
        <is>
          <t>M40P SL is OceanAlpha's marine robot, introduced around 2015 in China. [OceanAlpha] M40P SL (2015) is a marine platform from OceanAlpha (China, 2015), positioned for usv.</t>
        </is>
      </c>
      <c r="N21" s="152" t="n"/>
      <c r="O21" s="152" t="inlineStr">
        <is>
          <t>https://www.oceanalpha.com</t>
        </is>
      </c>
      <c r="P21" s="152" t="n"/>
      <c r="Q21" s="152" t="n"/>
      <c r="R21" s="152" t="inlineStr">
        <is>
          <t>Not disclosed</t>
        </is>
      </c>
      <c r="S21" s="152" t="n"/>
      <c r="T21" s="156" t="inlineStr">
        <is>
          <t>Not disclosed</t>
        </is>
      </c>
      <c r="U21" s="152" t="n"/>
      <c r="V21" s="152" t="n"/>
      <c r="W21" s="156" t="n"/>
      <c r="X21" s="152" t="inlineStr">
        <is>
          <t>Not disclosed</t>
        </is>
      </c>
      <c r="Y21" s="152" t="n"/>
      <c r="Z21" s="152" t="inlineStr">
        <is>
          <t>Not disclosed</t>
        </is>
      </c>
      <c r="AA21" s="152" t="n"/>
      <c r="AB21" s="152" t="n"/>
      <c r="AC21" s="156" t="inlineStr">
        <is>
          <t>Not disclosed</t>
        </is>
      </c>
      <c r="AD21" s="156" t="n"/>
      <c r="AE21" s="152" t="n"/>
      <c r="AF21" s="152" t="inlineStr">
        <is>
          <t>Not disclosed</t>
        </is>
      </c>
      <c r="AG21" s="156" t="n"/>
      <c r="AH21" s="152" t="n"/>
      <c r="AI21" s="152" t="n"/>
      <c r="AJ21" s="156" t="inlineStr">
        <is>
          <t>Survey USV sensor suites</t>
        </is>
      </c>
      <c r="AK21" s="156" t="n"/>
      <c r="AL21" s="152" t="inlineStr">
        <is>
          <t>Not disclosed</t>
        </is>
      </c>
      <c r="AM21" s="152" t="n"/>
      <c r="AN21" s="152" t="n"/>
      <c r="AO21" s="152" t="n"/>
      <c r="AP21" s="152" t="inlineStr">
        <is>
          <t>Not disclosed</t>
        </is>
      </c>
      <c r="AQ21" s="152" t="n"/>
      <c r="AR21" s="152" t="n"/>
      <c r="AS21" s="152" t="n"/>
      <c r="AT21" s="156" t="n"/>
      <c r="AU21" s="156" t="inlineStr">
        <is>
          <t>Not disclosed</t>
        </is>
      </c>
      <c r="AV21" s="152" t="inlineStr">
        <is>
          <t>OceanAlpha survey software</t>
        </is>
      </c>
      <c r="AW21" s="156" t="inlineStr">
        <is>
          <t>Not disclosed</t>
        </is>
      </c>
      <c r="AX21" s="152" t="n"/>
      <c r="AY21" s="156" t="n"/>
      <c r="AZ21" s="156" t="n"/>
      <c r="BA21" s="156" t="n"/>
      <c r="BB21" s="156" t="n"/>
      <c r="BC21" s="156" t="n"/>
      <c r="BD21" s="152" t="n"/>
      <c r="BE21" s="152" t="inlineStr">
        <is>
          <t>Not disclosed</t>
        </is>
      </c>
      <c r="BF21" s="152" t="n"/>
      <c r="BG21" s="152" t="inlineStr">
        <is>
          <t>Not disclosed</t>
        </is>
      </c>
      <c r="BH21" s="152" t="inlineStr">
        <is>
          <t>Not disclosed</t>
        </is>
      </c>
      <c r="BI21" s="152" t="inlineStr">
        <is>
          <t>Not disclosed</t>
        </is>
      </c>
      <c r="BJ21" s="152" t="inlineStr">
        <is>
          <t>Not disclosed</t>
        </is>
      </c>
      <c r="BK21" s="152" t="inlineStr">
        <is>
          <t>Not disclosed</t>
        </is>
      </c>
      <c r="BL21" s="152" t="n"/>
      <c r="BM21" s="152" t="n"/>
      <c r="BN21" s="152" t="n"/>
      <c r="BO21" s="156" t="n"/>
      <c r="BP21" s="152" t="inlineStr">
        <is>
          <t>Not disclosed</t>
        </is>
      </c>
      <c r="BQ21" s="156" t="inlineStr">
        <is>
          <t>USV</t>
        </is>
      </c>
      <c r="BR21" s="156" t="inlineStr">
        <is>
          <t>Not disclosed</t>
        </is>
      </c>
      <c r="BS21" s="156" t="n"/>
      <c r="BT21" s="152" t="n"/>
      <c r="BU21" s="152" t="n"/>
      <c r="BV21" s="156" t="inlineStr">
        <is>
          <t>Compact inland/coastal survey; water quality, bathymetry</t>
        </is>
      </c>
      <c r="BW21" s="156" t="inlineStr">
        <is>
          <t>Origin &amp; status — China · 2015 | Mission — Depth Not disclosed · Payload Not disclosed | Sensing — Survey USV sensor suites | Buying notes — Small models from ~$20k–$90k · 12 months limited / contract-dependent · Best fit: Compact inland/coastal survey; water quality, bathymetry</t>
        </is>
      </c>
      <c r="BX21" s="156" t="inlineStr">
        <is>
          <t>as_shipped|M40P SL|85000|As shipped</t>
        </is>
      </c>
      <c r="BY21" s="152" t="inlineStr">
        <is>
          <t>m40p_sl|Manufacturer finish|#e2e8f0|0</t>
        </is>
      </c>
      <c r="BZ21" s="152" t="inlineStr"/>
      <c r="CA21" s="156" t="inlineStr">
        <is>
          <t>Add-ons: case; 2 color options; Multi-year extended warranty available</t>
        </is>
      </c>
      <c r="CB21" s="156" t="inlineStr">
        <is>
          <t>12 months limited / contract-dependent</t>
        </is>
      </c>
      <c r="CC21" s="154" t="n">
        <v>12</v>
      </c>
      <c r="CD21" s="156" t="inlineStr">
        <is>
          <t>+3 Year Extended ≈24% of configuration (default in configurator)</t>
        </is>
      </c>
      <c r="CE21" s="152" t="inlineStr">
        <is>
          <t>Enterprise marine robotics norms</t>
        </is>
      </c>
      <c r="CF21" s="152" t="inlineStr">
        <is>
          <t>Estimated</t>
        </is>
      </c>
      <c r="CG21" s="156" t="inlineStr">
        <is>
          <t>Confirm inclusions and sea-trial terms on quote.</t>
        </is>
      </c>
      <c r="CH21" s="152" t="inlineStr">
        <is>
          <t>10%</t>
        </is>
      </c>
      <c r="CI21" s="152" t="inlineStr">
        <is>
          <t>17%</t>
        </is>
      </c>
      <c r="CJ21" s="152" t="inlineStr">
        <is>
          <t>24%</t>
        </is>
      </c>
      <c r="CK21"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1"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1" s="152" t="inlineStr">
        <is>
          <t>12 months limited / contract-dependent</t>
        </is>
      </c>
    </row>
    <row r="22" ht="31.5" customHeight="1" s="102">
      <c r="A22" s="143" t="inlineStr">
        <is>
          <t>qysea_fifish_e_go_pro_series_fifish_pro</t>
        </is>
      </c>
      <c r="B22" s="160" t="inlineStr">
        <is>
          <t>Website</t>
        </is>
      </c>
      <c r="C22" s="145" t="inlineStr">
        <is>
          <t>QYSEA</t>
        </is>
      </c>
      <c r="D22" s="145" t="inlineStr">
        <is>
          <t>FIFISH Pro</t>
        </is>
      </c>
      <c r="E22" s="145" t="inlineStr">
        <is>
          <t>[QYSEA] FIFISH Pro (2020)</t>
        </is>
      </c>
      <c r="F22" s="165" t="inlineStr">
        <is>
          <t>water</t>
        </is>
      </c>
      <c r="G22" s="145" t="inlineStr">
        <is>
          <t>China</t>
        </is>
      </c>
      <c r="H22" s="147" t="n">
        <v>2020</v>
      </c>
      <c r="I22" s="148" t="n">
        <v>3000</v>
      </c>
      <c r="J22" s="145" t="inlineStr">
        <is>
          <t>Website store</t>
        </is>
      </c>
      <c r="K22" s="149" t="inlineStr">
        <is>
          <t>[QYSEA] FIFISH Pro (2020) is a marine platform from QYSEA (China, 2020), positioned for rov.</t>
        </is>
      </c>
      <c r="L22" s="101" t="inlineStr">
        <is>
          <t>[QYSEA] FIFISH Pro (2020) is a marine platform from QYSEA (China, 2020), positioned for rov.</t>
        </is>
      </c>
      <c r="M22" s="101" t="inlineStr">
        <is>
          <t>[QYSEA] FIFISH Pro (2020) is a marine platform from QYSEA (China, 2020), positioned for rov.</t>
        </is>
      </c>
      <c r="N22" s="145" t="n"/>
      <c r="O22" s="145" t="inlineStr">
        <is>
          <t>https://www.qysea.com</t>
        </is>
      </c>
      <c r="P22" s="145" t="n"/>
      <c r="Q22" s="145" t="n"/>
      <c r="R22" s="145" t="inlineStr">
        <is>
          <t>≈ 8–12 lb class depending on model</t>
        </is>
      </c>
      <c r="S22" s="145" t="n"/>
      <c r="T22" s="149" t="inlineStr">
        <is>
          <t>Not disclosed</t>
        </is>
      </c>
      <c r="U22" s="145" t="n"/>
      <c r="V22" s="145" t="n"/>
      <c r="W22" s="149" t="n"/>
      <c r="X22" s="145" t="inlineStr">
        <is>
          <t>Not disclosed</t>
        </is>
      </c>
      <c r="Y22" s="145" t="n"/>
      <c r="Z22" s="145" t="inlineStr">
        <is>
          <t>Not disclosed</t>
        </is>
      </c>
      <c r="AA22" s="145" t="n"/>
      <c r="AB22" s="145" t="n"/>
      <c r="AC22" s="149" t="inlineStr">
        <is>
          <t>Not disclosed</t>
        </is>
      </c>
      <c r="AD22" s="149" t="n"/>
      <c r="AE22" s="145" t="n"/>
      <c r="AF22" s="145" t="inlineStr">
        <is>
          <t>Not disclosed</t>
        </is>
      </c>
      <c r="AG22" s="149" t="n"/>
      <c r="AH22" s="145" t="n"/>
      <c r="AI22" s="145" t="n"/>
      <c r="AJ22" s="149" t="inlineStr">
        <is>
          <t>4K UHD + AI tracking on Pro lines</t>
        </is>
      </c>
      <c r="AK22" s="149" t="n"/>
      <c r="AL22" s="145" t="inlineStr">
        <is>
          <t>4K; livestream</t>
        </is>
      </c>
      <c r="AM22" s="145" t="n"/>
      <c r="AN22" s="145" t="n"/>
      <c r="AO22" s="145" t="n"/>
      <c r="AP22" s="145" t="inlineStr">
        <is>
          <t>Not disclosed</t>
        </is>
      </c>
      <c r="AQ22" s="145" t="n"/>
      <c r="AR22" s="145" t="n"/>
      <c r="AS22" s="145" t="n"/>
      <c r="AT22" s="149" t="n"/>
      <c r="AU22" s="149" t="inlineStr">
        <is>
          <t>Not disclosed</t>
        </is>
      </c>
      <c r="AV22" s="145" t="inlineStr">
        <is>
          <t>QYSEA app and controllers; modular add-ons</t>
        </is>
      </c>
      <c r="AW22" s="149" t="inlineStr">
        <is>
          <t>Not disclosed</t>
        </is>
      </c>
      <c r="AX22" s="145" t="n"/>
      <c r="AY22" s="149" t="n"/>
      <c r="AZ22" s="149" t="n"/>
      <c r="BA22" s="149" t="n"/>
      <c r="BB22" s="149" t="n"/>
      <c r="BC22" s="149" t="n"/>
      <c r="BD22" s="145" t="n"/>
      <c r="BE22" s="145" t="inlineStr">
        <is>
          <t>Not disclosed</t>
        </is>
      </c>
      <c r="BF22" s="145" t="n"/>
      <c r="BG22" s="145" t="inlineStr">
        <is>
          <t>Professional depths (model-dependent; often 330–660 ft class)</t>
        </is>
      </c>
      <c r="BH22" s="145" t="inlineStr">
        <is>
          <t>Not disclosed</t>
        </is>
      </c>
      <c r="BI22" s="145" t="inlineStr">
        <is>
          <t>Multi-thousand lumen LED options</t>
        </is>
      </c>
      <c r="BJ22" s="145" t="inlineStr">
        <is>
          <t>Not disclosed</t>
        </is>
      </c>
      <c r="BK22" s="145" t="inlineStr">
        <is>
          <t>Not disclosed</t>
        </is>
      </c>
      <c r="BL22" s="145" t="n"/>
      <c r="BM22" s="145" t="n"/>
      <c r="BN22" s="145" t="n"/>
      <c r="BO22" s="149" t="n"/>
      <c r="BP22" s="145" t="inlineStr">
        <is>
          <t>Not disclosed</t>
        </is>
      </c>
      <c r="BQ22" s="149" t="inlineStr">
        <is>
          <t>ROV</t>
        </is>
      </c>
      <c r="BR22" s="149" t="inlineStr">
        <is>
          <t>Not disclosed</t>
        </is>
      </c>
      <c r="BS22" s="149" t="n"/>
      <c r="BT22" s="145" t="n"/>
      <c r="BU22" s="145" t="n"/>
      <c r="BV22" s="149" t="inlineStr">
        <is>
          <t>Modular industrial ROVs; 656 ft</t>
        </is>
      </c>
      <c r="BW22" s="149" t="inlineStr">
        <is>
          <t>Origin &amp; status — China · 2020 | Mission — Depth Professional depths (model-dependent; often 330–660 ft class) · Payload Not disclosed | Sensing — 4K UHD + AI tracking on Pro lines | Buying notes — $3,000 – $7,500+ · 12 months manufacturer standard (typical) · Best fit: Modular industrial ROVs; 656 ft</t>
        </is>
      </c>
      <c r="BX22" s="149" t="inlineStr">
        <is>
          <t>as_shipped|FIFISH Pro|3000|As shipped</t>
        </is>
      </c>
      <c r="BY22" s="145" t="inlineStr">
        <is>
          <t>fifish_pro|Manufacturer finish|#e2e8f0|0</t>
        </is>
      </c>
      <c r="BZ22" s="145" t="inlineStr"/>
      <c r="CA22" s="149" t="inlineStr">
        <is>
          <t>Add-ons: case; 2 color options; Multi-year extended warranty available</t>
        </is>
      </c>
      <c r="CB22" s="149" t="inlineStr">
        <is>
          <t>12 months manufacturer standard (typical)</t>
        </is>
      </c>
      <c r="CC22" s="147" t="n">
        <v>12</v>
      </c>
      <c r="CD22" s="149" t="inlineStr">
        <is>
          <t>+3 Year Extended ≈24% of configuration (default in configurator)</t>
        </is>
      </c>
      <c r="CE22" s="145" t="inlineStr">
        <is>
          <t>Industry default when OEM sheet not public</t>
        </is>
      </c>
      <c r="CF22" s="145" t="inlineStr">
        <is>
          <t>Estimated</t>
        </is>
      </c>
      <c r="CG22" s="149" t="inlineStr">
        <is>
          <t>Always confirm exact warranty on formal quote before purchase.</t>
        </is>
      </c>
      <c r="CH22" s="145" t="inlineStr">
        <is>
          <t>10%</t>
        </is>
      </c>
      <c r="CI22" s="145" t="inlineStr">
        <is>
          <t>17%</t>
        </is>
      </c>
      <c r="CJ22" s="145" t="inlineStr">
        <is>
          <t>24%</t>
        </is>
      </c>
      <c r="CK22"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2"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2" s="145" t="inlineStr">
        <is>
          <t>12 months manufacturer standard (typical)</t>
        </is>
      </c>
    </row>
    <row r="23" ht="31.5" customHeight="1" s="102">
      <c r="A23" s="159" t="inlineStr">
        <is>
          <t>qysea_fifish_v6_v_evo_fifish_v_evo</t>
        </is>
      </c>
      <c r="B23" s="160" t="inlineStr">
        <is>
          <t>Website</t>
        </is>
      </c>
      <c r="C23" s="152" t="inlineStr">
        <is>
          <t>QYSEA</t>
        </is>
      </c>
      <c r="D23" s="152" t="inlineStr">
        <is>
          <t>FIFISH V-EVO</t>
        </is>
      </c>
      <c r="E23" s="152" t="inlineStr">
        <is>
          <t>[QYSEA] FIFISH V-EVO (2018)</t>
        </is>
      </c>
      <c r="F23" s="165" t="inlineStr">
        <is>
          <t>water</t>
        </is>
      </c>
      <c r="G23" s="152" t="inlineStr">
        <is>
          <t>China</t>
        </is>
      </c>
      <c r="H23" s="154" t="n">
        <v>2018</v>
      </c>
      <c r="I23" s="155" t="n">
        <v>1299</v>
      </c>
      <c r="J23" s="152" t="inlineStr">
        <is>
          <t>Website store</t>
        </is>
      </c>
      <c r="K23" s="156" t="inlineStr">
        <is>
          <t>[QYSEA] FIFISH V-EVO (2018) is a marine platform from QYSEA (China, 2018), positioned for rov.</t>
        </is>
      </c>
      <c r="L23" s="101" t="inlineStr">
        <is>
          <t>[QYSEA] FIFISH V-EVO (2018) is a marine platform from QYSEA (China, 2018), positioned for rov.</t>
        </is>
      </c>
      <c r="M23" s="101" t="inlineStr">
        <is>
          <t>[QYSEA] FIFISH V-EVO (2018) is a marine platform from QYSEA (China, 2018), positioned for rov.</t>
        </is>
      </c>
      <c r="N23" s="152" t="n"/>
      <c r="O23" s="152" t="inlineStr">
        <is>
          <t>https://www.qysea.com</t>
        </is>
      </c>
      <c r="P23" s="152" t="n"/>
      <c r="Q23" s="152" t="n"/>
      <c r="R23" s="152" t="inlineStr">
        <is>
          <t>≈ 10–14 lb class</t>
        </is>
      </c>
      <c r="S23" s="152" t="n"/>
      <c r="T23" s="156" t="inlineStr">
        <is>
          <t>Not disclosed</t>
        </is>
      </c>
      <c r="U23" s="152" t="n"/>
      <c r="V23" s="152" t="n"/>
      <c r="W23" s="156" t="n"/>
      <c r="X23" s="152" t="inlineStr">
        <is>
          <t>Not disclosed</t>
        </is>
      </c>
      <c r="Y23" s="152" t="n"/>
      <c r="Z23" s="152" t="inlineStr">
        <is>
          <t>Not disclosed</t>
        </is>
      </c>
      <c r="AA23" s="152" t="n"/>
      <c r="AB23" s="152" t="n"/>
      <c r="AC23" s="156" t="inlineStr">
        <is>
          <t>Not disclosed</t>
        </is>
      </c>
      <c r="AD23" s="156" t="n"/>
      <c r="AE23" s="152" t="n"/>
      <c r="AF23" s="152" t="inlineStr">
        <is>
          <t>Not disclosed</t>
        </is>
      </c>
      <c r="AG23" s="156" t="n"/>
      <c r="AH23" s="152" t="n"/>
      <c r="AI23" s="152" t="n"/>
      <c r="AJ23" s="156" t="inlineStr">
        <is>
          <t>4K camera modules</t>
        </is>
      </c>
      <c r="AK23" s="156" t="n"/>
      <c r="AL23" s="152" t="inlineStr">
        <is>
          <t>4K recording</t>
        </is>
      </c>
      <c r="AM23" s="152" t="n"/>
      <c r="AN23" s="152" t="n"/>
      <c r="AO23" s="152" t="n"/>
      <c r="AP23" s="152" t="inlineStr">
        <is>
          <t>Not disclosed</t>
        </is>
      </c>
      <c r="AQ23" s="152" t="n"/>
      <c r="AR23" s="152" t="n"/>
      <c r="AS23" s="152" t="n"/>
      <c r="AT23" s="156" t="n"/>
      <c r="AU23" s="156" t="inlineStr">
        <is>
          <t>Not disclosed</t>
        </is>
      </c>
      <c r="AV23" s="152" t="inlineStr">
        <is>
          <t>FIFISH control software</t>
        </is>
      </c>
      <c r="AW23" s="156" t="inlineStr">
        <is>
          <t>Not disclosed</t>
        </is>
      </c>
      <c r="AX23" s="152" t="n"/>
      <c r="AY23" s="156" t="n"/>
      <c r="AZ23" s="156" t="n"/>
      <c r="BA23" s="156" t="n"/>
      <c r="BB23" s="156" t="n"/>
      <c r="BC23" s="156" t="n"/>
      <c r="BD23" s="152" t="n"/>
      <c r="BE23" s="152" t="inlineStr">
        <is>
          <t>Not disclosed</t>
        </is>
      </c>
      <c r="BF23" s="152" t="n"/>
      <c r="BG23" s="152" t="inlineStr">
        <is>
          <t>Professional ROV depth class</t>
        </is>
      </c>
      <c r="BH23" s="152" t="inlineStr">
        <is>
          <t>Not disclosed</t>
        </is>
      </c>
      <c r="BI23" s="152" t="inlineStr">
        <is>
          <t>Not disclosed</t>
        </is>
      </c>
      <c r="BJ23" s="152" t="inlineStr">
        <is>
          <t>Not disclosed</t>
        </is>
      </c>
      <c r="BK23" s="152" t="inlineStr">
        <is>
          <t>Not disclosed</t>
        </is>
      </c>
      <c r="BL23" s="152" t="n"/>
      <c r="BM23" s="152" t="n"/>
      <c r="BN23" s="152" t="n"/>
      <c r="BO23" s="156" t="n"/>
      <c r="BP23" s="152" t="inlineStr">
        <is>
          <t>Not disclosed</t>
        </is>
      </c>
      <c r="BQ23" s="156" t="inlineStr">
        <is>
          <t>ROV</t>
        </is>
      </c>
      <c r="BR23" s="156" t="inlineStr">
        <is>
          <t>Not disclosed</t>
        </is>
      </c>
      <c r="BS23" s="156" t="n"/>
      <c r="BT23" s="152" t="n"/>
      <c r="BU23" s="152" t="n"/>
      <c r="BV23" s="156" t="inlineStr">
        <is>
          <t>6DOF control; 4K; popular consumer/prosumer</t>
        </is>
      </c>
      <c r="BW23" s="156" t="inlineStr">
        <is>
          <t>Origin &amp; status — China · 2018 | Mission — Depth Professional ROV depth class · Payload Not disclosed | Sensing — 4K camera modules | Buying notes — $1,299 · 12 months manufacturer standard (typical) · Best fit: 6DOF control; 4K; popular consumer/prosumer</t>
        </is>
      </c>
      <c r="BX23" s="156" t="inlineStr">
        <is>
          <t>as_shipped|FIFISH V-EVO|1299|As shipped</t>
        </is>
      </c>
      <c r="BY23" s="152" t="inlineStr">
        <is>
          <t>fifish_v_evo|Manufacturer finish|#e2e8f0|0</t>
        </is>
      </c>
      <c r="BZ23" s="152" t="inlineStr"/>
      <c r="CA23" s="156" t="inlineStr">
        <is>
          <t>Add-ons: case; 2 color options; Multi-year extended warranty available</t>
        </is>
      </c>
      <c r="CB23" s="156" t="inlineStr">
        <is>
          <t>12 months manufacturer standard (typical)</t>
        </is>
      </c>
      <c r="CC23" s="154" t="n">
        <v>12</v>
      </c>
      <c r="CD23" s="156" t="inlineStr">
        <is>
          <t>+3 Year Extended ≈24% of configuration (default in configurator)</t>
        </is>
      </c>
      <c r="CE23" s="152" t="inlineStr">
        <is>
          <t>Industry default when OEM sheet not public</t>
        </is>
      </c>
      <c r="CF23" s="152" t="inlineStr">
        <is>
          <t>Estimated</t>
        </is>
      </c>
      <c r="CG23" s="156" t="inlineStr">
        <is>
          <t>Always confirm exact warranty on formal quote before purchase.</t>
        </is>
      </c>
      <c r="CH23" s="152" t="inlineStr">
        <is>
          <t>10%</t>
        </is>
      </c>
      <c r="CI23" s="152" t="inlineStr">
        <is>
          <t>17%</t>
        </is>
      </c>
      <c r="CJ23" s="152" t="inlineStr">
        <is>
          <t>24%</t>
        </is>
      </c>
      <c r="CK23"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3"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3" s="152" t="inlineStr">
        <is>
          <t>12 months manufacturer standard (typical)</t>
        </is>
      </c>
    </row>
    <row r="24" ht="31.5" customHeight="1" s="102">
      <c r="A24" s="159" t="inlineStr">
        <is>
          <t>saildrone_surveyor</t>
        </is>
      </c>
      <c r="B24" s="160" t="inlineStr">
        <is>
          <t>Website</t>
        </is>
      </c>
      <c r="C24" s="152" t="inlineStr">
        <is>
          <t>Saildrone</t>
        </is>
      </c>
      <c r="D24" s="152" t="inlineStr">
        <is>
          <t>Surveyor</t>
        </is>
      </c>
      <c r="E24" s="152" t="inlineStr">
        <is>
          <t>[Saildrone] Surveyor (2021)</t>
        </is>
      </c>
      <c r="F24" s="165" t="inlineStr">
        <is>
          <t>water</t>
        </is>
      </c>
      <c r="G24" s="152" t="inlineStr">
        <is>
          <t>USA</t>
        </is>
      </c>
      <c r="H24" s="154" t="n">
        <v>2021</v>
      </c>
      <c r="I24" s="155" t="n">
        <v>850000</v>
      </c>
      <c r="J24" s="152" t="inlineStr">
        <is>
          <t>Ocean Surveyor-class estimate</t>
        </is>
      </c>
      <c r="K24" s="156" t="inlineStr">
        <is>
          <t>Surveyor is Saildrone's marine robot. Survey and situational sensors; aimed at uSV.</t>
        </is>
      </c>
      <c r="L24" s="101" t="inlineStr">
        <is>
          <t>Surveyor is Saildrone's marine robot. Survey and situational sensors; aimed at uSV.</t>
        </is>
      </c>
      <c r="M24" s="101" t="inlineStr">
        <is>
          <t>Surveyor is Saildrone's marine robot. Survey and situational sensors; aimed at uSV.</t>
        </is>
      </c>
      <c r="N24" s="152" t="n"/>
      <c r="O24" s="152" t="inlineStr">
        <is>
          <t>https://www.saildrone.com</t>
        </is>
      </c>
      <c r="P24" s="152" t="n"/>
      <c r="Q24" s="152" t="n"/>
      <c r="R24" s="152" t="inlineStr">
        <is>
          <t>Not disclosed</t>
        </is>
      </c>
      <c r="S24" s="152" t="n"/>
      <c r="T24" s="156" t="inlineStr">
        <is>
          <t>Not disclosed</t>
        </is>
      </c>
      <c r="U24" s="152" t="n"/>
      <c r="V24" s="152" t="n"/>
      <c r="W24" s="156" t="n"/>
      <c r="X24" s="152" t="inlineStr">
        <is>
          <t>Not disclosed</t>
        </is>
      </c>
      <c r="Y24" s="152" t="n"/>
      <c r="Z24" s="152" t="inlineStr">
        <is>
          <t>Not disclosed</t>
        </is>
      </c>
      <c r="AA24" s="152" t="n"/>
      <c r="AB24" s="152" t="n"/>
      <c r="AC24" s="156" t="inlineStr">
        <is>
          <t>Not disclosed</t>
        </is>
      </c>
      <c r="AD24" s="156" t="n"/>
      <c r="AE24" s="152" t="n"/>
      <c r="AF24" s="152" t="inlineStr">
        <is>
          <t>Not disclosed</t>
        </is>
      </c>
      <c r="AG24" s="156" t="n"/>
      <c r="AH24" s="152" t="n"/>
      <c r="AI24" s="152" t="n"/>
      <c r="AJ24" s="156" t="inlineStr">
        <is>
          <t>Survey and situational sensors</t>
        </is>
      </c>
      <c r="AK24" s="156" t="n"/>
      <c r="AL24" s="152" t="inlineStr">
        <is>
          <t>Not disclosed</t>
        </is>
      </c>
      <c r="AM24" s="152" t="n"/>
      <c r="AN24" s="152" t="n"/>
      <c r="AO24" s="152" t="n"/>
      <c r="AP24" s="152" t="inlineStr">
        <is>
          <t>Not disclosed</t>
        </is>
      </c>
      <c r="AQ24" s="152" t="n"/>
      <c r="AR24" s="152" t="n"/>
      <c r="AS24" s="152" t="n"/>
      <c r="AT24" s="156" t="n"/>
      <c r="AU24" s="156" t="inlineStr">
        <is>
          <t>Not disclosed</t>
        </is>
      </c>
      <c r="AV24" s="152" t="inlineStr">
        <is>
          <t>Saildrone long-endurance mission control</t>
        </is>
      </c>
      <c r="AW24" s="156" t="inlineStr">
        <is>
          <t>Not disclosed</t>
        </is>
      </c>
      <c r="AX24" s="152" t="n"/>
      <c r="AY24" s="156" t="n"/>
      <c r="AZ24" s="156" t="n"/>
      <c r="BA24" s="156" t="n"/>
      <c r="BB24" s="156" t="n"/>
      <c r="BC24" s="156" t="n"/>
      <c r="BD24" s="152" t="n"/>
      <c r="BE24" s="152" t="inlineStr">
        <is>
          <t>Not disclosed</t>
        </is>
      </c>
      <c r="BF24" s="152" t="n"/>
      <c r="BG24" s="152" t="inlineStr">
        <is>
          <t>Not disclosed</t>
        </is>
      </c>
      <c r="BH24" s="152" t="inlineStr">
        <is>
          <t>Not disclosed</t>
        </is>
      </c>
      <c r="BI24" s="152" t="inlineStr">
        <is>
          <t>Not disclosed</t>
        </is>
      </c>
      <c r="BJ24" s="152" t="inlineStr">
        <is>
          <t>Not disclosed</t>
        </is>
      </c>
      <c r="BK24" s="152" t="inlineStr">
        <is>
          <t>Not disclosed</t>
        </is>
      </c>
      <c r="BL24" s="152" t="n"/>
      <c r="BM24" s="152" t="n"/>
      <c r="BN24" s="152" t="n"/>
      <c r="BO24" s="156" t="n"/>
      <c r="BP24" s="152" t="inlineStr">
        <is>
          <t>Not disclosed</t>
        </is>
      </c>
      <c r="BQ24" s="156" t="inlineStr">
        <is>
          <t>USV</t>
        </is>
      </c>
      <c r="BR24" s="156" t="inlineStr">
        <is>
          <t>Not disclosed</t>
        </is>
      </c>
      <c r="BS24" s="156" t="n"/>
      <c r="BT24" s="152" t="n"/>
      <c r="BU24" s="152" t="n"/>
      <c r="BV24" s="156" t="inlineStr">
        <is>
          <t>66 ft (65ft); bathymetry, larger payload, multi-month missions</t>
        </is>
      </c>
      <c r="BW24" s="156" t="inlineStr">
        <is>
          <t>Origin &amp; status — USA · 2021 | Mission — Depth Not disclosed · Payload Not disclosed | Sensing — Survey and situational sensors | Buying notes — ~$7.5M · 12 months / contract-dependent (enterprise USV programs) · Best fit: 66 ft (65ft); bathymetry, larger payload, multi-month missions</t>
        </is>
      </c>
      <c r="BX24" s="156" t="inlineStr">
        <is>
          <t>as_shipped|Surveyor|850000|As shipped</t>
        </is>
      </c>
      <c r="BY24" s="152" t="inlineStr">
        <is>
          <t>surveyor|Manufacturer finish|#e2e8f0|0</t>
        </is>
      </c>
      <c r="BZ24" s="152" t="inlineStr"/>
      <c r="CA24" s="156" t="inlineStr">
        <is>
          <t>Add-ons: case; 2 color options; Multi-year extended warranty available</t>
        </is>
      </c>
      <c r="CB24" s="156" t="inlineStr">
        <is>
          <t>12 months / contract-dependent (enterprise USV programs)</t>
        </is>
      </c>
      <c r="CC24" s="154" t="n">
        <v>12</v>
      </c>
      <c r="CD24" s="156" t="inlineStr">
        <is>
          <t>+3 Year Extended ≈24% of configuration (default in configurator)</t>
        </is>
      </c>
      <c r="CE24" s="152" t="inlineStr">
        <is>
          <t>Enterprise maritime autonomy programs</t>
        </is>
      </c>
      <c r="CF24" s="152" t="inlineStr">
        <is>
          <t>Estimated</t>
        </is>
      </c>
      <c r="CG24" s="156" t="inlineStr">
        <is>
          <t>Coverage typically defined in program or sales contract.</t>
        </is>
      </c>
      <c r="CH24" s="152" t="inlineStr">
        <is>
          <t>10%</t>
        </is>
      </c>
      <c r="CI24" s="152" t="inlineStr">
        <is>
          <t>17%</t>
        </is>
      </c>
      <c r="CJ24" s="152" t="inlineStr">
        <is>
          <t>24%</t>
        </is>
      </c>
      <c r="CK24"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4"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4" s="152" t="inlineStr">
        <is>
          <t>12 months / contract-dependent (enterprise USV programs)</t>
        </is>
      </c>
    </row>
    <row r="25" ht="31.5" customHeight="1" s="102">
      <c r="A25" s="143" t="inlineStr">
        <is>
          <t>saildrone_voyager</t>
        </is>
      </c>
      <c r="B25" s="160" t="inlineStr">
        <is>
          <t>Website</t>
        </is>
      </c>
      <c r="C25" s="145" t="inlineStr">
        <is>
          <t>Saildrone</t>
        </is>
      </c>
      <c r="D25" s="145" t="inlineStr">
        <is>
          <t>Voyager</t>
        </is>
      </c>
      <c r="E25" s="145" t="inlineStr">
        <is>
          <t>[Saildrone] Voyager (2023)</t>
        </is>
      </c>
      <c r="F25" s="165" t="inlineStr">
        <is>
          <t>water</t>
        </is>
      </c>
      <c r="G25" s="145" t="inlineStr">
        <is>
          <t>USA</t>
        </is>
      </c>
      <c r="H25" s="147" t="n">
        <v>2023</v>
      </c>
      <c r="I25" s="148" t="n">
        <v>400000</v>
      </c>
      <c r="J25" s="145" t="inlineStr">
        <is>
          <t>Voyager-class estimate</t>
        </is>
      </c>
      <c r="K25" s="149" t="inlineStr">
        <is>
          <t>Voyager is Saildrone's marine robot. Ocean data collection sensor suite; aimed at uSV.</t>
        </is>
      </c>
      <c r="L25" s="101" t="inlineStr">
        <is>
          <t>Voyager is Saildrone's marine robot. Ocean data collection sensor suite; aimed at uSV.</t>
        </is>
      </c>
      <c r="M25" s="101" t="inlineStr">
        <is>
          <t>Voyager is Saildrone's marine robot. Ocean data collection sensor suite; aimed at uSV.</t>
        </is>
      </c>
      <c r="N25" s="145" t="n"/>
      <c r="O25" s="145" t="inlineStr">
        <is>
          <t>https://www.saildrone.com</t>
        </is>
      </c>
      <c r="P25" s="145" t="n"/>
      <c r="Q25" s="145" t="n"/>
      <c r="R25" s="145" t="inlineStr">
        <is>
          <t>Not disclosed</t>
        </is>
      </c>
      <c r="S25" s="145" t="n"/>
      <c r="T25" s="149" t="inlineStr">
        <is>
          <t>Not disclosed</t>
        </is>
      </c>
      <c r="U25" s="145" t="n"/>
      <c r="V25" s="145" t="n"/>
      <c r="W25" s="149" t="n"/>
      <c r="X25" s="145" t="inlineStr">
        <is>
          <t>Not disclosed</t>
        </is>
      </c>
      <c r="Y25" s="145" t="n"/>
      <c r="Z25" s="145" t="inlineStr">
        <is>
          <t>Not disclosed</t>
        </is>
      </c>
      <c r="AA25" s="145" t="n"/>
      <c r="AB25" s="145" t="n"/>
      <c r="AC25" s="149" t="inlineStr">
        <is>
          <t>Not disclosed</t>
        </is>
      </c>
      <c r="AD25" s="149" t="n"/>
      <c r="AE25" s="145" t="n"/>
      <c r="AF25" s="145" t="inlineStr">
        <is>
          <t>Not disclosed</t>
        </is>
      </c>
      <c r="AG25" s="149" t="n"/>
      <c r="AH25" s="145" t="n"/>
      <c r="AI25" s="145" t="n"/>
      <c r="AJ25" s="149" t="inlineStr">
        <is>
          <t>Ocean data collection sensor suite</t>
        </is>
      </c>
      <c r="AK25" s="149" t="n"/>
      <c r="AL25" s="145" t="inlineStr">
        <is>
          <t>Not disclosed</t>
        </is>
      </c>
      <c r="AM25" s="145" t="n"/>
      <c r="AN25" s="145" t="n"/>
      <c r="AO25" s="145" t="n"/>
      <c r="AP25" s="145" t="inlineStr">
        <is>
          <t>Not disclosed</t>
        </is>
      </c>
      <c r="AQ25" s="145" t="n"/>
      <c r="AR25" s="145" t="n"/>
      <c r="AS25" s="145" t="n"/>
      <c r="AT25" s="149" t="n"/>
      <c r="AU25" s="149" t="inlineStr">
        <is>
          <t>Not disclosed</t>
        </is>
      </c>
      <c r="AV25" s="145" t="inlineStr">
        <is>
          <t>Saildrone operations</t>
        </is>
      </c>
      <c r="AW25" s="149" t="inlineStr">
        <is>
          <t>Not disclosed</t>
        </is>
      </c>
      <c r="AX25" s="145" t="n"/>
      <c r="AY25" s="149" t="n"/>
      <c r="AZ25" s="149" t="n"/>
      <c r="BA25" s="149" t="n"/>
      <c r="BB25" s="149" t="n"/>
      <c r="BC25" s="149" t="n"/>
      <c r="BD25" s="145" t="n"/>
      <c r="BE25" s="145" t="inlineStr">
        <is>
          <t>Not disclosed</t>
        </is>
      </c>
      <c r="BF25" s="145" t="n"/>
      <c r="BG25" s="145" t="inlineStr">
        <is>
          <t>Not disclosed</t>
        </is>
      </c>
      <c r="BH25" s="145" t="inlineStr">
        <is>
          <t>Not disclosed</t>
        </is>
      </c>
      <c r="BI25" s="145" t="inlineStr">
        <is>
          <t>Not disclosed</t>
        </is>
      </c>
      <c r="BJ25" s="145" t="inlineStr">
        <is>
          <t>Not disclosed</t>
        </is>
      </c>
      <c r="BK25" s="145" t="inlineStr">
        <is>
          <t>Not disclosed</t>
        </is>
      </c>
      <c r="BL25" s="145" t="n"/>
      <c r="BM25" s="145" t="n"/>
      <c r="BN25" s="145" t="n"/>
      <c r="BO25" s="149" t="n"/>
      <c r="BP25" s="145" t="inlineStr">
        <is>
          <t>Not disclosed</t>
        </is>
      </c>
      <c r="BQ25" s="149" t="inlineStr">
        <is>
          <t>USV</t>
        </is>
      </c>
      <c r="BR25" s="149" t="inlineStr">
        <is>
          <t>Not disclosed</t>
        </is>
      </c>
      <c r="BS25" s="149" t="n"/>
      <c r="BT25" s="145" t="n"/>
      <c r="BU25" s="145" t="n"/>
      <c r="BV25" s="149" t="inlineStr">
        <is>
          <t>33 ft (33ft); wind + electric; ISR, coastal mapping, 100 days endurance</t>
        </is>
      </c>
      <c r="BW25" s="149" t="inlineStr">
        <is>
          <t>Origin &amp; status — USA · 2023 | Mission — Depth Not disclosed · Payload Not disclosed | Sensing — Ocean data collection sensor suite | Buying notes — ~$1.5M purchase; ~$5,000+/day mission rate · 12 months / contract-dependent (enterprise USV programs) · Best fit: 33 ft (33ft); wind + electric; ISR, coastal mapp…</t>
        </is>
      </c>
      <c r="BX25" s="149" t="inlineStr">
        <is>
          <t>as_shipped|Voyager|400000|As shipped</t>
        </is>
      </c>
      <c r="BY25" s="145" t="inlineStr">
        <is>
          <t>voyager|Manufacturer finish|#e2e8f0|0</t>
        </is>
      </c>
      <c r="BZ25" s="145" t="inlineStr"/>
      <c r="CA25" s="149" t="inlineStr">
        <is>
          <t>Add-ons: case; 2 color options; Multi-year extended warranty available</t>
        </is>
      </c>
      <c r="CB25" s="149" t="inlineStr">
        <is>
          <t>12 months / contract-dependent (enterprise USV programs)</t>
        </is>
      </c>
      <c r="CC25" s="147" t="n">
        <v>12</v>
      </c>
      <c r="CD25" s="149" t="inlineStr">
        <is>
          <t>+3 Year Extended ≈24% of configuration (default in configurator)</t>
        </is>
      </c>
      <c r="CE25" s="145" t="inlineStr">
        <is>
          <t>Enterprise maritime autonomy programs</t>
        </is>
      </c>
      <c r="CF25" s="145" t="inlineStr">
        <is>
          <t>Estimated</t>
        </is>
      </c>
      <c r="CG25" s="149" t="inlineStr">
        <is>
          <t>Coverage typically defined in program or sales contract.</t>
        </is>
      </c>
      <c r="CH25" s="145" t="inlineStr">
        <is>
          <t>10%</t>
        </is>
      </c>
      <c r="CI25" s="145" t="inlineStr">
        <is>
          <t>17%</t>
        </is>
      </c>
      <c r="CJ25" s="145" t="inlineStr">
        <is>
          <t>24%</t>
        </is>
      </c>
      <c r="CK2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5" s="145" t="inlineStr">
        <is>
          <t>12 months / contract-dependent (enterprise USV programs)</t>
        </is>
      </c>
    </row>
    <row r="26" ht="31.5" customHeight="1" s="102">
      <c r="A26" s="159" t="inlineStr">
        <is>
          <t>saronic_technologies_corsair_mirage_mara</t>
        </is>
      </c>
      <c r="B26" s="160" t="inlineStr">
        <is>
          <t>Website</t>
        </is>
      </c>
      <c r="C26" s="152" t="inlineStr">
        <is>
          <t>Saronic Technologies</t>
        </is>
      </c>
      <c r="D26" s="152" t="inlineStr">
        <is>
          <t>Corsair</t>
        </is>
      </c>
      <c r="E26" s="152" t="inlineStr">
        <is>
          <t>[Saronic] Corsair (2020)</t>
        </is>
      </c>
      <c r="F26" s="165" t="inlineStr">
        <is>
          <t>water</t>
        </is>
      </c>
      <c r="G26" s="152" t="inlineStr">
        <is>
          <t>USA</t>
        </is>
      </c>
      <c r="H26" s="154" t="n">
        <v>2020</v>
      </c>
      <c r="I26" s="155" t="n">
        <v>500000</v>
      </c>
      <c r="J26" s="152" t="inlineStr">
        <is>
          <t>Defense USV class estimate · quote-only</t>
        </is>
      </c>
      <c r="K26" s="156" t="inlineStr">
        <is>
          <t>[Saronic] Corsair (2020) is a marine platform from Saronic Technologies (USA, 2020), positioned for usv.</t>
        </is>
      </c>
      <c r="L26" s="101" t="inlineStr">
        <is>
          <t>[Saronic] Corsair (2020) is a marine platform from Saronic Technologies (USA, 2020), positioned for usv.</t>
        </is>
      </c>
      <c r="M26" s="101" t="inlineStr">
        <is>
          <t>Corsair is Saronic Technologies's marine robot, introduced around 2020 in USA. [Saronic] Corsair (2020) is a marine platform from Saronic Technologies (USA, 2020), positioned for usv.</t>
        </is>
      </c>
      <c r="N26" s="152" t="n"/>
      <c r="O26" s="152" t="inlineStr">
        <is>
          <t>https://www.saronic.com</t>
        </is>
      </c>
      <c r="P26" s="152" t="n"/>
      <c r="Q26" s="152" t="n"/>
      <c r="R26" s="152" t="inlineStr">
        <is>
          <t>Not disclosed</t>
        </is>
      </c>
      <c r="S26" s="152" t="n"/>
      <c r="T26" s="156" t="inlineStr">
        <is>
          <t>Not disclosed</t>
        </is>
      </c>
      <c r="U26" s="152" t="n"/>
      <c r="V26" s="152" t="n"/>
      <c r="W26" s="156" t="n"/>
      <c r="X26" s="152" t="inlineStr">
        <is>
          <t>Not disclosed</t>
        </is>
      </c>
      <c r="Y26" s="152" t="n"/>
      <c r="Z26" s="152" t="inlineStr">
        <is>
          <t>Not disclosed</t>
        </is>
      </c>
      <c r="AA26" s="152" t="n"/>
      <c r="AB26" s="152" t="n"/>
      <c r="AC26" s="156" t="inlineStr">
        <is>
          <t>Not disclosed</t>
        </is>
      </c>
      <c r="AD26" s="156" t="n"/>
      <c r="AE26" s="152" t="n"/>
      <c r="AF26" s="152" t="inlineStr">
        <is>
          <t>Not disclosed</t>
        </is>
      </c>
      <c r="AG26" s="156" t="n"/>
      <c r="AH26" s="152" t="n"/>
      <c r="AI26" s="152" t="n"/>
      <c r="AJ26" s="156" t="inlineStr">
        <is>
          <t>Autonomous surface vessel sensor suites</t>
        </is>
      </c>
      <c r="AK26" s="156" t="n"/>
      <c r="AL26" s="152" t="inlineStr">
        <is>
          <t>Maritime autonomy and ISR video</t>
        </is>
      </c>
      <c r="AM26" s="152" t="n"/>
      <c r="AN26" s="152" t="n"/>
      <c r="AO26" s="152" t="n"/>
      <c r="AP26" s="152" t="inlineStr">
        <is>
          <t>Not disclosed</t>
        </is>
      </c>
      <c r="AQ26" s="152" t="n"/>
      <c r="AR26" s="152" t="n"/>
      <c r="AS26" s="152" t="n"/>
      <c r="AT26" s="156" t="n"/>
      <c r="AU26" s="156" t="inlineStr">
        <is>
          <t>Not disclosed</t>
        </is>
      </c>
      <c r="AV26" s="152" t="inlineStr">
        <is>
          <t>Saronic autonomous USV software</t>
        </is>
      </c>
      <c r="AW26" s="156" t="inlineStr">
        <is>
          <t>Not disclosed</t>
        </is>
      </c>
      <c r="AX26" s="152" t="n"/>
      <c r="AY26" s="156" t="n"/>
      <c r="AZ26" s="156" t="n"/>
      <c r="BA26" s="156" t="n"/>
      <c r="BB26" s="156" t="n"/>
      <c r="BC26" s="156" t="n"/>
      <c r="BD26" s="152" t="n"/>
      <c r="BE26" s="152" t="inlineStr">
        <is>
          <t>Not disclosed</t>
        </is>
      </c>
      <c r="BF26" s="152" t="n"/>
      <c r="BG26" s="152" t="inlineStr">
        <is>
          <t>Not disclosed</t>
        </is>
      </c>
      <c r="BH26" s="152" t="inlineStr">
        <is>
          <t>Not disclosed</t>
        </is>
      </c>
      <c r="BI26" s="152" t="inlineStr">
        <is>
          <t>Not disclosed</t>
        </is>
      </c>
      <c r="BJ26" s="152" t="inlineStr">
        <is>
          <t>Not disclosed</t>
        </is>
      </c>
      <c r="BK26" s="152" t="inlineStr">
        <is>
          <t>Not disclosed</t>
        </is>
      </c>
      <c r="BL26" s="152" t="n"/>
      <c r="BM26" s="152" t="n"/>
      <c r="BN26" s="152" t="n"/>
      <c r="BO26" s="156" t="n"/>
      <c r="BP26" s="152" t="inlineStr">
        <is>
          <t>Not disclosed</t>
        </is>
      </c>
      <c r="BQ26" s="156" t="inlineStr">
        <is>
          <t>USV</t>
        </is>
      </c>
      <c r="BR26" s="156" t="inlineStr">
        <is>
          <t>Not disclosed</t>
        </is>
      </c>
      <c r="BS26" s="156" t="n"/>
      <c r="BT26" s="152" t="n"/>
      <c r="BU26" s="152" t="n"/>
      <c r="BV26" s="156" t="inlineStr">
        <is>
          <t>24–180ft class; AI autonomy; high production ambitions</t>
        </is>
      </c>
      <c r="BW26" s="156" t="inlineStr">
        <is>
          <t>Origin &amp; status — USA · 2020 | Mission — Depth Not disclosed · Payload Not disclosed | Sensing — Autonomous surface vessel sensor suites | Buying notes — Defense / Contact · 12 months limited / contract-dependent · Best fit: 24–180ft class; AI autonomy; high production ambitions</t>
        </is>
      </c>
      <c r="BX26" s="156" t="inlineStr">
        <is>
          <t>as_shipped|Corsair|500000|As shipped</t>
        </is>
      </c>
      <c r="BY26" s="152" t="inlineStr">
        <is>
          <t>corsair|Manufacturer finish|#e2e8f0|0</t>
        </is>
      </c>
      <c r="BZ26" s="152" t="inlineStr"/>
      <c r="CA26" s="156" t="inlineStr">
        <is>
          <t>Add-ons: case; 2 color options; Multi-year extended warranty available</t>
        </is>
      </c>
      <c r="CB26" s="156" t="inlineStr">
        <is>
          <t>12 months limited / contract-dependent</t>
        </is>
      </c>
      <c r="CC26" s="154" t="n">
        <v>12</v>
      </c>
      <c r="CD26" s="156" t="inlineStr">
        <is>
          <t>+3 Year Extended ≈24% of configuration (default in configurator)</t>
        </is>
      </c>
      <c r="CE26" s="152" t="inlineStr">
        <is>
          <t>Enterprise marine robotics norms</t>
        </is>
      </c>
      <c r="CF26" s="152" t="inlineStr">
        <is>
          <t>Estimated</t>
        </is>
      </c>
      <c r="CG26" s="156" t="inlineStr">
        <is>
          <t>Confirm inclusions and sea-trial terms on quote.</t>
        </is>
      </c>
      <c r="CH26" s="152" t="inlineStr">
        <is>
          <t>10%</t>
        </is>
      </c>
      <c r="CI26" s="152" t="inlineStr">
        <is>
          <t>17%</t>
        </is>
      </c>
      <c r="CJ26" s="152" t="inlineStr">
        <is>
          <t>24%</t>
        </is>
      </c>
      <c r="CK26"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6"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6" s="152" t="inlineStr">
        <is>
          <t>12 months limited / contract-dependent</t>
        </is>
      </c>
    </row>
    <row r="27" ht="31.5" customHeight="1" s="102">
      <c r="A27" s="159" t="inlineStr">
        <is>
          <t>saronic_technologies_corsair_mirage_mara_mirage</t>
        </is>
      </c>
      <c r="B27" s="160" t="inlineStr">
        <is>
          <t>Website</t>
        </is>
      </c>
      <c r="C27" s="152" t="inlineStr">
        <is>
          <t>Saronic Technologies</t>
        </is>
      </c>
      <c r="D27" s="152" t="inlineStr">
        <is>
          <t>Mirage</t>
        </is>
      </c>
      <c r="E27" s="152" t="inlineStr">
        <is>
          <t>[Saronic] Mirage (2020)</t>
        </is>
      </c>
      <c r="F27" s="165" t="inlineStr">
        <is>
          <t>water</t>
        </is>
      </c>
      <c r="G27" s="152" t="inlineStr">
        <is>
          <t>USA</t>
        </is>
      </c>
      <c r="H27" s="154" t="n">
        <v>2020</v>
      </c>
      <c r="I27" s="155" t="n">
        <v>900000</v>
      </c>
      <c r="J27" s="152" t="inlineStr">
        <is>
          <t>Defense USV class estimate · quote-only</t>
        </is>
      </c>
      <c r="K27" s="156" t="inlineStr">
        <is>
          <t>[Saronic] Mirage (2020) is a marine platform from Saronic Technologies (USA, 2020), positioned for usv.</t>
        </is>
      </c>
      <c r="L27" s="101" t="inlineStr">
        <is>
          <t>[Saronic] Mirage (2020) is a marine platform from Saronic Technologies (USA, 2020), positioned for usv.</t>
        </is>
      </c>
      <c r="M27" s="101" t="inlineStr">
        <is>
          <t>Mirage is Saronic Technologies's marine robot, introduced around 2020 in USA. [Saronic] Mirage (2020) is a marine platform from Saronic Technologies (USA, 2020), positioned for usv.</t>
        </is>
      </c>
      <c r="N27" s="152" t="n"/>
      <c r="O27" s="152" t="inlineStr">
        <is>
          <t>https://www.saronic.com</t>
        </is>
      </c>
      <c r="P27" s="152" t="n"/>
      <c r="Q27" s="152" t="n"/>
      <c r="R27" s="152" t="inlineStr">
        <is>
          <t>Not disclosed</t>
        </is>
      </c>
      <c r="S27" s="152" t="n"/>
      <c r="T27" s="156" t="inlineStr">
        <is>
          <t>Not disclosed</t>
        </is>
      </c>
      <c r="U27" s="152" t="n"/>
      <c r="V27" s="152" t="n"/>
      <c r="W27" s="156" t="n"/>
      <c r="X27" s="152" t="inlineStr">
        <is>
          <t>Not disclosed</t>
        </is>
      </c>
      <c r="Y27" s="152" t="n"/>
      <c r="Z27" s="152" t="inlineStr">
        <is>
          <t>Not disclosed</t>
        </is>
      </c>
      <c r="AA27" s="152" t="n"/>
      <c r="AB27" s="152" t="n"/>
      <c r="AC27" s="156" t="inlineStr">
        <is>
          <t>Not disclosed</t>
        </is>
      </c>
      <c r="AD27" s="156" t="n"/>
      <c r="AE27" s="152" t="n"/>
      <c r="AF27" s="152" t="inlineStr">
        <is>
          <t>Not disclosed</t>
        </is>
      </c>
      <c r="AG27" s="156" t="n"/>
      <c r="AH27" s="152" t="n"/>
      <c r="AI27" s="152" t="n"/>
      <c r="AJ27" s="156" t="inlineStr">
        <is>
          <t>Autonomous surface vessel sensor suites</t>
        </is>
      </c>
      <c r="AK27" s="156" t="n"/>
      <c r="AL27" s="152" t="inlineStr">
        <is>
          <t>Maritime autonomy and ISR video</t>
        </is>
      </c>
      <c r="AM27" s="152" t="n"/>
      <c r="AN27" s="152" t="n"/>
      <c r="AO27" s="152" t="n"/>
      <c r="AP27" s="152" t="inlineStr">
        <is>
          <t>Not disclosed</t>
        </is>
      </c>
      <c r="AQ27" s="152" t="n"/>
      <c r="AR27" s="152" t="n"/>
      <c r="AS27" s="152" t="n"/>
      <c r="AT27" s="156" t="n"/>
      <c r="AU27" s="156" t="inlineStr">
        <is>
          <t>Not disclosed</t>
        </is>
      </c>
      <c r="AV27" s="152" t="inlineStr">
        <is>
          <t>Saronic autonomous USV software</t>
        </is>
      </c>
      <c r="AW27" s="156" t="inlineStr">
        <is>
          <t>Not disclosed</t>
        </is>
      </c>
      <c r="AX27" s="152" t="n"/>
      <c r="AY27" s="156" t="n"/>
      <c r="AZ27" s="156" t="n"/>
      <c r="BA27" s="156" t="n"/>
      <c r="BB27" s="156" t="n"/>
      <c r="BC27" s="156" t="n"/>
      <c r="BD27" s="152" t="n"/>
      <c r="BE27" s="152" t="inlineStr">
        <is>
          <t>Not disclosed</t>
        </is>
      </c>
      <c r="BF27" s="152" t="n"/>
      <c r="BG27" s="152" t="inlineStr">
        <is>
          <t>Not disclosed</t>
        </is>
      </c>
      <c r="BH27" s="152" t="inlineStr">
        <is>
          <t>Not disclosed</t>
        </is>
      </c>
      <c r="BI27" s="152" t="inlineStr">
        <is>
          <t>Not disclosed</t>
        </is>
      </c>
      <c r="BJ27" s="152" t="inlineStr">
        <is>
          <t>Not disclosed</t>
        </is>
      </c>
      <c r="BK27" s="152" t="inlineStr">
        <is>
          <t>Not disclosed</t>
        </is>
      </c>
      <c r="BL27" s="152" t="n"/>
      <c r="BM27" s="152" t="n"/>
      <c r="BN27" s="152" t="n"/>
      <c r="BO27" s="156" t="n"/>
      <c r="BP27" s="152" t="inlineStr">
        <is>
          <t>Not disclosed</t>
        </is>
      </c>
      <c r="BQ27" s="156" t="inlineStr">
        <is>
          <t>USV</t>
        </is>
      </c>
      <c r="BR27" s="156" t="inlineStr">
        <is>
          <t>Not disclosed</t>
        </is>
      </c>
      <c r="BS27" s="156" t="n"/>
      <c r="BT27" s="152" t="n"/>
      <c r="BU27" s="152" t="n"/>
      <c r="BV27" s="156" t="inlineStr">
        <is>
          <t>24–180ft class; AI autonomy; high production ambitions</t>
        </is>
      </c>
      <c r="BW27" s="156" t="inlineStr">
        <is>
          <t>Origin &amp; status — USA · 2020 | Mission — Depth Not disclosed · Payload Not disclosed | Sensing — Autonomous surface vessel sensor suites | Buying notes — Defense / Contact · 12 months limited / contract-dependent · Best fit: 24–180ft class; AI autonomy; high production ambitions</t>
        </is>
      </c>
      <c r="BX27" s="156" t="inlineStr">
        <is>
          <t>as_shipped|Mirage|900000|As shipped</t>
        </is>
      </c>
      <c r="BY27" s="152" t="inlineStr">
        <is>
          <t>mirage|Manufacturer finish|#e2e8f0|0</t>
        </is>
      </c>
      <c r="BZ27" s="152" t="inlineStr"/>
      <c r="CA27" s="156" t="inlineStr">
        <is>
          <t>Add-ons: case; 2 color options; Multi-year extended warranty available</t>
        </is>
      </c>
      <c r="CB27" s="156" t="inlineStr">
        <is>
          <t>12 months limited / contract-dependent</t>
        </is>
      </c>
      <c r="CC27" s="154" t="n">
        <v>12</v>
      </c>
      <c r="CD27" s="156" t="inlineStr">
        <is>
          <t>+3 Year Extended ≈24% of configuration (default in configurator)</t>
        </is>
      </c>
      <c r="CE27" s="152" t="inlineStr">
        <is>
          <t>Enterprise marine robotics norms</t>
        </is>
      </c>
      <c r="CF27" s="152" t="inlineStr">
        <is>
          <t>Estimated</t>
        </is>
      </c>
      <c r="CG27" s="156" t="inlineStr">
        <is>
          <t>Confirm inclusions and sea-trial terms on quote.</t>
        </is>
      </c>
      <c r="CH27" s="152" t="inlineStr">
        <is>
          <t>10%</t>
        </is>
      </c>
      <c r="CI27" s="152" t="inlineStr">
        <is>
          <t>17%</t>
        </is>
      </c>
      <c r="CJ27" s="152" t="inlineStr">
        <is>
          <t>24%</t>
        </is>
      </c>
      <c r="CK27"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7"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7" s="152" t="inlineStr">
        <is>
          <t>12 months limited / contract-dependent</t>
        </is>
      </c>
    </row>
    <row r="28" ht="31.5" customHeight="1" s="102">
      <c r="A28" s="159" t="inlineStr">
        <is>
          <t>saronic_technologies_corsair_mirage_mara_maraude</t>
        </is>
      </c>
      <c r="B28" s="160" t="inlineStr">
        <is>
          <t>Website</t>
        </is>
      </c>
      <c r="C28" s="152" t="inlineStr">
        <is>
          <t>Saronic Technologies</t>
        </is>
      </c>
      <c r="D28" s="152" t="inlineStr">
        <is>
          <t>Marauder</t>
        </is>
      </c>
      <c r="E28" s="152" t="inlineStr">
        <is>
          <t>[Saronic] Marauder (2020)</t>
        </is>
      </c>
      <c r="F28" s="165" t="inlineStr">
        <is>
          <t>water</t>
        </is>
      </c>
      <c r="G28" s="152" t="inlineStr">
        <is>
          <t>USA</t>
        </is>
      </c>
      <c r="H28" s="154" t="n">
        <v>2020</v>
      </c>
      <c r="I28" s="155" t="n">
        <v>2500000</v>
      </c>
      <c r="J28" s="152" t="inlineStr">
        <is>
          <t>Large defense USV class estimate · quote-only</t>
        </is>
      </c>
      <c r="K28" s="156" t="inlineStr">
        <is>
          <t>[Saronic] Marauder (2020) is a marine platform from Saronic Technologies (USA, 2020), positioned for usv.</t>
        </is>
      </c>
      <c r="L28" s="101" t="inlineStr">
        <is>
          <t>[Saronic] Marauder (2020) is a marine platform from Saronic Technologies (USA, 2020), positioned for usv.</t>
        </is>
      </c>
      <c r="M28" s="101" t="inlineStr">
        <is>
          <t>Marauder is Saronic Technologies's marine robot, introduced around 2020 in USA. [Saronic] Marauder (2020) is a marine platform from Saronic Technologies (USA, 2020), positioned for usv.</t>
        </is>
      </c>
      <c r="N28" s="152" t="n"/>
      <c r="O28" s="152" t="inlineStr">
        <is>
          <t>https://www.saronic.com</t>
        </is>
      </c>
      <c r="P28" s="152" t="n"/>
      <c r="Q28" s="152" t="n"/>
      <c r="R28" s="152" t="inlineStr">
        <is>
          <t>Not disclosed</t>
        </is>
      </c>
      <c r="S28" s="152" t="n"/>
      <c r="T28" s="156" t="inlineStr">
        <is>
          <t>Not disclosed</t>
        </is>
      </c>
      <c r="U28" s="152" t="n"/>
      <c r="V28" s="152" t="n"/>
      <c r="W28" s="156" t="n"/>
      <c r="X28" s="152" t="inlineStr">
        <is>
          <t>Not disclosed</t>
        </is>
      </c>
      <c r="Y28" s="152" t="n"/>
      <c r="Z28" s="152" t="inlineStr">
        <is>
          <t>Not disclosed</t>
        </is>
      </c>
      <c r="AA28" s="152" t="n"/>
      <c r="AB28" s="152" t="n"/>
      <c r="AC28" s="156" t="inlineStr">
        <is>
          <t>Not disclosed</t>
        </is>
      </c>
      <c r="AD28" s="156" t="n"/>
      <c r="AE28" s="152" t="n"/>
      <c r="AF28" s="152" t="inlineStr">
        <is>
          <t>Not disclosed</t>
        </is>
      </c>
      <c r="AG28" s="156" t="n"/>
      <c r="AH28" s="152" t="n"/>
      <c r="AI28" s="152" t="n"/>
      <c r="AJ28" s="156" t="inlineStr">
        <is>
          <t>Autonomous surface vessel sensor suites</t>
        </is>
      </c>
      <c r="AK28" s="156" t="n"/>
      <c r="AL28" s="152" t="inlineStr">
        <is>
          <t>Maritime autonomy and ISR video</t>
        </is>
      </c>
      <c r="AM28" s="152" t="n"/>
      <c r="AN28" s="152" t="n"/>
      <c r="AO28" s="152" t="n"/>
      <c r="AP28" s="152" t="inlineStr">
        <is>
          <t>Not disclosed</t>
        </is>
      </c>
      <c r="AQ28" s="152" t="n"/>
      <c r="AR28" s="152" t="n"/>
      <c r="AS28" s="152" t="n"/>
      <c r="AT28" s="156" t="n"/>
      <c r="AU28" s="156" t="inlineStr">
        <is>
          <t>Not disclosed</t>
        </is>
      </c>
      <c r="AV28" s="152" t="inlineStr">
        <is>
          <t>Saronic autonomous USV software</t>
        </is>
      </c>
      <c r="AW28" s="156" t="inlineStr">
        <is>
          <t>Not disclosed</t>
        </is>
      </c>
      <c r="AX28" s="152" t="n"/>
      <c r="AY28" s="156" t="n"/>
      <c r="AZ28" s="156" t="n"/>
      <c r="BA28" s="156" t="n"/>
      <c r="BB28" s="156" t="n"/>
      <c r="BC28" s="156" t="n"/>
      <c r="BD28" s="152" t="n"/>
      <c r="BE28" s="152" t="inlineStr">
        <is>
          <t>Not disclosed</t>
        </is>
      </c>
      <c r="BF28" s="152" t="n"/>
      <c r="BG28" s="152" t="inlineStr">
        <is>
          <t>Not disclosed</t>
        </is>
      </c>
      <c r="BH28" s="152" t="inlineStr">
        <is>
          <t>Not disclosed</t>
        </is>
      </c>
      <c r="BI28" s="152" t="inlineStr">
        <is>
          <t>Not disclosed</t>
        </is>
      </c>
      <c r="BJ28" s="152" t="inlineStr">
        <is>
          <t>Not disclosed</t>
        </is>
      </c>
      <c r="BK28" s="152" t="inlineStr">
        <is>
          <t>Not disclosed</t>
        </is>
      </c>
      <c r="BL28" s="152" t="n"/>
      <c r="BM28" s="152" t="n"/>
      <c r="BN28" s="152" t="n"/>
      <c r="BO28" s="156" t="n"/>
      <c r="BP28" s="152" t="inlineStr">
        <is>
          <t>Not disclosed</t>
        </is>
      </c>
      <c r="BQ28" s="156" t="inlineStr">
        <is>
          <t>USV</t>
        </is>
      </c>
      <c r="BR28" s="156" t="inlineStr">
        <is>
          <t>Not disclosed</t>
        </is>
      </c>
      <c r="BS28" s="156" t="n"/>
      <c r="BT28" s="152" t="n"/>
      <c r="BU28" s="152" t="n"/>
      <c r="BV28" s="156" t="inlineStr">
        <is>
          <t>24–180ft class; AI autonomy; high production ambitions</t>
        </is>
      </c>
      <c r="BW28" s="156" t="inlineStr">
        <is>
          <t>Origin &amp; status — USA · 2020 | Mission — Depth Not disclosed · Payload Not disclosed | Sensing — Autonomous surface vessel sensor suites | Buying notes — Defense / Contact · 12 months limited / contract-dependent · Best fit: 24–180ft class; AI autonomy; high production ambitions</t>
        </is>
      </c>
      <c r="BX28" s="156" t="inlineStr">
        <is>
          <t>as_shipped|Marauder|2500000|As shipped</t>
        </is>
      </c>
      <c r="BY28" s="152" t="inlineStr">
        <is>
          <t>marauder|Manufacturer finish|#e2e8f0|0</t>
        </is>
      </c>
      <c r="BZ28" s="152" t="inlineStr"/>
      <c r="CA28" s="156" t="inlineStr">
        <is>
          <t>Add-ons: case; 2 color options; Multi-year extended warranty available</t>
        </is>
      </c>
      <c r="CB28" s="156" t="inlineStr">
        <is>
          <t>12 months limited / contract-dependent</t>
        </is>
      </c>
      <c r="CC28" s="154" t="n">
        <v>12</v>
      </c>
      <c r="CD28" s="156" t="inlineStr">
        <is>
          <t>+3 Year Extended ≈24% of configuration (default in configurator)</t>
        </is>
      </c>
      <c r="CE28" s="152" t="inlineStr">
        <is>
          <t>Enterprise marine robotics norms</t>
        </is>
      </c>
      <c r="CF28" s="152" t="inlineStr">
        <is>
          <t>Estimated</t>
        </is>
      </c>
      <c r="CG28" s="156" t="inlineStr">
        <is>
          <t>Confirm inclusions and sea-trial terms on quote.</t>
        </is>
      </c>
      <c r="CH28" s="152" t="inlineStr">
        <is>
          <t>10%</t>
        </is>
      </c>
      <c r="CI28" s="152" t="inlineStr">
        <is>
          <t>17%</t>
        </is>
      </c>
      <c r="CJ28" s="152" t="inlineStr">
        <is>
          <t>24%</t>
        </is>
      </c>
      <c r="CK28"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8" s="156"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8" s="152" t="inlineStr">
        <is>
          <t>12 months limited / contract-dependent</t>
        </is>
      </c>
    </row>
    <row r="29" ht="31.5" customHeight="1" s="102">
      <c r="A29" s="143" t="inlineStr">
        <is>
          <t>videoray_mission_specialist_series_a</t>
        </is>
      </c>
      <c r="B29" s="160" t="inlineStr">
        <is>
          <t>Website</t>
        </is>
      </c>
      <c r="C29" s="145" t="inlineStr">
        <is>
          <t>VideoRay</t>
        </is>
      </c>
      <c r="D29" s="145" t="inlineStr">
        <is>
          <t>Mission Specialist</t>
        </is>
      </c>
      <c r="E29" s="145" t="inlineStr">
        <is>
          <t>[VideoRay] Mission Specialist (2010)</t>
        </is>
      </c>
      <c r="F29" s="165" t="inlineStr">
        <is>
          <t>water</t>
        </is>
      </c>
      <c r="G29" s="145" t="inlineStr">
        <is>
          <t>USA</t>
        </is>
      </c>
      <c r="H29" s="147" t="n">
        <v>2010</v>
      </c>
      <c r="I29" s="148" t="n">
        <v>35000</v>
      </c>
      <c r="J29" s="145" t="inlineStr">
        <is>
          <t>MSS base configured estimate</t>
        </is>
      </c>
      <c r="K29" s="149" t="inlineStr">
        <is>
          <t>[VideoRay] Mission Specialist (2010) is a marine platform from VideoRay (USA, 2010), positioned for rov.</t>
        </is>
      </c>
      <c r="L29" s="101" t="inlineStr">
        <is>
          <t>[VideoRay] Mission Specialist (2010) is a marine platform from VideoRay (USA, 2010), positioned for rov.</t>
        </is>
      </c>
      <c r="M29" s="101" t="inlineStr">
        <is>
          <t>Mission Specialist is VideoRay's marine robot, introduced around 2010 in USA. [VideoRay] Mission Specialist (2010) is a marine platform from VideoRay (USA, 2010), positioned for rov.</t>
        </is>
      </c>
      <c r="N29" s="145" t="n"/>
      <c r="O29" s="145" t="inlineStr">
        <is>
          <t>https://videoray.com</t>
        </is>
      </c>
      <c r="P29" s="145" t="n"/>
      <c r="Q29" s="145" t="n"/>
      <c r="R29" s="145" t="inlineStr">
        <is>
          <t>≈ 20–40 lb class depending on vehicle (Ally / Wraith / Defender)</t>
        </is>
      </c>
      <c r="S29" s="145" t="n"/>
      <c r="T29" s="149" t="inlineStr">
        <is>
          <t>Not disclosed</t>
        </is>
      </c>
      <c r="U29" s="145" t="n"/>
      <c r="V29" s="145" t="n"/>
      <c r="W29" s="149" t="n"/>
      <c r="X29" s="145" t="inlineStr">
        <is>
          <t>Not disclosed</t>
        </is>
      </c>
      <c r="Y29" s="145" t="n"/>
      <c r="Z29" s="145" t="inlineStr">
        <is>
          <t>Not disclosed</t>
        </is>
      </c>
      <c r="AA29" s="145" t="n"/>
      <c r="AB29" s="145" t="n"/>
      <c r="AC29" s="149" t="inlineStr">
        <is>
          <t>Not disclosed</t>
        </is>
      </c>
      <c r="AD29" s="149" t="n"/>
      <c r="AE29" s="145" t="n"/>
      <c r="AF29" s="145" t="inlineStr">
        <is>
          <t>Not disclosed</t>
        </is>
      </c>
      <c r="AG29" s="149" t="n"/>
      <c r="AH29" s="145" t="n"/>
      <c r="AI29" s="145" t="n"/>
      <c r="AJ29" s="149" t="inlineStr">
        <is>
          <t>HD/4K and sonar payload options</t>
        </is>
      </c>
      <c r="AK29" s="149" t="n"/>
      <c r="AL29" s="145" t="inlineStr">
        <is>
          <t>Mission video + sensor overlays</t>
        </is>
      </c>
      <c r="AM29" s="145" t="n"/>
      <c r="AN29" s="145" t="n"/>
      <c r="AO29" s="145" t="n"/>
      <c r="AP29" s="145" t="inlineStr">
        <is>
          <t>Not disclosed</t>
        </is>
      </c>
      <c r="AQ29" s="145" t="n"/>
      <c r="AR29" s="145" t="n"/>
      <c r="AS29" s="145" t="n"/>
      <c r="AT29" s="149" t="n"/>
      <c r="AU29" s="149" t="inlineStr">
        <is>
          <t>Not disclosed</t>
        </is>
      </c>
      <c r="AV29" s="145" t="inlineStr">
        <is>
          <t>Surface controller and manufacturer software</t>
        </is>
      </c>
      <c r="AW29" s="149" t="inlineStr">
        <is>
          <t>Not disclosed</t>
        </is>
      </c>
      <c r="AX29" s="145" t="n"/>
      <c r="AY29" s="149" t="n"/>
      <c r="AZ29" s="149" t="n"/>
      <c r="BA29" s="149" t="n"/>
      <c r="BB29" s="149" t="n"/>
      <c r="BC29" s="149" t="n"/>
      <c r="BD29" s="145" t="n"/>
      <c r="BE29" s="145" t="inlineStr">
        <is>
          <t>Not disclosed</t>
        </is>
      </c>
      <c r="BF29" s="145" t="n"/>
      <c r="BG29" s="145" t="inlineStr">
        <is>
          <t>Professional/military ROV ratings by vehicle (hundreds to 1,000+ ft)</t>
        </is>
      </c>
      <c r="BH29" s="145" t="inlineStr">
        <is>
          <t>Not disclosed</t>
        </is>
      </c>
      <c r="BI29" s="145" t="inlineStr">
        <is>
          <t>LED illumination for underwater inspection when equipped</t>
        </is>
      </c>
      <c r="BJ29" s="145" t="inlineStr">
        <is>
          <t>Not disclosed</t>
        </is>
      </c>
      <c r="BK29" s="145" t="inlineStr">
        <is>
          <t>Not disclosed</t>
        </is>
      </c>
      <c r="BL29" s="145" t="n"/>
      <c r="BM29" s="145" t="n"/>
      <c r="BN29" s="145" t="n"/>
      <c r="BO29" s="149" t="n"/>
      <c r="BP29" s="145" t="inlineStr">
        <is>
          <t>Not disclosed</t>
        </is>
      </c>
      <c r="BQ29" s="149" t="inlineStr">
        <is>
          <t>ROV</t>
        </is>
      </c>
      <c r="BR29" s="149" t="inlineStr">
        <is>
          <t>Not disclosed</t>
        </is>
      </c>
      <c r="BS29" s="149" t="n"/>
      <c r="BT29" s="145" t="n"/>
      <c r="BU29" s="145" t="n"/>
      <c r="BV29" s="149" t="inlineStr">
        <is>
          <t>Man-portable; US Navy standard; inspection, EOD, ISR</t>
        </is>
      </c>
      <c r="BW29" s="149" t="inlineStr">
        <is>
          <t>Origin &amp; status — USA · 2010 | Mission — Depth Professional/military ROV ratings by vehicle (hundreds to 1,000+ ft) · Payload Not disclosed | Sensing — HD/4K and sonar payload options | Buying notes — $35,000 · 12 months manufacturer standard (typical) · Best fit: Man-portable; US Navy standard; inspection, EOD, ISR</t>
        </is>
      </c>
      <c r="BX29" s="149" t="inlineStr">
        <is>
          <t>as_shipped|Mission Specialist|35000|As shipped</t>
        </is>
      </c>
      <c r="BY29" s="145" t="inlineStr">
        <is>
          <t>mission_specialist|Manufacturer finish|#e2e8f0|0</t>
        </is>
      </c>
      <c r="BZ29" s="145" t="inlineStr"/>
      <c r="CA29" s="149" t="inlineStr">
        <is>
          <t>Add-ons: case; 2 color options; Multi-year extended warranty available</t>
        </is>
      </c>
      <c r="CB29" s="149" t="inlineStr">
        <is>
          <t>12 months manufacturer standard (typical)</t>
        </is>
      </c>
      <c r="CC29" s="147" t="n">
        <v>12</v>
      </c>
      <c r="CD29" s="149" t="inlineStr">
        <is>
          <t>+3 Year Extended ≈24% of configuration (default in configurator)</t>
        </is>
      </c>
      <c r="CE29" s="145" t="inlineStr">
        <is>
          <t>Industry default when OEM sheet not public</t>
        </is>
      </c>
      <c r="CF29" s="145" t="inlineStr">
        <is>
          <t>Estimated</t>
        </is>
      </c>
      <c r="CG29" s="149" t="inlineStr">
        <is>
          <t>Always confirm exact warranty on formal quote before purchase.</t>
        </is>
      </c>
      <c r="CH29" s="145" t="inlineStr">
        <is>
          <t>10%</t>
        </is>
      </c>
      <c r="CI29" s="145" t="inlineStr">
        <is>
          <t>17%</t>
        </is>
      </c>
      <c r="CJ29" s="145" t="inlineStr">
        <is>
          <t>24%</t>
        </is>
      </c>
      <c r="CK2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2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29" s="145" t="inlineStr">
        <is>
          <t>12 months manufacturer standard (typical)</t>
        </is>
      </c>
    </row>
    <row r="30" ht="31.5" customHeight="1" s="102">
      <c r="A30" s="143" t="inlineStr">
        <is>
          <t>videoray_mission_specialist_series_a_ally</t>
        </is>
      </c>
      <c r="B30" s="160" t="inlineStr">
        <is>
          <t>Website</t>
        </is>
      </c>
      <c r="C30" s="145" t="inlineStr">
        <is>
          <t>VideoRay</t>
        </is>
      </c>
      <c r="D30" s="145" t="inlineStr">
        <is>
          <t>Ally</t>
        </is>
      </c>
      <c r="E30" s="145" t="inlineStr">
        <is>
          <t>[VideoRay] Ally (2010)</t>
        </is>
      </c>
      <c r="F30" s="165" t="inlineStr">
        <is>
          <t>water</t>
        </is>
      </c>
      <c r="G30" s="145" t="inlineStr">
        <is>
          <t>USA</t>
        </is>
      </c>
      <c r="H30" s="147" t="n">
        <v>2010</v>
      </c>
      <c r="I30" s="148" t="n">
        <v>28000</v>
      </c>
      <c r="J30" s="145" t="inlineStr">
        <is>
          <t>MSS Ally configured estimate</t>
        </is>
      </c>
      <c r="K30" s="149" t="inlineStr">
        <is>
          <t>[VideoRay] Ally (2010) is a marine platform from VideoRay (USA, 2010), positioned for rov.</t>
        </is>
      </c>
      <c r="L30" s="101" t="inlineStr">
        <is>
          <t>[VideoRay] Ally (2010) is a marine platform from VideoRay (USA, 2010), positioned for rov.</t>
        </is>
      </c>
      <c r="M30" s="101" t="inlineStr">
        <is>
          <t>Ally is VideoRay's marine robot, introduced around 2010 in USA. [VideoRay] Ally (2010) is a marine platform from VideoRay (USA, 2010), positioned for rov.</t>
        </is>
      </c>
      <c r="N30" s="145" t="n"/>
      <c r="O30" s="145" t="inlineStr">
        <is>
          <t>https://videoray.com</t>
        </is>
      </c>
      <c r="P30" s="145" t="n"/>
      <c r="Q30" s="145" t="n"/>
      <c r="R30" s="145" t="inlineStr">
        <is>
          <t>≈ 20–40 lb class depending on vehicle (Ally / Wraith / Defender)</t>
        </is>
      </c>
      <c r="S30" s="145" t="n"/>
      <c r="T30" s="149" t="inlineStr">
        <is>
          <t>Not disclosed</t>
        </is>
      </c>
      <c r="U30" s="145" t="n"/>
      <c r="V30" s="145" t="n"/>
      <c r="W30" s="149" t="n"/>
      <c r="X30" s="145" t="inlineStr">
        <is>
          <t>Not disclosed</t>
        </is>
      </c>
      <c r="Y30" s="145" t="n"/>
      <c r="Z30" s="145" t="inlineStr">
        <is>
          <t>Not disclosed</t>
        </is>
      </c>
      <c r="AA30" s="145" t="n"/>
      <c r="AB30" s="145" t="n"/>
      <c r="AC30" s="149" t="inlineStr">
        <is>
          <t>Not disclosed</t>
        </is>
      </c>
      <c r="AD30" s="149" t="n"/>
      <c r="AE30" s="145" t="n"/>
      <c r="AF30" s="145" t="inlineStr">
        <is>
          <t>Not disclosed</t>
        </is>
      </c>
      <c r="AG30" s="149" t="n"/>
      <c r="AH30" s="145" t="n"/>
      <c r="AI30" s="145" t="n"/>
      <c r="AJ30" s="149" t="inlineStr">
        <is>
          <t>HD/4K and sonar payload options</t>
        </is>
      </c>
      <c r="AK30" s="149" t="n"/>
      <c r="AL30" s="145" t="inlineStr">
        <is>
          <t>Mission video + sensor overlays</t>
        </is>
      </c>
      <c r="AM30" s="145" t="n"/>
      <c r="AN30" s="145" t="n"/>
      <c r="AO30" s="145" t="n"/>
      <c r="AP30" s="145" t="inlineStr">
        <is>
          <t>Not disclosed</t>
        </is>
      </c>
      <c r="AQ30" s="145" t="n"/>
      <c r="AR30" s="145" t="n"/>
      <c r="AS30" s="145" t="n"/>
      <c r="AT30" s="149" t="n"/>
      <c r="AU30" s="149" t="inlineStr">
        <is>
          <t>Not disclosed</t>
        </is>
      </c>
      <c r="AV30" s="145" t="inlineStr">
        <is>
          <t>Surface controller and manufacturer software</t>
        </is>
      </c>
      <c r="AW30" s="149" t="inlineStr">
        <is>
          <t>Not disclosed</t>
        </is>
      </c>
      <c r="AX30" s="145" t="n"/>
      <c r="AY30" s="149" t="n"/>
      <c r="AZ30" s="149" t="n"/>
      <c r="BA30" s="149" t="n"/>
      <c r="BB30" s="149" t="n"/>
      <c r="BC30" s="149" t="n"/>
      <c r="BD30" s="145" t="n"/>
      <c r="BE30" s="145" t="inlineStr">
        <is>
          <t>Not disclosed</t>
        </is>
      </c>
      <c r="BF30" s="145" t="n"/>
      <c r="BG30" s="145" t="inlineStr">
        <is>
          <t>Professional/military ROV ratings by vehicle (hundreds to 1,000+ ft)</t>
        </is>
      </c>
      <c r="BH30" s="145" t="inlineStr">
        <is>
          <t>Not disclosed</t>
        </is>
      </c>
      <c r="BI30" s="145" t="inlineStr">
        <is>
          <t>LED illumination for underwater inspection when equipped</t>
        </is>
      </c>
      <c r="BJ30" s="145" t="inlineStr">
        <is>
          <t>Not disclosed</t>
        </is>
      </c>
      <c r="BK30" s="145" t="inlineStr">
        <is>
          <t>Not disclosed</t>
        </is>
      </c>
      <c r="BL30" s="145" t="n"/>
      <c r="BM30" s="145" t="n"/>
      <c r="BN30" s="145" t="n"/>
      <c r="BO30" s="149" t="n"/>
      <c r="BP30" s="145" t="inlineStr">
        <is>
          <t>Not disclosed</t>
        </is>
      </c>
      <c r="BQ30" s="149" t="inlineStr">
        <is>
          <t>ROV</t>
        </is>
      </c>
      <c r="BR30" s="149" t="inlineStr">
        <is>
          <t>Not disclosed</t>
        </is>
      </c>
      <c r="BS30" s="149" t="n"/>
      <c r="BT30" s="145" t="n"/>
      <c r="BU30" s="145" t="n"/>
      <c r="BV30" s="149" t="inlineStr">
        <is>
          <t>Man-portable; US Navy standard; inspection, EOD, ISR</t>
        </is>
      </c>
      <c r="BW30" s="149" t="inlineStr">
        <is>
          <t>Origin &amp; status — USA · 2010 | Mission — Depth Professional/military ROV ratings by vehicle (hundreds to 1,000+ ft) · Payload Not disclosed | Sensing — HD/4K and sonar payload options | Buying notes — $28,000 · 12 months manufacturer standard (typical) · Best fit: Man-portable; US Navy standard; inspection, EOD, ISR</t>
        </is>
      </c>
      <c r="BX30" s="149" t="inlineStr">
        <is>
          <t>as_shipped|Ally|28000|As shipped</t>
        </is>
      </c>
      <c r="BY30" s="145" t="inlineStr">
        <is>
          <t>ally|Manufacturer finish|#e2e8f0|0</t>
        </is>
      </c>
      <c r="BZ30" s="145" t="inlineStr"/>
      <c r="CA30" s="149" t="inlineStr">
        <is>
          <t>Add-ons: case; 2 color options; Multi-year extended warranty available</t>
        </is>
      </c>
      <c r="CB30" s="149" t="inlineStr">
        <is>
          <t>12 months manufacturer standard (typical)</t>
        </is>
      </c>
      <c r="CC30" s="147" t="n">
        <v>12</v>
      </c>
      <c r="CD30" s="149" t="inlineStr">
        <is>
          <t>+3 Year Extended ≈24% of configuration (default in configurator)</t>
        </is>
      </c>
      <c r="CE30" s="145" t="inlineStr">
        <is>
          <t>Industry default when OEM sheet not public</t>
        </is>
      </c>
      <c r="CF30" s="145" t="inlineStr">
        <is>
          <t>Estimated</t>
        </is>
      </c>
      <c r="CG30" s="149" t="inlineStr">
        <is>
          <t>Always confirm exact warranty on formal quote before purchase.</t>
        </is>
      </c>
      <c r="CH30" s="145" t="inlineStr">
        <is>
          <t>10%</t>
        </is>
      </c>
      <c r="CI30" s="145" t="inlineStr">
        <is>
          <t>17%</t>
        </is>
      </c>
      <c r="CJ30" s="145" t="inlineStr">
        <is>
          <t>24%</t>
        </is>
      </c>
      <c r="CK30"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30"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0" s="145" t="inlineStr">
        <is>
          <t>12 months manufacturer standard (typical)</t>
        </is>
      </c>
    </row>
    <row r="31" ht="31.5" customHeight="1" s="102">
      <c r="A31" s="143" t="inlineStr">
        <is>
          <t>videoray_mission_specialist_series_a_wraith</t>
        </is>
      </c>
      <c r="B31" s="160" t="inlineStr">
        <is>
          <t>Website</t>
        </is>
      </c>
      <c r="C31" s="145" t="inlineStr">
        <is>
          <t>VideoRay</t>
        </is>
      </c>
      <c r="D31" s="145" t="inlineStr">
        <is>
          <t>Wraith</t>
        </is>
      </c>
      <c r="E31" s="145" t="inlineStr">
        <is>
          <t>[VideoRay] Wraith (2010)</t>
        </is>
      </c>
      <c r="F31" s="165" t="inlineStr">
        <is>
          <t>water</t>
        </is>
      </c>
      <c r="G31" s="145" t="inlineStr">
        <is>
          <t>USA</t>
        </is>
      </c>
      <c r="H31" s="147" t="n">
        <v>2010</v>
      </c>
      <c r="I31" s="148" t="n">
        <v>32000</v>
      </c>
      <c r="J31" s="145" t="inlineStr">
        <is>
          <t>MSS Wraith configured estimate</t>
        </is>
      </c>
      <c r="K31" s="149" t="inlineStr">
        <is>
          <t>[VideoRay] Wraith (2010) is a marine platform from VideoRay (USA, 2010), positioned for rov.</t>
        </is>
      </c>
      <c r="L31" s="101" t="inlineStr">
        <is>
          <t>[VideoRay] Wraith (2010) is a marine platform from VideoRay (USA, 2010), positioned for rov.</t>
        </is>
      </c>
      <c r="M31" s="101" t="inlineStr">
        <is>
          <t>Wraith is VideoRay's marine robot, introduced around 2010 in USA. [VideoRay] Wraith (2010) is a marine platform from VideoRay (USA, 2010), positioned for rov.</t>
        </is>
      </c>
      <c r="N31" s="145" t="n"/>
      <c r="O31" s="145" t="inlineStr">
        <is>
          <t>https://videoray.com</t>
        </is>
      </c>
      <c r="P31" s="145" t="n"/>
      <c r="Q31" s="145" t="n"/>
      <c r="R31" s="145" t="inlineStr">
        <is>
          <t>≈ 20–40 lb class depending on vehicle (Ally / Wraith / Defender)</t>
        </is>
      </c>
      <c r="S31" s="145" t="n"/>
      <c r="T31" s="149" t="inlineStr">
        <is>
          <t>Not disclosed</t>
        </is>
      </c>
      <c r="U31" s="145" t="n"/>
      <c r="V31" s="145" t="n"/>
      <c r="W31" s="149" t="n"/>
      <c r="X31" s="145" t="inlineStr">
        <is>
          <t>Not disclosed</t>
        </is>
      </c>
      <c r="Y31" s="145" t="n"/>
      <c r="Z31" s="145" t="inlineStr">
        <is>
          <t>Not disclosed</t>
        </is>
      </c>
      <c r="AA31" s="145" t="n"/>
      <c r="AB31" s="145" t="n"/>
      <c r="AC31" s="149" t="inlineStr">
        <is>
          <t>Not disclosed</t>
        </is>
      </c>
      <c r="AD31" s="149" t="n"/>
      <c r="AE31" s="145" t="n"/>
      <c r="AF31" s="145" t="inlineStr">
        <is>
          <t>Not disclosed</t>
        </is>
      </c>
      <c r="AG31" s="149" t="n"/>
      <c r="AH31" s="145" t="n"/>
      <c r="AI31" s="145" t="n"/>
      <c r="AJ31" s="149" t="inlineStr">
        <is>
          <t>HD/4K and sonar payload options</t>
        </is>
      </c>
      <c r="AK31" s="149" t="n"/>
      <c r="AL31" s="145" t="inlineStr">
        <is>
          <t>Mission video + sensor overlays</t>
        </is>
      </c>
      <c r="AM31" s="145" t="n"/>
      <c r="AN31" s="145" t="n"/>
      <c r="AO31" s="145" t="n"/>
      <c r="AP31" s="145" t="inlineStr">
        <is>
          <t>Not disclosed</t>
        </is>
      </c>
      <c r="AQ31" s="145" t="n"/>
      <c r="AR31" s="145" t="n"/>
      <c r="AS31" s="145" t="n"/>
      <c r="AT31" s="149" t="n"/>
      <c r="AU31" s="149" t="inlineStr">
        <is>
          <t>Not disclosed</t>
        </is>
      </c>
      <c r="AV31" s="145" t="inlineStr">
        <is>
          <t>Surface controller and manufacturer software</t>
        </is>
      </c>
      <c r="AW31" s="149" t="inlineStr">
        <is>
          <t>Not disclosed</t>
        </is>
      </c>
      <c r="AX31" s="145" t="n"/>
      <c r="AY31" s="149" t="n"/>
      <c r="AZ31" s="149" t="n"/>
      <c r="BA31" s="149" t="n"/>
      <c r="BB31" s="149" t="n"/>
      <c r="BC31" s="149" t="n"/>
      <c r="BD31" s="145" t="n"/>
      <c r="BE31" s="145" t="inlineStr">
        <is>
          <t>Not disclosed</t>
        </is>
      </c>
      <c r="BF31" s="145" t="n"/>
      <c r="BG31" s="145" t="inlineStr">
        <is>
          <t>Professional/military ROV ratings by vehicle (hundreds to 1,000+ ft)</t>
        </is>
      </c>
      <c r="BH31" s="145" t="inlineStr">
        <is>
          <t>Not disclosed</t>
        </is>
      </c>
      <c r="BI31" s="145" t="inlineStr">
        <is>
          <t>LED illumination for underwater inspection when equipped</t>
        </is>
      </c>
      <c r="BJ31" s="145" t="inlineStr">
        <is>
          <t>Not disclosed</t>
        </is>
      </c>
      <c r="BK31" s="145" t="inlineStr">
        <is>
          <t>Not disclosed</t>
        </is>
      </c>
      <c r="BL31" s="145" t="n"/>
      <c r="BM31" s="145" t="n"/>
      <c r="BN31" s="145" t="n"/>
      <c r="BO31" s="149" t="n"/>
      <c r="BP31" s="145" t="inlineStr">
        <is>
          <t>Not disclosed</t>
        </is>
      </c>
      <c r="BQ31" s="149" t="inlineStr">
        <is>
          <t>ROV</t>
        </is>
      </c>
      <c r="BR31" s="149" t="inlineStr">
        <is>
          <t>Not disclosed</t>
        </is>
      </c>
      <c r="BS31" s="149" t="n"/>
      <c r="BT31" s="145" t="n"/>
      <c r="BU31" s="145" t="n"/>
      <c r="BV31" s="149" t="inlineStr">
        <is>
          <t>Man-portable; US Navy standard; inspection, EOD, ISR</t>
        </is>
      </c>
      <c r="BW31" s="149" t="inlineStr">
        <is>
          <t>Origin &amp; status — USA · 2010 | Mission — Depth Professional/military ROV ratings by vehicle (hundreds to 1,000+ ft) · Payload Not disclosed | Sensing — HD/4K and sonar payload options | Buying notes — $32,000 · 12 months manufacturer standard (typical) · Best fit: Man-portable; US Navy standard; inspection, EOD, ISR</t>
        </is>
      </c>
      <c r="BX31" s="149" t="inlineStr">
        <is>
          <t>as_shipped|Wraith|32000|As shipped</t>
        </is>
      </c>
      <c r="BY31" s="145" t="inlineStr">
        <is>
          <t>wraith|Manufacturer finish|#e2e8f0|0</t>
        </is>
      </c>
      <c r="BZ31" s="145" t="inlineStr"/>
      <c r="CA31" s="149" t="inlineStr">
        <is>
          <t>Add-ons: case; 2 color options; Multi-year extended warranty available</t>
        </is>
      </c>
      <c r="CB31" s="149" t="inlineStr">
        <is>
          <t>12 months manufacturer standard (typical)</t>
        </is>
      </c>
      <c r="CC31" s="147" t="n">
        <v>12</v>
      </c>
      <c r="CD31" s="149" t="inlineStr">
        <is>
          <t>+3 Year Extended ≈24% of configuration (default in configurator)</t>
        </is>
      </c>
      <c r="CE31" s="145" t="inlineStr">
        <is>
          <t>Industry default when OEM sheet not public</t>
        </is>
      </c>
      <c r="CF31" s="145" t="inlineStr">
        <is>
          <t>Estimated</t>
        </is>
      </c>
      <c r="CG31" s="149" t="inlineStr">
        <is>
          <t>Always confirm exact warranty on formal quote before purchase.</t>
        </is>
      </c>
      <c r="CH31" s="145" t="inlineStr">
        <is>
          <t>10%</t>
        </is>
      </c>
      <c r="CI31" s="145" t="inlineStr">
        <is>
          <t>17%</t>
        </is>
      </c>
      <c r="CJ31" s="145" t="inlineStr">
        <is>
          <t>24%</t>
        </is>
      </c>
      <c r="CK3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3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1" s="145" t="inlineStr">
        <is>
          <t>12 months manufacturer standard (typical)</t>
        </is>
      </c>
    </row>
    <row r="32" ht="31.5" customHeight="1" s="102">
      <c r="A32" s="143" t="inlineStr">
        <is>
          <t>videoray_mission_specialist_series_a_defender</t>
        </is>
      </c>
      <c r="B32" s="160" t="inlineStr">
        <is>
          <t>Website</t>
        </is>
      </c>
      <c r="C32" s="145" t="inlineStr">
        <is>
          <t>VideoRay</t>
        </is>
      </c>
      <c r="D32" s="145" t="inlineStr">
        <is>
          <t>Defender</t>
        </is>
      </c>
      <c r="E32" s="145" t="inlineStr">
        <is>
          <t>[VideoRay] Defender (2010)</t>
        </is>
      </c>
      <c r="F32" s="165" t="inlineStr">
        <is>
          <t>water</t>
        </is>
      </c>
      <c r="G32" s="145" t="inlineStr">
        <is>
          <t>USA</t>
        </is>
      </c>
      <c r="H32" s="147" t="n">
        <v>2010</v>
      </c>
      <c r="I32" s="148" t="n">
        <v>45000</v>
      </c>
      <c r="J32" s="145" t="inlineStr">
        <is>
          <t>Mission Specialist Defender configured estimate</t>
        </is>
      </c>
      <c r="K32" s="149" t="inlineStr">
        <is>
          <t>[VideoRay] Defender (2010) is a marine platform from VideoRay (USA, 2010), positioned for rov.</t>
        </is>
      </c>
      <c r="L32" s="101" t="inlineStr">
        <is>
          <t>[VideoRay] Defender (2010) is a marine platform from VideoRay (USA, 2010), positioned for rov.</t>
        </is>
      </c>
      <c r="M32" s="101" t="inlineStr">
        <is>
          <t>Defender is VideoRay's marine robot, introduced around 2010 in USA. [VideoRay] Defender (2010) is a marine platform from VideoRay (USA, 2010), positioned for rov.</t>
        </is>
      </c>
      <c r="N32" s="145" t="n"/>
      <c r="O32" s="145" t="inlineStr">
        <is>
          <t>https://videoray.com</t>
        </is>
      </c>
      <c r="P32" s="145" t="n"/>
      <c r="Q32" s="145" t="n"/>
      <c r="R32" s="145" t="inlineStr">
        <is>
          <t>≈ 20–40 lb class depending on vehicle (Ally / Wraith / Defender)</t>
        </is>
      </c>
      <c r="S32" s="145" t="n"/>
      <c r="T32" s="149" t="inlineStr">
        <is>
          <t>Not disclosed</t>
        </is>
      </c>
      <c r="U32" s="145" t="n"/>
      <c r="V32" s="145" t="n"/>
      <c r="W32" s="149" t="n"/>
      <c r="X32" s="145" t="inlineStr">
        <is>
          <t>Not disclosed</t>
        </is>
      </c>
      <c r="Y32" s="145" t="n"/>
      <c r="Z32" s="145" t="inlineStr">
        <is>
          <t>Not disclosed</t>
        </is>
      </c>
      <c r="AA32" s="145" t="n"/>
      <c r="AB32" s="145" t="n"/>
      <c r="AC32" s="149" t="inlineStr">
        <is>
          <t>Not disclosed</t>
        </is>
      </c>
      <c r="AD32" s="149" t="n"/>
      <c r="AE32" s="145" t="n"/>
      <c r="AF32" s="145" t="inlineStr">
        <is>
          <t>Not disclosed</t>
        </is>
      </c>
      <c r="AG32" s="149" t="n"/>
      <c r="AH32" s="145" t="n"/>
      <c r="AI32" s="145" t="n"/>
      <c r="AJ32" s="149" t="inlineStr">
        <is>
          <t>HD/4K and sonar payload options</t>
        </is>
      </c>
      <c r="AK32" s="149" t="n"/>
      <c r="AL32" s="145" t="inlineStr">
        <is>
          <t>Mission video + sensor overlays</t>
        </is>
      </c>
      <c r="AM32" s="145" t="n"/>
      <c r="AN32" s="145" t="n"/>
      <c r="AO32" s="145" t="n"/>
      <c r="AP32" s="145" t="inlineStr">
        <is>
          <t>Not disclosed</t>
        </is>
      </c>
      <c r="AQ32" s="145" t="n"/>
      <c r="AR32" s="145" t="n"/>
      <c r="AS32" s="145" t="n"/>
      <c r="AT32" s="149" t="n"/>
      <c r="AU32" s="149" t="inlineStr">
        <is>
          <t>Not disclosed</t>
        </is>
      </c>
      <c r="AV32" s="145" t="inlineStr">
        <is>
          <t>Surface controller and manufacturer software</t>
        </is>
      </c>
      <c r="AW32" s="149" t="inlineStr">
        <is>
          <t>Not disclosed</t>
        </is>
      </c>
      <c r="AX32" s="145" t="n"/>
      <c r="AY32" s="149" t="n"/>
      <c r="AZ32" s="149" t="n"/>
      <c r="BA32" s="149" t="n"/>
      <c r="BB32" s="149" t="n"/>
      <c r="BC32" s="149" t="n"/>
      <c r="BD32" s="145" t="n"/>
      <c r="BE32" s="145" t="inlineStr">
        <is>
          <t>Not disclosed</t>
        </is>
      </c>
      <c r="BF32" s="145" t="n"/>
      <c r="BG32" s="145" t="inlineStr">
        <is>
          <t>Professional/military ROV ratings by vehicle (hundreds to 1,000+ ft)</t>
        </is>
      </c>
      <c r="BH32" s="145" t="inlineStr">
        <is>
          <t>Not disclosed</t>
        </is>
      </c>
      <c r="BI32" s="145" t="inlineStr">
        <is>
          <t>LED illumination for underwater inspection when equipped</t>
        </is>
      </c>
      <c r="BJ32" s="145" t="inlineStr">
        <is>
          <t>Not disclosed</t>
        </is>
      </c>
      <c r="BK32" s="145" t="inlineStr">
        <is>
          <t>Not disclosed</t>
        </is>
      </c>
      <c r="BL32" s="145" t="n"/>
      <c r="BM32" s="145" t="n"/>
      <c r="BN32" s="145" t="n"/>
      <c r="BO32" s="149" t="n"/>
      <c r="BP32" s="145" t="inlineStr">
        <is>
          <t>Not disclosed</t>
        </is>
      </c>
      <c r="BQ32" s="149" t="inlineStr">
        <is>
          <t>ROV</t>
        </is>
      </c>
      <c r="BR32" s="149" t="inlineStr">
        <is>
          <t>Not disclosed</t>
        </is>
      </c>
      <c r="BS32" s="149" t="n"/>
      <c r="BT32" s="145" t="n"/>
      <c r="BU32" s="145" t="n"/>
      <c r="BV32" s="149" t="inlineStr">
        <is>
          <t>Man-portable; US Navy standard; inspection, EOD, ISR</t>
        </is>
      </c>
      <c r="BW32" s="149" t="inlineStr">
        <is>
          <t>Origin &amp; status — USA · 2010 | Mission — Depth Professional/military ROV ratings by vehicle (hundreds to 1,000+ ft) · Payload Not disclosed | Sensing — HD/4K and sonar payload options | Buying notes — $45,000 · 12 months manufacturer standard (typical) · Best fit: Man-portable; US Navy standard; inspection, EOD, ISR</t>
        </is>
      </c>
      <c r="BX32" s="149" t="inlineStr">
        <is>
          <t>as_shipped|Defender|45000|As shipped</t>
        </is>
      </c>
      <c r="BY32" s="145" t="inlineStr">
        <is>
          <t>defender|Manufacturer finish|#e2e8f0|0</t>
        </is>
      </c>
      <c r="BZ32" s="145" t="inlineStr"/>
      <c r="CA32" s="149" t="inlineStr">
        <is>
          <t>Add-ons: case; 2 color options; Multi-year extended warranty available</t>
        </is>
      </c>
      <c r="CB32" s="149" t="inlineStr">
        <is>
          <t>12 months manufacturer standard (typical)</t>
        </is>
      </c>
      <c r="CC32" s="147" t="n">
        <v>12</v>
      </c>
      <c r="CD32" s="149" t="inlineStr">
        <is>
          <t>+3 Year Extended ≈24% of configuration (default in configurator)</t>
        </is>
      </c>
      <c r="CE32" s="145" t="inlineStr">
        <is>
          <t>Industry default when OEM sheet not public</t>
        </is>
      </c>
      <c r="CF32" s="145" t="inlineStr">
        <is>
          <t>Estimated</t>
        </is>
      </c>
      <c r="CG32" s="149" t="inlineStr">
        <is>
          <t>Always confirm exact warranty on formal quote before purchase.</t>
        </is>
      </c>
      <c r="CH32" s="145" t="inlineStr">
        <is>
          <t>10%</t>
        </is>
      </c>
      <c r="CI32" s="145" t="inlineStr">
        <is>
          <t>17%</t>
        </is>
      </c>
      <c r="CJ32" s="145" t="inlineStr">
        <is>
          <t>24%</t>
        </is>
      </c>
      <c r="CK32"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32"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2" s="145" t="inlineStr">
        <is>
          <t>12 months manufacturer standard (typical)</t>
        </is>
      </c>
    </row>
    <row r="33" ht="31.5" customHeight="1" s="102">
      <c r="A33" s="143" t="inlineStr">
        <is>
          <t>blueye_robotics_blueye_x3_pro</t>
        </is>
      </c>
      <c r="B33" s="160" t="inlineStr">
        <is>
          <t>Website</t>
        </is>
      </c>
      <c r="C33" s="145" t="inlineStr">
        <is>
          <t>Blueye Robotics</t>
        </is>
      </c>
      <c r="D33" s="145" t="inlineStr">
        <is>
          <t>X3</t>
        </is>
      </c>
      <c r="E33" s="145" t="inlineStr">
        <is>
          <t>[Blueye] X3 (2010)</t>
        </is>
      </c>
      <c r="F33" s="165" t="inlineStr">
        <is>
          <t>water</t>
        </is>
      </c>
      <c r="G33" s="145" t="inlineStr">
        <is>
          <t>USA</t>
        </is>
      </c>
      <c r="H33" s="147" t="n">
        <v>2010</v>
      </c>
      <c r="I33" s="148" t="n">
        <v>4990</v>
      </c>
      <c r="J33" s="145" t="inlineStr">
        <is>
          <t>Blueye X3 typical street</t>
        </is>
      </c>
      <c r="K33" s="149" t="inlineStr">
        <is>
          <t>[Blueye] X3 (2010) is a marine platform from Blueye Robotics (Norway, 2010), positioned for rov.</t>
        </is>
      </c>
      <c r="L33" s="101" t="inlineStr">
        <is>
          <t>[Blueye] X3 (2010) is a marine platform from Blueye Robotics (Norway, 2010), positioned for rov.</t>
        </is>
      </c>
      <c r="M33" s="101" t="inlineStr">
        <is>
          <t>[Blueye] X3 (2010) is a marine platform from Blueye Robotics (Norway, 2010), positioned for rov.</t>
        </is>
      </c>
      <c r="N33" s="145" t="n"/>
      <c r="O33" s="145" t="inlineStr">
        <is>
          <t>https://www.blueye.no</t>
        </is>
      </c>
      <c r="P33" s="145" t="n"/>
      <c r="Q33" s="145" t="n"/>
      <c r="R33" s="145" t="inlineStr">
        <is>
          <t>≈ 15–20 lb class</t>
        </is>
      </c>
      <c r="S33" s="145" t="n"/>
      <c r="T33" s="149" t="inlineStr">
        <is>
          <t>Not disclosed</t>
        </is>
      </c>
      <c r="U33" s="145" t="n"/>
      <c r="V33" s="145" t="n"/>
      <c r="W33" s="149" t="n"/>
      <c r="X33" s="145" t="inlineStr">
        <is>
          <t>Not disclosed</t>
        </is>
      </c>
      <c r="Y33" s="145" t="n"/>
      <c r="Z33" s="145" t="inlineStr">
        <is>
          <t>Not disclosed</t>
        </is>
      </c>
      <c r="AA33" s="145" t="n"/>
      <c r="AB33" s="145" t="n"/>
      <c r="AC33" s="149" t="inlineStr">
        <is>
          <t>Not disclosed</t>
        </is>
      </c>
      <c r="AD33" s="149" t="n"/>
      <c r="AE33" s="145" t="n"/>
      <c r="AF33" s="145" t="inlineStr">
        <is>
          <t>Not disclosed</t>
        </is>
      </c>
      <c r="AG33" s="149" t="n"/>
      <c r="AH33" s="145" t="n"/>
      <c r="AI33" s="145" t="n"/>
      <c r="AJ33" s="149" t="inlineStr">
        <is>
          <t>Autonomous underwater perception suites (configuration specific)</t>
        </is>
      </c>
      <c r="AK33" s="149" t="n"/>
      <c r="AL33" s="145" t="inlineStr">
        <is>
          <t>Mission and autonomy sensing data</t>
        </is>
      </c>
      <c r="AM33" s="145" t="n"/>
      <c r="AN33" s="145" t="n"/>
      <c r="AO33" s="145" t="n"/>
      <c r="AP33" s="145" t="inlineStr">
        <is>
          <t>Not disclosed</t>
        </is>
      </c>
      <c r="AQ33" s="145" t="n"/>
      <c r="AR33" s="145" t="n"/>
      <c r="AS33" s="145" t="n"/>
      <c r="AT33" s="149" t="n"/>
      <c r="AU33" s="149" t="inlineStr">
        <is>
          <t>Not disclosed</t>
        </is>
      </c>
      <c r="AV33" s="145" t="inlineStr">
        <is>
          <t>Anduril Lattice-oriented autonomy command</t>
        </is>
      </c>
      <c r="AW33" s="149" t="inlineStr">
        <is>
          <t>Not disclosed</t>
        </is>
      </c>
      <c r="AX33" s="145" t="n"/>
      <c r="AY33" s="149" t="n"/>
      <c r="AZ33" s="149" t="n"/>
      <c r="BA33" s="149" t="n"/>
      <c r="BB33" s="149" t="n"/>
      <c r="BC33" s="149" t="n"/>
      <c r="BD33" s="145" t="n"/>
      <c r="BE33" s="145" t="inlineStr">
        <is>
          <t>Not disclosed</t>
        </is>
      </c>
      <c r="BF33" s="145" t="n"/>
      <c r="BG33" s="145" t="inlineStr">
        <is>
          <t>≈ 1,000 ft class (professional observation)</t>
        </is>
      </c>
      <c r="BH33" s="145" t="inlineStr">
        <is>
          <t>Not disclosed</t>
        </is>
      </c>
      <c r="BI33" s="145" t="inlineStr">
        <is>
          <t>Not disclosed</t>
        </is>
      </c>
      <c r="BJ33" s="145" t="inlineStr">
        <is>
          <t>Not disclosed</t>
        </is>
      </c>
      <c r="BK33" s="145" t="inlineStr">
        <is>
          <t>Not disclosed</t>
        </is>
      </c>
      <c r="BL33" s="145" t="n"/>
      <c r="BM33" s="145" t="n"/>
      <c r="BN33" s="145" t="n"/>
      <c r="BO33" s="149" t="n"/>
      <c r="BP33" s="145" t="inlineStr">
        <is>
          <t>Not disclosed</t>
        </is>
      </c>
      <c r="BQ33" s="149" t="inlineStr">
        <is>
          <t>AUV</t>
        </is>
      </c>
      <c r="BR33" s="149" t="inlineStr">
        <is>
          <t>Not disclosed</t>
        </is>
      </c>
      <c r="BS33" s="149" t="n"/>
      <c r="BT33" s="145" t="n"/>
      <c r="BU33" s="145" t="n"/>
      <c r="BV33" s="149" t="inlineStr">
        <is>
          <t>Extra-large AUVs; mass production focus; Lattice AI</t>
        </is>
      </c>
      <c r="BW33" s="149" t="inlineStr">
        <is>
          <t>Origin &amp; status — Norway · 2010 | Mission — Depth ≈ 1,000 ft class (professional observation) · Payload Not disclosed | Sensing — HD/4K-class tilt camera | Buying notes — $4,990 · 12 months limited / contract-dependent · Best fit: Professional portable ROV for inspection, research, infrastructure</t>
        </is>
      </c>
      <c r="BX33" s="149" t="inlineStr">
        <is>
          <t>as_shipped|X3|4990|As shipped</t>
        </is>
      </c>
      <c r="BY33" s="145" t="inlineStr">
        <is>
          <t>x3|Manufacturer finish|#e2e8f0|0</t>
        </is>
      </c>
      <c r="BZ33" s="145" t="inlineStr"/>
      <c r="CA33" s="149" t="inlineStr">
        <is>
          <t>Add-ons: case; 2 color options; Multi-year extended warranty available</t>
        </is>
      </c>
      <c r="CB33" s="149" t="inlineStr">
        <is>
          <t>12 months limited / contract-dependent</t>
        </is>
      </c>
      <c r="CC33" s="147" t="n">
        <v>12</v>
      </c>
      <c r="CD33" s="149" t="inlineStr">
        <is>
          <t>+3 Year Extended ≈24% of configuration (default in configurator)</t>
        </is>
      </c>
      <c r="CE33" s="145" t="inlineStr">
        <is>
          <t>Enterprise marine robotics norms</t>
        </is>
      </c>
      <c r="CF33" s="145" t="inlineStr">
        <is>
          <t>Estimated</t>
        </is>
      </c>
      <c r="CG33" s="149" t="inlineStr">
        <is>
          <t>Confirm inclusions and sea-trial terms on quote.</t>
        </is>
      </c>
      <c r="CH33" s="145" t="inlineStr">
        <is>
          <t>10%</t>
        </is>
      </c>
      <c r="CI33" s="145" t="inlineStr">
        <is>
          <t>17%</t>
        </is>
      </c>
      <c r="CJ33" s="145" t="inlineStr">
        <is>
          <t>24%</t>
        </is>
      </c>
      <c r="CK33"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33"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3" s="145" t="inlineStr">
        <is>
          <t>12 months limited / contract-dependent</t>
        </is>
      </c>
    </row>
    <row r="34" ht="31.5" customHeight="1" s="102">
      <c r="A34" s="143" t="inlineStr">
        <is>
          <t>blueye_robotics_blueye_x3_pro_pro</t>
        </is>
      </c>
      <c r="B34" s="160" t="inlineStr">
        <is>
          <t>Website</t>
        </is>
      </c>
      <c r="C34" s="145" t="inlineStr">
        <is>
          <t>Blueye Robotics</t>
        </is>
      </c>
      <c r="D34" s="145" t="inlineStr">
        <is>
          <t>Pro</t>
        </is>
      </c>
      <c r="E34" s="145" t="inlineStr">
        <is>
          <t>[Blueye] Pro (2010)</t>
        </is>
      </c>
      <c r="F34" s="165" t="inlineStr">
        <is>
          <t>water</t>
        </is>
      </c>
      <c r="G34" s="145" t="inlineStr">
        <is>
          <t>USA</t>
        </is>
      </c>
      <c r="H34" s="147" t="n">
        <v>2010</v>
      </c>
      <c r="I34" s="148" t="n">
        <v>3990</v>
      </c>
      <c r="J34" s="145" t="inlineStr">
        <is>
          <t>Blueye Pro typical street</t>
        </is>
      </c>
      <c r="K34" s="149" t="inlineStr">
        <is>
          <t>[Blueye] Pro (2010) is a marine platform from Blueye Robotics (Norway, 2010), positioned for rov.</t>
        </is>
      </c>
      <c r="L34" s="101" t="inlineStr">
        <is>
          <t>[Blueye] Pro (2010) is a marine platform from Blueye Robotics (Norway, 2010), positioned for rov.</t>
        </is>
      </c>
      <c r="M34" s="101" t="inlineStr">
        <is>
          <t>[Blueye] Pro (2010) is a marine platform from Blueye Robotics (Norway, 2010), positioned for rov.</t>
        </is>
      </c>
      <c r="N34" s="145" t="n"/>
      <c r="O34" s="145" t="inlineStr">
        <is>
          <t>https://www.blueye.no</t>
        </is>
      </c>
      <c r="P34" s="145" t="n"/>
      <c r="Q34" s="145" t="n"/>
      <c r="R34" s="145" t="inlineStr">
        <is>
          <t>≈ 15–20 lb class</t>
        </is>
      </c>
      <c r="S34" s="145" t="n"/>
      <c r="T34" s="149" t="inlineStr">
        <is>
          <t>Not disclosed</t>
        </is>
      </c>
      <c r="U34" s="145" t="n"/>
      <c r="V34" s="145" t="n"/>
      <c r="W34" s="149" t="n"/>
      <c r="X34" s="145" t="inlineStr">
        <is>
          <t>Not disclosed</t>
        </is>
      </c>
      <c r="Y34" s="145" t="n"/>
      <c r="Z34" s="145" t="inlineStr">
        <is>
          <t>Not disclosed</t>
        </is>
      </c>
      <c r="AA34" s="145" t="n"/>
      <c r="AB34" s="145" t="n"/>
      <c r="AC34" s="149" t="inlineStr">
        <is>
          <t>Not disclosed</t>
        </is>
      </c>
      <c r="AD34" s="149" t="n"/>
      <c r="AE34" s="145" t="n"/>
      <c r="AF34" s="145" t="inlineStr">
        <is>
          <t>Not disclosed</t>
        </is>
      </c>
      <c r="AG34" s="149" t="n"/>
      <c r="AH34" s="145" t="n"/>
      <c r="AI34" s="145" t="n"/>
      <c r="AJ34" s="149" t="inlineStr">
        <is>
          <t>Autonomous underwater perception suites (configuration specific)</t>
        </is>
      </c>
      <c r="AK34" s="149" t="n"/>
      <c r="AL34" s="145" t="inlineStr">
        <is>
          <t>Mission and autonomy sensing data</t>
        </is>
      </c>
      <c r="AM34" s="145" t="n"/>
      <c r="AN34" s="145" t="n"/>
      <c r="AO34" s="145" t="n"/>
      <c r="AP34" s="145" t="inlineStr">
        <is>
          <t>Not disclosed</t>
        </is>
      </c>
      <c r="AQ34" s="145" t="n"/>
      <c r="AR34" s="145" t="n"/>
      <c r="AS34" s="145" t="n"/>
      <c r="AT34" s="149" t="n"/>
      <c r="AU34" s="149" t="inlineStr">
        <is>
          <t>Not disclosed</t>
        </is>
      </c>
      <c r="AV34" s="145" t="inlineStr">
        <is>
          <t>Anduril Lattice-oriented autonomy command</t>
        </is>
      </c>
      <c r="AW34" s="149" t="inlineStr">
        <is>
          <t>Not disclosed</t>
        </is>
      </c>
      <c r="AX34" s="145" t="n"/>
      <c r="AY34" s="149" t="n"/>
      <c r="AZ34" s="149" t="n"/>
      <c r="BA34" s="149" t="n"/>
      <c r="BB34" s="149" t="n"/>
      <c r="BC34" s="149" t="n"/>
      <c r="BD34" s="145" t="n"/>
      <c r="BE34" s="145" t="inlineStr">
        <is>
          <t>Not disclosed</t>
        </is>
      </c>
      <c r="BF34" s="145" t="n"/>
      <c r="BG34" s="145" t="inlineStr">
        <is>
          <t>≈ 1,000 ft class (professional observation)</t>
        </is>
      </c>
      <c r="BH34" s="145" t="inlineStr">
        <is>
          <t>Not disclosed</t>
        </is>
      </c>
      <c r="BI34" s="145" t="inlineStr">
        <is>
          <t>Not disclosed</t>
        </is>
      </c>
      <c r="BJ34" s="145" t="inlineStr">
        <is>
          <t>Not disclosed</t>
        </is>
      </c>
      <c r="BK34" s="145" t="inlineStr">
        <is>
          <t>Not disclosed</t>
        </is>
      </c>
      <c r="BL34" s="145" t="n"/>
      <c r="BM34" s="145" t="n"/>
      <c r="BN34" s="145" t="n"/>
      <c r="BO34" s="149" t="n"/>
      <c r="BP34" s="145" t="inlineStr">
        <is>
          <t>Not disclosed</t>
        </is>
      </c>
      <c r="BQ34" s="149" t="inlineStr">
        <is>
          <t>AUV</t>
        </is>
      </c>
      <c r="BR34" s="149" t="inlineStr">
        <is>
          <t>Not disclosed</t>
        </is>
      </c>
      <c r="BS34" s="149" t="n"/>
      <c r="BT34" s="145" t="n"/>
      <c r="BU34" s="145" t="n"/>
      <c r="BV34" s="149" t="inlineStr">
        <is>
          <t>Extra-large AUVs; mass production focus; Lattice AI</t>
        </is>
      </c>
      <c r="BW34" s="149" t="inlineStr">
        <is>
          <t>Origin &amp; status — Norway · 2010 | Mission — Depth ≈ 1,000 ft class (professional observation) · Payload Not disclosed | Sensing — HD/4K-class tilt camera | Buying notes — $3,990 · 12 months limited / contract-dependent · Best fit: Professional portable ROV for inspection, research, infrastructure</t>
        </is>
      </c>
      <c r="BX34" s="149" t="inlineStr">
        <is>
          <t>as_shipped|Pro|3990|As shipped</t>
        </is>
      </c>
      <c r="BY34" s="145" t="inlineStr">
        <is>
          <t>pro|Manufacturer finish|#e2e8f0|0</t>
        </is>
      </c>
      <c r="BZ34" s="145" t="inlineStr"/>
      <c r="CA34" s="149" t="inlineStr">
        <is>
          <t>Add-ons: case; 2 color options; Multi-year extended warranty available</t>
        </is>
      </c>
      <c r="CB34" s="149" t="inlineStr">
        <is>
          <t>12 months limited / contract-dependent</t>
        </is>
      </c>
      <c r="CC34" s="147" t="n">
        <v>12</v>
      </c>
      <c r="CD34" s="149" t="inlineStr">
        <is>
          <t>+3 Year Extended ≈24% of configuration (default in configurator)</t>
        </is>
      </c>
      <c r="CE34" s="145" t="inlineStr">
        <is>
          <t>Enterprise marine robotics norms</t>
        </is>
      </c>
      <c r="CF34" s="145" t="inlineStr">
        <is>
          <t>Estimated</t>
        </is>
      </c>
      <c r="CG34" s="149" t="inlineStr">
        <is>
          <t>Confirm inclusions and sea-trial terms on quote.</t>
        </is>
      </c>
      <c r="CH34" s="145" t="inlineStr">
        <is>
          <t>10%</t>
        </is>
      </c>
      <c r="CI34" s="145" t="inlineStr">
        <is>
          <t>17%</t>
        </is>
      </c>
      <c r="CJ34" s="145" t="inlineStr">
        <is>
          <t>24%</t>
        </is>
      </c>
      <c r="CK34"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34"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4" s="145" t="inlineStr">
        <is>
          <t>12 months limited / contract-dependent</t>
        </is>
      </c>
    </row>
    <row r="35" ht="31.5" customHeight="1" s="102">
      <c r="A35" s="143" t="inlineStr">
        <is>
          <t>qysea_fifish_v6_v_evo</t>
        </is>
      </c>
      <c r="B35" s="160" t="inlineStr">
        <is>
          <t>Website</t>
        </is>
      </c>
      <c r="C35" s="145" t="inlineStr">
        <is>
          <t>QYSEA</t>
        </is>
      </c>
      <c r="D35" s="145" t="inlineStr">
        <is>
          <t>FIFISH V6</t>
        </is>
      </c>
      <c r="E35" s="145" t="inlineStr">
        <is>
          <t>[QYSEA] FIFISH V6 (2018)</t>
        </is>
      </c>
      <c r="F35" s="165" t="inlineStr">
        <is>
          <t>water</t>
        </is>
      </c>
      <c r="G35" s="145" t="inlineStr">
        <is>
          <t>USA</t>
        </is>
      </c>
      <c r="H35" s="147" t="n">
        <v>2018</v>
      </c>
      <c r="I35" s="148" t="n">
        <v>1299</v>
      </c>
      <c r="J35" s="145" t="inlineStr">
        <is>
          <t>Website store</t>
        </is>
      </c>
      <c r="K35" s="149" t="inlineStr">
        <is>
          <t>[QYSEA] FIFISH V6 (2018) is a marine platform from QYSEA (China, 2018), positioned for rov.</t>
        </is>
      </c>
      <c r="L35" s="101" t="inlineStr">
        <is>
          <t>[QYSEA] FIFISH V6 (2018) is a marine platform from QYSEA (China, 2018), positioned for rov.</t>
        </is>
      </c>
      <c r="M35" s="101" t="inlineStr">
        <is>
          <t>[QYSEA] FIFISH V6 (2018) is a marine platform from QYSEA (China, 2018), positioned for rov.</t>
        </is>
      </c>
      <c r="N35" s="145" t="n"/>
      <c r="O35" s="145" t="inlineStr">
        <is>
          <t>https://www.qysea.com</t>
        </is>
      </c>
      <c r="P35" s="145" t="n"/>
      <c r="Q35" s="145" t="n"/>
      <c r="R35" s="145" t="inlineStr">
        <is>
          <t>≈ 10–14 lb class</t>
        </is>
      </c>
      <c r="S35" s="145" t="n"/>
      <c r="T35" s="149" t="inlineStr">
        <is>
          <t>Not disclosed</t>
        </is>
      </c>
      <c r="U35" s="145" t="n"/>
      <c r="V35" s="145" t="n"/>
      <c r="W35" s="149" t="n"/>
      <c r="X35" s="145" t="inlineStr">
        <is>
          <t>Not disclosed</t>
        </is>
      </c>
      <c r="Y35" s="145" t="n"/>
      <c r="Z35" s="145" t="inlineStr">
        <is>
          <t>Not disclosed</t>
        </is>
      </c>
      <c r="AA35" s="145" t="n"/>
      <c r="AB35" s="145" t="n"/>
      <c r="AC35" s="149" t="inlineStr">
        <is>
          <t>Not disclosed</t>
        </is>
      </c>
      <c r="AD35" s="149" t="n"/>
      <c r="AE35" s="145" t="n"/>
      <c r="AF35" s="145" t="inlineStr">
        <is>
          <t>Not disclosed</t>
        </is>
      </c>
      <c r="AG35" s="149" t="n"/>
      <c r="AH35" s="145" t="n"/>
      <c r="AI35" s="145" t="n"/>
      <c r="AJ35" s="149" t="inlineStr">
        <is>
          <t>Autonomous underwater perception suites (configuration specific)</t>
        </is>
      </c>
      <c r="AK35" s="149" t="n"/>
      <c r="AL35" s="145" t="inlineStr">
        <is>
          <t>Mission and autonomy sensing data</t>
        </is>
      </c>
      <c r="AM35" s="145" t="n"/>
      <c r="AN35" s="145" t="n"/>
      <c r="AO35" s="145" t="n"/>
      <c r="AP35" s="145" t="inlineStr">
        <is>
          <t>Not disclosed</t>
        </is>
      </c>
      <c r="AQ35" s="145" t="n"/>
      <c r="AR35" s="145" t="n"/>
      <c r="AS35" s="145" t="n"/>
      <c r="AT35" s="149" t="n"/>
      <c r="AU35" s="149" t="inlineStr">
        <is>
          <t>Not disclosed</t>
        </is>
      </c>
      <c r="AV35" s="145" t="inlineStr">
        <is>
          <t>Anduril Lattice-oriented autonomy command</t>
        </is>
      </c>
      <c r="AW35" s="149" t="inlineStr">
        <is>
          <t>Not disclosed</t>
        </is>
      </c>
      <c r="AX35" s="145" t="n"/>
      <c r="AY35" s="149" t="n"/>
      <c r="AZ35" s="149" t="n"/>
      <c r="BA35" s="149" t="n"/>
      <c r="BB35" s="149" t="n"/>
      <c r="BC35" s="149" t="n"/>
      <c r="BD35" s="145" t="n"/>
      <c r="BE35" s="145" t="inlineStr">
        <is>
          <t>Not disclosed</t>
        </is>
      </c>
      <c r="BF35" s="145" t="n"/>
      <c r="BG35" s="145" t="inlineStr">
        <is>
          <t>Professional ROV depth class</t>
        </is>
      </c>
      <c r="BH35" s="145" t="inlineStr">
        <is>
          <t>Not disclosed</t>
        </is>
      </c>
      <c r="BI35" s="145" t="inlineStr">
        <is>
          <t>Not disclosed</t>
        </is>
      </c>
      <c r="BJ35" s="145" t="inlineStr">
        <is>
          <t>Not disclosed</t>
        </is>
      </c>
      <c r="BK35" s="145" t="inlineStr">
        <is>
          <t>Not disclosed</t>
        </is>
      </c>
      <c r="BL35" s="145" t="n"/>
      <c r="BM35" s="145" t="n"/>
      <c r="BN35" s="145" t="n"/>
      <c r="BO35" s="149" t="n"/>
      <c r="BP35" s="145" t="inlineStr">
        <is>
          <t>Not disclosed</t>
        </is>
      </c>
      <c r="BQ35" s="149" t="inlineStr">
        <is>
          <t>AUV</t>
        </is>
      </c>
      <c r="BR35" s="149" t="inlineStr">
        <is>
          <t>Not disclosed</t>
        </is>
      </c>
      <c r="BS35" s="149" t="n"/>
      <c r="BT35" s="145" t="n"/>
      <c r="BU35" s="145" t="n"/>
      <c r="BV35" s="149" t="inlineStr">
        <is>
          <t>Extra-large AUVs; mass production focus; Lattice AI</t>
        </is>
      </c>
      <c r="BW35" s="149" t="inlineStr">
        <is>
          <t>Origin &amp; status — China · 2018 | Mission — Depth Professional ROV depth class · Payload Not disclosed | Sensing — 4K camera modules | Buying notes — $1,299 · 12 months limited / contract-dependent · Best fit: 6DOF control; 4K; popular consumer/prosumer</t>
        </is>
      </c>
      <c r="BX35" s="149" t="inlineStr">
        <is>
          <t>as_shipped|FIFISH V6|1299|As shipped</t>
        </is>
      </c>
      <c r="BY35" s="145" t="inlineStr">
        <is>
          <t>fifish_v6|Manufacturer finish|#e2e8f0|0</t>
        </is>
      </c>
      <c r="BZ35" s="145" t="inlineStr"/>
      <c r="CA35" s="149" t="inlineStr">
        <is>
          <t>Add-ons: case; 2 color options; Multi-year extended warranty available</t>
        </is>
      </c>
      <c r="CB35" s="149" t="inlineStr">
        <is>
          <t>12 months limited / contract-dependent</t>
        </is>
      </c>
      <c r="CC35" s="147" t="n">
        <v>12</v>
      </c>
      <c r="CD35" s="149" t="inlineStr">
        <is>
          <t>+3 Year Extended ≈24% of configuration (default in configurator)</t>
        </is>
      </c>
      <c r="CE35" s="145" t="inlineStr">
        <is>
          <t>Enterprise marine robotics norms</t>
        </is>
      </c>
      <c r="CF35" s="145" t="inlineStr">
        <is>
          <t>Estimated</t>
        </is>
      </c>
      <c r="CG35" s="149" t="inlineStr">
        <is>
          <t>Confirm inclusions and sea-trial terms on quote.</t>
        </is>
      </c>
      <c r="CH35" s="145" t="inlineStr">
        <is>
          <t>10%</t>
        </is>
      </c>
      <c r="CI35" s="145" t="inlineStr">
        <is>
          <t>17%</t>
        </is>
      </c>
      <c r="CJ35" s="145" t="inlineStr">
        <is>
          <t>24%</t>
        </is>
      </c>
      <c r="CK3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3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5" s="145" t="inlineStr">
        <is>
          <t>12 months limited / contract-dependent</t>
        </is>
      </c>
    </row>
    <row r="36" ht="31.5" customHeight="1" s="102">
      <c r="A36" s="143" t="inlineStr">
        <is>
          <t>saildrone_explorer</t>
        </is>
      </c>
      <c r="B36" s="160" t="inlineStr">
        <is>
          <t>Website</t>
        </is>
      </c>
      <c r="C36" s="145" t="inlineStr">
        <is>
          <t>Saildrone</t>
        </is>
      </c>
      <c r="D36" s="145" t="inlineStr">
        <is>
          <t>Explorer</t>
        </is>
      </c>
      <c r="E36" s="145" t="inlineStr">
        <is>
          <t>[Saildrone] Explorer (2015)</t>
        </is>
      </c>
      <c r="F36" s="165" t="inlineStr">
        <is>
          <t>water</t>
        </is>
      </c>
      <c r="G36" s="145" t="inlineStr">
        <is>
          <t>USA</t>
        </is>
      </c>
      <c r="H36" s="147" t="n">
        <v>2015</v>
      </c>
      <c r="I36" s="148" t="n">
        <v>500000</v>
      </c>
      <c r="J36" s="145" t="inlineStr">
        <is>
          <t>Explorer-class estimate</t>
        </is>
      </c>
      <c r="K36" s="149" t="inlineStr">
        <is>
          <t>Explorer is Saildrone's marine robot. Metocean and situational cameras; scientific sensor mast; aimed at uSV.</t>
        </is>
      </c>
      <c r="L36" s="101" t="inlineStr">
        <is>
          <t>Explorer is Saildrone's marine robot. Metocean and situational cameras; scientific sensor mast; aimed at uSV.</t>
        </is>
      </c>
      <c r="M36" s="101" t="inlineStr">
        <is>
          <t>Explorer is Saildrone's marine robot. Metocean and situational cameras; scientific sensor mast; aimed at uSV.</t>
        </is>
      </c>
      <c r="N36" s="145" t="n"/>
      <c r="O36" s="145" t="inlineStr">
        <is>
          <t>https://www.saildrone.com</t>
        </is>
      </c>
      <c r="P36" s="145" t="n"/>
      <c r="Q36" s="145" t="n"/>
      <c r="R36" s="145" t="inlineStr">
        <is>
          <t>Not disclosed</t>
        </is>
      </c>
      <c r="S36" s="145" t="n"/>
      <c r="T36" s="149" t="inlineStr">
        <is>
          <t>Not disclosed</t>
        </is>
      </c>
      <c r="U36" s="145" t="n"/>
      <c r="V36" s="145" t="n"/>
      <c r="W36" s="149" t="n"/>
      <c r="X36" s="145" t="inlineStr">
        <is>
          <t>Not disclosed</t>
        </is>
      </c>
      <c r="Y36" s="145" t="n"/>
      <c r="Z36" s="145" t="inlineStr">
        <is>
          <t>Not disclosed</t>
        </is>
      </c>
      <c r="AA36" s="145" t="n"/>
      <c r="AB36" s="145" t="n"/>
      <c r="AC36" s="149" t="inlineStr">
        <is>
          <t>Not disclosed</t>
        </is>
      </c>
      <c r="AD36" s="149" t="n"/>
      <c r="AE36" s="145" t="n"/>
      <c r="AF36" s="145" t="inlineStr">
        <is>
          <t>Not disclosed</t>
        </is>
      </c>
      <c r="AG36" s="149" t="n"/>
      <c r="AH36" s="145" t="n"/>
      <c r="AI36" s="145" t="n"/>
      <c r="AJ36" s="149" t="inlineStr">
        <is>
          <t>Autonomous underwater perception suites (configuration specific)</t>
        </is>
      </c>
      <c r="AK36" s="149" t="n"/>
      <c r="AL36" s="145" t="inlineStr">
        <is>
          <t>Mission and autonomy sensing data</t>
        </is>
      </c>
      <c r="AM36" s="145" t="n"/>
      <c r="AN36" s="145" t="n"/>
      <c r="AO36" s="145" t="n"/>
      <c r="AP36" s="145" t="inlineStr">
        <is>
          <t>Not disclosed</t>
        </is>
      </c>
      <c r="AQ36" s="145" t="n"/>
      <c r="AR36" s="145" t="n"/>
      <c r="AS36" s="145" t="n"/>
      <c r="AT36" s="149" t="n"/>
      <c r="AU36" s="149" t="inlineStr">
        <is>
          <t>Not disclosed</t>
        </is>
      </c>
      <c r="AV36" s="145" t="inlineStr">
        <is>
          <t>Anduril Lattice-oriented autonomy command</t>
        </is>
      </c>
      <c r="AW36" s="149" t="inlineStr">
        <is>
          <t>Not disclosed</t>
        </is>
      </c>
      <c r="AX36" s="145" t="n"/>
      <c r="AY36" s="149" t="n"/>
      <c r="AZ36" s="149" t="n"/>
      <c r="BA36" s="149" t="n"/>
      <c r="BB36" s="149" t="n"/>
      <c r="BC36" s="149" t="n"/>
      <c r="BD36" s="145" t="n"/>
      <c r="BE36" s="145" t="inlineStr">
        <is>
          <t>Not disclosed</t>
        </is>
      </c>
      <c r="BF36" s="145" t="n"/>
      <c r="BG36" s="145" t="inlineStr">
        <is>
          <t>Not disclosed</t>
        </is>
      </c>
      <c r="BH36" s="145" t="inlineStr">
        <is>
          <t>Not disclosed</t>
        </is>
      </c>
      <c r="BI36" s="145" t="inlineStr">
        <is>
          <t>Not disclosed</t>
        </is>
      </c>
      <c r="BJ36" s="145" t="inlineStr">
        <is>
          <t>Not disclosed</t>
        </is>
      </c>
      <c r="BK36" s="145" t="inlineStr">
        <is>
          <t>Not disclosed</t>
        </is>
      </c>
      <c r="BL36" s="145" t="n"/>
      <c r="BM36" s="145" t="n"/>
      <c r="BN36" s="145" t="n"/>
      <c r="BO36" s="149" t="n"/>
      <c r="BP36" s="145" t="inlineStr">
        <is>
          <t>Not disclosed</t>
        </is>
      </c>
      <c r="BQ36" s="149" t="inlineStr">
        <is>
          <t>AUV</t>
        </is>
      </c>
      <c r="BR36" s="149" t="inlineStr">
        <is>
          <t>Not disclosed</t>
        </is>
      </c>
      <c r="BS36" s="149" t="n"/>
      <c r="BT36" s="145" t="n"/>
      <c r="BU36" s="145" t="n"/>
      <c r="BV36" s="149" t="inlineStr">
        <is>
          <t>Extra-large AUVs; mass production focus; Lattice AI</t>
        </is>
      </c>
      <c r="BW36" s="149" t="inlineStr">
        <is>
          <t>Origin &amp; status — USA · 2015 | Mission — Depth Not disclosed · Payload Not disclosed | Sensing — Metocean and situational cameras; scientific sensor mast | Buying notes — $500,000 · 12 months limited / contract-dependent · Best fit: 276 in wind/solar powered; 12+ months endurance; ocean monitoring, METOC</t>
        </is>
      </c>
      <c r="BX36" s="149" t="inlineStr">
        <is>
          <t>as_shipped|Explorer|500000|As shipped</t>
        </is>
      </c>
      <c r="BY36" s="145" t="inlineStr">
        <is>
          <t>explorer|Manufacturer finish|#e2e8f0|0</t>
        </is>
      </c>
      <c r="BZ36" s="145" t="inlineStr"/>
      <c r="CA36" s="149" t="inlineStr">
        <is>
          <t>Add-ons: case; 2 color options; Multi-year extended warranty available</t>
        </is>
      </c>
      <c r="CB36" s="149" t="inlineStr">
        <is>
          <t>12 months limited / contract-dependent</t>
        </is>
      </c>
      <c r="CC36" s="147" t="n">
        <v>12</v>
      </c>
      <c r="CD36" s="149" t="inlineStr">
        <is>
          <t>+3 Year Extended ≈24% of configuration (default in configurator)</t>
        </is>
      </c>
      <c r="CE36" s="145" t="inlineStr">
        <is>
          <t>Enterprise marine robotics norms</t>
        </is>
      </c>
      <c r="CF36" s="145" t="inlineStr">
        <is>
          <t>Estimated</t>
        </is>
      </c>
      <c r="CG36" s="149" t="inlineStr">
        <is>
          <t>Confirm inclusions and sea-trial terms on quote.</t>
        </is>
      </c>
      <c r="CH36" s="145" t="inlineStr">
        <is>
          <t>10%</t>
        </is>
      </c>
      <c r="CI36" s="145" t="inlineStr">
        <is>
          <t>17%</t>
        </is>
      </c>
      <c r="CJ36" s="145" t="inlineStr">
        <is>
          <t>24%</t>
        </is>
      </c>
      <c r="CK36"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36"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6" s="145" t="inlineStr">
        <is>
          <t>12 months limited / contract-dependent</t>
        </is>
      </c>
    </row>
    <row r="37" ht="31.5" customHeight="1" s="102">
      <c r="A37" s="143" t="inlineStr">
        <is>
          <t>oceanalpha_l25_l42_series</t>
        </is>
      </c>
      <c r="B37" s="160" t="inlineStr">
        <is>
          <t>Website</t>
        </is>
      </c>
      <c r="C37" s="145" t="inlineStr">
        <is>
          <t>OceanAlpha</t>
        </is>
      </c>
      <c r="D37" s="145" t="inlineStr">
        <is>
          <t>L25</t>
        </is>
      </c>
      <c r="E37" s="145" t="inlineStr">
        <is>
          <t>[OceanAlpha] L25 (2018)</t>
        </is>
      </c>
      <c r="F37" s="165" t="inlineStr">
        <is>
          <t>water</t>
        </is>
      </c>
      <c r="G37" s="145" t="inlineStr">
        <is>
          <t>USA</t>
        </is>
      </c>
      <c r="H37" s="147" t="n">
        <v>2018</v>
      </c>
      <c r="I37" s="148" t="n">
        <v>180000</v>
      </c>
      <c r="J37" s="145" t="inlineStr">
        <is>
          <t>7.5 m / 2.8 t survey USV class estimate · quote-only OEM</t>
        </is>
      </c>
      <c r="K37" s="149" t="inlineStr">
        <is>
          <t>[OceanAlpha] L25 (2018) is a marine platform from OceanAlpha (China, 2018), positioned for usv.</t>
        </is>
      </c>
      <c r="L37" s="101" t="inlineStr">
        <is>
          <t>[OceanAlpha] L25 (2018) is a marine platform from OceanAlpha (China, 2018), positioned for usv.</t>
        </is>
      </c>
      <c r="M37" s="101" t="inlineStr">
        <is>
          <t>L25 is OceanAlpha's marine robot, introduced around 2018 in China. [OceanAlpha] L25 (2018) is a marine platform from OceanAlpha (China, 2018), positioned for usv.</t>
        </is>
      </c>
      <c r="N37" s="145" t="n"/>
      <c r="O37" s="145" t="inlineStr">
        <is>
          <t>https://www.oceanalpha.com</t>
        </is>
      </c>
      <c r="P37" s="145" t="n"/>
      <c r="Q37" s="145" t="n"/>
      <c r="R37" s="145" t="inlineStr">
        <is>
          <t>Not disclosed</t>
        </is>
      </c>
      <c r="S37" s="145" t="n"/>
      <c r="T37" s="149" t="inlineStr">
        <is>
          <t>Not disclosed</t>
        </is>
      </c>
      <c r="U37" s="145" t="n"/>
      <c r="V37" s="145" t="n"/>
      <c r="W37" s="149" t="n"/>
      <c r="X37" s="145" t="inlineStr">
        <is>
          <t>Not disclosed</t>
        </is>
      </c>
      <c r="Y37" s="145" t="n"/>
      <c r="Z37" s="145" t="inlineStr">
        <is>
          <t>Not disclosed</t>
        </is>
      </c>
      <c r="AA37" s="145" t="n"/>
      <c r="AB37" s="145" t="n"/>
      <c r="AC37" s="149" t="inlineStr">
        <is>
          <t>Not disclosed</t>
        </is>
      </c>
      <c r="AD37" s="149" t="n"/>
      <c r="AE37" s="145" t="n"/>
      <c r="AF37" s="145" t="inlineStr">
        <is>
          <t>Not disclosed</t>
        </is>
      </c>
      <c r="AG37" s="149" t="n"/>
      <c r="AH37" s="145" t="n"/>
      <c r="AI37" s="145" t="n"/>
      <c r="AJ37" s="149" t="inlineStr">
        <is>
          <t>Autonomous underwater perception suites (configuration specific)</t>
        </is>
      </c>
      <c r="AK37" s="149" t="n"/>
      <c r="AL37" s="145" t="inlineStr">
        <is>
          <t>Mission and autonomy sensing data</t>
        </is>
      </c>
      <c r="AM37" s="145" t="n"/>
      <c r="AN37" s="145" t="n"/>
      <c r="AO37" s="145" t="n"/>
      <c r="AP37" s="145" t="inlineStr">
        <is>
          <t>Not disclosed</t>
        </is>
      </c>
      <c r="AQ37" s="145" t="n"/>
      <c r="AR37" s="145" t="n"/>
      <c r="AS37" s="145" t="n"/>
      <c r="AT37" s="149" t="n"/>
      <c r="AU37" s="149" t="inlineStr">
        <is>
          <t>Not disclosed</t>
        </is>
      </c>
      <c r="AV37" s="145" t="inlineStr">
        <is>
          <t>Anduril Lattice-oriented autonomy command</t>
        </is>
      </c>
      <c r="AW37" s="149" t="inlineStr">
        <is>
          <t>Not disclosed</t>
        </is>
      </c>
      <c r="AX37" s="145" t="n"/>
      <c r="AY37" s="149" t="n"/>
      <c r="AZ37" s="149" t="n"/>
      <c r="BA37" s="149" t="n"/>
      <c r="BB37" s="149" t="n"/>
      <c r="BC37" s="149" t="n"/>
      <c r="BD37" s="145" t="n"/>
      <c r="BE37" s="145" t="inlineStr">
        <is>
          <t>Not disclosed</t>
        </is>
      </c>
      <c r="BF37" s="145" t="n"/>
      <c r="BG37" s="145" t="inlineStr">
        <is>
          <t>Not disclosed</t>
        </is>
      </c>
      <c r="BH37" s="145" t="inlineStr">
        <is>
          <t>Not disclosed</t>
        </is>
      </c>
      <c r="BI37" s="145" t="inlineStr">
        <is>
          <t>Not disclosed</t>
        </is>
      </c>
      <c r="BJ37" s="145" t="inlineStr">
        <is>
          <t>Not disclosed</t>
        </is>
      </c>
      <c r="BK37" s="145" t="inlineStr">
        <is>
          <t>Not disclosed</t>
        </is>
      </c>
      <c r="BL37" s="145" t="n"/>
      <c r="BM37" s="145" t="n"/>
      <c r="BN37" s="145" t="n"/>
      <c r="BO37" s="149" t="n"/>
      <c r="BP37" s="145" t="inlineStr">
        <is>
          <t>Not disclosed</t>
        </is>
      </c>
      <c r="BQ37" s="149" t="inlineStr">
        <is>
          <t>AUV</t>
        </is>
      </c>
      <c r="BR37" s="149" t="inlineStr">
        <is>
          <t>Not disclosed</t>
        </is>
      </c>
      <c r="BS37" s="149" t="n"/>
      <c r="BT37" s="145" t="n"/>
      <c r="BU37" s="145" t="n"/>
      <c r="BV37" s="149" t="inlineStr">
        <is>
          <t>Extra-large AUVs; mass production focus; Lattice AI</t>
        </is>
      </c>
      <c r="BW37" s="149" t="inlineStr">
        <is>
          <t>Origin &amp; status — China · 2018 | Mission — Depth Not disclosed · Payload Not disclosed | Sensing — Surface/USV cameras and optional payload sensors | Buying notes — Contact manufacturer (mid-size survey ~$100k–$500k+ est.) · 12 months limited / contract-dependent · Best fit: Hydrographic survey; hybrid propulsion; L42 8+ days…</t>
        </is>
      </c>
      <c r="BX37" s="149" t="inlineStr">
        <is>
          <t>as_shipped|L25|180000|As shipped</t>
        </is>
      </c>
      <c r="BY37" s="145" t="inlineStr">
        <is>
          <t>l25|Manufacturer finish|#e2e8f0|0</t>
        </is>
      </c>
      <c r="BZ37" s="145" t="inlineStr"/>
      <c r="CA37" s="149" t="inlineStr">
        <is>
          <t>Add-ons: case; 2 color options; Multi-year extended warranty available</t>
        </is>
      </c>
      <c r="CB37" s="149" t="inlineStr">
        <is>
          <t>12 months limited / contract-dependent</t>
        </is>
      </c>
      <c r="CC37" s="147" t="n">
        <v>12</v>
      </c>
      <c r="CD37" s="149" t="inlineStr">
        <is>
          <t>+3 Year Extended ≈24% of configuration (default in configurator)</t>
        </is>
      </c>
      <c r="CE37" s="145" t="inlineStr">
        <is>
          <t>Enterprise marine robotics norms</t>
        </is>
      </c>
      <c r="CF37" s="145" t="inlineStr">
        <is>
          <t>Estimated</t>
        </is>
      </c>
      <c r="CG37" s="149" t="inlineStr">
        <is>
          <t>Confirm inclusions and sea-trial terms on quote.</t>
        </is>
      </c>
      <c r="CH37" s="145" t="inlineStr">
        <is>
          <t>10%</t>
        </is>
      </c>
      <c r="CI37" s="145" t="inlineStr">
        <is>
          <t>17%</t>
        </is>
      </c>
      <c r="CJ37" s="145" t="inlineStr">
        <is>
          <t>24%</t>
        </is>
      </c>
      <c r="CK37"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37"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7" s="145" t="inlineStr">
        <is>
          <t>12 months limited / contract-dependent</t>
        </is>
      </c>
    </row>
    <row r="38" ht="31.5" customHeight="1" s="102">
      <c r="A38" s="143" t="inlineStr">
        <is>
          <t>oceanalpha_l30_m75</t>
        </is>
      </c>
      <c r="B38" s="160" t="inlineStr">
        <is>
          <t>Website</t>
        </is>
      </c>
      <c r="C38" s="145" t="inlineStr">
        <is>
          <t>OceanAlpha</t>
        </is>
      </c>
      <c r="D38" s="145" t="inlineStr">
        <is>
          <t>L30</t>
        </is>
      </c>
      <c r="E38" s="145" t="inlineStr">
        <is>
          <t>[OceanAlpha] L30 (2018)</t>
        </is>
      </c>
      <c r="F38" s="165" t="inlineStr">
        <is>
          <t>water</t>
        </is>
      </c>
      <c r="G38" s="145" t="inlineStr">
        <is>
          <t>USA</t>
        </is>
      </c>
      <c r="H38" s="147" t="n">
        <v>2018</v>
      </c>
      <c r="I38" s="148" t="n">
        <v>280000</v>
      </c>
      <c r="J38" s="145" t="inlineStr">
        <is>
          <t>7.5 m / 4.5 t diesel patrol USV class estimate · quote-only OEM</t>
        </is>
      </c>
      <c r="K38" s="149" t="inlineStr">
        <is>
          <t>[OceanAlpha] L30 (2018) is a marine platform from OceanAlpha (China, 2018), positioned for usv.</t>
        </is>
      </c>
      <c r="L38" s="101" t="inlineStr">
        <is>
          <t>[OceanAlpha] L30 (2018) is a marine platform from OceanAlpha (China, 2018), positioned for usv.</t>
        </is>
      </c>
      <c r="M38" s="101" t="inlineStr">
        <is>
          <t>L30 is OceanAlpha's marine robot, introduced around 2018 in China. [OceanAlpha] L30 (2018) is a marine platform from OceanAlpha (China, 2018), positioned for usv.</t>
        </is>
      </c>
      <c r="N38" s="145" t="n"/>
      <c r="O38" s="145" t="inlineStr">
        <is>
          <t>https://www.oceanalpha.com</t>
        </is>
      </c>
      <c r="P38" s="145" t="n"/>
      <c r="Q38" s="145" t="n"/>
      <c r="R38" s="145" t="inlineStr">
        <is>
          <t>Not disclosed</t>
        </is>
      </c>
      <c r="S38" s="145" t="n"/>
      <c r="T38" s="149" t="inlineStr">
        <is>
          <t>Not disclosed</t>
        </is>
      </c>
      <c r="U38" s="145" t="n"/>
      <c r="V38" s="145" t="n"/>
      <c r="W38" s="149" t="n"/>
      <c r="X38" s="145" t="inlineStr">
        <is>
          <t>Not disclosed</t>
        </is>
      </c>
      <c r="Y38" s="145" t="n"/>
      <c r="Z38" s="145" t="inlineStr">
        <is>
          <t>Not disclosed</t>
        </is>
      </c>
      <c r="AA38" s="145" t="n"/>
      <c r="AB38" s="145" t="n"/>
      <c r="AC38" s="149" t="inlineStr">
        <is>
          <t>Not disclosed</t>
        </is>
      </c>
      <c r="AD38" s="149" t="n"/>
      <c r="AE38" s="145" t="n"/>
      <c r="AF38" s="145" t="inlineStr">
        <is>
          <t>Not disclosed</t>
        </is>
      </c>
      <c r="AG38" s="149" t="n"/>
      <c r="AH38" s="145" t="n"/>
      <c r="AI38" s="145" t="n"/>
      <c r="AJ38" s="149" t="inlineStr">
        <is>
          <t>Autonomous underwater perception suites (configuration specific)</t>
        </is>
      </c>
      <c r="AK38" s="149" t="n"/>
      <c r="AL38" s="145" t="inlineStr">
        <is>
          <t>Mission and autonomy sensing data</t>
        </is>
      </c>
      <c r="AM38" s="145" t="n"/>
      <c r="AN38" s="145" t="n"/>
      <c r="AO38" s="145" t="n"/>
      <c r="AP38" s="145" t="inlineStr">
        <is>
          <t>Not disclosed</t>
        </is>
      </c>
      <c r="AQ38" s="145" t="n"/>
      <c r="AR38" s="145" t="n"/>
      <c r="AS38" s="145" t="n"/>
      <c r="AT38" s="149" t="n"/>
      <c r="AU38" s="149" t="inlineStr">
        <is>
          <t>Not disclosed</t>
        </is>
      </c>
      <c r="AV38" s="145" t="inlineStr">
        <is>
          <t>Anduril Lattice-oriented autonomy command</t>
        </is>
      </c>
      <c r="AW38" s="149" t="inlineStr">
        <is>
          <t>Not disclosed</t>
        </is>
      </c>
      <c r="AX38" s="145" t="n"/>
      <c r="AY38" s="149" t="n"/>
      <c r="AZ38" s="149" t="n"/>
      <c r="BA38" s="149" t="n"/>
      <c r="BB38" s="149" t="n"/>
      <c r="BC38" s="149" t="n"/>
      <c r="BD38" s="145" t="n"/>
      <c r="BE38" s="145" t="inlineStr">
        <is>
          <t>Not disclosed</t>
        </is>
      </c>
      <c r="BF38" s="145" t="n"/>
      <c r="BG38" s="145" t="inlineStr">
        <is>
          <t>Not disclosed</t>
        </is>
      </c>
      <c r="BH38" s="145" t="inlineStr">
        <is>
          <t>Not disclosed</t>
        </is>
      </c>
      <c r="BI38" s="145" t="inlineStr">
        <is>
          <t>Not disclosed</t>
        </is>
      </c>
      <c r="BJ38" s="145" t="inlineStr">
        <is>
          <t>Not disclosed</t>
        </is>
      </c>
      <c r="BK38" s="145" t="inlineStr">
        <is>
          <t>Not disclosed</t>
        </is>
      </c>
      <c r="BL38" s="145" t="n"/>
      <c r="BM38" s="145" t="n"/>
      <c r="BN38" s="145" t="n"/>
      <c r="BO38" s="149" t="n"/>
      <c r="BP38" s="145" t="inlineStr">
        <is>
          <t>Not disclosed</t>
        </is>
      </c>
      <c r="BQ38" s="149" t="inlineStr">
        <is>
          <t>AUV</t>
        </is>
      </c>
      <c r="BR38" s="149" t="inlineStr">
        <is>
          <t>Not disclosed</t>
        </is>
      </c>
      <c r="BS38" s="149" t="n"/>
      <c r="BT38" s="145" t="n"/>
      <c r="BU38" s="145" t="n"/>
      <c r="BV38" s="149" t="inlineStr">
        <is>
          <t>Extra-large AUVs; mass production focus; Lattice AI</t>
        </is>
      </c>
      <c r="BW38" s="149" t="inlineStr">
        <is>
          <t>Origin &amp; status — China · 2018 | Mission — Depth Not disclosed · Payload Not disclosed | Sensing — USV navigation and payload cameras | Buying notes — Contact (high-speed patrol models) · 12 months limited / contract-dependent · Best fit: High-speed maritime safety/patrol USVs up to 36kn</t>
        </is>
      </c>
      <c r="BX38" s="149" t="inlineStr">
        <is>
          <t>as_shipped|L30|280000|As shipped</t>
        </is>
      </c>
      <c r="BY38" s="145" t="inlineStr">
        <is>
          <t>l30|Manufacturer finish|#e2e8f0|0</t>
        </is>
      </c>
      <c r="BZ38" s="145" t="inlineStr"/>
      <c r="CA38" s="149" t="inlineStr">
        <is>
          <t>Add-ons: case; 2 color options; Multi-year extended warranty available</t>
        </is>
      </c>
      <c r="CB38" s="149" t="inlineStr">
        <is>
          <t>12 months limited / contract-dependent</t>
        </is>
      </c>
      <c r="CC38" s="147" t="n">
        <v>12</v>
      </c>
      <c r="CD38" s="149" t="inlineStr">
        <is>
          <t>+3 Year Extended ≈24% of configuration (default in configurator)</t>
        </is>
      </c>
      <c r="CE38" s="145" t="inlineStr">
        <is>
          <t>Enterprise marine robotics norms</t>
        </is>
      </c>
      <c r="CF38" s="145" t="inlineStr">
        <is>
          <t>Estimated</t>
        </is>
      </c>
      <c r="CG38" s="149" t="inlineStr">
        <is>
          <t>Confirm inclusions and sea-trial terms on quote.</t>
        </is>
      </c>
      <c r="CH38" s="145" t="inlineStr">
        <is>
          <t>10%</t>
        </is>
      </c>
      <c r="CI38" s="145" t="inlineStr">
        <is>
          <t>17%</t>
        </is>
      </c>
      <c r="CJ38" s="145" t="inlineStr">
        <is>
          <t>24%</t>
        </is>
      </c>
      <c r="CK38"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38"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8" s="145" t="inlineStr">
        <is>
          <t>12 months limited / contract-dependent</t>
        </is>
      </c>
    </row>
    <row r="39" ht="31.5" customHeight="1" s="102">
      <c r="A39" s="143" t="inlineStr">
        <is>
          <t>oceanalpha_m40p_sl_series</t>
        </is>
      </c>
      <c r="B39" s="160" t="inlineStr">
        <is>
          <t>Website</t>
        </is>
      </c>
      <c r="C39" s="145" t="inlineStr">
        <is>
          <t>OceanAlpha</t>
        </is>
      </c>
      <c r="D39" s="145" t="inlineStr">
        <is>
          <t>M40P</t>
        </is>
      </c>
      <c r="E39" s="145" t="inlineStr">
        <is>
          <t>[OceanAlpha] M40P (2015)</t>
        </is>
      </c>
      <c r="F39" s="165" t="inlineStr">
        <is>
          <t>water</t>
        </is>
      </c>
      <c r="G39" s="145" t="inlineStr">
        <is>
          <t>USA</t>
        </is>
      </c>
      <c r="H39" s="147" t="n">
        <v>2015</v>
      </c>
      <c r="I39" s="148" t="n">
        <v>95000</v>
      </c>
      <c r="J39" s="145" t="inlineStr">
        <is>
          <t>4.5 m / 1.4 t hybrid survey USV class estimate · quote-only OEM</t>
        </is>
      </c>
      <c r="K39" s="149" t="inlineStr">
        <is>
          <t>[OceanAlpha] M40P (2015) is a marine platform from OceanAlpha (China, 2015), positioned for usv.</t>
        </is>
      </c>
      <c r="L39" s="101" t="inlineStr">
        <is>
          <t>[OceanAlpha] M40P (2015) is a marine platform from OceanAlpha (China, 2015), positioned for usv.</t>
        </is>
      </c>
      <c r="M39" s="101" t="inlineStr">
        <is>
          <t>M40P is OceanAlpha's marine robot, introduced around 2015 in China. [OceanAlpha] M40P (2015) is a marine platform from OceanAlpha (China, 2015), positioned for usv.</t>
        </is>
      </c>
      <c r="N39" s="145" t="n"/>
      <c r="O39" s="145" t="inlineStr">
        <is>
          <t>https://www.oceanalpha.com</t>
        </is>
      </c>
      <c r="P39" s="145" t="n"/>
      <c r="Q39" s="145" t="n"/>
      <c r="R39" s="145" t="inlineStr">
        <is>
          <t>Not disclosed</t>
        </is>
      </c>
      <c r="S39" s="145" t="n"/>
      <c r="T39" s="149" t="inlineStr">
        <is>
          <t>Not disclosed</t>
        </is>
      </c>
      <c r="U39" s="145" t="n"/>
      <c r="V39" s="145" t="n"/>
      <c r="W39" s="149" t="n"/>
      <c r="X39" s="145" t="inlineStr">
        <is>
          <t>Not disclosed</t>
        </is>
      </c>
      <c r="Y39" s="145" t="n"/>
      <c r="Z39" s="145" t="inlineStr">
        <is>
          <t>Not disclosed</t>
        </is>
      </c>
      <c r="AA39" s="145" t="n"/>
      <c r="AB39" s="145" t="n"/>
      <c r="AC39" s="149" t="inlineStr">
        <is>
          <t>Not disclosed</t>
        </is>
      </c>
      <c r="AD39" s="149" t="n"/>
      <c r="AE39" s="145" t="n"/>
      <c r="AF39" s="145" t="inlineStr">
        <is>
          <t>Not disclosed</t>
        </is>
      </c>
      <c r="AG39" s="149" t="n"/>
      <c r="AH39" s="145" t="n"/>
      <c r="AI39" s="145" t="n"/>
      <c r="AJ39" s="149" t="inlineStr">
        <is>
          <t>Autonomous underwater perception suites (configuration specific)</t>
        </is>
      </c>
      <c r="AK39" s="149" t="n"/>
      <c r="AL39" s="145" t="inlineStr">
        <is>
          <t>Mission and autonomy sensing data</t>
        </is>
      </c>
      <c r="AM39" s="145" t="n"/>
      <c r="AN39" s="145" t="n"/>
      <c r="AO39" s="145" t="n"/>
      <c r="AP39" s="145" t="inlineStr">
        <is>
          <t>Not disclosed</t>
        </is>
      </c>
      <c r="AQ39" s="145" t="n"/>
      <c r="AR39" s="145" t="n"/>
      <c r="AS39" s="145" t="n"/>
      <c r="AT39" s="149" t="n"/>
      <c r="AU39" s="149" t="inlineStr">
        <is>
          <t>Not disclosed</t>
        </is>
      </c>
      <c r="AV39" s="145" t="inlineStr">
        <is>
          <t>Anduril Lattice-oriented autonomy command</t>
        </is>
      </c>
      <c r="AW39" s="149" t="inlineStr">
        <is>
          <t>Not disclosed</t>
        </is>
      </c>
      <c r="AX39" s="145" t="n"/>
      <c r="AY39" s="149" t="n"/>
      <c r="AZ39" s="149" t="n"/>
      <c r="BA39" s="149" t="n"/>
      <c r="BB39" s="149" t="n"/>
      <c r="BC39" s="149" t="n"/>
      <c r="BD39" s="145" t="n"/>
      <c r="BE39" s="145" t="inlineStr">
        <is>
          <t>Not disclosed</t>
        </is>
      </c>
      <c r="BF39" s="145" t="n"/>
      <c r="BG39" s="145" t="inlineStr">
        <is>
          <t>Not disclosed</t>
        </is>
      </c>
      <c r="BH39" s="145" t="inlineStr">
        <is>
          <t>Not disclosed</t>
        </is>
      </c>
      <c r="BI39" s="145" t="inlineStr">
        <is>
          <t>Not disclosed</t>
        </is>
      </c>
      <c r="BJ39" s="145" t="inlineStr">
        <is>
          <t>Not disclosed</t>
        </is>
      </c>
      <c r="BK39" s="145" t="inlineStr">
        <is>
          <t>Not disclosed</t>
        </is>
      </c>
      <c r="BL39" s="145" t="n"/>
      <c r="BM39" s="145" t="n"/>
      <c r="BN39" s="145" t="n"/>
      <c r="BO39" s="149" t="n"/>
      <c r="BP39" s="145" t="inlineStr">
        <is>
          <t>Not disclosed</t>
        </is>
      </c>
      <c r="BQ39" s="149" t="inlineStr">
        <is>
          <t>AUV</t>
        </is>
      </c>
      <c r="BR39" s="149" t="inlineStr">
        <is>
          <t>Not disclosed</t>
        </is>
      </c>
      <c r="BS39" s="149" t="n"/>
      <c r="BT39" s="145" t="n"/>
      <c r="BU39" s="145" t="n"/>
      <c r="BV39" s="149" t="inlineStr">
        <is>
          <t>Extra-large AUVs; mass production focus; Lattice AI</t>
        </is>
      </c>
      <c r="BW39" s="149" t="inlineStr">
        <is>
          <t>Origin &amp; status — China · 2015 | Mission — Depth Not disclosed · Payload Not disclosed | Sensing — Survey USV sensor suites | Buying notes — Small models from ~$20k–$90k · 12 months limited / contract-dependent · Best fit: Compact inland/coastal survey; water quality, bathymetry</t>
        </is>
      </c>
      <c r="BX39" s="149" t="inlineStr">
        <is>
          <t>as_shipped|M40P|95000|As shipped</t>
        </is>
      </c>
      <c r="BY39" s="145" t="inlineStr">
        <is>
          <t>m40p|Manufacturer finish|#e2e8f0|0</t>
        </is>
      </c>
      <c r="BZ39" s="145" t="inlineStr"/>
      <c r="CA39" s="149" t="inlineStr">
        <is>
          <t>Add-ons: case; 2 color options; Multi-year extended warranty available</t>
        </is>
      </c>
      <c r="CB39" s="149" t="inlineStr">
        <is>
          <t>12 months limited / contract-dependent</t>
        </is>
      </c>
      <c r="CC39" s="147" t="n">
        <v>12</v>
      </c>
      <c r="CD39" s="149" t="inlineStr">
        <is>
          <t>+3 Year Extended ≈24% of configuration (default in configurator)</t>
        </is>
      </c>
      <c r="CE39" s="145" t="inlineStr">
        <is>
          <t>Enterprise marine robotics norms</t>
        </is>
      </c>
      <c r="CF39" s="145" t="inlineStr">
        <is>
          <t>Estimated</t>
        </is>
      </c>
      <c r="CG39" s="149" t="inlineStr">
        <is>
          <t>Confirm inclusions and sea-trial terms on quote.</t>
        </is>
      </c>
      <c r="CH39" s="145" t="inlineStr">
        <is>
          <t>10%</t>
        </is>
      </c>
      <c r="CI39" s="145" t="inlineStr">
        <is>
          <t>17%</t>
        </is>
      </c>
      <c r="CJ39" s="145" t="inlineStr">
        <is>
          <t>24%</t>
        </is>
      </c>
      <c r="CK3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39"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39" s="145" t="inlineStr">
        <is>
          <t>12 months limited / contract-dependent</t>
        </is>
      </c>
    </row>
    <row r="40" ht="31.5" customHeight="1" s="102">
      <c r="A40" s="143" t="inlineStr">
        <is>
          <t>kongsberg_maritime_hugin_edge_other_vari</t>
        </is>
      </c>
      <c r="B40" s="160" t="inlineStr">
        <is>
          <t>Website</t>
        </is>
      </c>
      <c r="C40" s="145" t="inlineStr">
        <is>
          <t>Kongsberg Maritime</t>
        </is>
      </c>
      <c r="D40" s="145" t="inlineStr">
        <is>
          <t>HUGIN Edge</t>
        </is>
      </c>
      <c r="E40" s="145" t="inlineStr">
        <is>
          <t>[Kongsberg] HUGIN Edge (2020)</t>
        </is>
      </c>
      <c r="F40" s="165" t="inlineStr">
        <is>
          <t>water</t>
        </is>
      </c>
      <c r="G40" s="145" t="inlineStr">
        <is>
          <t>USA</t>
        </is>
      </c>
      <c r="H40" s="147" t="n">
        <v>2020</v>
      </c>
      <c r="I40" s="148" t="n">
        <v>1800000</v>
      </c>
      <c r="J40" s="145" t="inlineStr">
        <is>
          <t>Compact HUGIN-class estimate</t>
        </is>
      </c>
      <c r="K40" s="149" t="inlineStr">
        <is>
          <t>HUGIN Edge is Kongsberg Maritime's marine robot. Synthetic aperture sonar, multibeam, cameras on survey configs; aimed at aUV.</t>
        </is>
      </c>
      <c r="L40" s="101" t="inlineStr">
        <is>
          <t>HUGIN Edge is Kongsberg Maritime's marine robot. Synthetic aperture sonar, multibeam, cameras on survey configs; aimed at aUV.</t>
        </is>
      </c>
      <c r="M40" s="101" t="inlineStr">
        <is>
          <t>HUGIN Edge is Kongsberg Maritime's marine robot. Synthetic aperture sonar, multibeam, cameras on survey configs; aimed at aUV.</t>
        </is>
      </c>
      <c r="N40" s="145" t="n"/>
      <c r="O40" s="145" t="inlineStr">
        <is>
          <t>https://www.kongsberg.com/maritime</t>
        </is>
      </c>
      <c r="P40" s="145" t="n"/>
      <c r="Q40" s="145" t="n"/>
      <c r="R40" s="145" t="inlineStr">
        <is>
          <t>Not disclosed</t>
        </is>
      </c>
      <c r="S40" s="145" t="n"/>
      <c r="T40" s="149" t="inlineStr">
        <is>
          <t>Not disclosed</t>
        </is>
      </c>
      <c r="U40" s="145" t="n"/>
      <c r="V40" s="145" t="n"/>
      <c r="W40" s="149" t="n"/>
      <c r="X40" s="145" t="inlineStr">
        <is>
          <t>Not disclosed</t>
        </is>
      </c>
      <c r="Y40" s="145" t="n"/>
      <c r="Z40" s="145" t="inlineStr">
        <is>
          <t>Not disclosed</t>
        </is>
      </c>
      <c r="AA40" s="145" t="n"/>
      <c r="AB40" s="145" t="n"/>
      <c r="AC40" s="149" t="inlineStr">
        <is>
          <t>Not disclosed</t>
        </is>
      </c>
      <c r="AD40" s="149" t="n"/>
      <c r="AE40" s="145" t="n"/>
      <c r="AF40" s="145" t="inlineStr">
        <is>
          <t>Not disclosed</t>
        </is>
      </c>
      <c r="AG40" s="149" t="n"/>
      <c r="AH40" s="145" t="n"/>
      <c r="AI40" s="145" t="n"/>
      <c r="AJ40" s="149" t="inlineStr">
        <is>
          <t>Autonomous underwater perception suites (configuration specific)</t>
        </is>
      </c>
      <c r="AK40" s="149" t="n"/>
      <c r="AL40" s="145" t="inlineStr">
        <is>
          <t>Mission and autonomy sensing data</t>
        </is>
      </c>
      <c r="AM40" s="145" t="n"/>
      <c r="AN40" s="145" t="n"/>
      <c r="AO40" s="145" t="n"/>
      <c r="AP40" s="145" t="inlineStr">
        <is>
          <t>Not disclosed</t>
        </is>
      </c>
      <c r="AQ40" s="145" t="n"/>
      <c r="AR40" s="145" t="n"/>
      <c r="AS40" s="145" t="n"/>
      <c r="AT40" s="149" t="n"/>
      <c r="AU40" s="149" t="inlineStr">
        <is>
          <t>Not disclosed</t>
        </is>
      </c>
      <c r="AV40" s="145" t="inlineStr">
        <is>
          <t>Anduril Lattice-oriented autonomy command</t>
        </is>
      </c>
      <c r="AW40" s="149" t="inlineStr">
        <is>
          <t>Not disclosed</t>
        </is>
      </c>
      <c r="AX40" s="145" t="n"/>
      <c r="AY40" s="149" t="n"/>
      <c r="AZ40" s="149" t="n"/>
      <c r="BA40" s="149" t="n"/>
      <c r="BB40" s="149" t="n"/>
      <c r="BC40" s="149" t="n"/>
      <c r="BD40" s="145" t="n"/>
      <c r="BE40" s="145" t="inlineStr">
        <is>
          <t>Not disclosed</t>
        </is>
      </c>
      <c r="BF40" s="145" t="n"/>
      <c r="BG40" s="145" t="inlineStr">
        <is>
          <t>Not disclosed</t>
        </is>
      </c>
      <c r="BH40" s="145" t="inlineStr">
        <is>
          <t>Not disclosed</t>
        </is>
      </c>
      <c r="BI40" s="145" t="inlineStr">
        <is>
          <t>Not disclosed</t>
        </is>
      </c>
      <c r="BJ40" s="145" t="inlineStr">
        <is>
          <t>Not disclosed</t>
        </is>
      </c>
      <c r="BK40" s="145" t="inlineStr">
        <is>
          <t>Not disclosed</t>
        </is>
      </c>
      <c r="BL40" s="145" t="n"/>
      <c r="BM40" s="145" t="n"/>
      <c r="BN40" s="145" t="n"/>
      <c r="BO40" s="149" t="n"/>
      <c r="BP40" s="145" t="inlineStr">
        <is>
          <t>Not disclosed</t>
        </is>
      </c>
      <c r="BQ40" s="149" t="inlineStr">
        <is>
          <t>AUV</t>
        </is>
      </c>
      <c r="BR40" s="149" t="inlineStr">
        <is>
          <t>Not disclosed</t>
        </is>
      </c>
      <c r="BS40" s="149" t="n"/>
      <c r="BT40" s="145" t="n"/>
      <c r="BU40" s="145" t="n"/>
      <c r="BV40" s="149" t="inlineStr">
        <is>
          <t>Extra-large AUVs; mass production focus; Lattice AI</t>
        </is>
      </c>
      <c r="BW40" s="149" t="inlineStr">
        <is>
          <t>Origin &amp; status — Norway · 2020 | Mission — Depth Not disclosed · Payload Not disclosed | Sensing — Synthetic aperture sonar, multibeam, cameras on survey configs | Buying notes — Contact / multi-million · 12 months limited / contract-dependent · Best fit: Compact / specialized configurations</t>
        </is>
      </c>
      <c r="BX40" s="149" t="inlineStr">
        <is>
          <t>as_shipped|HUGIN Edge|1800000|As shipped</t>
        </is>
      </c>
      <c r="BY40" s="145" t="inlineStr">
        <is>
          <t>hugin_edge|Manufacturer finish|#e2e8f0|0</t>
        </is>
      </c>
      <c r="BZ40" s="145" t="inlineStr"/>
      <c r="CA40" s="149" t="inlineStr">
        <is>
          <t>Add-ons: case; 2 color options; Multi-year extended warranty available</t>
        </is>
      </c>
      <c r="CB40" s="149" t="inlineStr">
        <is>
          <t>12 months limited / contract-dependent</t>
        </is>
      </c>
      <c r="CC40" s="147" t="n">
        <v>12</v>
      </c>
      <c r="CD40" s="149" t="inlineStr">
        <is>
          <t>+3 Year Extended ≈24% of configuration (default in configurator)</t>
        </is>
      </c>
      <c r="CE40" s="145" t="inlineStr">
        <is>
          <t>Enterprise marine robotics norms</t>
        </is>
      </c>
      <c r="CF40" s="145" t="inlineStr">
        <is>
          <t>Estimated</t>
        </is>
      </c>
      <c r="CG40" s="149" t="inlineStr">
        <is>
          <t>Confirm inclusions and sea-trial terms on quote.</t>
        </is>
      </c>
      <c r="CH40" s="145" t="inlineStr">
        <is>
          <t>10%</t>
        </is>
      </c>
      <c r="CI40" s="145" t="inlineStr">
        <is>
          <t>17%</t>
        </is>
      </c>
      <c r="CJ40" s="145" t="inlineStr">
        <is>
          <t>24%</t>
        </is>
      </c>
      <c r="CK40"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40"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40" s="145" t="inlineStr">
        <is>
          <t>12 months limited / contract-dependent</t>
        </is>
      </c>
    </row>
    <row r="41" ht="31.5" customHeight="1" s="102">
      <c r="A41" s="143" t="inlineStr">
        <is>
          <t>teledyne_marine_gavia_searaptor_auv</t>
        </is>
      </c>
      <c r="B41" s="160" t="inlineStr">
        <is>
          <t>Website</t>
        </is>
      </c>
      <c r="C41" s="145" t="inlineStr">
        <is>
          <t>Teledyne Marine</t>
        </is>
      </c>
      <c r="D41" s="145" t="inlineStr">
        <is>
          <t>Gavia</t>
        </is>
      </c>
      <c r="E41" s="145" t="inlineStr">
        <is>
          <t>[Teledyne Marine] Gavia (2000)</t>
        </is>
      </c>
      <c r="F41" s="165" t="inlineStr">
        <is>
          <t>water</t>
        </is>
      </c>
      <c r="G41" s="145" t="inlineStr">
        <is>
          <t>USA</t>
        </is>
      </c>
      <c r="H41" s="147" t="n">
        <v>2000</v>
      </c>
      <c r="I41" s="148" t="n">
        <v>450000</v>
      </c>
      <c r="J41" s="145" t="inlineStr">
        <is>
          <t>Gavia survey AUV class estimate · quote-only OEM</t>
        </is>
      </c>
      <c r="K41" s="149" t="inlineStr">
        <is>
          <t>[Teledyne Marine] Gavia (2000) is a marine platform from Teledyne Marine (USA, 2000), positioned for auv.</t>
        </is>
      </c>
      <c r="L41" s="101" t="inlineStr">
        <is>
          <t>[Teledyne Marine] Gavia (2000) is a marine platform from Teledyne Marine (USA, 2000), positioned for auv.</t>
        </is>
      </c>
      <c r="M41" s="101" t="inlineStr">
        <is>
          <t>Gavia is Teledyne Marine's marine robot, introduced around 2000 in USA. [Teledyne Marine] Gavia (2000) is a marine platform from Teledyne Marine (USA, 2000), positioned for auv.</t>
        </is>
      </c>
      <c r="N41" s="145" t="n"/>
      <c r="O41" s="145" t="inlineStr">
        <is>
          <t>https://www.teledynemarine.com</t>
        </is>
      </c>
      <c r="P41" s="145" t="n"/>
      <c r="Q41" s="145" t="n"/>
      <c r="R41" s="145" t="inlineStr">
        <is>
          <t>Not disclosed</t>
        </is>
      </c>
      <c r="S41" s="145" t="n"/>
      <c r="T41" s="149" t="inlineStr">
        <is>
          <t>Not disclosed</t>
        </is>
      </c>
      <c r="U41" s="145" t="n"/>
      <c r="V41" s="145" t="n"/>
      <c r="W41" s="149" t="n"/>
      <c r="X41" s="145" t="inlineStr">
        <is>
          <t>Not disclosed</t>
        </is>
      </c>
      <c r="Y41" s="145" t="n"/>
      <c r="Z41" s="145" t="inlineStr">
        <is>
          <t>Not disclosed</t>
        </is>
      </c>
      <c r="AA41" s="145" t="n"/>
      <c r="AB41" s="145" t="n"/>
      <c r="AC41" s="149" t="inlineStr">
        <is>
          <t>Not disclosed</t>
        </is>
      </c>
      <c r="AD41" s="149" t="n"/>
      <c r="AE41" s="145" t="n"/>
      <c r="AF41" s="145" t="inlineStr">
        <is>
          <t>Not disclosed</t>
        </is>
      </c>
      <c r="AG41" s="149" t="n"/>
      <c r="AH41" s="145" t="n"/>
      <c r="AI41" s="145" t="n"/>
      <c r="AJ41" s="149" t="inlineStr">
        <is>
          <t>Autonomous underwater perception suites (configuration specific)</t>
        </is>
      </c>
      <c r="AK41" s="149" t="n"/>
      <c r="AL41" s="145" t="inlineStr">
        <is>
          <t>Mission and autonomy sensing data</t>
        </is>
      </c>
      <c r="AM41" s="145" t="n"/>
      <c r="AN41" s="145" t="n"/>
      <c r="AO41" s="145" t="n"/>
      <c r="AP41" s="145" t="inlineStr">
        <is>
          <t>Not disclosed</t>
        </is>
      </c>
      <c r="AQ41" s="145" t="n"/>
      <c r="AR41" s="145" t="n"/>
      <c r="AS41" s="145" t="n"/>
      <c r="AT41" s="149" t="n"/>
      <c r="AU41" s="149" t="inlineStr">
        <is>
          <t>Not disclosed</t>
        </is>
      </c>
      <c r="AV41" s="145" t="inlineStr">
        <is>
          <t>Anduril Lattice-oriented autonomy command</t>
        </is>
      </c>
      <c r="AW41" s="149" t="inlineStr">
        <is>
          <t>Not disclosed</t>
        </is>
      </c>
      <c r="AX41" s="145" t="n"/>
      <c r="AY41" s="149" t="n"/>
      <c r="AZ41" s="149" t="n"/>
      <c r="BA41" s="149" t="n"/>
      <c r="BB41" s="149" t="n"/>
      <c r="BC41" s="149" t="n"/>
      <c r="BD41" s="145" t="n"/>
      <c r="BE41" s="145" t="inlineStr">
        <is>
          <t>Not disclosed</t>
        </is>
      </c>
      <c r="BF41" s="145" t="n"/>
      <c r="BG41" s="145" t="inlineStr">
        <is>
          <t>Not disclosed</t>
        </is>
      </c>
      <c r="BH41" s="145" t="inlineStr">
        <is>
          <t>Not disclosed</t>
        </is>
      </c>
      <c r="BI41" s="145" t="inlineStr">
        <is>
          <t>Not disclosed</t>
        </is>
      </c>
      <c r="BJ41" s="145" t="inlineStr">
        <is>
          <t>Not disclosed</t>
        </is>
      </c>
      <c r="BK41" s="145" t="inlineStr">
        <is>
          <t>Not disclosed</t>
        </is>
      </c>
      <c r="BL41" s="145" t="n"/>
      <c r="BM41" s="145" t="n"/>
      <c r="BN41" s="145" t="n"/>
      <c r="BO41" s="149" t="n"/>
      <c r="BP41" s="145" t="inlineStr">
        <is>
          <t>Not disclosed</t>
        </is>
      </c>
      <c r="BQ41" s="149" t="inlineStr">
        <is>
          <t>AUV</t>
        </is>
      </c>
      <c r="BR41" s="149" t="inlineStr">
        <is>
          <t>Not disclosed</t>
        </is>
      </c>
      <c r="BS41" s="149" t="n"/>
      <c r="BT41" s="145" t="n"/>
      <c r="BU41" s="145" t="n"/>
      <c r="BV41" s="149" t="inlineStr">
        <is>
          <t>Extra-large AUVs; mass production focus; Lattice AI</t>
        </is>
      </c>
      <c r="BW41" s="149" t="inlineStr">
        <is>
          <t>Origin &amp; status — USA · 2000 | Mission — Depth Not disclosed · Payload Not disclosed | Sensing — AUV camera and sonar payloads | Buying notes — Multi-hundred thousand to millions · 12 months limited / contract-dependent · Best fit: Survey-grade; 1000–19685 ft options; widely deployed</t>
        </is>
      </c>
      <c r="BX41" s="149" t="inlineStr">
        <is>
          <t>as_shipped|Gavia|450000|As shipped</t>
        </is>
      </c>
      <c r="BY41" s="145" t="inlineStr">
        <is>
          <t>gavia|Manufacturer finish|#e2e8f0|0</t>
        </is>
      </c>
      <c r="BZ41" s="145" t="inlineStr"/>
      <c r="CA41" s="149" t="inlineStr">
        <is>
          <t>Add-ons: case; 2 color options; Multi-year extended warranty available</t>
        </is>
      </c>
      <c r="CB41" s="149" t="inlineStr">
        <is>
          <t>12 months limited / contract-dependent</t>
        </is>
      </c>
      <c r="CC41" s="147" t="n">
        <v>12</v>
      </c>
      <c r="CD41" s="149" t="inlineStr">
        <is>
          <t>+3 Year Extended ≈24% of configuration (default in configurator)</t>
        </is>
      </c>
      <c r="CE41" s="145" t="inlineStr">
        <is>
          <t>Enterprise marine robotics norms</t>
        </is>
      </c>
      <c r="CF41" s="145" t="inlineStr">
        <is>
          <t>Estimated</t>
        </is>
      </c>
      <c r="CG41" s="149" t="inlineStr">
        <is>
          <t>Confirm inclusions and sea-trial terms on quote.</t>
        </is>
      </c>
      <c r="CH41" s="145" t="inlineStr">
        <is>
          <t>10%</t>
        </is>
      </c>
      <c r="CI41" s="145" t="inlineStr">
        <is>
          <t>17%</t>
        </is>
      </c>
      <c r="CJ41" s="145" t="inlineStr">
        <is>
          <t>24%</t>
        </is>
      </c>
      <c r="CK4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41"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41" s="145" t="inlineStr">
        <is>
          <t>12 months limited / contract-dependent</t>
        </is>
      </c>
    </row>
    <row r="42" ht="31.5" customHeight="1" s="102">
      <c r="A42" s="143" t="inlineStr">
        <is>
          <t>teledyne_marine_gavia_searaptor_auv_searaptor</t>
        </is>
      </c>
      <c r="B42" s="160" t="inlineStr">
        <is>
          <t>Website</t>
        </is>
      </c>
      <c r="C42" s="145" t="inlineStr">
        <is>
          <t>Teledyne Marine</t>
        </is>
      </c>
      <c r="D42" s="145" t="inlineStr">
        <is>
          <t>SeaRaptor</t>
        </is>
      </c>
      <c r="E42" s="145" t="inlineStr">
        <is>
          <t>[Teledyne Marine] SeaRaptor (2000)</t>
        </is>
      </c>
      <c r="F42" s="165" t="inlineStr">
        <is>
          <t>water</t>
        </is>
      </c>
      <c r="G42" s="145" t="inlineStr">
        <is>
          <t>USA</t>
        </is>
      </c>
      <c r="H42" s="147" t="n">
        <v>2000</v>
      </c>
      <c r="I42" s="148" t="n">
        <v>2500000</v>
      </c>
      <c r="J42" s="145" t="inlineStr">
        <is>
          <t>Work-class AUV class estimate · quote-only OEM</t>
        </is>
      </c>
      <c r="K42" s="149" t="inlineStr">
        <is>
          <t>[Teledyne Marine] SeaRaptor (2000) is a marine platform from Teledyne Marine (USA, 2000), positioned for auv.</t>
        </is>
      </c>
      <c r="L42" s="101" t="inlineStr">
        <is>
          <t>[Teledyne Marine] SeaRaptor (2000) is a marine platform from Teledyne Marine (USA, 2000), positioned for auv.</t>
        </is>
      </c>
      <c r="M42" s="101" t="inlineStr">
        <is>
          <t>SeaRaptor is Teledyne Marine's marine robot, introduced around 2000 in USA. [Teledyne Marine] SeaRaptor (2000) is a marine platform from Teledyne Marine (USA, 2000), positioned for auv.</t>
        </is>
      </c>
      <c r="N42" s="145" t="n"/>
      <c r="O42" s="145" t="inlineStr">
        <is>
          <t>https://www.teledynemarine.com</t>
        </is>
      </c>
      <c r="P42" s="145" t="n"/>
      <c r="Q42" s="145" t="n"/>
      <c r="R42" s="145" t="inlineStr">
        <is>
          <t>Not disclosed</t>
        </is>
      </c>
      <c r="S42" s="145" t="n"/>
      <c r="T42" s="149" t="inlineStr">
        <is>
          <t>Not disclosed</t>
        </is>
      </c>
      <c r="U42" s="145" t="n"/>
      <c r="V42" s="145" t="n"/>
      <c r="W42" s="149" t="n"/>
      <c r="X42" s="145" t="inlineStr">
        <is>
          <t>Not disclosed</t>
        </is>
      </c>
      <c r="Y42" s="145" t="n"/>
      <c r="Z42" s="145" t="inlineStr">
        <is>
          <t>Not disclosed</t>
        </is>
      </c>
      <c r="AA42" s="145" t="n"/>
      <c r="AB42" s="145" t="n"/>
      <c r="AC42" s="149" t="inlineStr">
        <is>
          <t>Not disclosed</t>
        </is>
      </c>
      <c r="AD42" s="149" t="n"/>
      <c r="AE42" s="145" t="n"/>
      <c r="AF42" s="145" t="inlineStr">
        <is>
          <t>Not disclosed</t>
        </is>
      </c>
      <c r="AG42" s="149" t="n"/>
      <c r="AH42" s="145" t="n"/>
      <c r="AI42" s="145" t="n"/>
      <c r="AJ42" s="149" t="inlineStr">
        <is>
          <t>Autonomous underwater perception suites (configuration specific)</t>
        </is>
      </c>
      <c r="AK42" s="149" t="n"/>
      <c r="AL42" s="145" t="inlineStr">
        <is>
          <t>Mission and autonomy sensing data</t>
        </is>
      </c>
      <c r="AM42" s="145" t="n"/>
      <c r="AN42" s="145" t="n"/>
      <c r="AO42" s="145" t="n"/>
      <c r="AP42" s="145" t="inlineStr">
        <is>
          <t>Not disclosed</t>
        </is>
      </c>
      <c r="AQ42" s="145" t="n"/>
      <c r="AR42" s="145" t="n"/>
      <c r="AS42" s="145" t="n"/>
      <c r="AT42" s="149" t="n"/>
      <c r="AU42" s="149" t="inlineStr">
        <is>
          <t>Not disclosed</t>
        </is>
      </c>
      <c r="AV42" s="145" t="inlineStr">
        <is>
          <t>Anduril Lattice-oriented autonomy command</t>
        </is>
      </c>
      <c r="AW42" s="149" t="inlineStr">
        <is>
          <t>Not disclosed</t>
        </is>
      </c>
      <c r="AX42" s="145" t="n"/>
      <c r="AY42" s="149" t="n"/>
      <c r="AZ42" s="149" t="n"/>
      <c r="BA42" s="149" t="n"/>
      <c r="BB42" s="149" t="n"/>
      <c r="BC42" s="149" t="n"/>
      <c r="BD42" s="145" t="n"/>
      <c r="BE42" s="145" t="inlineStr">
        <is>
          <t>Not disclosed</t>
        </is>
      </c>
      <c r="BF42" s="145" t="n"/>
      <c r="BG42" s="145" t="inlineStr">
        <is>
          <t>Not disclosed</t>
        </is>
      </c>
      <c r="BH42" s="145" t="inlineStr">
        <is>
          <t>Not disclosed</t>
        </is>
      </c>
      <c r="BI42" s="145" t="inlineStr">
        <is>
          <t>Not disclosed</t>
        </is>
      </c>
      <c r="BJ42" s="145" t="inlineStr">
        <is>
          <t>Not disclosed</t>
        </is>
      </c>
      <c r="BK42" s="145" t="inlineStr">
        <is>
          <t>Not disclosed</t>
        </is>
      </c>
      <c r="BL42" s="145" t="n"/>
      <c r="BM42" s="145" t="n"/>
      <c r="BN42" s="145" t="n"/>
      <c r="BO42" s="149" t="n"/>
      <c r="BP42" s="145" t="inlineStr">
        <is>
          <t>Not disclosed</t>
        </is>
      </c>
      <c r="BQ42" s="149" t="inlineStr">
        <is>
          <t>AUV</t>
        </is>
      </c>
      <c r="BR42" s="149" t="inlineStr">
        <is>
          <t>Not disclosed</t>
        </is>
      </c>
      <c r="BS42" s="149" t="n"/>
      <c r="BT42" s="145" t="n"/>
      <c r="BU42" s="145" t="n"/>
      <c r="BV42" s="149" t="inlineStr">
        <is>
          <t>Extra-large AUVs; mass production focus; Lattice AI</t>
        </is>
      </c>
      <c r="BW42" s="149" t="inlineStr">
        <is>
          <t>Origin &amp; status — USA · 2000 | Mission — Depth Not disclosed · Payload Not disclosed | Sensing — AUV camera and sonar payloads | Buying notes — Multi-hundred thousand to millions · 12 months limited / contract-dependent · Best fit: Survey-grade; 1000–19685 ft options; widely deployed</t>
        </is>
      </c>
      <c r="BX42" s="149" t="inlineStr">
        <is>
          <t>as_shipped|SeaRaptor|2500000|As shipped</t>
        </is>
      </c>
      <c r="BY42" s="145" t="inlineStr">
        <is>
          <t>searaptor|Manufacturer finish|#e2e8f0|0</t>
        </is>
      </c>
      <c r="BZ42" s="145" t="inlineStr"/>
      <c r="CA42" s="149" t="inlineStr">
        <is>
          <t>Add-ons: case; 2 color options; Multi-year extended warranty available</t>
        </is>
      </c>
      <c r="CB42" s="149" t="inlineStr">
        <is>
          <t>12 months limited / contract-dependent</t>
        </is>
      </c>
      <c r="CC42" s="147" t="n">
        <v>12</v>
      </c>
      <c r="CD42" s="149" t="inlineStr">
        <is>
          <t>+3 Year Extended ≈24% of configuration (default in configurator)</t>
        </is>
      </c>
      <c r="CE42" s="145" t="inlineStr">
        <is>
          <t>Enterprise marine robotics norms</t>
        </is>
      </c>
      <c r="CF42" s="145" t="inlineStr">
        <is>
          <t>Estimated</t>
        </is>
      </c>
      <c r="CG42" s="149" t="inlineStr">
        <is>
          <t>Confirm inclusions and sea-trial terms on quote.</t>
        </is>
      </c>
      <c r="CH42" s="145" t="inlineStr">
        <is>
          <t>10%</t>
        </is>
      </c>
      <c r="CI42" s="145" t="inlineStr">
        <is>
          <t>17%</t>
        </is>
      </c>
      <c r="CJ42" s="145" t="inlineStr">
        <is>
          <t>24%</t>
        </is>
      </c>
      <c r="CK42"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42"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42" s="145" t="inlineStr">
        <is>
          <t>12 months limited / contract-dependent</t>
        </is>
      </c>
    </row>
    <row r="43" ht="31.5" customHeight="1" s="102">
      <c r="A43" s="143" t="inlineStr">
        <is>
          <t>qysea_fifish_e_go_pro_series</t>
        </is>
      </c>
      <c r="B43" s="160" t="inlineStr">
        <is>
          <t>Website</t>
        </is>
      </c>
      <c r="C43" s="145" t="inlineStr">
        <is>
          <t>QYSEA</t>
        </is>
      </c>
      <c r="D43" s="145" t="inlineStr">
        <is>
          <t>FIFISH E-GO</t>
        </is>
      </c>
      <c r="E43" s="145" t="inlineStr">
        <is>
          <t>[QYSEA] FIFISH E-GO (2020)</t>
        </is>
      </c>
      <c r="F43" s="165" t="inlineStr">
        <is>
          <t>water</t>
        </is>
      </c>
      <c r="G43" s="145" t="inlineStr">
        <is>
          <t>USA</t>
        </is>
      </c>
      <c r="H43" s="147" t="n">
        <v>2020</v>
      </c>
      <c r="I43" s="148" t="n">
        <v>3000</v>
      </c>
      <c r="J43" s="145" t="inlineStr">
        <is>
          <t>Website store</t>
        </is>
      </c>
      <c r="K43" s="149" t="inlineStr">
        <is>
          <t>[QYSEA] FIFISH E-GO (2020) is a marine platform from QYSEA (China, 2020), positioned for rov.</t>
        </is>
      </c>
      <c r="L43" s="101" t="inlineStr">
        <is>
          <t>[QYSEA] FIFISH E-GO (2020) is a marine platform from QYSEA (China, 2020), positioned for rov.</t>
        </is>
      </c>
      <c r="M43" s="101" t="inlineStr">
        <is>
          <t>[QYSEA] FIFISH E-GO (2020) is a marine platform from QYSEA (China, 2020), positioned for rov.</t>
        </is>
      </c>
      <c r="N43" s="145" t="n"/>
      <c r="O43" s="145" t="inlineStr">
        <is>
          <t>https://www.qysea.com</t>
        </is>
      </c>
      <c r="P43" s="145" t="n"/>
      <c r="Q43" s="145" t="n"/>
      <c r="R43" s="145" t="inlineStr">
        <is>
          <t>≈ 8–12 lb class depending on model</t>
        </is>
      </c>
      <c r="S43" s="145" t="n"/>
      <c r="T43" s="149" t="inlineStr">
        <is>
          <t>Not disclosed</t>
        </is>
      </c>
      <c r="U43" s="145" t="n"/>
      <c r="V43" s="145" t="n"/>
      <c r="W43" s="149" t="n"/>
      <c r="X43" s="145" t="inlineStr">
        <is>
          <t>Not disclosed</t>
        </is>
      </c>
      <c r="Y43" s="145" t="n"/>
      <c r="Z43" s="145" t="inlineStr">
        <is>
          <t>Not disclosed</t>
        </is>
      </c>
      <c r="AA43" s="145" t="n"/>
      <c r="AB43" s="145" t="n"/>
      <c r="AC43" s="149" t="inlineStr">
        <is>
          <t>Not disclosed</t>
        </is>
      </c>
      <c r="AD43" s="149" t="n"/>
      <c r="AE43" s="145" t="n"/>
      <c r="AF43" s="145" t="inlineStr">
        <is>
          <t>Not disclosed</t>
        </is>
      </c>
      <c r="AG43" s="149" t="n"/>
      <c r="AH43" s="145" t="n"/>
      <c r="AI43" s="145" t="n"/>
      <c r="AJ43" s="149" t="inlineStr">
        <is>
          <t>Autonomous underwater perception suites (configuration specific)</t>
        </is>
      </c>
      <c r="AK43" s="149" t="n"/>
      <c r="AL43" s="145" t="inlineStr">
        <is>
          <t>Mission and autonomy sensing data</t>
        </is>
      </c>
      <c r="AM43" s="145" t="n"/>
      <c r="AN43" s="145" t="n"/>
      <c r="AO43" s="145" t="n"/>
      <c r="AP43" s="145" t="inlineStr">
        <is>
          <t>Not disclosed</t>
        </is>
      </c>
      <c r="AQ43" s="145" t="n"/>
      <c r="AR43" s="145" t="n"/>
      <c r="AS43" s="145" t="n"/>
      <c r="AT43" s="149" t="n"/>
      <c r="AU43" s="149" t="inlineStr">
        <is>
          <t>Not disclosed</t>
        </is>
      </c>
      <c r="AV43" s="145" t="inlineStr">
        <is>
          <t>Anduril Lattice-oriented autonomy command</t>
        </is>
      </c>
      <c r="AW43" s="149" t="inlineStr">
        <is>
          <t>Not disclosed</t>
        </is>
      </c>
      <c r="AX43" s="145" t="n"/>
      <c r="AY43" s="149" t="n"/>
      <c r="AZ43" s="149" t="n"/>
      <c r="BA43" s="149" t="n"/>
      <c r="BB43" s="149" t="n"/>
      <c r="BC43" s="149" t="n"/>
      <c r="BD43" s="145" t="n"/>
      <c r="BE43" s="145" t="inlineStr">
        <is>
          <t>Not disclosed</t>
        </is>
      </c>
      <c r="BF43" s="145" t="n"/>
      <c r="BG43" s="145" t="inlineStr">
        <is>
          <t>Professional depths (model-dependent; often 330–660 ft class)</t>
        </is>
      </c>
      <c r="BH43" s="145" t="inlineStr">
        <is>
          <t>Not disclosed</t>
        </is>
      </c>
      <c r="BI43" s="145" t="inlineStr">
        <is>
          <t>Multi-thousand lumen LED options</t>
        </is>
      </c>
      <c r="BJ43" s="145" t="inlineStr">
        <is>
          <t>Not disclosed</t>
        </is>
      </c>
      <c r="BK43" s="145" t="inlineStr">
        <is>
          <t>Not disclosed</t>
        </is>
      </c>
      <c r="BL43" s="145" t="n"/>
      <c r="BM43" s="145" t="n"/>
      <c r="BN43" s="145" t="n"/>
      <c r="BO43" s="149" t="n"/>
      <c r="BP43" s="145" t="inlineStr">
        <is>
          <t>Not disclosed</t>
        </is>
      </c>
      <c r="BQ43" s="149" t="inlineStr">
        <is>
          <t>AUV</t>
        </is>
      </c>
      <c r="BR43" s="149" t="inlineStr">
        <is>
          <t>Not disclosed</t>
        </is>
      </c>
      <c r="BS43" s="149" t="n"/>
      <c r="BT43" s="145" t="n"/>
      <c r="BU43" s="145" t="n"/>
      <c r="BV43" s="149" t="inlineStr">
        <is>
          <t>Extra-large AUVs; mass production focus; Lattice AI</t>
        </is>
      </c>
      <c r="BW43" s="149" t="inlineStr">
        <is>
          <t>Origin &amp; status — China · 2020 | Mission — Depth Professional depths (model-dependent; often 330–660 ft class) · Payload Not disclosed | Sensing — 4K UHD + AI tracking on Pro lines | Buying notes — $3,000 – $7,500+ · 12 months limited / contract-dependent · Best fit: Modular industrial ROVs; 656 ft</t>
        </is>
      </c>
      <c r="BX43" s="149" t="inlineStr">
        <is>
          <t>as_shipped|FIFISH E-GO|3000|As shipped</t>
        </is>
      </c>
      <c r="BY43" s="145" t="inlineStr">
        <is>
          <t>fifish_e_go|Manufacturer finish|#e2e8f0|0</t>
        </is>
      </c>
      <c r="BZ43" s="145" t="inlineStr"/>
      <c r="CA43" s="149" t="inlineStr">
        <is>
          <t>Add-ons: case; 2 color options; Multi-year extended warranty available</t>
        </is>
      </c>
      <c r="CB43" s="149" t="inlineStr">
        <is>
          <t>12 months limited / contract-dependent</t>
        </is>
      </c>
      <c r="CC43" s="147" t="n">
        <v>12</v>
      </c>
      <c r="CD43" s="149" t="inlineStr">
        <is>
          <t>+3 Year Extended ≈24% of configuration (default in configurator)</t>
        </is>
      </c>
      <c r="CE43" s="145" t="inlineStr">
        <is>
          <t>Enterprise marine robotics norms</t>
        </is>
      </c>
      <c r="CF43" s="145" t="inlineStr">
        <is>
          <t>Estimated</t>
        </is>
      </c>
      <c r="CG43" s="149" t="inlineStr">
        <is>
          <t>Confirm inclusions and sea-trial terms on quote.</t>
        </is>
      </c>
      <c r="CH43" s="145" t="inlineStr">
        <is>
          <t>10%</t>
        </is>
      </c>
      <c r="CI43" s="145" t="inlineStr">
        <is>
          <t>17%</t>
        </is>
      </c>
      <c r="CJ43" s="145" t="inlineStr">
        <is>
          <t>24%</t>
        </is>
      </c>
      <c r="CK43"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43"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43" s="145" t="inlineStr">
        <is>
          <t>12 months limited / contract-dependent</t>
        </is>
      </c>
    </row>
    <row r="44" ht="31.5" customHeight="1" s="102">
      <c r="A44" s="143" t="inlineStr">
        <is>
          <t>boeing_hii_orca_xluuv</t>
        </is>
      </c>
      <c r="B44" s="160" t="inlineStr">
        <is>
          <t>Website</t>
        </is>
      </c>
      <c r="C44" s="145" t="inlineStr">
        <is>
          <t>Boeing / HII</t>
        </is>
      </c>
      <c r="D44" s="145" t="inlineStr">
        <is>
          <t>Orca XLUUV</t>
        </is>
      </c>
      <c r="E44" s="145" t="inlineStr">
        <is>
          <t>[Boeing / HII] Orca XLUUV (2023)</t>
        </is>
      </c>
      <c r="F44" s="165" t="inlineStr">
        <is>
          <t>water</t>
        </is>
      </c>
      <c r="G44" s="145" t="inlineStr">
        <is>
          <t>USA</t>
        </is>
      </c>
      <c r="H44" s="147" t="n">
        <v>2023</v>
      </c>
      <c r="I44" s="148" t="n">
        <v>115000000</v>
      </c>
      <c r="J44" s="145" t="inlineStr">
        <is>
          <t>USN FY26 XLUUV procurement ~$113–120M / vehicle</t>
        </is>
      </c>
      <c r="K44" s="149" t="inlineStr">
        <is>
          <t>Orca XLUUV is Boeing / HII's marine robot. Extra-large UUV sensor payloads (missionized); aimed at xLUUV.</t>
        </is>
      </c>
      <c r="L44" s="101" t="inlineStr">
        <is>
          <t>Orca XLUUV is Boeing / HII's marine robot. Extra-large UUV sensor payloads (missionized); aimed at xLUUV.</t>
        </is>
      </c>
      <c r="M44" s="101" t="inlineStr">
        <is>
          <t>Orca XLUUV is Boeing / HII's marine robot. Extra-large UUV sensor payloads (missionized); aimed at xLUUV.</t>
        </is>
      </c>
      <c r="N44" s="145" t="n"/>
      <c r="O44" s="145" t="inlineStr">
        <is>
          <t>https://www.hii.com</t>
        </is>
      </c>
      <c r="P44" s="145" t="n"/>
      <c r="Q44" s="145" t="n"/>
      <c r="R44" s="145" t="inlineStr">
        <is>
          <t>Not disclosed</t>
        </is>
      </c>
      <c r="S44" s="145" t="n"/>
      <c r="T44" s="149" t="inlineStr">
        <is>
          <t>Not disclosed</t>
        </is>
      </c>
      <c r="U44" s="145" t="n"/>
      <c r="V44" s="145" t="n"/>
      <c r="W44" s="149" t="n"/>
      <c r="X44" s="145" t="inlineStr">
        <is>
          <t>Not disclosed</t>
        </is>
      </c>
      <c r="Y44" s="145" t="n"/>
      <c r="Z44" s="145" t="inlineStr">
        <is>
          <t>Not disclosed</t>
        </is>
      </c>
      <c r="AA44" s="145" t="n"/>
      <c r="AB44" s="145" t="n"/>
      <c r="AC44" s="149" t="inlineStr">
        <is>
          <t>Not disclosed</t>
        </is>
      </c>
      <c r="AD44" s="149" t="n"/>
      <c r="AE44" s="145" t="n"/>
      <c r="AF44" s="145" t="inlineStr">
        <is>
          <t>Not disclosed</t>
        </is>
      </c>
      <c r="AG44" s="149" t="n"/>
      <c r="AH44" s="145" t="n"/>
      <c r="AI44" s="145" t="n"/>
      <c r="AJ44" s="149" t="inlineStr">
        <is>
          <t>Autonomous underwater perception suites (configuration specific)</t>
        </is>
      </c>
      <c r="AK44" s="149" t="n"/>
      <c r="AL44" s="145" t="inlineStr">
        <is>
          <t>Mission and autonomy sensing data</t>
        </is>
      </c>
      <c r="AM44" s="145" t="n"/>
      <c r="AN44" s="145" t="n"/>
      <c r="AO44" s="145" t="n"/>
      <c r="AP44" s="145" t="inlineStr">
        <is>
          <t>Not disclosed</t>
        </is>
      </c>
      <c r="AQ44" s="145" t="n"/>
      <c r="AR44" s="145" t="n"/>
      <c r="AS44" s="145" t="n"/>
      <c r="AT44" s="149" t="n"/>
      <c r="AU44" s="149" t="inlineStr">
        <is>
          <t>Not disclosed</t>
        </is>
      </c>
      <c r="AV44" s="145" t="inlineStr">
        <is>
          <t>Anduril Lattice-oriented autonomy command</t>
        </is>
      </c>
      <c r="AW44" s="149" t="inlineStr">
        <is>
          <t>Not disclosed</t>
        </is>
      </c>
      <c r="AX44" s="145" t="n"/>
      <c r="AY44" s="149" t="n"/>
      <c r="AZ44" s="149" t="n"/>
      <c r="BA44" s="149" t="n"/>
      <c r="BB44" s="149" t="n"/>
      <c r="BC44" s="149" t="n"/>
      <c r="BD44" s="145" t="n"/>
      <c r="BE44" s="145" t="inlineStr">
        <is>
          <t>Not disclosed</t>
        </is>
      </c>
      <c r="BF44" s="145" t="n"/>
      <c r="BG44" s="145" t="inlineStr">
        <is>
          <t>Not disclosed</t>
        </is>
      </c>
      <c r="BH44" s="145" t="inlineStr">
        <is>
          <t>Not disclosed</t>
        </is>
      </c>
      <c r="BI44" s="145" t="inlineStr">
        <is>
          <t>Not disclosed</t>
        </is>
      </c>
      <c r="BJ44" s="145" t="inlineStr">
        <is>
          <t>Not disclosed</t>
        </is>
      </c>
      <c r="BK44" s="145" t="inlineStr">
        <is>
          <t>Not disclosed</t>
        </is>
      </c>
      <c r="BL44" s="145" t="n"/>
      <c r="BM44" s="145" t="n"/>
      <c r="BN44" s="145" t="n"/>
      <c r="BO44" s="149" t="n"/>
      <c r="BP44" s="145" t="inlineStr">
        <is>
          <t>Not disclosed</t>
        </is>
      </c>
      <c r="BQ44" s="149" t="inlineStr">
        <is>
          <t>AUV</t>
        </is>
      </c>
      <c r="BR44" s="149" t="inlineStr">
        <is>
          <t>Not disclosed</t>
        </is>
      </c>
      <c r="BS44" s="149" t="n"/>
      <c r="BT44" s="145" t="n"/>
      <c r="BU44" s="145" t="n"/>
      <c r="BV44" s="149" t="inlineStr">
        <is>
          <t>Extra-large AUVs; mass production focus; Lattice AI</t>
        </is>
      </c>
      <c r="BW44" s="149" t="inlineStr">
        <is>
          <t>Origin &amp; status — USA · 2023 | Mission — Depth Not disclosed · Payload Not disclosed | Sensing — Extra-large UUV sensor payloads (missionized) | Buying notes — Hundreds of millions program cost; unit high · 12 months limited / contract-dependent · Best fit: Extra Large UUV; 85ft class; long range diesel-electric</t>
        </is>
      </c>
      <c r="BX44" s="149" t="inlineStr">
        <is>
          <t>as_shipped|Orca XLUUV|115000000|As shipped</t>
        </is>
      </c>
      <c r="BY44" s="145" t="inlineStr">
        <is>
          <t>orca_xluuv|Manufacturer finish|#e2e8f0|0</t>
        </is>
      </c>
      <c r="BZ44" s="145" t="inlineStr"/>
      <c r="CA44" s="149" t="inlineStr">
        <is>
          <t>Add-ons: case; 2 color options; Multi-year extended warranty available</t>
        </is>
      </c>
      <c r="CB44" s="149" t="inlineStr">
        <is>
          <t>12 months limited / contract-dependent</t>
        </is>
      </c>
      <c r="CC44" s="147" t="n">
        <v>12</v>
      </c>
      <c r="CD44" s="149" t="inlineStr">
        <is>
          <t>+3 Year Extended ≈24% of configuration (default in configurator)</t>
        </is>
      </c>
      <c r="CE44" s="145" t="inlineStr">
        <is>
          <t>Enterprise marine robotics norms</t>
        </is>
      </c>
      <c r="CF44" s="145" t="inlineStr">
        <is>
          <t>Estimated</t>
        </is>
      </c>
      <c r="CG44" s="149" t="inlineStr">
        <is>
          <t>Confirm inclusions and sea-trial terms on quote.</t>
        </is>
      </c>
      <c r="CH44" s="145" t="inlineStr">
        <is>
          <t>10%</t>
        </is>
      </c>
      <c r="CI44" s="145" t="inlineStr">
        <is>
          <t>17%</t>
        </is>
      </c>
      <c r="CJ44" s="145" t="inlineStr">
        <is>
          <t>24%</t>
        </is>
      </c>
      <c r="CK44"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44"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44" s="145" t="inlineStr">
        <is>
          <t>12 months limited / contract-dependent</t>
        </is>
      </c>
    </row>
    <row r="45" ht="31.5" customHeight="1" s="102">
      <c r="A45" s="143" t="inlineStr">
        <is>
          <t>teledyne_marine_slocum_glider</t>
        </is>
      </c>
      <c r="B45" s="160" t="inlineStr">
        <is>
          <t>Website</t>
        </is>
      </c>
      <c r="C45" s="145" t="inlineStr">
        <is>
          <t>Teledyne Marine</t>
        </is>
      </c>
      <c r="D45" s="145" t="inlineStr">
        <is>
          <t>Slocum Glider</t>
        </is>
      </c>
      <c r="E45" s="145" t="inlineStr">
        <is>
          <t>[Teledyne Marine] Slocum Glider (2000)</t>
        </is>
      </c>
      <c r="F45" s="165" t="inlineStr">
        <is>
          <t>water</t>
        </is>
      </c>
      <c r="G45" s="145" t="inlineStr">
        <is>
          <t>USA</t>
        </is>
      </c>
      <c r="H45" s="147" t="n">
        <v>2000</v>
      </c>
      <c r="I45" s="148" t="n">
        <v>175000</v>
      </c>
      <c r="J45" s="145" t="inlineStr">
        <is>
          <t>Documented Slocum procurement band ~$150–200k</t>
        </is>
      </c>
      <c r="K45" s="149" t="inlineStr">
        <is>
          <t>Slocum Glider is Teledyne Marine's marine robot. Oceanographic sensor focus; optional cameras; aimed at aUV.</t>
        </is>
      </c>
      <c r="L45" s="101" t="inlineStr">
        <is>
          <t>Slocum Glider is Teledyne Marine's marine robot. Oceanographic sensor focus; optional cameras; aimed at aUV.</t>
        </is>
      </c>
      <c r="M45" s="101" t="inlineStr">
        <is>
          <t>Slocum Glider is Teledyne Marine's marine robot. Oceanographic sensor focus; optional cameras; aimed at aUV. It is positioned for aUV/Glider.</t>
        </is>
      </c>
      <c r="N45" s="145" t="n"/>
      <c r="O45" s="145" t="inlineStr">
        <is>
          <t>https://www.teledynemarine.com</t>
        </is>
      </c>
      <c r="P45" s="145" t="n"/>
      <c r="Q45" s="145" t="n"/>
      <c r="R45" s="145" t="inlineStr">
        <is>
          <t>Not disclosed</t>
        </is>
      </c>
      <c r="S45" s="145" t="n"/>
      <c r="T45" s="149" t="inlineStr">
        <is>
          <t>Not disclosed</t>
        </is>
      </c>
      <c r="U45" s="145" t="n"/>
      <c r="V45" s="145" t="n"/>
      <c r="W45" s="149" t="n"/>
      <c r="X45" s="145" t="inlineStr">
        <is>
          <t>Not disclosed</t>
        </is>
      </c>
      <c r="Y45" s="145" t="n"/>
      <c r="Z45" s="145" t="inlineStr">
        <is>
          <t>Not disclosed</t>
        </is>
      </c>
      <c r="AA45" s="145" t="n"/>
      <c r="AB45" s="145" t="n"/>
      <c r="AC45" s="149" t="inlineStr">
        <is>
          <t>Not disclosed</t>
        </is>
      </c>
      <c r="AD45" s="149" t="n"/>
      <c r="AE45" s="145" t="n"/>
      <c r="AF45" s="145" t="inlineStr">
        <is>
          <t>Not disclosed</t>
        </is>
      </c>
      <c r="AG45" s="149" t="n"/>
      <c r="AH45" s="145" t="n"/>
      <c r="AI45" s="145" t="n"/>
      <c r="AJ45" s="149" t="inlineStr">
        <is>
          <t>Autonomous underwater perception suites (configuration specific)</t>
        </is>
      </c>
      <c r="AK45" s="149" t="n"/>
      <c r="AL45" s="145" t="inlineStr">
        <is>
          <t>Mission and autonomy sensing data</t>
        </is>
      </c>
      <c r="AM45" s="145" t="n"/>
      <c r="AN45" s="145" t="n"/>
      <c r="AO45" s="145" t="n"/>
      <c r="AP45" s="145" t="inlineStr">
        <is>
          <t>Not disclosed</t>
        </is>
      </c>
      <c r="AQ45" s="145" t="n"/>
      <c r="AR45" s="145" t="n"/>
      <c r="AS45" s="145" t="n"/>
      <c r="AT45" s="149" t="n"/>
      <c r="AU45" s="149" t="inlineStr">
        <is>
          <t>Not disclosed</t>
        </is>
      </c>
      <c r="AV45" s="145" t="inlineStr">
        <is>
          <t>Anduril Lattice-oriented autonomy command</t>
        </is>
      </c>
      <c r="AW45" s="149" t="inlineStr">
        <is>
          <t>Not disclosed</t>
        </is>
      </c>
      <c r="AX45" s="145" t="n"/>
      <c r="AY45" s="149" t="n"/>
      <c r="AZ45" s="149" t="n"/>
      <c r="BA45" s="149" t="n"/>
      <c r="BB45" s="149" t="n"/>
      <c r="BC45" s="149" t="n"/>
      <c r="BD45" s="145" t="n"/>
      <c r="BE45" s="145" t="inlineStr">
        <is>
          <t>Not disclosed</t>
        </is>
      </c>
      <c r="BF45" s="145" t="n"/>
      <c r="BG45" s="145" t="inlineStr">
        <is>
          <t>Not disclosed</t>
        </is>
      </c>
      <c r="BH45" s="145" t="inlineStr">
        <is>
          <t>Not disclosed</t>
        </is>
      </c>
      <c r="BI45" s="145" t="inlineStr">
        <is>
          <t>Not disclosed</t>
        </is>
      </c>
      <c r="BJ45" s="145" t="inlineStr">
        <is>
          <t>Not disclosed</t>
        </is>
      </c>
      <c r="BK45" s="145" t="inlineStr">
        <is>
          <t>Not disclosed</t>
        </is>
      </c>
      <c r="BL45" s="145" t="n"/>
      <c r="BM45" s="145" t="n"/>
      <c r="BN45" s="145" t="n"/>
      <c r="BO45" s="149" t="n"/>
      <c r="BP45" s="145" t="inlineStr">
        <is>
          <t>Not disclosed</t>
        </is>
      </c>
      <c r="BQ45" s="149" t="inlineStr">
        <is>
          <t>AUV</t>
        </is>
      </c>
      <c r="BR45" s="149" t="inlineStr">
        <is>
          <t>Not disclosed</t>
        </is>
      </c>
      <c r="BS45" s="149" t="n"/>
      <c r="BT45" s="145" t="n"/>
      <c r="BU45" s="145" t="n"/>
      <c r="BV45" s="149" t="inlineStr">
        <is>
          <t>Extra-large AUVs; mass production focus; Lattice AI</t>
        </is>
      </c>
      <c r="BW45" s="149" t="inlineStr">
        <is>
          <t>Origin &amp; status — USA · 2000 | Mission — Depth Not disclosed · Payload Not disclosed | Sensing — Oceanographic sensor focus; optional cameras | Buying notes — Contact (typically $100k–$500k range est.) · 12 months limited / contract-dependent · Best fit: Long-endurance buoyancy-driven glider for ocean observation</t>
        </is>
      </c>
      <c r="BX45" s="149" t="inlineStr">
        <is>
          <t>as_shipped|Slocum Glider|175000|As shipped</t>
        </is>
      </c>
      <c r="BY45" s="145" t="inlineStr">
        <is>
          <t>slocum_glider|Manufacturer finish|#e2e8f0|0</t>
        </is>
      </c>
      <c r="BZ45" s="145" t="inlineStr"/>
      <c r="CA45" s="149" t="inlineStr">
        <is>
          <t>Add-ons: case; 2 color options; Multi-year extended warranty available</t>
        </is>
      </c>
      <c r="CB45" s="149" t="inlineStr">
        <is>
          <t>12 months limited / contract-dependent</t>
        </is>
      </c>
      <c r="CC45" s="147" t="n">
        <v>12</v>
      </c>
      <c r="CD45" s="149" t="inlineStr">
        <is>
          <t>+3 Year Extended ≈24% of configuration (default in configurator)</t>
        </is>
      </c>
      <c r="CE45" s="145" t="inlineStr">
        <is>
          <t>Enterprise marine robotics norms</t>
        </is>
      </c>
      <c r="CF45" s="145" t="inlineStr">
        <is>
          <t>Estimated</t>
        </is>
      </c>
      <c r="CG45" s="149" t="inlineStr">
        <is>
          <t>Confirm inclusions and sea-trial terms on quote.</t>
        </is>
      </c>
      <c r="CH45" s="145" t="inlineStr">
        <is>
          <t>10%</t>
        </is>
      </c>
      <c r="CI45" s="145" t="inlineStr">
        <is>
          <t>17%</t>
        </is>
      </c>
      <c r="CJ45" s="145" t="inlineStr">
        <is>
          <t>24%</t>
        </is>
      </c>
      <c r="CK4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45"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45" s="145" t="inlineStr">
        <is>
          <t>12 months limited / contract-dependent</t>
        </is>
      </c>
    </row>
    <row r="46" ht="31.5" customHeight="1" s="102">
      <c r="A46" s="143" t="inlineStr">
        <is>
          <t>hydromea_vertex_portable_auvs</t>
        </is>
      </c>
      <c r="B46" s="160" t="inlineStr">
        <is>
          <t>Website</t>
        </is>
      </c>
      <c r="C46" s="145" t="inlineStr">
        <is>
          <t>Hydromea</t>
        </is>
      </c>
      <c r="D46" s="145" t="inlineStr">
        <is>
          <t>Vertex</t>
        </is>
      </c>
      <c r="E46" s="145" t="inlineStr">
        <is>
          <t>[Hydromea] Vertex (2020)</t>
        </is>
      </c>
      <c r="F46" s="165" t="inlineStr">
        <is>
          <t>water</t>
        </is>
      </c>
      <c r="G46" s="145" t="inlineStr">
        <is>
          <t>USA</t>
        </is>
      </c>
      <c r="H46" s="147" t="n">
        <v>2020</v>
      </c>
      <c r="I46" s="148" t="n">
        <v>22000</v>
      </c>
      <c r="J46" s="145" t="inlineStr">
        <is>
          <t>Portable AUV class estimate</t>
        </is>
      </c>
      <c r="K46" s="149" t="inlineStr">
        <is>
          <t>Vertex is Hydromea's marine robot. Portable AUV cameras; positioned for aUV.</t>
        </is>
      </c>
      <c r="L46" s="101" t="inlineStr">
        <is>
          <t>Vertex is Hydromea's marine robot. Portable AUV cameras; positioned for aUV.</t>
        </is>
      </c>
      <c r="M46" s="101" t="inlineStr">
        <is>
          <t>Vertex is Hydromea's marine robot, introduced around 2020 in Switzerland. It is positioned for aUV.</t>
        </is>
      </c>
      <c r="N46" s="145" t="n"/>
      <c r="O46" s="145" t="inlineStr">
        <is>
          <t>https://www.hydromea.com</t>
        </is>
      </c>
      <c r="P46" s="145" t="n"/>
      <c r="Q46" s="145" t="n"/>
      <c r="R46" s="145" t="inlineStr">
        <is>
          <t>Not disclosed</t>
        </is>
      </c>
      <c r="S46" s="145" t="n"/>
      <c r="T46" s="149" t="inlineStr">
        <is>
          <t>Not disclosed</t>
        </is>
      </c>
      <c r="U46" s="145" t="n"/>
      <c r="V46" s="145" t="n"/>
      <c r="W46" s="149" t="n"/>
      <c r="X46" s="145" t="inlineStr">
        <is>
          <t>Not disclosed</t>
        </is>
      </c>
      <c r="Y46" s="145" t="n"/>
      <c r="Z46" s="145" t="inlineStr">
        <is>
          <t>Not disclosed</t>
        </is>
      </c>
      <c r="AA46" s="145" t="n"/>
      <c r="AB46" s="145" t="n"/>
      <c r="AC46" s="149" t="inlineStr">
        <is>
          <t>Not disclosed</t>
        </is>
      </c>
      <c r="AD46" s="149" t="n"/>
      <c r="AE46" s="145" t="n"/>
      <c r="AF46" s="145" t="inlineStr">
        <is>
          <t>Not disclosed</t>
        </is>
      </c>
      <c r="AG46" s="149" t="n"/>
      <c r="AH46" s="145" t="n"/>
      <c r="AI46" s="145" t="n"/>
      <c r="AJ46" s="149" t="inlineStr">
        <is>
          <t>Autonomous underwater perception suites (configuration specific)</t>
        </is>
      </c>
      <c r="AK46" s="149" t="n"/>
      <c r="AL46" s="145" t="inlineStr">
        <is>
          <t>Mission and autonomy sensing data</t>
        </is>
      </c>
      <c r="AM46" s="145" t="n"/>
      <c r="AN46" s="145" t="n"/>
      <c r="AO46" s="145" t="n"/>
      <c r="AP46" s="145" t="inlineStr">
        <is>
          <t>Not disclosed</t>
        </is>
      </c>
      <c r="AQ46" s="145" t="n"/>
      <c r="AR46" s="145" t="n"/>
      <c r="AS46" s="145" t="n"/>
      <c r="AT46" s="149" t="n"/>
      <c r="AU46" s="149" t="inlineStr">
        <is>
          <t>Not disclosed</t>
        </is>
      </c>
      <c r="AV46" s="145" t="inlineStr">
        <is>
          <t>Anduril Lattice-oriented autonomy command</t>
        </is>
      </c>
      <c r="AW46" s="149" t="inlineStr">
        <is>
          <t>Not disclosed</t>
        </is>
      </c>
      <c r="AX46" s="145" t="n"/>
      <c r="AY46" s="149" t="n"/>
      <c r="AZ46" s="149" t="n"/>
      <c r="BA46" s="149" t="n"/>
      <c r="BB46" s="149" t="n"/>
      <c r="BC46" s="149" t="n"/>
      <c r="BD46" s="145" t="n"/>
      <c r="BE46" s="145" t="inlineStr">
        <is>
          <t>Not disclosed</t>
        </is>
      </c>
      <c r="BF46" s="145" t="n"/>
      <c r="BG46" s="145" t="inlineStr">
        <is>
          <t>Not disclosed</t>
        </is>
      </c>
      <c r="BH46" s="145" t="inlineStr">
        <is>
          <t>Not disclosed</t>
        </is>
      </c>
      <c r="BI46" s="145" t="inlineStr">
        <is>
          <t>Not disclosed</t>
        </is>
      </c>
      <c r="BJ46" s="145" t="inlineStr">
        <is>
          <t>Not disclosed</t>
        </is>
      </c>
      <c r="BK46" s="145" t="inlineStr">
        <is>
          <t>Not disclosed</t>
        </is>
      </c>
      <c r="BL46" s="145" t="n"/>
      <c r="BM46" s="145" t="n"/>
      <c r="BN46" s="145" t="n"/>
      <c r="BO46" s="149" t="n"/>
      <c r="BP46" s="145" t="inlineStr">
        <is>
          <t>Not disclosed</t>
        </is>
      </c>
      <c r="BQ46" s="149" t="inlineStr">
        <is>
          <t>AUV</t>
        </is>
      </c>
      <c r="BR46" s="149" t="inlineStr">
        <is>
          <t>Not disclosed</t>
        </is>
      </c>
      <c r="BS46" s="149" t="n"/>
      <c r="BT46" s="145" t="n"/>
      <c r="BU46" s="145" t="n"/>
      <c r="BV46" s="149" t="inlineStr">
        <is>
          <t>Extra-large AUVs; mass production focus; Lattice AI</t>
        </is>
      </c>
      <c r="BW46" s="149" t="inlineStr">
        <is>
          <t>Origin &amp; status — Switzerland · 2020 | Mission — Depth Not disclosed · Payload Not disclosed | Sensing — Portable AUV cameras | Buying notes — Contact / mid-range · 12 months limited / contract-dependent · Best fit: Swiss portable AUV; compact underwater inspection</t>
        </is>
      </c>
      <c r="BX46" s="149" t="inlineStr">
        <is>
          <t>as_shipped|Vertex|22000|As shipped</t>
        </is>
      </c>
      <c r="BY46" s="145" t="inlineStr">
        <is>
          <t>vertex|Manufacturer finish|#e2e8f0|0</t>
        </is>
      </c>
      <c r="BZ46" s="145" t="inlineStr"/>
      <c r="CA46" s="149" t="inlineStr">
        <is>
          <t>Add-ons: case; 2 color options; Multi-year extended warranty available</t>
        </is>
      </c>
      <c r="CB46" s="149" t="inlineStr">
        <is>
          <t>12 months limited / contract-dependent</t>
        </is>
      </c>
      <c r="CC46" s="147" t="n">
        <v>12</v>
      </c>
      <c r="CD46" s="149" t="inlineStr">
        <is>
          <t>+3 Year Extended ≈24% of configuration (default in configurator)</t>
        </is>
      </c>
      <c r="CE46" s="145" t="inlineStr">
        <is>
          <t>Enterprise marine robotics norms</t>
        </is>
      </c>
      <c r="CF46" s="145" t="inlineStr">
        <is>
          <t>Estimated</t>
        </is>
      </c>
      <c r="CG46" s="149" t="inlineStr">
        <is>
          <t>Confirm inclusions and sea-trial terms on quote.</t>
        </is>
      </c>
      <c r="CH46" s="145" t="inlineStr">
        <is>
          <t>10%</t>
        </is>
      </c>
      <c r="CI46" s="145" t="inlineStr">
        <is>
          <t>17%</t>
        </is>
      </c>
      <c r="CJ46" s="145" t="inlineStr">
        <is>
          <t>24%</t>
        </is>
      </c>
      <c r="CK46"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L46" s="149" t="inlineStr">
        <is>
          <t>Profitable schedule (Aug 2026): +1yr ≈10% / +2yr ≈17% / +3yr ≈24% of configuration price. Calibrated for ~45–55% gross margin after expected robotics claim incidence (~10–14%/yr of covered units), avg claim cost ~25–30% of config, and admin 10–15% of premium. Benchmarks: DJI Care ~10%/yr, CE service contracts ~20% multi-year, target loss ratio 45–60%.</t>
        </is>
      </c>
      <c r="CM46" s="145" t="inlineStr">
        <is>
          <t>12 months limited / contract-dependent</t>
        </is>
      </c>
    </row>
  </sheetData>
  <autoFilter ref="A4:CK29">
    <sortState ref="A5:CK29">
      <sortCondition ref="A5:A29" customList=""/>
    </sortState>
  </autoFilter>
  <mergeCells count="13">
    <mergeCell ref="AH3:AP3"/>
    <mergeCell ref="BP3:BU3"/>
    <mergeCell ref="A2:L2"/>
    <mergeCell ref="AQ3:AY3"/>
    <mergeCell ref="BK3:BO3"/>
    <mergeCell ref="AZ3:BJ3"/>
    <mergeCell ref="A1:L1"/>
    <mergeCell ref="BZ3:CK3"/>
    <mergeCell ref="A3:M3"/>
    <mergeCell ref="AE3:AG3"/>
    <mergeCell ref="BV3:BY3"/>
    <mergeCell ref="N3:S3"/>
    <mergeCell ref="T3:AD3"/>
  </mergeCells>
  <printOptions horizontalCentered="0" verticalCentered="0" headings="0" gridLines="0" gridLinesSet="1"/>
  <pageMargins left="0.75" right="0.75" top="1" bottom="1" header="0.5" footer="0.5"/>
  <pageSetup orientation="landscape" paperSize="3" scale="100" fitToHeight="0" fitToWidth="1" pageOrder="downThenOver" blackAndWhite="0" draft="0" horizontalDpi="300" verticalDpi="300" copies="1"/>
  <headerFooter differentOddEven="0" differentFirst="0">
    <oddHeader>&amp;LThe Official Robot™</oddHeader>
    <oddFooter>&amp;LSEA / MARINE ROBOTIC PLATFORMS&amp;RConfidential  |  August 2026</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filterMode="0">
    <outlinePr summaryBelow="1" summaryRight="1"/>
    <pageSetUpPr fitToPage="0"/>
  </sheetPr>
  <dimension ref="A1:D139"/>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101" min="1" max="1"/>
    <col width="42" customWidth="1" style="101" min="2" max="2"/>
    <col width="88" customWidth="1" style="101" min="3" max="3"/>
    <col width="8" customWidth="1" style="101" min="4" max="4"/>
  </cols>
  <sheetData>
    <row r="1" ht="27.75" customHeight="1" s="102">
      <c r="A1" s="166" t="inlineStr">
        <is>
          <t>COLUMN DICTIONARY (WITH UNITS)</t>
        </is>
      </c>
    </row>
    <row r="2" ht="15" customHeight="1" s="102">
      <c r="A2" s="167" t="inlineStr">
        <is>
          <t>HUMANOID COMPARISON SHEET (11 Sep 2026): store.html humanoid specs use a fixed 44-field Amazon-style table (General, Dimensions, Performance, Power, Manipulation, Sensing, Compute, Mechanical, Commercial). Missing published values display as Not disclosed. Workbook columns remain the system of record with SI + US units. store.html #miniSpecs uses the same 6-field snapshot for every humanoid (Height, Weight, DOF, Payload, Max Speed, Battery / Runtime). store.html #sumIdeal uses the Ideal For sentence; #summaryHighlights uses four Amazon-style feature bullets (Origin &amp; status, Manipulation/Performance, Sensing &amp; software, Buying notes) and no longer repeats the mini-spec tiles. store.html #sumIdeal now shows Unique Summary — a 1–2 sentence description of each robot’s most distinctive traits — not an Ideal for line. Companionoid, aerial, marine, and hand platforms now use locked Amazon-style spec sheets (same keys on every row of that type; Not disclosed when the OEM is silent), matching the humanoid treatment. Bio / History is the platform origin story shown above the spec table (store.html specsIntro).</t>
        </is>
      </c>
    </row>
    <row r="4" ht="15" customHeight="1" s="102">
      <c r="A4" s="168" t="inlineStr">
        <is>
          <t>Group</t>
        </is>
      </c>
      <c r="B4" s="168" t="inlineStr">
        <is>
          <t>Column (with units)</t>
        </is>
      </c>
      <c r="C4" s="168" t="inlineStr">
        <is>
          <t>Definition</t>
        </is>
      </c>
      <c r="D4" s="168" t="inlineStr">
        <is>
          <t>#</t>
        </is>
      </c>
    </row>
    <row r="5" ht="27.75" customHeight="1" s="102">
      <c r="A5" s="169" t="inlineStr">
        <is>
          <t>IDENTITY</t>
        </is>
      </c>
      <c r="B5" s="170" t="inlineStr">
        <is>
          <t>Website ID</t>
        </is>
      </c>
      <c r="C5" s="126" t="inlineStr">
        <is>
          <t>JS key in store.html ROBOTS. Blank if not yet on theofficialrobot.com.</t>
        </is>
      </c>
      <c r="D5" s="171" t="n">
        <v>1</v>
      </c>
    </row>
    <row r="6" ht="27.75" customHeight="1" s="102">
      <c r="A6" s="169" t="inlineStr">
        <is>
          <t>IDENTITY</t>
        </is>
      </c>
      <c r="B6" s="172" t="inlineStr">
        <is>
          <t>Catalog Source</t>
        </is>
      </c>
      <c r="C6" s="173" t="inlineStr">
        <is>
          <t>Website = store catalog only; Humanoid.guide = newly ingested; Both = merged.</t>
        </is>
      </c>
      <c r="D6" s="174" t="n">
        <v>2</v>
      </c>
    </row>
    <row r="7" ht="27.75" customHeight="1" s="102">
      <c r="A7" s="169" t="inlineStr">
        <is>
          <t>IDENTITY</t>
        </is>
      </c>
      <c r="B7" s="170" t="inlineStr">
        <is>
          <t>Manufacturer</t>
        </is>
      </c>
      <c r="C7" s="126" t="inlineStr">
        <is>
          <t>Brand / company.</t>
        </is>
      </c>
      <c r="D7" s="171" t="n">
        <v>3</v>
      </c>
    </row>
    <row r="8" ht="27.75" customHeight="1" s="102">
      <c r="A8" s="169" t="inlineStr">
        <is>
          <t>IDENTITY</t>
        </is>
      </c>
      <c r="B8" s="172" t="inlineStr">
        <is>
          <t>Model Name</t>
        </is>
      </c>
      <c r="C8" s="173" t="inlineStr">
        <is>
          <t>Clean public model name (Humanoid.guide name when available).</t>
        </is>
      </c>
      <c r="D8" s="174" t="n">
        <v>4</v>
      </c>
    </row>
    <row r="9" ht="27.75" customHeight="1" s="102">
      <c r="A9" s="169" t="inlineStr">
        <is>
          <t>IDENTITY</t>
        </is>
      </c>
      <c r="B9" s="170" t="inlineStr">
        <is>
          <t>Model Name (Website)</t>
        </is>
      </c>
      <c r="C9" s="126" t="inlineStr">
        <is>
          <t>Store display string [Manufacturer] Model (Year).</t>
        </is>
      </c>
      <c r="D9" s="171" t="n">
        <v>5</v>
      </c>
    </row>
    <row r="10" ht="27.75" customHeight="1" s="102">
      <c r="A10" s="169" t="inlineStr">
        <is>
          <t>IDENTITY</t>
        </is>
      </c>
      <c r="B10" s="172" t="inlineStr">
        <is>
          <t>Type</t>
        </is>
      </c>
      <c r="C10" s="173" t="inlineStr">
        <is>
          <t>humanoid | campanionoid | aerial | water</t>
        </is>
      </c>
      <c r="D10" s="174" t="n">
        <v>6</v>
      </c>
    </row>
    <row r="11" ht="27.75" customHeight="1" s="102">
      <c r="A11" s="169" t="inlineStr">
        <is>
          <t>IDENTITY</t>
        </is>
      </c>
      <c r="B11" s="170" t="inlineStr">
        <is>
          <t>Country of Origin</t>
        </is>
      </c>
      <c r="C11" s="126" t="inlineStr">
        <is>
          <t>Normalized nationality / maker origin.</t>
        </is>
      </c>
      <c r="D11" s="171" t="n">
        <v>7</v>
      </c>
    </row>
    <row r="12" ht="27.75" customHeight="1" s="102">
      <c r="A12" s="169" t="inlineStr">
        <is>
          <t>IDENTITY</t>
        </is>
      </c>
      <c r="B12" s="172" t="inlineStr">
        <is>
          <t>First Year (YYYY)</t>
        </is>
      </c>
      <c r="C12" s="173" t="inlineStr">
        <is>
          <t>First public listing / reveal year when known.</t>
        </is>
      </c>
      <c r="D12" s="174" t="n">
        <v>8</v>
      </c>
    </row>
    <row r="13" ht="27.75" customHeight="1" s="102">
      <c r="A13" s="169" t="inlineStr">
        <is>
          <t>IDENTITY</t>
        </is>
      </c>
      <c r="B13" s="170" t="inlineStr">
        <is>
          <t>Approx. Cost (USD)</t>
        </is>
      </c>
      <c r="C13" s="126" t="inlineStr">
        <is>
          <t>Starting public list or store base price in USD.</t>
        </is>
      </c>
      <c r="D13" s="171" t="n">
        <v>9</v>
      </c>
    </row>
    <row r="14" ht="27.75" customHeight="1" s="102">
      <c r="A14" s="169" t="inlineStr">
        <is>
          <t>IDENTITY</t>
        </is>
      </c>
      <c r="B14" s="172" t="inlineStr">
        <is>
          <t>Price Source</t>
        </is>
      </c>
      <c r="C14" s="173" t="inlineStr">
        <is>
          <t>Website store basePrice, Humanoid.guide list, or blended.</t>
        </is>
      </c>
      <c r="D14" s="174" t="n">
        <v>10</v>
      </c>
    </row>
    <row r="15" ht="27.75" customHeight="1" s="102">
      <c r="A15" s="169" t="inlineStr">
        <is>
          <t>IDENTITY</t>
        </is>
      </c>
      <c r="B15" s="170" t="inlineStr">
        <is>
          <t>Description (1 sentence)</t>
        </is>
      </c>
      <c r="C15" s="126" t="inlineStr">
        <is>
          <t>Factual one-line description.</t>
        </is>
      </c>
      <c r="D15" s="171" t="n">
        <v>11</v>
      </c>
    </row>
    <row r="16" ht="27.75" customHeight="1" s="102">
      <c r="A16" s="169" t="inlineStr">
        <is>
          <t>IDENTITY</t>
        </is>
      </c>
      <c r="B16" s="172" t="inlineStr">
        <is>
          <t>Humanoid.guide URL</t>
        </is>
      </c>
      <c r="C16" s="173" t="inlineStr">
        <is>
          <t>Source product page on humanoid.guide.</t>
        </is>
      </c>
      <c r="D16" s="174" t="n">
        <v>12</v>
      </c>
    </row>
    <row r="17" ht="27.75" customHeight="1" s="102">
      <c r="A17" s="169" t="inlineStr">
        <is>
          <t>IDENTITY</t>
        </is>
      </c>
      <c r="B17" s="170" t="inlineStr">
        <is>
          <t>OEM Website</t>
        </is>
      </c>
      <c r="C17" s="126" t="inlineStr">
        <is>
          <t>Manufacturer site from Humanoid.guide attribute.</t>
        </is>
      </c>
      <c r="D17" s="171" t="n">
        <v>13</v>
      </c>
    </row>
    <row r="18" ht="27.75" customHeight="1" s="102">
      <c r="A18" s="175" t="inlineStr">
        <is>
          <t>PHYSICAL</t>
        </is>
      </c>
      <c r="B18" s="172" t="inlineStr">
        <is>
          <t>Height (ft in)</t>
        </is>
      </c>
      <c r="C18" s="173" t="inlineStr">
        <is>
          <t>Fully upright height, US customary.</t>
        </is>
      </c>
      <c r="D18" s="174" t="n">
        <v>14</v>
      </c>
    </row>
    <row r="19" ht="27.75" customHeight="1" s="102">
      <c r="A19" s="175" t="inlineStr">
        <is>
          <t>PHYSICAL</t>
        </is>
      </c>
      <c r="B19" s="170" t="inlineStr">
        <is>
          <t>Height (cm)</t>
        </is>
      </c>
      <c r="C19" s="126" t="inlineStr">
        <is>
          <t>Source height in centimeters (Humanoid.guide).</t>
        </is>
      </c>
      <c r="D19" s="171" t="n">
        <v>15</v>
      </c>
    </row>
    <row r="20" ht="27.75" customHeight="1" s="102">
      <c r="A20" s="175" t="inlineStr">
        <is>
          <t>PHYSICAL</t>
        </is>
      </c>
      <c r="B20" s="172" t="inlineStr">
        <is>
          <t>Weight (lb)</t>
        </is>
      </c>
      <c r="C20" s="173" t="inlineStr">
        <is>
          <t>Operating weight in pounds.</t>
        </is>
      </c>
      <c r="D20" s="174" t="n">
        <v>16</v>
      </c>
    </row>
    <row r="21" ht="27.75" customHeight="1" s="102">
      <c r="A21" s="175" t="inlineStr">
        <is>
          <t>PHYSICAL</t>
        </is>
      </c>
      <c r="B21" s="170" t="inlineStr">
        <is>
          <t>Weight (kg)</t>
        </is>
      </c>
      <c r="C21" s="126" t="inlineStr">
        <is>
          <t>Operating weight in kilograms (Humanoid.guide).</t>
        </is>
      </c>
      <c r="D21" s="171" t="n">
        <v>17</v>
      </c>
    </row>
    <row r="22" ht="27.75" customHeight="1" s="102">
      <c r="A22" s="175" t="inlineStr">
        <is>
          <t>PHYSICAL</t>
        </is>
      </c>
      <c r="B22" s="172" t="inlineStr">
        <is>
          <t>Standing Size / Envelope (in)</t>
        </is>
      </c>
      <c r="C22" s="173" t="inlineStr">
        <is>
          <t>L × W × H envelope in inches when known.</t>
        </is>
      </c>
      <c r="D22" s="174" t="n">
        <v>18</v>
      </c>
    </row>
    <row r="23" ht="27.75" customHeight="1" s="102">
      <c r="A23" s="175" t="inlineStr">
        <is>
          <t>PHYSICAL</t>
        </is>
      </c>
      <c r="B23" s="170" t="inlineStr">
        <is>
          <t>Shipping Size</t>
        </is>
      </c>
      <c r="C23" s="126" t="inlineStr">
        <is>
          <t>Packed / shipping size from Humanoid.guide.</t>
        </is>
      </c>
      <c r="D23" s="171" t="n">
        <v>19</v>
      </c>
    </row>
    <row r="24" ht="27.75" customHeight="1" s="102">
      <c r="A24" s="176" t="inlineStr">
        <is>
          <t>MOBILITY &amp; POWER</t>
        </is>
      </c>
      <c r="B24" s="172" t="inlineStr">
        <is>
          <t>Degrees of Freedom (DOF)</t>
        </is>
      </c>
      <c r="C24" s="173" t="inlineStr">
        <is>
          <t>Independent joint count, overall.</t>
        </is>
      </c>
      <c r="D24" s="174" t="n">
        <v>20</v>
      </c>
    </row>
    <row r="25" ht="27.75" customHeight="1" s="102">
      <c r="A25" s="176" t="inlineStr">
        <is>
          <t>MOBILITY &amp; POWER</t>
        </is>
      </c>
      <c r="B25" s="170" t="inlineStr">
        <is>
          <t>DOF Hands</t>
        </is>
      </c>
      <c r="C25" s="126" t="inlineStr">
        <is>
          <t>Hand / finger DOF package.</t>
        </is>
      </c>
      <c r="D25" s="171" t="n">
        <v>21</v>
      </c>
    </row>
    <row r="26" ht="27.75" customHeight="1" s="102">
      <c r="A26" s="176" t="inlineStr">
        <is>
          <t>MOBILITY &amp; POWER</t>
        </is>
      </c>
      <c r="B26" s="172" t="inlineStr">
        <is>
          <t>Payload (lb)</t>
        </is>
      </c>
      <c r="C26" s="173" t="inlineStr">
        <is>
          <t>Rated payload in pounds (converted from Strength kg when needed).</t>
        </is>
      </c>
      <c r="D26" s="174" t="n">
        <v>22</v>
      </c>
    </row>
    <row r="27" ht="27.75" customHeight="1" s="102">
      <c r="A27" s="176" t="inlineStr">
        <is>
          <t>MOBILITY &amp; POWER</t>
        </is>
      </c>
      <c r="B27" s="170" t="inlineStr">
        <is>
          <t>Strength (kg)</t>
        </is>
      </c>
      <c r="C27" s="126" t="inlineStr">
        <is>
          <t>Humanoid.guide Strength [kg] (lift / payload class).</t>
        </is>
      </c>
      <c r="D27" s="171" t="n">
        <v>23</v>
      </c>
    </row>
    <row r="28" ht="27.75" customHeight="1" s="102">
      <c r="A28" s="176" t="inlineStr">
        <is>
          <t>MOBILITY &amp; POWER</t>
        </is>
      </c>
      <c r="B28" s="172" t="inlineStr">
        <is>
          <t>Max Speed (mph)</t>
        </is>
      </c>
      <c r="C28" s="173" t="inlineStr">
        <is>
          <t>Peak speed in miles per hour.</t>
        </is>
      </c>
      <c r="D28" s="174" t="n">
        <v>24</v>
      </c>
    </row>
    <row r="29" ht="27.75" customHeight="1" s="102">
      <c r="A29" s="176" t="inlineStr">
        <is>
          <t>MOBILITY &amp; POWER</t>
        </is>
      </c>
      <c r="B29" s="170" t="inlineStr">
        <is>
          <t>Max Speed (km/h)</t>
        </is>
      </c>
      <c r="C29" s="126" t="inlineStr">
        <is>
          <t>Peak speed in km/h (Humanoid.guide).</t>
        </is>
      </c>
      <c r="D29" s="171" t="n">
        <v>25</v>
      </c>
    </row>
    <row r="30" ht="27.75" customHeight="1" s="102">
      <c r="A30" s="176" t="inlineStr">
        <is>
          <t>MOBILITY &amp; POWER</t>
        </is>
      </c>
      <c r="B30" s="172" t="inlineStr">
        <is>
          <t>Walking Speed (km/h)</t>
        </is>
      </c>
      <c r="C30" s="173" t="inlineStr">
        <is>
          <t>Typical walking speed.</t>
        </is>
      </c>
      <c r="D30" s="174" t="n">
        <v>26</v>
      </c>
    </row>
    <row r="31" ht="27.75" customHeight="1" s="102">
      <c r="A31" s="176" t="inlineStr">
        <is>
          <t>MOBILITY &amp; POWER</t>
        </is>
      </c>
      <c r="B31" s="170" t="inlineStr">
        <is>
          <t>Battery / Runtime (Wh / h)</t>
        </is>
      </c>
      <c r="C31" s="126" t="inlineStr">
        <is>
          <t>Energy capacity and/or runtime narrative.</t>
        </is>
      </c>
      <c r="D31" s="171" t="n">
        <v>27</v>
      </c>
    </row>
    <row r="32" ht="27.75" customHeight="1" s="102">
      <c r="A32" s="176" t="inlineStr">
        <is>
          <t>MOBILITY &amp; POWER</t>
        </is>
      </c>
      <c r="B32" s="172" t="inlineStr">
        <is>
          <t>Runtime (hours)</t>
        </is>
      </c>
      <c r="C32" s="173" t="inlineStr">
        <is>
          <t>Humanoid.guide runtime-per-charge text.</t>
        </is>
      </c>
      <c r="D32" s="174" t="n">
        <v>28</v>
      </c>
    </row>
    <row r="33" ht="27.75" customHeight="1" s="102">
      <c r="A33" s="176" t="inlineStr">
        <is>
          <t>MOBILITY &amp; POWER</t>
        </is>
      </c>
      <c r="B33" s="170" t="inlineStr">
        <is>
          <t>Flight Time (min)</t>
        </is>
      </c>
      <c r="C33" s="126" t="inlineStr">
        <is>
          <t>Aerial endurance in minutes.</t>
        </is>
      </c>
      <c r="D33" s="171" t="n">
        <v>29</v>
      </c>
    </row>
    <row r="34" ht="27.75" customHeight="1" s="102">
      <c r="A34" s="176" t="inlineStr">
        <is>
          <t>MOBILITY &amp; POWER</t>
        </is>
      </c>
      <c r="B34" s="172" t="inlineStr">
        <is>
          <t>Charging</t>
        </is>
      </c>
      <c r="C34" s="173" t="inlineStr">
        <is>
          <t>Charge / dock notes.</t>
        </is>
      </c>
      <c r="D34" s="174" t="n">
        <v>30</v>
      </c>
    </row>
    <row r="35" ht="27.75" customHeight="1" s="102">
      <c r="A35" s="177" t="inlineStr">
        <is>
          <t>HANDS &amp; MANIPULATION</t>
        </is>
      </c>
      <c r="B35" s="170" t="inlineStr">
        <is>
          <t>Hands / End-effectors</t>
        </is>
      </c>
      <c r="C35" s="126" t="inlineStr">
        <is>
          <t>Dexterous hands or grippers.</t>
        </is>
      </c>
      <c r="D35" s="171" t="n">
        <v>31</v>
      </c>
    </row>
    <row r="36" ht="27.75" customHeight="1" s="102">
      <c r="A36" s="177" t="inlineStr">
        <is>
          <t>HANDS &amp; MANIPULATION</t>
        </is>
      </c>
      <c r="B36" s="172" t="inlineStr">
        <is>
          <t>Number of Fingers</t>
        </is>
      </c>
      <c r="C36" s="173" t="inlineStr">
        <is>
          <t>Fingers per hand or total as published.</t>
        </is>
      </c>
      <c r="D36" s="174" t="n">
        <v>32</v>
      </c>
    </row>
    <row r="37" ht="27.75" customHeight="1" s="102">
      <c r="A37" s="177" t="inlineStr">
        <is>
          <t>HANDS &amp; MANIPULATION</t>
        </is>
      </c>
      <c r="B37" s="170" t="inlineStr">
        <is>
          <t>Manipulation Performance (1–4)</t>
        </is>
      </c>
      <c r="C37" s="126" t="inlineStr">
        <is>
          <t>Humanoid.guide manipulation skill score (higher is better).</t>
        </is>
      </c>
      <c r="D37" s="171" t="n">
        <v>33</v>
      </c>
    </row>
    <row r="38" ht="27.75" customHeight="1" s="102">
      <c r="A38" s="178" t="inlineStr">
        <is>
          <t>SENSING</t>
        </is>
      </c>
      <c r="B38" s="172" t="inlineStr">
        <is>
          <t>Camera / Vision</t>
        </is>
      </c>
      <c r="C38" s="173" t="inlineStr">
        <is>
          <t>Imaging / perception narrative from store catalog.</t>
        </is>
      </c>
      <c r="D38" s="174" t="n">
        <v>34</v>
      </c>
    </row>
    <row r="39" ht="27.75" customHeight="1" s="102">
      <c r="A39" s="178" t="inlineStr">
        <is>
          <t>SENSING</t>
        </is>
      </c>
      <c r="B39" s="170" t="inlineStr">
        <is>
          <t>Camera Resolution</t>
        </is>
      </c>
      <c r="C39" s="126" t="inlineStr">
        <is>
          <t>Humanoid.guide camera resolution attribute.</t>
        </is>
      </c>
      <c r="D39" s="171" t="n">
        <v>35</v>
      </c>
    </row>
    <row r="40" ht="27.75" customHeight="1" s="102">
      <c r="A40" s="178" t="inlineStr">
        <is>
          <t>SENSING</t>
        </is>
      </c>
      <c r="B40" s="172" t="inlineStr">
        <is>
          <t>Video</t>
        </is>
      </c>
      <c r="C40" s="173" t="inlineStr">
        <is>
          <t>Recording / livestream capability.</t>
        </is>
      </c>
      <c r="D40" s="174" t="n">
        <v>36</v>
      </c>
    </row>
    <row r="41" ht="27.75" customHeight="1" s="102">
      <c r="A41" s="178" t="inlineStr">
        <is>
          <t>SENSING</t>
        </is>
      </c>
      <c r="B41" s="170" t="inlineStr">
        <is>
          <t>Gimbal</t>
        </is>
      </c>
      <c r="C41" s="126" t="inlineStr">
        <is>
          <t>Stabilized camera mount (aerial).</t>
        </is>
      </c>
      <c r="D41" s="171" t="n">
        <v>37</v>
      </c>
    </row>
    <row r="42" ht="27.75" customHeight="1" s="102">
      <c r="A42" s="178" t="inlineStr">
        <is>
          <t>SENSING</t>
        </is>
      </c>
      <c r="B42" s="172" t="inlineStr">
        <is>
          <t>LiDAR</t>
        </is>
      </c>
      <c r="C42" s="173" t="inlineStr">
        <is>
          <t>LiDAR notes.</t>
        </is>
      </c>
      <c r="D42" s="174" t="n">
        <v>38</v>
      </c>
    </row>
    <row r="43" ht="27.75" customHeight="1" s="102">
      <c r="A43" s="178" t="inlineStr">
        <is>
          <t>SENSING</t>
        </is>
      </c>
      <c r="B43" s="170" t="inlineStr">
        <is>
          <t>Audio</t>
        </is>
      </c>
      <c r="C43" s="126" t="inlineStr">
        <is>
          <t>Microphone / voice hardware.</t>
        </is>
      </c>
      <c r="D43" s="171" t="n">
        <v>39</v>
      </c>
    </row>
    <row r="44" ht="27.75" customHeight="1" s="102">
      <c r="A44" s="178" t="inlineStr">
        <is>
          <t>SENSING</t>
        </is>
      </c>
      <c r="B44" s="172" t="inlineStr">
        <is>
          <t>Sensors</t>
        </is>
      </c>
      <c r="C44" s="173" t="inlineStr">
        <is>
          <t>General sensor suite.</t>
        </is>
      </c>
      <c r="D44" s="174" t="n">
        <v>40</v>
      </c>
    </row>
    <row r="45" ht="27.75" customHeight="1" s="102">
      <c r="A45" s="178" t="inlineStr">
        <is>
          <t>SENSING</t>
        </is>
      </c>
      <c r="B45" s="170" t="inlineStr">
        <is>
          <t>Tactile / Force Sensors</t>
        </is>
      </c>
      <c r="C45" s="126" t="inlineStr">
        <is>
          <t>Humanoid.guide tactile/force attribute.</t>
        </is>
      </c>
      <c r="D45" s="171" t="n">
        <v>41</v>
      </c>
    </row>
    <row r="46" ht="27.75" customHeight="1" s="102">
      <c r="A46" s="178" t="inlineStr">
        <is>
          <t>SENSING</t>
        </is>
      </c>
      <c r="B46" s="172" t="inlineStr">
        <is>
          <t>Obstacle Sensing</t>
        </is>
      </c>
      <c r="C46" s="173" t="inlineStr">
        <is>
          <t>Obstacle avoidance systems.</t>
        </is>
      </c>
      <c r="D46" s="174" t="n">
        <v>42</v>
      </c>
    </row>
    <row r="47" ht="27.75" customHeight="1" s="102">
      <c r="A47" s="179" t="inlineStr">
        <is>
          <t>COMPUTE &amp; SOFTWARE</t>
        </is>
      </c>
      <c r="B47" s="170" t="inlineStr">
        <is>
          <t>Compute (TOPS / class)</t>
        </is>
      </c>
      <c r="C47" s="126" t="inlineStr">
        <is>
          <t>Onboard compute class from store catalog.</t>
        </is>
      </c>
      <c r="D47" s="171" t="n">
        <v>43</v>
      </c>
    </row>
    <row r="48" ht="27.75" customHeight="1" s="102">
      <c r="A48" s="179" t="inlineStr">
        <is>
          <t>COMPUTE &amp; SOFTWARE</t>
        </is>
      </c>
      <c r="B48" s="172" t="inlineStr">
        <is>
          <t>CPU / GPU</t>
        </is>
      </c>
      <c r="C48" s="173" t="inlineStr">
        <is>
          <t>Humanoid.guide CPU/GPU attribute.</t>
        </is>
      </c>
      <c r="D48" s="174" t="n">
        <v>44</v>
      </c>
    </row>
    <row r="49" ht="27.75" customHeight="1" s="102">
      <c r="A49" s="179" t="inlineStr">
        <is>
          <t>COMPUTE &amp; SOFTWARE</t>
        </is>
      </c>
      <c r="B49" s="170" t="inlineStr">
        <is>
          <t>Connectivity</t>
        </is>
      </c>
      <c r="C49" s="126" t="inlineStr">
        <is>
          <t>Radios, ports, enterprise integration.</t>
        </is>
      </c>
      <c r="D49" s="171" t="n">
        <v>45</v>
      </c>
    </row>
    <row r="50" ht="27.75" customHeight="1" s="102">
      <c r="A50" s="179" t="inlineStr">
        <is>
          <t>COMPUTE &amp; SOFTWARE</t>
        </is>
      </c>
      <c r="B50" s="172" t="inlineStr">
        <is>
          <t>Control Interface</t>
        </is>
      </c>
      <c r="C50" s="173" t="inlineStr">
        <is>
          <t>Apps / RC / SDK / GCS.</t>
        </is>
      </c>
      <c r="D50" s="174" t="n">
        <v>46</v>
      </c>
    </row>
    <row r="51" ht="27.75" customHeight="1" s="102">
      <c r="A51" s="179" t="inlineStr">
        <is>
          <t>COMPUTE &amp; SOFTWARE</t>
        </is>
      </c>
      <c r="B51" s="170" t="inlineStr">
        <is>
          <t>Navigation</t>
        </is>
      </c>
      <c r="C51" s="126" t="inlineStr">
        <is>
          <t>Locomotion or flight stack notes.</t>
        </is>
      </c>
      <c r="D51" s="171" t="n">
        <v>47</v>
      </c>
    </row>
    <row r="52" ht="27.75" customHeight="1" s="102">
      <c r="A52" s="179" t="inlineStr">
        <is>
          <t>COMPUTE &amp; SOFTWARE</t>
        </is>
      </c>
      <c r="B52" s="172" t="inlineStr">
        <is>
          <t>Navigation Performance (1–4)</t>
        </is>
      </c>
      <c r="C52" s="173" t="inlineStr">
        <is>
          <t>Humanoid.guide navigation skill score (higher is better).</t>
        </is>
      </c>
      <c r="D52" s="174" t="n">
        <v>48</v>
      </c>
    </row>
    <row r="53" ht="27.75" customHeight="1" s="102">
      <c r="A53" s="179" t="inlineStr">
        <is>
          <t>COMPUTE &amp; SOFTWARE</t>
        </is>
      </c>
      <c r="B53" s="170" t="inlineStr">
        <is>
          <t>Operating System</t>
        </is>
      </c>
      <c r="C53" s="126" t="inlineStr">
        <is>
          <t>Onboard / fleet OS.</t>
        </is>
      </c>
      <c r="D53" s="171" t="n">
        <v>49</v>
      </c>
    </row>
    <row r="54" ht="27.75" customHeight="1" s="102">
      <c r="A54" s="179" t="inlineStr">
        <is>
          <t>COMPUTE &amp; SOFTWARE</t>
        </is>
      </c>
      <c r="B54" s="172" t="inlineStr">
        <is>
          <t>LLM Integration</t>
        </is>
      </c>
      <c r="C54" s="173" t="inlineStr">
        <is>
          <t>Language / VLA / embodied-AI stack.</t>
        </is>
      </c>
      <c r="D54" s="174" t="n">
        <v>50</v>
      </c>
    </row>
    <row r="55" ht="27.75" customHeight="1" s="102">
      <c r="A55" s="179" t="inlineStr">
        <is>
          <t>COMPUTE &amp; SOFTWARE</t>
        </is>
      </c>
      <c r="B55" s="170" t="inlineStr">
        <is>
          <t>Latency Glass-to-Action</t>
        </is>
      </c>
      <c r="C55" s="126" t="inlineStr">
        <is>
          <t>Perception-to-actuation latency notes.</t>
        </is>
      </c>
      <c r="D55" s="171" t="n">
        <v>51</v>
      </c>
    </row>
    <row r="56" ht="27.75" customHeight="1" s="102">
      <c r="A56" s="180" t="inlineStr">
        <is>
          <t>MECHANICAL</t>
        </is>
      </c>
      <c r="B56" s="172" t="inlineStr">
        <is>
          <t>Motor Tech</t>
        </is>
      </c>
      <c r="C56" s="173" t="inlineStr">
        <is>
          <t>Actuator / motor architecture.</t>
        </is>
      </c>
      <c r="D56" s="174" t="n">
        <v>52</v>
      </c>
    </row>
    <row r="57" ht="27.75" customHeight="1" s="102">
      <c r="A57" s="180" t="inlineStr">
        <is>
          <t>MECHANICAL</t>
        </is>
      </c>
      <c r="B57" s="170" t="inlineStr">
        <is>
          <t>Gear Tech</t>
        </is>
      </c>
      <c r="C57" s="126" t="inlineStr">
        <is>
          <t>Transmission / gearing.</t>
        </is>
      </c>
      <c r="D57" s="171" t="n">
        <v>53</v>
      </c>
    </row>
    <row r="58" ht="27.75" customHeight="1" s="102">
      <c r="A58" s="180" t="inlineStr">
        <is>
          <t>MECHANICAL</t>
        </is>
      </c>
      <c r="B58" s="172" t="inlineStr">
        <is>
          <t>Main Structural Material</t>
        </is>
      </c>
      <c r="C58" s="173" t="inlineStr">
        <is>
          <t>Primary structure materials.</t>
        </is>
      </c>
      <c r="D58" s="174" t="n">
        <v>54</v>
      </c>
    </row>
    <row r="59" ht="27.75" customHeight="1" s="102">
      <c r="A59" s="180" t="inlineStr">
        <is>
          <t>MECHANICAL</t>
        </is>
      </c>
      <c r="B59" s="170" t="inlineStr">
        <is>
          <t>IP Rating (IPxx)</t>
        </is>
      </c>
      <c r="C59" s="126" t="inlineStr">
        <is>
          <t>Normalized ingress protection code.</t>
        </is>
      </c>
      <c r="D59" s="171" t="n">
        <v>55</v>
      </c>
    </row>
    <row r="60" ht="27.75" customHeight="1" s="102">
      <c r="A60" s="180" t="inlineStr">
        <is>
          <t>MECHANICAL</t>
        </is>
      </c>
      <c r="B60" s="172" t="inlineStr">
        <is>
          <t>Ingress Protection</t>
        </is>
      </c>
      <c r="C60" s="173" t="inlineStr">
        <is>
          <t>Raw Humanoid.guide ingress attribute.</t>
        </is>
      </c>
      <c r="D60" s="174" t="n">
        <v>56</v>
      </c>
    </row>
    <row r="61" ht="27.75" customHeight="1" s="102">
      <c r="A61" s="180" t="inlineStr">
        <is>
          <t>MECHANICAL</t>
        </is>
      </c>
      <c r="B61" s="170" t="inlineStr">
        <is>
          <t>Depth Rating (ft)</t>
        </is>
      </c>
      <c r="C61" s="126" t="inlineStr">
        <is>
          <t>Marine operating depth in feet.</t>
        </is>
      </c>
      <c r="D61" s="171" t="n">
        <v>57</v>
      </c>
    </row>
    <row r="62" ht="27.75" customHeight="1" s="102">
      <c r="A62" s="180" t="inlineStr">
        <is>
          <t>MECHANICAL</t>
        </is>
      </c>
      <c r="B62" s="172" t="inlineStr">
        <is>
          <t>Range / Link (mi)</t>
        </is>
      </c>
      <c r="C62" s="173" t="inlineStr">
        <is>
          <t>Transmission range in miles.</t>
        </is>
      </c>
      <c r="D62" s="174" t="n">
        <v>58</v>
      </c>
    </row>
    <row r="63" ht="27.75" customHeight="1" s="102">
      <c r="A63" s="180" t="inlineStr">
        <is>
          <t>MECHANICAL</t>
        </is>
      </c>
      <c r="B63" s="170" t="inlineStr">
        <is>
          <t>Lights</t>
        </is>
      </c>
      <c r="C63" s="126" t="inlineStr">
        <is>
          <t>Illumination modules.</t>
        </is>
      </c>
      <c r="D63" s="171" t="n">
        <v>59</v>
      </c>
    </row>
    <row r="64" ht="27.75" customHeight="1" s="102">
      <c r="A64" s="180" t="inlineStr">
        <is>
          <t>MECHANICAL</t>
        </is>
      </c>
      <c r="B64" s="172" t="inlineStr">
        <is>
          <t>Thrusters</t>
        </is>
      </c>
      <c r="C64" s="173" t="inlineStr">
        <is>
          <t>Marine propulsion.</t>
        </is>
      </c>
      <c r="D64" s="174" t="n">
        <v>60</v>
      </c>
    </row>
    <row r="65" ht="27.75" customHeight="1" s="102">
      <c r="A65" s="180" t="inlineStr">
        <is>
          <t>MECHANICAL</t>
        </is>
      </c>
      <c r="B65" s="170" t="inlineStr">
        <is>
          <t>Tether</t>
        </is>
      </c>
      <c r="C65" s="126" t="inlineStr">
        <is>
          <t>ROV tether notes.</t>
        </is>
      </c>
      <c r="D65" s="171" t="n">
        <v>61</v>
      </c>
    </row>
    <row r="66" ht="27.75" customHeight="1" s="102">
      <c r="A66" s="180" t="inlineStr">
        <is>
          <t>MECHANICAL</t>
        </is>
      </c>
      <c r="B66" s="172" t="inlineStr">
        <is>
          <t>Protection</t>
        </is>
      </c>
      <c r="C66" s="173" t="inlineStr">
        <is>
          <t>Environmental protection narrative.</t>
        </is>
      </c>
      <c r="D66" s="174" t="n">
        <v>62</v>
      </c>
    </row>
    <row r="67" ht="27.75" customHeight="1" s="102">
      <c r="A67" s="181" t="inlineStr">
        <is>
          <t>CAPABILITIES</t>
        </is>
      </c>
      <c r="B67" s="170" t="inlineStr">
        <is>
          <t>Safe with Humans</t>
        </is>
      </c>
      <c r="C67" s="126" t="inlineStr">
        <is>
          <t>Collaborative / human-safe rating as published.</t>
        </is>
      </c>
      <c r="D67" s="171" t="n">
        <v>63</v>
      </c>
    </row>
    <row r="68" ht="27.75" customHeight="1" s="102">
      <c r="A68" s="181" t="inlineStr">
        <is>
          <t>CAPABILITIES</t>
        </is>
      </c>
      <c r="B68" s="172" t="inlineStr">
        <is>
          <t>Capable of Rising After Fall</t>
        </is>
      </c>
      <c r="C68" s="173" t="inlineStr">
        <is>
          <t>Get-up-after-fall capability when published.</t>
        </is>
      </c>
      <c r="D68" s="174" t="n">
        <v>64</v>
      </c>
    </row>
    <row r="69" ht="27.75" customHeight="1" s="102">
      <c r="A69" s="181" t="inlineStr">
        <is>
          <t>CAPABILITIES</t>
        </is>
      </c>
      <c r="B69" s="170" t="inlineStr">
        <is>
          <t>Capabilities / Skills Summary</t>
        </is>
      </c>
      <c r="C69" s="126" t="inlineStr">
        <is>
          <t>Combined capability narrative (market + scores + LLM + mobility).</t>
        </is>
      </c>
      <c r="D69" s="171" t="n">
        <v>65</v>
      </c>
    </row>
    <row r="70" ht="27.75" customHeight="1" s="102">
      <c r="A70" s="181" t="inlineStr">
        <is>
          <t>CAPABILITIES</t>
        </is>
      </c>
      <c r="B70" s="172" t="inlineStr">
        <is>
          <t>Operating Environment</t>
        </is>
      </c>
      <c r="C70" s="173" t="inlineStr">
        <is>
          <t>Indoor / outdoor / industrial class.</t>
        </is>
      </c>
      <c r="D70" s="174" t="n">
        <v>66</v>
      </c>
    </row>
    <row r="71" ht="27.75" customHeight="1" s="102">
      <c r="A71" s="181" t="inlineStr">
        <is>
          <t>CAPABILITIES</t>
        </is>
      </c>
      <c r="B71" s="170" t="inlineStr">
        <is>
          <t>Primary Use / Main Market</t>
        </is>
      </c>
      <c r="C71" s="126" t="inlineStr">
        <is>
          <t>Use categories and Humanoid.guide main market.</t>
        </is>
      </c>
      <c r="D71" s="171" t="n">
        <v>67</v>
      </c>
    </row>
    <row r="72" ht="27.75" customHeight="1" s="102">
      <c r="A72" s="182" t="inlineStr">
        <is>
          <t>COMMERCIAL</t>
        </is>
      </c>
      <c r="B72" s="172" t="inlineStr">
        <is>
          <t>Commercial Status</t>
        </is>
      </c>
      <c r="C72" s="173" t="inlineStr">
        <is>
          <t>Normalized availability status.</t>
        </is>
      </c>
      <c r="D72" s="174" t="n">
        <v>68</v>
      </c>
    </row>
    <row r="73" ht="27.75" customHeight="1" s="102">
      <c r="A73" s="182" t="inlineStr">
        <is>
          <t>COMMERCIAL</t>
        </is>
      </c>
      <c r="B73" s="170" t="inlineStr">
        <is>
          <t>Availability (HG)</t>
        </is>
      </c>
      <c r="C73" s="126" t="inlineStr">
        <is>
          <t>Raw Humanoid.guide availability term.</t>
        </is>
      </c>
      <c r="D73" s="171" t="n">
        <v>69</v>
      </c>
    </row>
    <row r="74" ht="27.75" customHeight="1" s="102">
      <c r="A74" s="182" t="inlineStr">
        <is>
          <t>COMMERCIAL</t>
        </is>
      </c>
      <c r="B74" s="172" t="inlineStr">
        <is>
          <t>Color Options (HG)</t>
        </is>
      </c>
      <c r="C74" s="173" t="inlineStr">
        <is>
          <t>Published colorways.</t>
        </is>
      </c>
      <c r="D74" s="174" t="n">
        <v>70</v>
      </c>
    </row>
    <row r="75" ht="27.75" customHeight="1" s="102">
      <c r="A75" s="182" t="inlineStr">
        <is>
          <t>COMMERCIAL</t>
        </is>
      </c>
      <c r="B75" s="170" t="inlineStr">
        <is>
          <t>Verified (HG)</t>
        </is>
      </c>
      <c r="C75" s="126" t="inlineStr">
        <is>
          <t>Humanoid.guide manufacturer-verification flag.</t>
        </is>
      </c>
      <c r="D75" s="171" t="n">
        <v>71</v>
      </c>
    </row>
    <row r="76" ht="27.75" customHeight="1" s="102">
      <c r="A76" s="182" t="inlineStr">
        <is>
          <t>COMMERCIAL</t>
        </is>
      </c>
      <c r="B76" s="172" t="inlineStr">
        <is>
          <t>Notes</t>
        </is>
      </c>
      <c r="C76" s="173" t="inlineStr">
        <is>
          <t>Additional technical notes.</t>
        </is>
      </c>
      <c r="D76" s="174" t="n">
        <v>72</v>
      </c>
    </row>
    <row r="77" ht="27.75" customHeight="1" s="102">
      <c r="A77" s="182" t="inlineStr">
        <is>
          <t>COMMERCIAL</t>
        </is>
      </c>
      <c r="B77" s="170" t="inlineStr">
        <is>
          <t>Bullet Highlights</t>
        </is>
      </c>
      <c r="C77" s="126" t="inlineStr">
        <is>
          <t>Website card bullets (pipe-separated).</t>
        </is>
      </c>
      <c r="D77" s="171" t="n">
        <v>73</v>
      </c>
    </row>
    <row r="78" ht="27.75" customHeight="1" s="102">
      <c r="A78" s="183" t="inlineStr">
        <is>
          <t>MARKETPLACE CONFIGURATOR</t>
        </is>
      </c>
      <c r="B78" s="172" t="inlineStr">
        <is>
          <t>Variants (id|name|price|desc)</t>
        </is>
      </c>
      <c r="C78" s="173" t="inlineStr">
        <is>
          <t>Configurator Step 3 tiers from store.html.</t>
        </is>
      </c>
      <c r="D78" s="174" t="n">
        <v>74</v>
      </c>
    </row>
    <row r="79" ht="27.75" customHeight="1" s="102">
      <c r="A79" s="183" t="inlineStr">
        <is>
          <t>MARKETPLACE CONFIGURATOR</t>
        </is>
      </c>
      <c r="B79" s="170" t="inlineStr">
        <is>
          <t>Colors (id|name|hex|premium)</t>
        </is>
      </c>
      <c r="C79" s="126" t="inlineStr">
        <is>
          <t>Configurator Step 4 colorways from store.html.</t>
        </is>
      </c>
      <c r="D79" s="171" t="n">
        <v>75</v>
      </c>
    </row>
    <row r="80" ht="27.75" customHeight="1" s="102">
      <c r="A80" s="183" t="inlineStr">
        <is>
          <t>MARKETPLACE CONFIGURATOR</t>
        </is>
      </c>
      <c r="B80" s="172" t="inlineStr">
        <is>
          <t>Platform Add-ons (IDs)</t>
        </is>
      </c>
      <c r="C80" s="173" t="inlineStr">
        <is>
          <t>Addon IDs resolved against store.html ADDONS.</t>
        </is>
      </c>
      <c r="D80" s="174" t="n">
        <v>76</v>
      </c>
    </row>
    <row r="81" ht="27.75" customHeight="1" s="102">
      <c r="A81" s="183" t="inlineStr">
        <is>
          <t>MARKETPLACE CONFIGURATOR</t>
        </is>
      </c>
      <c r="B81" s="170" t="inlineStr">
        <is>
          <t>Key Upgrades / Accessories Summary</t>
        </is>
      </c>
      <c r="C81" s="126" t="inlineStr">
        <is>
          <t>Human-readable configurator summary.</t>
        </is>
      </c>
      <c r="D81" s="171" t="n">
        <v>77</v>
      </c>
    </row>
    <row r="82" ht="27.75" customHeight="1" s="102">
      <c r="A82" s="184" t="inlineStr">
        <is>
          <t>WARRANTY &amp; PROTECTION PLANS</t>
        </is>
      </c>
      <c r="B82" s="172" t="inlineStr">
        <is>
          <t>Manufacturer Warranty (label)</t>
        </is>
      </c>
      <c r="C82" s="173" t="inlineStr">
        <is>
          <t>Standard OEM warranty label.</t>
        </is>
      </c>
      <c r="D82" s="174" t="n">
        <v>78</v>
      </c>
    </row>
    <row r="83" ht="27.75" customHeight="1" s="102">
      <c r="A83" s="184" t="inlineStr">
        <is>
          <t>WARRANTY &amp; PROTECTION PLANS</t>
        </is>
      </c>
      <c r="B83" s="170" t="inlineStr">
        <is>
          <t>Manufacturer Warranty (months)</t>
        </is>
      </c>
      <c r="C83" s="126" t="inlineStr">
        <is>
          <t>Standard OEM warranty duration in months.</t>
        </is>
      </c>
      <c r="D83" s="171" t="n">
        <v>79</v>
      </c>
    </row>
    <row r="84" ht="27.75" customHeight="1" s="102">
      <c r="A84" s="184" t="inlineStr">
        <is>
          <t>WARRANTY &amp; PROTECTION PLANS</t>
        </is>
      </c>
      <c r="B84" s="172" t="inlineStr">
        <is>
          <t>Default Extended Warranty</t>
        </is>
      </c>
      <c r="C84" s="173" t="inlineStr">
        <is>
          <t>Default TOR extended plan in the configurator.</t>
        </is>
      </c>
      <c r="D84" s="174" t="n">
        <v>80</v>
      </c>
    </row>
    <row r="85" ht="27.75" customHeight="1" s="102">
      <c r="A85" s="184" t="inlineStr">
        <is>
          <t>WARRANTY &amp; PROTECTION PLANS</t>
        </is>
      </c>
      <c r="B85" s="170" t="inlineStr">
        <is>
          <t>Warranty Source</t>
        </is>
      </c>
      <c r="C85" s="126" t="inlineStr">
        <is>
          <t>Basis used for the warranty determination.</t>
        </is>
      </c>
      <c r="D85" s="171" t="n">
        <v>81</v>
      </c>
    </row>
    <row r="86" ht="27.75" customHeight="1" s="102">
      <c r="A86" s="184" t="inlineStr">
        <is>
          <t>WARRANTY &amp; PROTECTION PLANS</t>
        </is>
      </c>
      <c r="B86" s="172" t="inlineStr">
        <is>
          <t>Warranty Confidence</t>
        </is>
      </c>
      <c r="C86" s="173" t="inlineStr">
        <is>
          <t>Documented | High | Estimated.</t>
        </is>
      </c>
      <c r="D86" s="174" t="n">
        <v>82</v>
      </c>
    </row>
    <row r="87" ht="27.75" customHeight="1" s="102">
      <c r="A87" s="184" t="inlineStr">
        <is>
          <t>WARRANTY &amp; PROTECTION PLANS</t>
        </is>
      </c>
      <c r="B87" s="170" t="inlineStr">
        <is>
          <t>Warranty Notes</t>
        </is>
      </c>
      <c r="C87" s="126" t="inlineStr">
        <is>
          <t>Exclusions, contract dependency, accessories.</t>
        </is>
      </c>
      <c r="D87" s="171" t="n">
        <v>83</v>
      </c>
    </row>
    <row r="88" ht="27.75" customHeight="1" s="102">
      <c r="A88" s="184" t="inlineStr">
        <is>
          <t>WARRANTY &amp; PROTECTION PLANS</t>
        </is>
      </c>
      <c r="B88" s="172" t="inlineStr">
        <is>
          <t>Extended Warranty +1yr (% of config)</t>
        </is>
      </c>
      <c r="C88" s="173" t="inlineStr">
        <is>
          <t>10% of selected configuration price.</t>
        </is>
      </c>
      <c r="D88" s="174" t="n">
        <v>84</v>
      </c>
    </row>
    <row r="89" ht="27.75" customHeight="1" s="102">
      <c r="A89" s="184" t="inlineStr">
        <is>
          <t>WARRANTY &amp; PROTECTION PLANS</t>
        </is>
      </c>
      <c r="B89" s="170" t="inlineStr">
        <is>
          <t>Extended Warranty +2yr (% of config)</t>
        </is>
      </c>
      <c r="C89" s="126" t="inlineStr">
        <is>
          <t>17% of configuration.</t>
        </is>
      </c>
      <c r="D89" s="171" t="n">
        <v>85</v>
      </c>
    </row>
    <row r="90" ht="27.75" customHeight="1" s="102">
      <c r="A90" s="184" t="inlineStr">
        <is>
          <t>WARRANTY &amp; PROTECTION PLANS</t>
        </is>
      </c>
      <c r="B90" s="172" t="inlineStr">
        <is>
          <t>Extended Warranty +3yr (% of config)</t>
        </is>
      </c>
      <c r="C90" s="173" t="inlineStr">
        <is>
          <t>24% of configuration (default).</t>
        </is>
      </c>
      <c r="D90" s="174" t="n">
        <v>86</v>
      </c>
    </row>
    <row r="91" ht="27.75" customHeight="1" s="102">
      <c r="A91" s="184" t="inlineStr">
        <is>
          <t>WARRANTY &amp; PROTECTION PLANS</t>
        </is>
      </c>
      <c r="B91" s="170" t="inlineStr">
        <is>
          <t>Extended Warranty Options</t>
        </is>
      </c>
      <c r="C91" s="126" t="inlineStr">
        <is>
          <t>Optional +1 / +2 / +3 year packages.</t>
        </is>
      </c>
      <c r="D91" s="171" t="n">
        <v>87</v>
      </c>
    </row>
    <row r="92" ht="27.75" customHeight="1" s="102">
      <c r="A92" s="184" t="inlineStr">
        <is>
          <t>WARRANTY &amp; PROTECTION PLANS</t>
        </is>
      </c>
      <c r="B92" s="172" t="inlineStr">
        <is>
          <t>Extended Warranty Pricing Rationale</t>
        </is>
      </c>
      <c r="C92" s="173" t="inlineStr">
        <is>
          <t>Aug 2026 profitable schedule methodology.</t>
        </is>
      </c>
      <c r="D92" s="174" t="n">
        <v>88</v>
      </c>
    </row>
    <row r="93" ht="27.75" customHeight="1" s="102">
      <c r="A93" s="184" t="inlineStr">
        <is>
          <t>WARRANTY &amp; PROTECTION PLANS</t>
        </is>
      </c>
      <c r="B93" s="170" t="inlineStr">
        <is>
          <t>Warranty</t>
        </is>
      </c>
      <c r="C93" s="126" t="inlineStr">
        <is>
          <t>Legacy combined warranty narrative.</t>
        </is>
      </c>
      <c r="D93" s="171" t="n">
        <v>89</v>
      </c>
    </row>
    <row r="95" ht="17.25" customHeight="1" s="102">
      <c r="A95" s="185" t="inlineStr">
        <is>
          <t>HANDS SHEET COLUMNS (08_Hands)</t>
        </is>
      </c>
    </row>
    <row r="96" ht="15" customHeight="1" s="102">
      <c r="A96" s="168" t="inlineStr">
        <is>
          <t>Group</t>
        </is>
      </c>
      <c r="B96" s="168" t="inlineStr">
        <is>
          <t>Column (with units)</t>
        </is>
      </c>
      <c r="C96" s="168" t="inlineStr">
        <is>
          <t>Definition</t>
        </is>
      </c>
      <c r="D96" s="168" t="inlineStr">
        <is>
          <t>#</t>
        </is>
      </c>
    </row>
    <row r="97" ht="25.5" customHeight="1" s="102">
      <c r="A97" s="169" t="inlineStr">
        <is>
          <t>IDENTITY</t>
        </is>
      </c>
      <c r="B97" s="170" t="inlineStr">
        <is>
          <t>Website ID</t>
        </is>
      </c>
      <c r="C97" s="126" t="inlineStr">
        <is>
          <t>Future store.html key. Format hand_{humanoid.guide slug}.</t>
        </is>
      </c>
      <c r="D97" s="171" t="n">
        <v>1</v>
      </c>
    </row>
    <row r="98" ht="25.5" customHeight="1" s="102">
      <c r="A98" s="169" t="inlineStr">
        <is>
          <t>IDENTITY</t>
        </is>
      </c>
      <c r="B98" s="172" t="inlineStr">
        <is>
          <t>Catalog Source</t>
        </is>
      </c>
      <c r="C98" s="173" t="inlineStr">
        <is>
          <t>Humanoid.guide Hands category extract (https://humanoid.guide/hands/).</t>
        </is>
      </c>
      <c r="D98" s="174" t="n">
        <v>2</v>
      </c>
    </row>
    <row r="99" ht="25.5" customHeight="1" s="102">
      <c r="A99" s="169" t="inlineStr">
        <is>
          <t>IDENTITY</t>
        </is>
      </c>
      <c r="B99" s="170" t="inlineStr">
        <is>
          <t>Manufacturer</t>
        </is>
      </c>
      <c r="C99" s="126" t="inlineStr">
        <is>
          <t>OEM / lab that publishes the hand.</t>
        </is>
      </c>
      <c r="D99" s="171" t="n">
        <v>3</v>
      </c>
    </row>
    <row r="100" ht="25.5" customHeight="1" s="102">
      <c r="A100" s="169" t="inlineStr">
        <is>
          <t>IDENTITY</t>
        </is>
      </c>
      <c r="B100" s="172" t="inlineStr">
        <is>
          <t>Model Name</t>
        </is>
      </c>
      <c r="C100" s="173" t="inlineStr">
        <is>
          <t>Public model name on humanoid.guide.</t>
        </is>
      </c>
      <c r="D100" s="174" t="n">
        <v>4</v>
      </c>
    </row>
    <row r="101" ht="25.5" customHeight="1" s="102">
      <c r="A101" s="169" t="inlineStr">
        <is>
          <t>IDENTITY</t>
        </is>
      </c>
      <c r="B101" s="170" t="inlineStr">
        <is>
          <t>Type</t>
        </is>
      </c>
      <c r="C101" s="126" t="inlineStr">
        <is>
          <t>Always hand (end-effector / dexterous manipulator).</t>
        </is>
      </c>
      <c r="D101" s="171" t="n">
        <v>5</v>
      </c>
    </row>
    <row r="102" ht="25.5" customHeight="1" s="102">
      <c r="A102" s="169" t="inlineStr">
        <is>
          <t>IDENTITY</t>
        </is>
      </c>
      <c r="B102" s="172" t="inlineStr">
        <is>
          <t>Country of Origin</t>
        </is>
      </c>
      <c r="C102" s="173" t="inlineStr">
        <is>
          <t>Normalized nationality.</t>
        </is>
      </c>
      <c r="D102" s="174" t="n">
        <v>6</v>
      </c>
    </row>
    <row r="103" ht="25.5" customHeight="1" s="102">
      <c r="A103" s="169" t="inlineStr">
        <is>
          <t>IDENTITY</t>
        </is>
      </c>
      <c r="B103" s="170" t="inlineStr">
        <is>
          <t>First Year (YYYY)</t>
        </is>
      </c>
      <c r="C103" s="126" t="inlineStr">
        <is>
          <t>Reveal / listing year when parseable from copy.</t>
        </is>
      </c>
      <c r="D103" s="171" t="n">
        <v>7</v>
      </c>
    </row>
    <row r="104" ht="25.5" customHeight="1" s="102">
      <c r="A104" s="169" t="inlineStr">
        <is>
          <t>IDENTITY</t>
        </is>
      </c>
      <c r="B104" s="172" t="inlineStr">
        <is>
          <t>Approx. Cost (USD)</t>
        </is>
      </c>
      <c r="C104" s="173" t="inlineStr">
        <is>
          <t>Humanoid.guide list price in USD.</t>
        </is>
      </c>
      <c r="D104" s="174" t="n">
        <v>8</v>
      </c>
    </row>
    <row r="105" ht="25.5" customHeight="1" s="102">
      <c r="A105" s="169" t="inlineStr">
        <is>
          <t>IDENTITY</t>
        </is>
      </c>
      <c r="B105" s="170" t="inlineStr">
        <is>
          <t>Price Source</t>
        </is>
      </c>
      <c r="C105" s="126" t="inlineStr">
        <is>
          <t>Humanoid.guide list.</t>
        </is>
      </c>
      <c r="D105" s="171" t="n">
        <v>9</v>
      </c>
    </row>
    <row r="106" ht="25.5" customHeight="1" s="102">
      <c r="A106" s="169" t="inlineStr">
        <is>
          <t>IDENTITY</t>
        </is>
      </c>
      <c r="B106" s="172" t="inlineStr">
        <is>
          <t>Description (1 sentence)</t>
        </is>
      </c>
      <c r="C106" s="173" t="inlineStr">
        <is>
          <t>Factual one-line description from the product page.</t>
        </is>
      </c>
      <c r="D106" s="174" t="n">
        <v>10</v>
      </c>
    </row>
    <row r="107" ht="25.5" customHeight="1" s="102">
      <c r="A107" s="169" t="inlineStr">
        <is>
          <t>IDENTITY</t>
        </is>
      </c>
      <c r="B107" s="170" t="inlineStr">
        <is>
          <t>Humanoid.guide URL</t>
        </is>
      </c>
      <c r="C107" s="126" t="inlineStr">
        <is>
          <t>Source product page.</t>
        </is>
      </c>
      <c r="D107" s="171" t="n">
        <v>11</v>
      </c>
    </row>
    <row r="108" ht="25.5" customHeight="1" s="102">
      <c r="A108" s="169" t="inlineStr">
        <is>
          <t>IDENTITY</t>
        </is>
      </c>
      <c r="B108" s="172" t="inlineStr">
        <is>
          <t>OEM Website</t>
        </is>
      </c>
      <c r="C108" s="173" t="inlineStr">
        <is>
          <t>Manufacturer site from the Hands attribute table.</t>
        </is>
      </c>
      <c r="D108" s="174" t="n">
        <v>12</v>
      </c>
    </row>
    <row r="109" ht="25.5" customHeight="1" s="102">
      <c r="A109" s="175" t="inlineStr">
        <is>
          <t>PHYSICAL</t>
        </is>
      </c>
      <c r="B109" s="170" t="inlineStr">
        <is>
          <t>Weight (lb)</t>
        </is>
      </c>
      <c r="C109" s="126" t="inlineStr">
        <is>
          <t>Operating weight in pounds (converted from kg / g).</t>
        </is>
      </c>
      <c r="D109" s="171" t="n">
        <v>13</v>
      </c>
    </row>
    <row r="110" ht="25.5" customHeight="1" s="102">
      <c r="A110" s="175" t="inlineStr">
        <is>
          <t>PHYSICAL</t>
        </is>
      </c>
      <c r="B110" s="172" t="inlineStr">
        <is>
          <t>Weight (kg)</t>
        </is>
      </c>
      <c r="C110" s="173" t="inlineStr">
        <is>
          <t>Operating weight in kilograms (source).</t>
        </is>
      </c>
      <c r="D110" s="174" t="n">
        <v>14</v>
      </c>
    </row>
    <row r="111" ht="25.5" customHeight="1" s="102">
      <c r="A111" s="175" t="inlineStr">
        <is>
          <t>PHYSICAL</t>
        </is>
      </c>
      <c r="B111" s="170" t="inlineStr">
        <is>
          <t>Size (published)</t>
        </is>
      </c>
      <c r="C111" s="126" t="inlineStr">
        <is>
          <t>Raw envelope string as published (usually mm).</t>
        </is>
      </c>
      <c r="D111" s="171" t="n">
        <v>15</v>
      </c>
    </row>
    <row r="112" ht="25.5" customHeight="1" s="102">
      <c r="A112" s="175" t="inlineStr">
        <is>
          <t>PHYSICAL</t>
        </is>
      </c>
      <c r="B112" s="172" t="inlineStr">
        <is>
          <t>Size / Envelope (in)</t>
        </is>
      </c>
      <c r="C112" s="173" t="inlineStr">
        <is>
          <t>Converted L × W × D in inches when three-axis mm/cm given.</t>
        </is>
      </c>
      <c r="D112" s="174" t="n">
        <v>16</v>
      </c>
    </row>
    <row r="113" ht="25.5" customHeight="1" s="102">
      <c r="A113" s="176" t="inlineStr">
        <is>
          <t>DEXTERITY</t>
        </is>
      </c>
      <c r="B113" s="170" t="inlineStr">
        <is>
          <t>Degrees of Freedom (hands)</t>
        </is>
      </c>
      <c r="C113" s="126" t="inlineStr">
        <is>
          <t>Active / published hand DOF.</t>
        </is>
      </c>
      <c r="D113" s="171" t="n">
        <v>17</v>
      </c>
    </row>
    <row r="114" ht="25.5" customHeight="1" s="102">
      <c r="A114" s="176" t="inlineStr">
        <is>
          <t>DEXTERITY</t>
        </is>
      </c>
      <c r="B114" s="172" t="inlineStr">
        <is>
          <t>Number of Fingers</t>
        </is>
      </c>
      <c r="C114" s="173" t="inlineStr">
        <is>
          <t>Digit count as published.</t>
        </is>
      </c>
      <c r="D114" s="174" t="n">
        <v>18</v>
      </c>
    </row>
    <row r="115" ht="25.5" customHeight="1" s="102">
      <c r="A115" s="176" t="inlineStr">
        <is>
          <t>DEXTERITY</t>
        </is>
      </c>
      <c r="B115" s="170" t="inlineStr">
        <is>
          <t>Payload (lb)</t>
        </is>
      </c>
      <c r="C115" s="126" t="inlineStr">
        <is>
          <t>Rated grip / lift converted from Strength [kg].</t>
        </is>
      </c>
      <c r="D115" s="171" t="n">
        <v>19</v>
      </c>
    </row>
    <row r="116" ht="25.5" customHeight="1" s="102">
      <c r="A116" s="176" t="inlineStr">
        <is>
          <t>DEXTERITY</t>
        </is>
      </c>
      <c r="B116" s="172" t="inlineStr">
        <is>
          <t>Strength (kg)</t>
        </is>
      </c>
      <c r="C116" s="173" t="inlineStr">
        <is>
          <t>Humanoid.guide Strength [kg] (grip or payload class).</t>
        </is>
      </c>
      <c r="D116" s="174" t="n">
        <v>20</v>
      </c>
    </row>
    <row r="117" ht="25.5" customHeight="1" s="102">
      <c r="A117" s="178" t="inlineStr">
        <is>
          <t>SENSING</t>
        </is>
      </c>
      <c r="B117" s="170" t="inlineStr">
        <is>
          <t>Tactile / Force Sensors</t>
        </is>
      </c>
      <c r="C117" s="126" t="inlineStr">
        <is>
          <t>Yes / No / detail collapsed to Yes-No.</t>
        </is>
      </c>
      <c r="D117" s="171" t="n">
        <v>21</v>
      </c>
    </row>
    <row r="118" ht="25.5" customHeight="1" s="102">
      <c r="A118" s="178" t="inlineStr">
        <is>
          <t>SENSING</t>
        </is>
      </c>
      <c r="B118" s="172" t="inlineStr">
        <is>
          <t>Tactile Detail</t>
        </is>
      </c>
      <c r="C118" s="173" t="inlineStr">
        <is>
          <t>Raw tactile/force attribute text.</t>
        </is>
      </c>
      <c r="D118" s="174" t="n">
        <v>22</v>
      </c>
    </row>
    <row r="119" ht="25.5" customHeight="1" s="102">
      <c r="A119" s="180" t="inlineStr">
        <is>
          <t>MECHANICAL</t>
        </is>
      </c>
      <c r="B119" s="170" t="inlineStr">
        <is>
          <t>Motor Tech</t>
        </is>
      </c>
      <c r="C119" s="126" t="inlineStr">
        <is>
          <t>Actuator architecture.</t>
        </is>
      </c>
      <c r="D119" s="171" t="n">
        <v>23</v>
      </c>
    </row>
    <row r="120" ht="25.5" customHeight="1" s="102">
      <c r="A120" s="180" t="inlineStr">
        <is>
          <t>MECHANICAL</t>
        </is>
      </c>
      <c r="B120" s="172" t="inlineStr">
        <is>
          <t>Main Structural Material</t>
        </is>
      </c>
      <c r="C120" s="173" t="inlineStr">
        <is>
          <t>Primary structure / skin materials.</t>
        </is>
      </c>
      <c r="D120" s="174" t="n">
        <v>24</v>
      </c>
    </row>
    <row r="121" ht="25.5" customHeight="1" s="102">
      <c r="A121" s="181" t="inlineStr">
        <is>
          <t>CAPABILITIES</t>
        </is>
      </c>
      <c r="B121" s="170" t="inlineStr">
        <is>
          <t>Capabilities / Skills Summary</t>
        </is>
      </c>
      <c r="C121" s="126" t="inlineStr">
        <is>
          <t>Concatenated dexterity, tactile, actuation, and mass notes.</t>
        </is>
      </c>
      <c r="D121" s="171" t="n">
        <v>25</v>
      </c>
    </row>
    <row r="122" ht="25.5" customHeight="1" s="102">
      <c r="A122" s="181" t="inlineStr">
        <is>
          <t>CAPABILITIES</t>
        </is>
      </c>
      <c r="B122" s="172" t="inlineStr">
        <is>
          <t>Primary Use / Main Market</t>
        </is>
      </c>
      <c r="C122" s="173" t="inlineStr">
        <is>
          <t>Inferred use class from description (research, prosthetic, industrial, humanoid OEM).</t>
        </is>
      </c>
      <c r="D122" s="174" t="n">
        <v>26</v>
      </c>
    </row>
    <row r="123" ht="25.5" customHeight="1" s="102">
      <c r="A123" s="182" t="inlineStr">
        <is>
          <t>COMMERCIAL</t>
        </is>
      </c>
      <c r="B123" s="170" t="inlineStr">
        <is>
          <t>Availability (HG)</t>
        </is>
      </c>
      <c r="C123" s="126" t="inlineStr">
        <is>
          <t>Raw Humanoid.guide availability.</t>
        </is>
      </c>
      <c r="D123" s="171" t="n">
        <v>27</v>
      </c>
    </row>
    <row r="124" ht="25.5" customHeight="1" s="102">
      <c r="A124" s="182" t="inlineStr">
        <is>
          <t>COMMERCIAL</t>
        </is>
      </c>
      <c r="B124" s="172" t="inlineStr">
        <is>
          <t>Commercial Status</t>
        </is>
      </c>
      <c r="C124" s="173" t="inlineStr">
        <is>
          <t>Normalized availability.</t>
        </is>
      </c>
      <c r="D124" s="174" t="n">
        <v>28</v>
      </c>
    </row>
    <row r="125" ht="25.5" customHeight="1" s="102">
      <c r="A125" s="182" t="inlineStr">
        <is>
          <t>COMMERCIAL</t>
        </is>
      </c>
      <c r="B125" s="170" t="inlineStr">
        <is>
          <t>Notes</t>
        </is>
      </c>
      <c r="C125" s="126" t="inlineStr">
        <is>
          <t>Parser notes (weight ranges, dual listings).</t>
        </is>
      </c>
      <c r="D125" s="171" t="n">
        <v>29</v>
      </c>
    </row>
    <row r="126" ht="25.5" customHeight="1" s="102">
      <c r="A126" s="184" t="inlineStr">
        <is>
          <t>WARRANTY &amp; PROTECTION PLANS</t>
        </is>
      </c>
      <c r="B126" s="172" t="inlineStr">
        <is>
          <t>Manufacturer Warranty (label)</t>
        </is>
      </c>
      <c r="C126" s="173" t="inlineStr">
        <is>
          <t>Default 12-month component norm until OEM quote.</t>
        </is>
      </c>
      <c r="D126" s="174" t="n">
        <v>30</v>
      </c>
    </row>
    <row r="127" ht="25.5" customHeight="1" s="102">
      <c r="A127" s="184" t="inlineStr">
        <is>
          <t>WARRANTY &amp; PROTECTION PLANS</t>
        </is>
      </c>
      <c r="B127" s="170" t="inlineStr">
        <is>
          <t>Manufacturer Warranty (months)</t>
        </is>
      </c>
      <c r="C127" s="126" t="inlineStr">
        <is>
          <t>12 unless an OEM sheet is later confirmed.</t>
        </is>
      </c>
      <c r="D127" s="171" t="n">
        <v>31</v>
      </c>
    </row>
    <row r="128" ht="25.5" customHeight="1" s="102">
      <c r="A128" s="184" t="inlineStr">
        <is>
          <t>WARRANTY &amp; PROTECTION PLANS</t>
        </is>
      </c>
      <c r="B128" s="172" t="inlineStr">
        <is>
          <t>Default Extended Warranty</t>
        </is>
      </c>
      <c r="C128" s="173" t="inlineStr">
        <is>
          <t>+3 Year Extended ≈24% of configuration (configurator default).</t>
        </is>
      </c>
      <c r="D128" s="174" t="n">
        <v>32</v>
      </c>
    </row>
    <row r="129" ht="25.5" customHeight="1" s="102">
      <c r="A129" s="184" t="inlineStr">
        <is>
          <t>WARRANTY &amp; PROTECTION PLANS</t>
        </is>
      </c>
      <c r="B129" s="170" t="inlineStr">
        <is>
          <t>Warranty Source</t>
        </is>
      </c>
      <c r="C129" s="126" t="inlineStr">
        <is>
          <t>Category norm for dexterous end-effectors, Aug 2026.</t>
        </is>
      </c>
      <c r="D129" s="171" t="n">
        <v>33</v>
      </c>
    </row>
    <row r="130" ht="25.5" customHeight="1" s="102">
      <c r="A130" s="184" t="inlineStr">
        <is>
          <t>WARRANTY &amp; PROTECTION PLANS</t>
        </is>
      </c>
      <c r="B130" s="172" t="inlineStr">
        <is>
          <t>Warranty Confidence</t>
        </is>
      </c>
      <c r="C130" s="173" t="inlineStr">
        <is>
          <t>Estimated until an OEM certificate is on file.</t>
        </is>
      </c>
      <c r="D130" s="174" t="n">
        <v>34</v>
      </c>
    </row>
    <row r="131" ht="25.5" customHeight="1" s="102">
      <c r="A131" s="184" t="inlineStr">
        <is>
          <t>WARRANTY &amp; PROTECTION PLANS</t>
        </is>
      </c>
      <c r="B131" s="170" t="inlineStr">
        <is>
          <t>Warranty Notes</t>
        </is>
      </c>
      <c r="C131" s="126" t="inlineStr">
        <is>
          <t>Confirm wear items (skins, tendons, tactile skins) on formal quote.</t>
        </is>
      </c>
      <c r="D131" s="171" t="n">
        <v>35</v>
      </c>
    </row>
    <row r="132" ht="25.5" customHeight="1" s="102">
      <c r="A132" s="184" t="inlineStr">
        <is>
          <t>WARRANTY &amp; PROTECTION PLANS</t>
        </is>
      </c>
      <c r="B132" s="172" t="inlineStr">
        <is>
          <t>Extended Warranty +1yr (% of config)</t>
        </is>
      </c>
      <c r="C132" s="173" t="inlineStr">
        <is>
          <t>10% of selected configuration price.</t>
        </is>
      </c>
      <c r="D132" s="174" t="n">
        <v>36</v>
      </c>
    </row>
    <row r="133" ht="25.5" customHeight="1" s="102">
      <c r="A133" s="184" t="inlineStr">
        <is>
          <t>WARRANTY &amp; PROTECTION PLANS</t>
        </is>
      </c>
      <c r="B133" s="170" t="inlineStr">
        <is>
          <t>Extended Warranty +2yr (% of config)</t>
        </is>
      </c>
      <c r="C133" s="126" t="inlineStr">
        <is>
          <t>17% of configuration.</t>
        </is>
      </c>
      <c r="D133" s="171" t="n">
        <v>37</v>
      </c>
    </row>
    <row r="134" ht="25.5" customHeight="1" s="102">
      <c r="A134" s="184" t="inlineStr">
        <is>
          <t>WARRANTY &amp; PROTECTION PLANS</t>
        </is>
      </c>
      <c r="B134" s="172" t="inlineStr">
        <is>
          <t>Extended Warranty +3yr (% of config)</t>
        </is>
      </c>
      <c r="C134" s="173" t="inlineStr">
        <is>
          <t>24% of configuration (default).</t>
        </is>
      </c>
      <c r="D134" s="174" t="n">
        <v>38</v>
      </c>
    </row>
    <row r="135" ht="25.5" customHeight="1" s="102">
      <c r="A135" s="184" t="inlineStr">
        <is>
          <t>WARRANTY &amp; PROTECTION PLANS</t>
        </is>
      </c>
      <c r="B135" s="170" t="inlineStr">
        <is>
          <t>Extended Warranty Options</t>
        </is>
      </c>
      <c r="C135" s="126" t="inlineStr">
        <is>
          <t>+1 / +2 / +3 year packages at 10 / 17 / 24%.</t>
        </is>
      </c>
      <c r="D135" s="171" t="n">
        <v>39</v>
      </c>
    </row>
    <row r="136" ht="25.5" customHeight="1" s="102">
      <c r="A136" s="184" t="inlineStr">
        <is>
          <t>WARRANTY &amp; PROTECTION PLANS</t>
        </is>
      </c>
      <c r="B136" s="172" t="inlineStr">
        <is>
          <t>Extended Warranty Pricing Rationale</t>
        </is>
      </c>
      <c r="C136" s="173" t="inlineStr">
        <is>
          <t>Same profitable schedule used across the TOR catalog.</t>
        </is>
      </c>
      <c r="D136" s="174" t="n">
        <v>40</v>
      </c>
    </row>
    <row r="137">
      <c r="A137" s="203" t="inlineStr">
        <is>
          <t>EXTERNAL DIRECTORIES</t>
        </is>
      </c>
      <c r="B137" s="203" t="inlineStr">
        <is>
          <t>AIXZD URL</t>
        </is>
      </c>
      <c r="C137" s="203" t="inlineStr">
        <is>
          <t>Product page on aixzd.com (AI星踪岛 global robot directory, 644 robot posts in wp-sitemap-posts-robot-1.xml).</t>
        </is>
      </c>
      <c r="D137" s="203" t="n">
        <v>90</v>
      </c>
    </row>
    <row r="138">
      <c r="A138" s="203" t="inlineStr">
        <is>
          <t>EXTERNAL DIRECTORIES</t>
        </is>
      </c>
      <c r="B138" s="203" t="inlineStr">
        <is>
          <t>TAAFT Directory</t>
        </is>
      </c>
      <c r="C138" s="203" t="inlineStr">
        <is>
          <t>There's An AI For That /robots listing (669 robots claimed; Humanoid, Companion, Industrial filters).</t>
        </is>
      </c>
      <c r="D138" s="203" t="n">
        <v>91</v>
      </c>
    </row>
    <row r="139">
      <c r="A139" s="203" t="inlineStr">
        <is>
          <t>EXTERNAL DIRECTORIES</t>
        </is>
      </c>
      <c r="B139" s="203" t="inlineStr">
        <is>
          <t>External Directory Notes</t>
        </is>
      </c>
      <c r="C139" s="203" t="inlineStr">
        <is>
          <t>Match confidence, ingest date, and caveats when a directory lists a robot we already carry or a net-new SKU.</t>
        </is>
      </c>
      <c r="D139" s="203" t="n">
        <v>92</v>
      </c>
    </row>
  </sheetData>
  <autoFilter ref="A4:D93"/>
  <mergeCells count="3">
    <mergeCell ref="A1:D1"/>
    <mergeCell ref="A95:D95"/>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Q266"/>
  <sheetViews>
    <sheetView showFormulas="0" showGridLines="0" showRowColHeaders="1" showZeros="1" rightToLeft="0" tabSelected="0" showOutlineSymbols="1" defaultGridColor="1" view="normal" topLeftCell="A1" colorId="64" zoomScale="100" zoomScaleNormal="100" zoomScalePageLayoutView="100" workbookViewId="0">
      <pane ySplit="4" topLeftCell="A5" activePane="bottomLeft" state="frozen"/>
      <selection pane="bottom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cols>
    <col width="28" customWidth="1" style="101" min="1" max="1"/>
    <col width="26" customWidth="1" style="101" min="2" max="2"/>
    <col width="16" customWidth="1" style="101" min="3" max="3"/>
    <col width="12" customWidth="1" style="101" min="4" max="4"/>
    <col width="16" customWidth="1" style="101" min="5" max="5"/>
    <col width="22" customWidth="1" style="101" min="6" max="6"/>
    <col width="16" customWidth="1" style="101" min="7" max="10"/>
    <col width="12" customWidth="1" style="102" min="8" max="8"/>
    <col width="22" customWidth="1" style="102" min="9" max="9"/>
    <col width="12" customWidth="1" style="102" min="10" max="10"/>
    <col width="14" customWidth="1" style="101" min="11" max="12"/>
    <col width="28" customWidth="1" style="102" min="12" max="12"/>
    <col width="9" customWidth="1" style="101" min="13" max="13"/>
    <col width="8" customWidth="1" style="101" min="14" max="14"/>
    <col width="16" customWidth="1" style="101" min="15" max="15"/>
    <col width="28" customWidth="1" style="102" min="16" max="16"/>
    <col width="44" customWidth="1" style="102" min="17" max="17"/>
  </cols>
  <sheetData>
    <row r="1" ht="24" customHeight="1" s="102">
      <c r="A1" s="208" t="inlineStr">
        <is>
          <t>HUMANOID INDEX  ·  QUICK SCAN</t>
        </is>
      </c>
    </row>
    <row r="2" ht="28" customHeight="1" s="102">
      <c r="A2" s="209" t="inlineStr">
        <is>
          <t>Amazon-style mini-spec snapshot used by store.html #miniSpecs: Height, Weight, DOF, Payload, Max Speed, Battery / Runtime. Full specs live on 02_Humanoid.</t>
        </is>
      </c>
    </row>
    <row r="3">
      <c r="A3" s="210" t="n"/>
      <c r="B3" s="210" t="n"/>
      <c r="C3" s="210" t="n"/>
      <c r="D3" s="210" t="n"/>
      <c r="E3" s="210" t="n"/>
      <c r="F3" s="210" t="n"/>
      <c r="G3" s="210" t="n"/>
      <c r="H3" s="210" t="n"/>
      <c r="I3" s="210" t="n"/>
      <c r="J3" s="210" t="n"/>
      <c r="K3" s="210" t="n"/>
      <c r="L3" s="210" t="n"/>
      <c r="M3" s="210" t="n"/>
      <c r="N3" s="210" t="n"/>
      <c r="O3" s="210" t="n"/>
      <c r="P3" s="210" t="n"/>
      <c r="Q3" s="210" t="n"/>
    </row>
    <row r="4" ht="28" customHeight="1" s="102">
      <c r="A4" s="211" t="inlineStr">
        <is>
          <t>Manufacturer</t>
        </is>
      </c>
      <c r="B4" s="211" t="inlineStr">
        <is>
          <t>Model Name</t>
        </is>
      </c>
      <c r="C4" s="211" t="inlineStr">
        <is>
          <t>Country of Origin</t>
        </is>
      </c>
      <c r="D4" s="211" t="inlineStr">
        <is>
          <t>First Year (YYYY)</t>
        </is>
      </c>
      <c r="E4" s="211" t="inlineStr">
        <is>
          <t>Approx. Cost (USD)</t>
        </is>
      </c>
      <c r="F4" s="211" t="inlineStr">
        <is>
          <t>Availability (HG)</t>
        </is>
      </c>
      <c r="G4" s="211" t="inlineStr">
        <is>
          <t>Height (ft in)</t>
        </is>
      </c>
      <c r="H4" s="211" t="inlineStr">
        <is>
          <t>Weight (lb)</t>
        </is>
      </c>
      <c r="I4" s="211" t="inlineStr">
        <is>
          <t>DOF</t>
        </is>
      </c>
      <c r="J4" s="211" t="inlineStr">
        <is>
          <t>Payload (lb)</t>
        </is>
      </c>
      <c r="K4" s="211" t="inlineStr">
        <is>
          <t>Max Speed (mph)</t>
        </is>
      </c>
      <c r="L4" s="211" t="inlineStr">
        <is>
          <t>Battery / Runtime</t>
        </is>
      </c>
      <c r="M4" s="211" t="inlineStr">
        <is>
          <t>Manip.</t>
        </is>
      </c>
      <c r="N4" s="211" t="inlineStr">
        <is>
          <t>Nav.</t>
        </is>
      </c>
      <c r="O4" s="211" t="inlineStr">
        <is>
          <t>Catalog Source</t>
        </is>
      </c>
      <c r="P4" s="211" t="inlineStr">
        <is>
          <t>Website ID</t>
        </is>
      </c>
      <c r="Q4" s="211" t="inlineStr">
        <is>
          <t>Humanoid.guide URL</t>
        </is>
      </c>
    </row>
    <row r="5" ht="18" customHeight="1" s="102">
      <c r="A5" s="212" t="inlineStr">
        <is>
          <t>1X Technologies</t>
        </is>
      </c>
      <c r="B5" s="212" t="inlineStr">
        <is>
          <t>1X NEO</t>
        </is>
      </c>
      <c r="C5" s="212" t="inlineStr">
        <is>
          <t>USA</t>
        </is>
      </c>
      <c r="D5" s="212" t="n">
        <v>2026</v>
      </c>
      <c r="E5" s="213" t="n">
        <v>20000</v>
      </c>
      <c r="F5" s="212" t="inlineStr">
        <is>
          <t>Prototype</t>
        </is>
      </c>
      <c r="G5" s="212" t="inlineStr">
        <is>
          <t>≈ 5 ft 6 in</t>
        </is>
      </c>
      <c r="H5" s="212" t="n">
        <v>66.09999999999999</v>
      </c>
      <c r="I5" s="212" t="inlineStr">
        <is>
          <t>≈ 75 total (hands ≈ 22×2 class)</t>
        </is>
      </c>
      <c r="J5" s="212" t="n">
        <v>154.3</v>
      </c>
      <c r="K5" s="212" t="n">
        <v>13.67</v>
      </c>
      <c r="L5" s="212" t="inlineStr">
        <is>
          <t>≈ 842 Wh · ≈ 4 h class</t>
        </is>
      </c>
      <c r="M5" s="212" t="n">
        <v>3</v>
      </c>
      <c r="N5" s="212" t="n">
        <v>3</v>
      </c>
      <c r="O5" s="212" t="inlineStr">
        <is>
          <t>Both</t>
        </is>
      </c>
      <c r="P5" s="212" t="inlineStr">
        <is>
          <t>neo</t>
        </is>
      </c>
      <c r="Q5" s="212" t="inlineStr">
        <is>
          <t>https://humanoid.guide/product/neo/</t>
        </is>
      </c>
    </row>
    <row r="6" ht="18" customHeight="1" s="102">
      <c r="A6" s="214" t="inlineStr">
        <is>
          <t>1X Technologies</t>
        </is>
      </c>
      <c r="B6" s="214" t="inlineStr">
        <is>
          <t>NEO Beta</t>
        </is>
      </c>
      <c r="C6" s="214" t="inlineStr">
        <is>
          <t>USA</t>
        </is>
      </c>
      <c r="D6" s="214" t="n">
        <v>2023</v>
      </c>
      <c r="E6" s="215" t="n">
        <v>75000</v>
      </c>
      <c r="F6" s="214" t="inlineStr">
        <is>
          <t>Prototype</t>
        </is>
      </c>
      <c r="G6" s="214" t="inlineStr">
        <is>
          <t>5 ft 5 in</t>
        </is>
      </c>
      <c r="H6" s="214" t="n">
        <v>66.09999999999999</v>
      </c>
      <c r="I6" s="214" t="inlineStr">
        <is>
          <t>55</t>
        </is>
      </c>
      <c r="J6" s="214" t="n">
        <v>43.9</v>
      </c>
      <c r="K6" s="214" t="n">
        <v>7.46</v>
      </c>
      <c r="L6" s="214" t="inlineStr">
        <is>
          <t>≈ 4 hours</t>
        </is>
      </c>
      <c r="M6" s="214" t="n">
        <v>3</v>
      </c>
      <c r="N6" s="214" t="n">
        <v>3</v>
      </c>
      <c r="O6" s="214" t="inlineStr">
        <is>
          <t>Humanoid.guide</t>
        </is>
      </c>
      <c r="P6" s="214" t="inlineStr">
        <is>
          <t>h_1x_technologies_neo_beta</t>
        </is>
      </c>
      <c r="Q6" s="214" t="inlineStr">
        <is>
          <t>https://humanoid.guide/product/neo-beta/</t>
        </is>
      </c>
    </row>
    <row r="7" ht="18" customHeight="1" s="102">
      <c r="A7" s="212" t="inlineStr">
        <is>
          <t>1X Technologies</t>
        </is>
      </c>
      <c r="B7" s="212" t="inlineStr">
        <is>
          <t>NEO Gamma</t>
        </is>
      </c>
      <c r="C7" s="212" t="inlineStr">
        <is>
          <t>USA</t>
        </is>
      </c>
      <c r="D7" s="212" t="n"/>
      <c r="E7" s="213" t="n">
        <v>20000</v>
      </c>
      <c r="F7" s="212" t="inlineStr">
        <is>
          <t>Prototype</t>
        </is>
      </c>
      <c r="G7" s="212" t="inlineStr">
        <is>
          <t>5 ft 5 in</t>
        </is>
      </c>
      <c r="H7" s="212" t="n">
        <v>77.2</v>
      </c>
      <c r="I7" s="212" t="inlineStr">
        <is>
          <t>25</t>
        </is>
      </c>
      <c r="J7" s="212" t="n">
        <v>33.1</v>
      </c>
      <c r="K7" s="212" t="n">
        <v>3.11</v>
      </c>
      <c r="L7" s="216" t="inlineStr">
        <is>
          <t>Not disclosed</t>
        </is>
      </c>
      <c r="M7" s="212" t="n">
        <v>3</v>
      </c>
      <c r="N7" s="212" t="n">
        <v>3</v>
      </c>
      <c r="O7" s="212" t="inlineStr">
        <is>
          <t>Humanoid.guide</t>
        </is>
      </c>
      <c r="P7" s="212" t="inlineStr">
        <is>
          <t>h_1x_technologies_neo_gamma</t>
        </is>
      </c>
      <c r="Q7" s="212" t="inlineStr">
        <is>
          <t>https://humanoid.guide/product/neo-gamma/</t>
        </is>
      </c>
    </row>
    <row r="8" ht="18" customHeight="1" s="102">
      <c r="A8" s="214" t="inlineStr">
        <is>
          <t>AEI Robot</t>
        </is>
      </c>
      <c r="B8" s="214" t="inlineStr">
        <is>
          <t>Alice</t>
        </is>
      </c>
      <c r="C8" s="214" t="inlineStr">
        <is>
          <t>China</t>
        </is>
      </c>
      <c r="D8" s="214" t="n"/>
      <c r="E8" s="215" t="n">
        <v>65000</v>
      </c>
      <c r="F8" s="214" t="inlineStr">
        <is>
          <t>Prototype</t>
        </is>
      </c>
      <c r="G8" s="214" t="inlineStr">
        <is>
          <t>5 ft 2 in</t>
        </is>
      </c>
      <c r="H8" s="214" t="n">
        <v>110.2</v>
      </c>
      <c r="I8" s="214" t="inlineStr">
        <is>
          <t>31</t>
        </is>
      </c>
      <c r="J8" s="214" t="n">
        <v>22</v>
      </c>
      <c r="K8" s="214" t="n">
        <v>1.86</v>
      </c>
      <c r="L8" s="214" t="inlineStr">
        <is>
          <t>≈ 1.5 hours</t>
        </is>
      </c>
      <c r="M8" s="214" t="n">
        <v>2</v>
      </c>
      <c r="N8" s="214" t="n">
        <v>2</v>
      </c>
      <c r="O8" s="214" t="inlineStr">
        <is>
          <t>Humanoid.guide</t>
        </is>
      </c>
      <c r="P8" s="214" t="inlineStr">
        <is>
          <t>aei_robot_alice</t>
        </is>
      </c>
      <c r="Q8" s="214" t="inlineStr">
        <is>
          <t>https://humanoid.guide/product/alice/</t>
        </is>
      </c>
    </row>
    <row r="9" ht="18" customHeight="1" s="102">
      <c r="A9" s="212" t="inlineStr">
        <is>
          <t>AEI Robot</t>
        </is>
      </c>
      <c r="B9" s="212" t="inlineStr">
        <is>
          <t>Alice M1</t>
        </is>
      </c>
      <c r="C9" s="212" t="inlineStr">
        <is>
          <t>South Korea</t>
        </is>
      </c>
      <c r="D9" s="212" t="n"/>
      <c r="E9" s="213" t="n">
        <v>45000</v>
      </c>
      <c r="F9" s="212" t="inlineStr">
        <is>
          <t>In Production / Industrial Deployment</t>
        </is>
      </c>
      <c r="G9" s="212" t="inlineStr">
        <is>
          <t>4 ft 3 in</t>
        </is>
      </c>
      <c r="H9" s="212" t="n">
        <v>213.8</v>
      </c>
      <c r="I9" s="212" t="inlineStr">
        <is>
          <t>31</t>
        </is>
      </c>
      <c r="J9" s="212" t="n">
        <v>17.6</v>
      </c>
      <c r="K9" s="212" t="n">
        <v>1.86</v>
      </c>
      <c r="L9" s="212" t="inlineStr">
        <is>
          <t>~1.5 - 2.0 hours (Estimated)</t>
        </is>
      </c>
      <c r="M9" s="212" t="n"/>
      <c r="N9" s="212" t="n"/>
      <c r="O9" s="212" t="inlineStr">
        <is>
          <t>Humanoid.guide</t>
        </is>
      </c>
      <c r="P9" s="212" t="inlineStr">
        <is>
          <t>aei_robot_alice_m1</t>
        </is>
      </c>
      <c r="Q9" s="212" t="inlineStr">
        <is>
          <t>https://humanoid.guide/product/alice-m1/</t>
        </is>
      </c>
    </row>
    <row r="10" ht="18" customHeight="1" s="102">
      <c r="A10" s="214" t="inlineStr">
        <is>
          <t>AgiBot</t>
        </is>
      </c>
      <c r="B10" s="214" t="inlineStr">
        <is>
          <t>A2</t>
        </is>
      </c>
      <c r="C10" s="214" t="inlineStr">
        <is>
          <t>China</t>
        </is>
      </c>
      <c r="D10" s="214" t="n"/>
      <c r="E10" s="215" t="n">
        <v>44560</v>
      </c>
      <c r="F10" s="214" t="inlineStr">
        <is>
          <t>Prototype</t>
        </is>
      </c>
      <c r="G10" s="214" t="inlineStr">
        <is>
          <t>5 ft 7 in</t>
        </is>
      </c>
      <c r="H10" s="214" t="n">
        <v>132.3</v>
      </c>
      <c r="I10" s="214" t="inlineStr">
        <is>
          <t>20</t>
        </is>
      </c>
      <c r="J10" s="214" t="n">
        <v>22</v>
      </c>
      <c r="K10" s="214" t="n">
        <v>2.49</v>
      </c>
      <c r="L10" s="214" t="inlineStr">
        <is>
          <t>≈ 3 hours</t>
        </is>
      </c>
      <c r="M10" s="214" t="n">
        <v>2</v>
      </c>
      <c r="N10" s="214" t="n">
        <v>2</v>
      </c>
      <c r="O10" s="214" t="inlineStr">
        <is>
          <t>Humanoid.guide</t>
        </is>
      </c>
      <c r="P10" s="214" t="inlineStr">
        <is>
          <t>agibot_a2</t>
        </is>
      </c>
      <c r="Q10" s="214" t="inlineStr">
        <is>
          <t>https://humanoid.guide/product/a2/</t>
        </is>
      </c>
    </row>
    <row r="11" ht="18" customHeight="1" s="102">
      <c r="A11" s="212" t="inlineStr">
        <is>
          <t>AgiBot</t>
        </is>
      </c>
      <c r="B11" s="212" t="inlineStr">
        <is>
          <t>A2 Max</t>
        </is>
      </c>
      <c r="C11" s="212" t="inlineStr">
        <is>
          <t>China</t>
        </is>
      </c>
      <c r="D11" s="212" t="n"/>
      <c r="E11" s="213" t="n">
        <v>80000</v>
      </c>
      <c r="F11" s="212" t="inlineStr">
        <is>
          <t>Prototype</t>
        </is>
      </c>
      <c r="G11" s="212" t="inlineStr">
        <is>
          <t>5 ft 10 in</t>
        </is>
      </c>
      <c r="H11" s="212" t="n">
        <v>187.4</v>
      </c>
      <c r="I11" s="212" t="inlineStr">
        <is>
          <t>25</t>
        </is>
      </c>
      <c r="J11" s="212" t="n">
        <v>22</v>
      </c>
      <c r="K11" s="212" t="n">
        <v>3.11</v>
      </c>
      <c r="L11" s="212" t="inlineStr">
        <is>
          <t>≈ 4 hours</t>
        </is>
      </c>
      <c r="M11" s="212" t="n">
        <v>2</v>
      </c>
      <c r="N11" s="212" t="n">
        <v>2</v>
      </c>
      <c r="O11" s="212" t="inlineStr">
        <is>
          <t>Humanoid.guide</t>
        </is>
      </c>
      <c r="P11" s="212" t="inlineStr">
        <is>
          <t>agibot_a2_max</t>
        </is>
      </c>
      <c r="Q11" s="212" t="inlineStr">
        <is>
          <t>https://humanoid.guide/product/a2-max/</t>
        </is>
      </c>
    </row>
    <row r="12" ht="18" customHeight="1" s="102">
      <c r="A12" s="214" t="inlineStr">
        <is>
          <t>AgiBot</t>
        </is>
      </c>
      <c r="B12" s="214" t="inlineStr">
        <is>
          <t>AGIBOT A2-W</t>
        </is>
      </c>
      <c r="C12" s="214" t="inlineStr">
        <is>
          <t>China</t>
        </is>
      </c>
      <c r="D12" s="214" t="n"/>
      <c r="E12" s="215" t="n">
        <v>80000</v>
      </c>
      <c r="F12" s="214" t="inlineStr">
        <is>
          <t>Limited production / pilot deployments</t>
        </is>
      </c>
      <c r="G12" s="214" t="inlineStr">
        <is>
          <t>5 ft 4 in</t>
        </is>
      </c>
      <c r="H12" s="214" t="n">
        <v>507.1</v>
      </c>
      <c r="I12" s="214" t="inlineStr">
        <is>
          <t>22</t>
        </is>
      </c>
      <c r="J12" s="214" t="n">
        <v>26.5</v>
      </c>
      <c r="K12" s="214" t="n">
        <v>0</v>
      </c>
      <c r="L12" s="214" t="inlineStr">
        <is>
          <t>≈ 5 hours</t>
        </is>
      </c>
      <c r="M12" s="214" t="n"/>
      <c r="N12" s="214" t="n"/>
      <c r="O12" s="214" t="inlineStr">
        <is>
          <t>Humanoid.guide</t>
        </is>
      </c>
      <c r="P12" s="214" t="inlineStr">
        <is>
          <t>agibot_agibot_a2_w</t>
        </is>
      </c>
      <c r="Q12" s="214" t="inlineStr">
        <is>
          <t>https://humanoid.guide/product/agibot-a2-w/</t>
        </is>
      </c>
    </row>
    <row r="13" ht="18" customHeight="1" s="102">
      <c r="A13" s="212" t="inlineStr">
        <is>
          <t>AgiBot</t>
        </is>
      </c>
      <c r="B13" s="212" t="inlineStr">
        <is>
          <t>AGIBOT A3</t>
        </is>
      </c>
      <c r="C13" s="212" t="inlineStr">
        <is>
          <t>China</t>
        </is>
      </c>
      <c r="D13" s="212" t="n"/>
      <c r="E13" s="213" t="n">
        <v>45000</v>
      </c>
      <c r="F13" s="212" t="inlineStr">
        <is>
          <t>In production</t>
        </is>
      </c>
      <c r="G13" s="212" t="inlineStr">
        <is>
          <t>5 ft 8 in</t>
        </is>
      </c>
      <c r="H13" s="212" t="n">
        <v>121.3</v>
      </c>
      <c r="I13" s="212" t="inlineStr">
        <is>
          <t>31</t>
        </is>
      </c>
      <c r="J13" s="212" t="n">
        <v>22</v>
      </c>
      <c r="K13" s="212" t="n">
        <v>11.18</v>
      </c>
      <c r="L13" s="212" t="inlineStr">
        <is>
          <t>≈ 10 hours</t>
        </is>
      </c>
      <c r="M13" s="212" t="n"/>
      <c r="N13" s="212" t="n"/>
      <c r="O13" s="212" t="inlineStr">
        <is>
          <t>Humanoid.guide</t>
        </is>
      </c>
      <c r="P13" s="212" t="inlineStr">
        <is>
          <t>agibot_agibot_a3</t>
        </is>
      </c>
      <c r="Q13" s="212" t="inlineStr">
        <is>
          <t>https://humanoid.guide/product/agibot-a3/</t>
        </is>
      </c>
    </row>
    <row r="14" ht="18" customHeight="1" s="102">
      <c r="A14" s="214" t="inlineStr">
        <is>
          <t>AgiBot</t>
        </is>
      </c>
      <c r="B14" s="214" t="inlineStr">
        <is>
          <t>AGIBOT G1</t>
        </is>
      </c>
      <c r="C14" s="214" t="inlineStr">
        <is>
          <t>China</t>
        </is>
      </c>
      <c r="D14" s="214" t="n"/>
      <c r="E14" s="215" t="n">
        <v>50000</v>
      </c>
      <c r="F14" s="214" t="inlineStr">
        <is>
          <t>Limited production / pilot deployments</t>
        </is>
      </c>
      <c r="G14" s="214" t="inlineStr">
        <is>
          <t>4 ft 3 in</t>
        </is>
      </c>
      <c r="H14" s="214" t="n">
        <v>330.7</v>
      </c>
      <c r="I14" s="214" t="inlineStr">
        <is>
          <t>26</t>
        </is>
      </c>
      <c r="J14" s="214" t="n">
        <v>26.5</v>
      </c>
      <c r="K14" s="214" t="n">
        <v>2.49</v>
      </c>
      <c r="L14" s="214" t="inlineStr">
        <is>
          <t>≈ 4 hours</t>
        </is>
      </c>
      <c r="M14" s="214" t="n"/>
      <c r="N14" s="214" t="n"/>
      <c r="O14" s="214" t="inlineStr">
        <is>
          <t>Humanoid.guide</t>
        </is>
      </c>
      <c r="P14" s="214" t="inlineStr">
        <is>
          <t>agibot_agibot_g1</t>
        </is>
      </c>
      <c r="Q14" s="214" t="inlineStr">
        <is>
          <t>https://humanoid.guide/product/agibot-g1/</t>
        </is>
      </c>
    </row>
    <row r="15" ht="18" customHeight="1" s="102">
      <c r="A15" s="212" t="inlineStr">
        <is>
          <t>AgiBot</t>
        </is>
      </c>
      <c r="B15" s="212" t="inlineStr">
        <is>
          <t>AgiBot X1</t>
        </is>
      </c>
      <c r="C15" s="212" t="inlineStr">
        <is>
          <t>China</t>
        </is>
      </c>
      <c r="D15" s="212" t="n"/>
      <c r="E15" s="213" t="n">
        <v>19499</v>
      </c>
      <c r="F15" s="212" t="inlineStr">
        <is>
          <t>Prototype</t>
        </is>
      </c>
      <c r="G15" s="212" t="inlineStr">
        <is>
          <t>4 ft 3 in</t>
        </is>
      </c>
      <c r="H15" s="212" t="n">
        <v>72.8</v>
      </c>
      <c r="I15" s="212" t="inlineStr">
        <is>
          <t>34</t>
        </is>
      </c>
      <c r="J15" s="212" t="n">
        <v>1.1</v>
      </c>
      <c r="K15" s="212" t="n">
        <v>2.24</v>
      </c>
      <c r="L15" s="212" t="inlineStr">
        <is>
          <t>≈ 2 hours</t>
        </is>
      </c>
      <c r="M15" s="212" t="n">
        <v>2</v>
      </c>
      <c r="N15" s="212" t="n">
        <v>2</v>
      </c>
      <c r="O15" s="212" t="inlineStr">
        <is>
          <t>Humanoid.guide</t>
        </is>
      </c>
      <c r="P15" s="212" t="inlineStr">
        <is>
          <t>agibot_agibot_x1</t>
        </is>
      </c>
      <c r="Q15" s="212" t="inlineStr">
        <is>
          <t>https://humanoid.guide/product/agibot-x1/</t>
        </is>
      </c>
    </row>
    <row r="16" ht="18" customHeight="1" s="102">
      <c r="A16" s="214" t="inlineStr">
        <is>
          <t>AgiBot</t>
        </is>
      </c>
      <c r="B16" s="214" t="inlineStr">
        <is>
          <t>G2 Genie</t>
        </is>
      </c>
      <c r="C16" s="214" t="inlineStr">
        <is>
          <t>China</t>
        </is>
      </c>
      <c r="D16" s="214" t="n"/>
      <c r="E16" s="215" t="n">
        <v>200000</v>
      </c>
      <c r="F16" s="214" t="inlineStr">
        <is>
          <t>Prototype</t>
        </is>
      </c>
      <c r="G16" s="214" t="inlineStr">
        <is>
          <t>5 ft 9 in</t>
        </is>
      </c>
      <c r="H16" s="214" t="n">
        <v>121.3</v>
      </c>
      <c r="I16" s="217" t="inlineStr">
        <is>
          <t>Not disclosed</t>
        </is>
      </c>
      <c r="J16" s="214" t="n">
        <v>11</v>
      </c>
      <c r="K16" s="214" t="n">
        <v>4.35</v>
      </c>
      <c r="L16" s="217" t="inlineStr">
        <is>
          <t>Not disclosed</t>
        </is>
      </c>
      <c r="M16" s="214" t="n">
        <v>3</v>
      </c>
      <c r="N16" s="214" t="n">
        <v>3</v>
      </c>
      <c r="O16" s="214" t="inlineStr">
        <is>
          <t>Humanoid.guide</t>
        </is>
      </c>
      <c r="P16" s="214" t="inlineStr">
        <is>
          <t>agibot_g2_genie</t>
        </is>
      </c>
      <c r="Q16" s="214" t="inlineStr">
        <is>
          <t>https://humanoid.guide/product/g2-genie/</t>
        </is>
      </c>
    </row>
    <row r="17" ht="18" customHeight="1" s="102">
      <c r="A17" s="212" t="inlineStr">
        <is>
          <t>AgiBot</t>
        </is>
      </c>
      <c r="B17" s="212" t="inlineStr">
        <is>
          <t>G2 Max</t>
        </is>
      </c>
      <c r="C17" s="212" t="inlineStr">
        <is>
          <t>China</t>
        </is>
      </c>
      <c r="D17" s="212" t="n"/>
      <c r="E17" s="213" t="n">
        <v>135000</v>
      </c>
      <c r="F17" s="212" t="inlineStr">
        <is>
          <t>In production</t>
        </is>
      </c>
      <c r="G17" s="212" t="inlineStr">
        <is>
          <t>5 ft 10 in</t>
        </is>
      </c>
      <c r="H17" s="212" t="n">
        <v>407.9</v>
      </c>
      <c r="I17" s="212" t="inlineStr">
        <is>
          <t>50</t>
        </is>
      </c>
      <c r="J17" s="212" t="n">
        <v>44.1</v>
      </c>
      <c r="K17" s="212" t="n">
        <v>3.36</v>
      </c>
      <c r="L17" s="212" t="inlineStr">
        <is>
          <t>≈ 4 hours</t>
        </is>
      </c>
      <c r="M17" s="212" t="n"/>
      <c r="N17" s="212" t="n"/>
      <c r="O17" s="212" t="inlineStr">
        <is>
          <t>Humanoid.guide</t>
        </is>
      </c>
      <c r="P17" s="212" t="inlineStr">
        <is>
          <t>agibot_g2_max</t>
        </is>
      </c>
      <c r="Q17" s="212" t="inlineStr">
        <is>
          <t>https://humanoid.guide/product/g2-max/</t>
        </is>
      </c>
    </row>
    <row r="18" ht="18" customHeight="1" s="102">
      <c r="A18" s="214" t="inlineStr">
        <is>
          <t>AgiBot</t>
        </is>
      </c>
      <c r="B18" s="214" t="inlineStr">
        <is>
          <t>QUESTER1 (Q1)</t>
        </is>
      </c>
      <c r="C18" s="214" t="inlineStr">
        <is>
          <t>China</t>
        </is>
      </c>
      <c r="D18" s="214" t="n"/>
      <c r="E18" s="215" t="n">
        <v>28000</v>
      </c>
      <c r="F18" s="214" t="inlineStr">
        <is>
          <t>Prototype</t>
        </is>
      </c>
      <c r="G18" s="214" t="inlineStr">
        <is>
          <t>2 ft 7 in</t>
        </is>
      </c>
      <c r="H18" s="214" t="n">
        <v>44.1</v>
      </c>
      <c r="I18" s="214" t="inlineStr">
        <is>
          <t>~24–32</t>
        </is>
      </c>
      <c r="J18" s="214" t="n">
        <v>8.800000000000001</v>
      </c>
      <c r="K18" s="214" t="n">
        <v>1.55</v>
      </c>
      <c r="L18" s="214" t="inlineStr">
        <is>
          <t>≈ 3 hours</t>
        </is>
      </c>
      <c r="M18" s="214" t="n"/>
      <c r="N18" s="214" t="n"/>
      <c r="O18" s="214" t="inlineStr">
        <is>
          <t>Humanoid.guide</t>
        </is>
      </c>
      <c r="P18" s="214" t="inlineStr">
        <is>
          <t>agibot_quester1_q1</t>
        </is>
      </c>
      <c r="Q18" s="214" t="inlineStr">
        <is>
          <t>https://humanoid.guide/product/quester1-q1/</t>
        </is>
      </c>
    </row>
    <row r="19" ht="18" customHeight="1" s="102">
      <c r="A19" s="212" t="inlineStr">
        <is>
          <t>AgiBot</t>
        </is>
      </c>
      <c r="B19" s="212" t="inlineStr">
        <is>
          <t>RAISE A1</t>
        </is>
      </c>
      <c r="C19" s="212" t="inlineStr">
        <is>
          <t>China</t>
        </is>
      </c>
      <c r="D19" s="212" t="n"/>
      <c r="E19" s="213" t="n">
        <v>30000</v>
      </c>
      <c r="F19" s="212" t="inlineStr">
        <is>
          <t>Prototype</t>
        </is>
      </c>
      <c r="G19" s="212" t="inlineStr">
        <is>
          <t>5 ft 9 in</t>
        </is>
      </c>
      <c r="H19" s="212" t="n">
        <v>121.3</v>
      </c>
      <c r="I19" s="212" t="inlineStr">
        <is>
          <t>49</t>
        </is>
      </c>
      <c r="J19" s="212" t="n">
        <v>11</v>
      </c>
      <c r="K19" s="212" t="n">
        <v>4.35</v>
      </c>
      <c r="L19" s="212" t="inlineStr">
        <is>
          <t>≈ 2 hours</t>
        </is>
      </c>
      <c r="M19" s="212" t="n">
        <v>2</v>
      </c>
      <c r="N19" s="212" t="n">
        <v>2</v>
      </c>
      <c r="O19" s="212" t="inlineStr">
        <is>
          <t>Humanoid.guide</t>
        </is>
      </c>
      <c r="P19" s="212" t="inlineStr">
        <is>
          <t>agibot_raise_a1</t>
        </is>
      </c>
      <c r="Q19" s="212" t="inlineStr">
        <is>
          <t>https://humanoid.guide/product/raise-a1/</t>
        </is>
      </c>
    </row>
    <row r="20" ht="18" customHeight="1" s="102">
      <c r="A20" s="214" t="inlineStr">
        <is>
          <t>AgiBot (Zhiyuan)</t>
        </is>
      </c>
      <c r="B20" s="214" t="inlineStr">
        <is>
          <t>A2 Lite</t>
        </is>
      </c>
      <c r="C20" s="214" t="inlineStr">
        <is>
          <t>China</t>
        </is>
      </c>
      <c r="D20" s="214" t="n">
        <v>2025</v>
      </c>
      <c r="E20" s="215" t="n">
        <v>44560</v>
      </c>
      <c r="F20" s="214" t="n"/>
      <c r="G20" s="214" t="inlineStr">
        <is>
          <t>≈ 5 ft 7 in class</t>
        </is>
      </c>
      <c r="H20" s="214" t="inlineStr">
        <is>
          <t>≈ 121–132 lb class</t>
        </is>
      </c>
      <c r="I20" s="214" t="inlineStr">
        <is>
          <t>Full-size humanoid DOF class</t>
        </is>
      </c>
      <c r="J20" s="214" t="inlineStr">
        <is>
          <t>Light commercial interaction payload class</t>
        </is>
      </c>
      <c r="K20" s="217" t="inlineStr">
        <is>
          <t>Not disclosed</t>
        </is>
      </c>
      <c r="L20" s="217" t="inlineStr">
        <is>
          <t>Not disclosed</t>
        </is>
      </c>
      <c r="M20" s="214" t="n"/>
      <c r="N20" s="214" t="n"/>
      <c r="O20" s="214" t="inlineStr">
        <is>
          <t>Website</t>
        </is>
      </c>
      <c r="P20" s="214" t="inlineStr">
        <is>
          <t>a2lite</t>
        </is>
      </c>
      <c r="Q20" s="214" t="n"/>
    </row>
    <row r="21" ht="18" customHeight="1" s="102">
      <c r="A21" s="212" t="inlineStr">
        <is>
          <t>AgiBot (Zhiyuan)</t>
        </is>
      </c>
      <c r="B21" s="212" t="inlineStr">
        <is>
          <t>AgiBot X2</t>
        </is>
      </c>
      <c r="C21" s="212" t="inlineStr">
        <is>
          <t>China</t>
        </is>
      </c>
      <c r="D21" s="212" t="n">
        <v>2025</v>
      </c>
      <c r="E21" s="213" t="n">
        <v>24240</v>
      </c>
      <c r="F21" s="212" t="inlineStr">
        <is>
          <t>In production</t>
        </is>
      </c>
      <c r="G21" s="212" t="inlineStr">
        <is>
          <t>≈ 4 ft 4 in</t>
        </is>
      </c>
      <c r="H21" s="212" t="n">
        <v>77.2</v>
      </c>
      <c r="I21" s="212" t="inlineStr">
        <is>
          <t>≈ 25–30 depending on trim</t>
        </is>
      </c>
      <c r="J21" s="212" t="n">
        <v>6.6</v>
      </c>
      <c r="K21" s="212" t="n">
        <v>3.36</v>
      </c>
      <c r="L21" s="212" t="inlineStr">
        <is>
          <t>~2 hours at 0.5 m/s walking with 500 Wh battery</t>
        </is>
      </c>
      <c r="M21" s="212" t="n">
        <v>3</v>
      </c>
      <c r="N21" s="212" t="n">
        <v>3</v>
      </c>
      <c r="O21" s="212" t="inlineStr">
        <is>
          <t>Both</t>
        </is>
      </c>
      <c r="P21" s="212" t="inlineStr">
        <is>
          <t>x2</t>
        </is>
      </c>
      <c r="Q21" s="212" t="inlineStr">
        <is>
          <t>https://humanoid.guide/product/agibot-x2/</t>
        </is>
      </c>
    </row>
    <row r="22" ht="18" customHeight="1" s="102">
      <c r="A22" s="214" t="inlineStr">
        <is>
          <t>Agile Robots SE</t>
        </is>
      </c>
      <c r="B22" s="214" t="inlineStr">
        <is>
          <t>Agile One</t>
        </is>
      </c>
      <c r="C22" s="214" t="inlineStr">
        <is>
          <t>Germany</t>
        </is>
      </c>
      <c r="D22" s="214" t="n"/>
      <c r="E22" s="215" t="n">
        <v>100000</v>
      </c>
      <c r="F22" s="214" t="inlineStr">
        <is>
          <t>Prototype</t>
        </is>
      </c>
      <c r="G22" s="214" t="inlineStr">
        <is>
          <t>5 ft 9 in</t>
        </is>
      </c>
      <c r="H22" s="214" t="n">
        <v>152.1</v>
      </c>
      <c r="I22" s="214" t="inlineStr">
        <is>
          <t>40</t>
        </is>
      </c>
      <c r="J22" s="214" t="n">
        <v>44.1</v>
      </c>
      <c r="K22" s="214" t="n">
        <v>4.47</v>
      </c>
      <c r="L22" s="214" t="inlineStr">
        <is>
          <t>≈ 3 hours</t>
        </is>
      </c>
      <c r="M22" s="214" t="n">
        <v>3</v>
      </c>
      <c r="N22" s="214" t="n">
        <v>3</v>
      </c>
      <c r="O22" s="214" t="inlineStr">
        <is>
          <t>Humanoid.guide</t>
        </is>
      </c>
      <c r="P22" s="214" t="inlineStr">
        <is>
          <t>agile_robots_se_agile_one</t>
        </is>
      </c>
      <c r="Q22" s="214" t="inlineStr">
        <is>
          <t>https://humanoid.guide/product/agile-one/</t>
        </is>
      </c>
    </row>
    <row r="23" ht="18" customHeight="1" s="102">
      <c r="A23" s="212" t="inlineStr">
        <is>
          <t>Agility Robotics</t>
        </is>
      </c>
      <c r="B23" s="212" t="inlineStr">
        <is>
          <t>Digit</t>
        </is>
      </c>
      <c r="C23" s="212" t="inlineStr">
        <is>
          <t>USA</t>
        </is>
      </c>
      <c r="D23" s="212" t="n">
        <v>2023</v>
      </c>
      <c r="E23" s="213" t="n">
        <v>250000</v>
      </c>
      <c r="F23" s="212" t="inlineStr">
        <is>
          <t>In production</t>
        </is>
      </c>
      <c r="G23" s="212" t="inlineStr">
        <is>
          <t>≈ 5 ft 9 in</t>
        </is>
      </c>
      <c r="H23" s="212" t="n">
        <v>167.6</v>
      </c>
      <c r="I23" s="212" t="inlineStr">
        <is>
          <t>≈ 28–30 total (≈ 4 DOF per arm · ≈ 6 DOF per leg class)</t>
        </is>
      </c>
      <c r="J23" s="212" t="n">
        <v>34.8</v>
      </c>
      <c r="K23" s="212" t="n">
        <v>3.36</v>
      </c>
      <c r="L23" s="212" t="inlineStr">
        <is>
          <t>≈ 3.0 kWh class · up to ≈ 4–8 h depending on duty cycle and docking</t>
        </is>
      </c>
      <c r="M23" s="212" t="n">
        <v>3</v>
      </c>
      <c r="N23" s="212" t="n">
        <v>3</v>
      </c>
      <c r="O23" s="212" t="inlineStr">
        <is>
          <t>Both</t>
        </is>
      </c>
      <c r="P23" s="212" t="inlineStr">
        <is>
          <t>digit</t>
        </is>
      </c>
      <c r="Q23" s="212" t="inlineStr">
        <is>
          <t>https://humanoid.guide/product/digit/</t>
        </is>
      </c>
    </row>
    <row r="24" ht="18" customHeight="1" s="102">
      <c r="A24" s="214" t="inlineStr">
        <is>
          <t>AKINROBOTICS</t>
        </is>
      </c>
      <c r="B24" s="214" t="inlineStr">
        <is>
          <t>AKINCI-5</t>
        </is>
      </c>
      <c r="C24" s="214" t="inlineStr">
        <is>
          <t>Turkey</t>
        </is>
      </c>
      <c r="D24" s="214" t="n"/>
      <c r="E24" s="215" t="n">
        <v>95000</v>
      </c>
      <c r="F24" s="214" t="inlineStr">
        <is>
          <t>Prototype</t>
        </is>
      </c>
      <c r="G24" s="214" t="inlineStr">
        <is>
          <t>4 ft 3 in</t>
        </is>
      </c>
      <c r="H24" s="214" t="n">
        <v>92.59999999999999</v>
      </c>
      <c r="I24" s="214" t="inlineStr">
        <is>
          <t>19</t>
        </is>
      </c>
      <c r="J24" s="214" t="n">
        <v>4.4</v>
      </c>
      <c r="K24" s="214" t="n">
        <v>2.17</v>
      </c>
      <c r="L24" s="214" t="inlineStr">
        <is>
          <t>≈ 1 hours</t>
        </is>
      </c>
      <c r="M24" s="214" t="n"/>
      <c r="N24" s="214" t="n"/>
      <c r="O24" s="214" t="inlineStr">
        <is>
          <t>Humanoid.guide</t>
        </is>
      </c>
      <c r="P24" s="214" t="inlineStr">
        <is>
          <t>akinrobotics_akinci_5</t>
        </is>
      </c>
      <c r="Q24" s="214" t="inlineStr">
        <is>
          <t>https://humanoid.guide/product/akinci-5/</t>
        </is>
      </c>
    </row>
    <row r="25" ht="18" customHeight="1" s="102">
      <c r="A25" s="212" t="inlineStr">
        <is>
          <t>Andromeda Robotics</t>
        </is>
      </c>
      <c r="B25" s="212" t="inlineStr">
        <is>
          <t>Abi</t>
        </is>
      </c>
      <c r="C25" s="212" t="inlineStr">
        <is>
          <t>Australia</t>
        </is>
      </c>
      <c r="D25" s="212" t="n"/>
      <c r="E25" s="213" t="n">
        <v>25000</v>
      </c>
      <c r="F25" s="212" t="inlineStr">
        <is>
          <t>In production</t>
        </is>
      </c>
      <c r="G25" s="212" t="inlineStr">
        <is>
          <t>3 ft 11 in</t>
        </is>
      </c>
      <c r="H25" s="212" t="n">
        <v>110.2</v>
      </c>
      <c r="I25" s="212" t="inlineStr">
        <is>
          <t>12</t>
        </is>
      </c>
      <c r="J25" s="212" t="n">
        <v>8.800000000000001</v>
      </c>
      <c r="K25" s="212" t="n">
        <v>1.86</v>
      </c>
      <c r="L25" s="212" t="inlineStr">
        <is>
          <t>≈ 2 hours</t>
        </is>
      </c>
      <c r="M25" s="212" t="n"/>
      <c r="N25" s="212" t="n"/>
      <c r="O25" s="212" t="inlineStr">
        <is>
          <t>Humanoid.guide</t>
        </is>
      </c>
      <c r="P25" s="212" t="inlineStr">
        <is>
          <t>andromeda_robotics_abi</t>
        </is>
      </c>
      <c r="Q25" s="212" t="inlineStr">
        <is>
          <t>https://humanoid.guide/product/abi/</t>
        </is>
      </c>
    </row>
    <row r="26" ht="18" customHeight="1" s="102">
      <c r="A26" s="214" t="inlineStr">
        <is>
          <t>Apptronik</t>
        </is>
      </c>
      <c r="B26" s="214" t="inlineStr">
        <is>
          <t>Apollo</t>
        </is>
      </c>
      <c r="C26" s="214" t="inlineStr">
        <is>
          <t>USA</t>
        </is>
      </c>
      <c r="D26" s="214" t="n">
        <v>2024</v>
      </c>
      <c r="E26" s="215" t="n">
        <v>50000</v>
      </c>
      <c r="F26" s="214" t="inlineStr">
        <is>
          <t>Prototype</t>
        </is>
      </c>
      <c r="G26" s="214" t="inlineStr">
        <is>
          <t>≈ 5 ft 8 in</t>
        </is>
      </c>
      <c r="H26" s="214" t="n">
        <v>158.7</v>
      </c>
      <c r="I26" s="214" t="inlineStr">
        <is>
          <t>≈ 71 total</t>
        </is>
      </c>
      <c r="J26" s="214" t="n">
        <v>54.9</v>
      </c>
      <c r="K26" s="214" t="n">
        <v>2.11</v>
      </c>
      <c r="L26" s="214" t="inlineStr">
        <is>
          <t>≈ 4 h per hot-swappable pack</t>
        </is>
      </c>
      <c r="M26" s="214" t="n">
        <v>3</v>
      </c>
      <c r="N26" s="214" t="n">
        <v>3</v>
      </c>
      <c r="O26" s="214" t="inlineStr">
        <is>
          <t>Both</t>
        </is>
      </c>
      <c r="P26" s="214" t="inlineStr">
        <is>
          <t>apollo</t>
        </is>
      </c>
      <c r="Q26" s="214" t="inlineStr">
        <is>
          <t>https://humanoid.guide/product/apollo/</t>
        </is>
      </c>
    </row>
    <row r="27" ht="18" customHeight="1" s="102">
      <c r="A27" s="212" t="inlineStr">
        <is>
          <t>Apptronik</t>
        </is>
      </c>
      <c r="B27" s="212" t="inlineStr">
        <is>
          <t>Apollo 2</t>
        </is>
      </c>
      <c r="C27" s="212" t="inlineStr">
        <is>
          <t>USA</t>
        </is>
      </c>
      <c r="D27" s="212" t="n"/>
      <c r="E27" s="213" t="n">
        <v>85000</v>
      </c>
      <c r="F27" s="212" t="inlineStr">
        <is>
          <t>Prototype</t>
        </is>
      </c>
      <c r="G27" s="212" t="inlineStr">
        <is>
          <t>5 ft 8 in</t>
        </is>
      </c>
      <c r="H27" s="212" t="n">
        <v>165.3</v>
      </c>
      <c r="I27" s="212" t="inlineStr">
        <is>
          <t>35</t>
        </is>
      </c>
      <c r="J27" s="212" t="n">
        <v>55.1</v>
      </c>
      <c r="K27" s="212" t="n">
        <v>3.11</v>
      </c>
      <c r="L27" s="212" t="inlineStr">
        <is>
          <t>≈ 4 hours</t>
        </is>
      </c>
      <c r="M27" s="212" t="n"/>
      <c r="N27" s="212" t="n"/>
      <c r="O27" s="212" t="inlineStr">
        <is>
          <t>Humanoid.guide</t>
        </is>
      </c>
      <c r="P27" s="212" t="inlineStr">
        <is>
          <t>apptronik_apollo_2</t>
        </is>
      </c>
      <c r="Q27" s="212" t="inlineStr">
        <is>
          <t>https://humanoid.guide/product/apollo-2/</t>
        </is>
      </c>
    </row>
    <row r="28" ht="18" customHeight="1" s="102">
      <c r="A28" s="214" t="inlineStr">
        <is>
          <t>Apptronik</t>
        </is>
      </c>
      <c r="B28" s="214" t="inlineStr">
        <is>
          <t>Astra</t>
        </is>
      </c>
      <c r="C28" s="214" t="inlineStr">
        <is>
          <t>USA</t>
        </is>
      </c>
      <c r="D28" s="214" t="n"/>
      <c r="E28" s="215" t="n">
        <v>45000</v>
      </c>
      <c r="F28" s="214" t="inlineStr">
        <is>
          <t>Prototype</t>
        </is>
      </c>
      <c r="G28" s="214" t="inlineStr">
        <is>
          <t>3 ft 3 in</t>
        </is>
      </c>
      <c r="H28" s="214" t="n">
        <v>55.1</v>
      </c>
      <c r="I28" s="214" t="inlineStr">
        <is>
          <t>24</t>
        </is>
      </c>
      <c r="J28" s="214" t="n">
        <v>22</v>
      </c>
      <c r="K28" s="214" t="n">
        <v>0</v>
      </c>
      <c r="L28" s="214" t="inlineStr">
        <is>
          <t>≈ 2 hours</t>
        </is>
      </c>
      <c r="M28" s="214" t="n"/>
      <c r="N28" s="214" t="n"/>
      <c r="O28" s="214" t="inlineStr">
        <is>
          <t>Humanoid.guide</t>
        </is>
      </c>
      <c r="P28" s="214" t="inlineStr">
        <is>
          <t>apptronik_astra</t>
        </is>
      </c>
      <c r="Q28" s="214" t="inlineStr">
        <is>
          <t>https://humanoid.guide/product/astra/</t>
        </is>
      </c>
    </row>
    <row r="29" ht="18" customHeight="1" s="102">
      <c r="A29" s="212" t="inlineStr">
        <is>
          <t>Apptronik</t>
        </is>
      </c>
      <c r="B29" s="212" t="inlineStr">
        <is>
          <t>QDH</t>
        </is>
      </c>
      <c r="C29" s="212" t="inlineStr">
        <is>
          <t>USA</t>
        </is>
      </c>
      <c r="D29" s="212" t="n"/>
      <c r="E29" s="213" t="n">
        <v>80000</v>
      </c>
      <c r="F29" s="212" t="inlineStr">
        <is>
          <t>Prototype</t>
        </is>
      </c>
      <c r="G29" s="212" t="inlineStr">
        <is>
          <t>5 ft 5 in</t>
        </is>
      </c>
      <c r="H29" s="212" t="n">
        <v>132.3</v>
      </c>
      <c r="I29" s="212" t="inlineStr">
        <is>
          <t>14</t>
        </is>
      </c>
      <c r="J29" s="212" t="n">
        <v>22</v>
      </c>
      <c r="K29" s="212" t="n">
        <v>1.86</v>
      </c>
      <c r="L29" s="212" t="inlineStr">
        <is>
          <t>≈ 2 hours</t>
        </is>
      </c>
      <c r="M29" s="212" t="n"/>
      <c r="N29" s="212" t="n"/>
      <c r="O29" s="212" t="inlineStr">
        <is>
          <t>Humanoid.guide</t>
        </is>
      </c>
      <c r="P29" s="212" t="inlineStr">
        <is>
          <t>apptronik_qdh</t>
        </is>
      </c>
      <c r="Q29" s="212" t="inlineStr">
        <is>
          <t>https://humanoid.guide/product/qdh/</t>
        </is>
      </c>
    </row>
    <row r="30" ht="18" customHeight="1" s="102">
      <c r="A30" s="214" t="inlineStr">
        <is>
          <t>Artificial Intelligence Dynamic Organism Lab</t>
        </is>
      </c>
      <c r="B30" s="214" t="inlineStr">
        <is>
          <t>AIDOL</t>
        </is>
      </c>
      <c r="C30" s="214" t="inlineStr">
        <is>
          <t>Russia</t>
        </is>
      </c>
      <c r="D30" s="214" t="n"/>
      <c r="E30" s="215" t="n">
        <v>60000</v>
      </c>
      <c r="F30" s="214" t="inlineStr">
        <is>
          <t>Prototype</t>
        </is>
      </c>
      <c r="G30" s="214" t="inlineStr">
        <is>
          <t>6 ft 1 in</t>
        </is>
      </c>
      <c r="H30" s="214" t="n">
        <v>209.4</v>
      </c>
      <c r="I30" s="214" t="inlineStr">
        <is>
          <t>67</t>
        </is>
      </c>
      <c r="J30" s="214" t="n">
        <v>22</v>
      </c>
      <c r="K30" s="214" t="n">
        <v>3.73</v>
      </c>
      <c r="L30" s="214" t="inlineStr">
        <is>
          <t>≈ 6 hours</t>
        </is>
      </c>
      <c r="M30" s="214" t="n">
        <v>2</v>
      </c>
      <c r="N30" s="214" t="n">
        <v>2</v>
      </c>
      <c r="O30" s="214" t="inlineStr">
        <is>
          <t>Humanoid.guide</t>
        </is>
      </c>
      <c r="P30" s="214" t="inlineStr">
        <is>
          <t>artificial_intelligence_dynamic_organism_lab_aid</t>
        </is>
      </c>
      <c r="Q30" s="214" t="inlineStr">
        <is>
          <t>https://humanoid.guide/product/aidol/</t>
        </is>
      </c>
    </row>
    <row r="31" ht="18" customHeight="1" s="102">
      <c r="A31" s="212" t="inlineStr">
        <is>
          <t>Astribot</t>
        </is>
      </c>
      <c r="B31" s="212" t="inlineStr">
        <is>
          <t>Astribot S1</t>
        </is>
      </c>
      <c r="C31" s="212" t="inlineStr">
        <is>
          <t>China</t>
        </is>
      </c>
      <c r="D31" s="212" t="n">
        <v>2025</v>
      </c>
      <c r="E31" s="213" t="n">
        <v>50000</v>
      </c>
      <c r="F31" s="212" t="inlineStr">
        <is>
          <t>In production</t>
        </is>
      </c>
      <c r="G31" s="212" t="inlineStr">
        <is>
          <t>5 ft 7 in</t>
        </is>
      </c>
      <c r="H31" s="212" t="n">
        <v>176.4</v>
      </c>
      <c r="I31" s="212" t="inlineStr">
        <is>
          <t>23</t>
        </is>
      </c>
      <c r="J31" s="212" t="n">
        <v>22</v>
      </c>
      <c r="K31" s="212" t="n">
        <v>3.73</v>
      </c>
      <c r="L31" s="212" t="inlineStr">
        <is>
          <t>4-6</t>
        </is>
      </c>
      <c r="M31" s="212" t="n"/>
      <c r="N31" s="212" t="n"/>
      <c r="O31" s="212" t="inlineStr">
        <is>
          <t>Both</t>
        </is>
      </c>
      <c r="P31" s="212" t="inlineStr">
        <is>
          <t>astribot_s1</t>
        </is>
      </c>
      <c r="Q31" s="212" t="inlineStr">
        <is>
          <t>https://humanoid.guide/product/astribot-s1/</t>
        </is>
      </c>
    </row>
    <row r="32" ht="18" customHeight="1" s="102">
      <c r="A32" s="214" t="inlineStr">
        <is>
          <t>Astribot</t>
        </is>
      </c>
      <c r="B32" s="214" t="inlineStr">
        <is>
          <t>Astribot T1</t>
        </is>
      </c>
      <c r="C32" s="214" t="inlineStr">
        <is>
          <t>China</t>
        </is>
      </c>
      <c r="D32" s="214" t="n"/>
      <c r="E32" s="215" t="n">
        <v>13500</v>
      </c>
      <c r="F32" s="214" t="inlineStr">
        <is>
          <t>In production</t>
        </is>
      </c>
      <c r="G32" s="214" t="inlineStr">
        <is>
          <t>5 ft 1 in</t>
        </is>
      </c>
      <c r="H32" s="214" t="n">
        <v>145.5</v>
      </c>
      <c r="I32" s="214" t="inlineStr">
        <is>
          <t>23</t>
        </is>
      </c>
      <c r="J32" s="214" t="n">
        <v>22</v>
      </c>
      <c r="K32" s="214" t="n">
        <v>3.11</v>
      </c>
      <c r="L32" s="214" t="inlineStr">
        <is>
          <t>4-6</t>
        </is>
      </c>
      <c r="M32" s="214" t="n"/>
      <c r="N32" s="214" t="n"/>
      <c r="O32" s="214" t="inlineStr">
        <is>
          <t>Humanoid.guide</t>
        </is>
      </c>
      <c r="P32" s="214" t="inlineStr">
        <is>
          <t>astribot_astribot_t1</t>
        </is>
      </c>
      <c r="Q32" s="214" t="inlineStr">
        <is>
          <t>https://humanoid.guide/product/astribot-t1/</t>
        </is>
      </c>
    </row>
    <row r="33" ht="18" customHeight="1" s="102">
      <c r="A33" s="212" t="inlineStr">
        <is>
          <t>Beijing Galbot AI Co., Ltd.</t>
        </is>
      </c>
      <c r="B33" s="212" t="inlineStr">
        <is>
          <t>Galbot ET1</t>
        </is>
      </c>
      <c r="C33" s="212" t="inlineStr">
        <is>
          <t>China</t>
        </is>
      </c>
      <c r="D33" s="212" t="n">
        <v>2026</v>
      </c>
      <c r="E33" s="213" t="n">
        <v>95000</v>
      </c>
      <c r="F33" s="212" t="inlineStr">
        <is>
          <t>Prototype</t>
        </is>
      </c>
      <c r="G33" s="212" t="inlineStr">
        <is>
          <t>5 ft 8 in</t>
        </is>
      </c>
      <c r="H33" s="212" t="n">
        <v>143.3</v>
      </c>
      <c r="I33" s="212" t="inlineStr">
        <is>
          <t>48</t>
        </is>
      </c>
      <c r="J33" s="212" t="n">
        <v>33.1</v>
      </c>
      <c r="K33" s="212" t="n">
        <v>12.43</v>
      </c>
      <c r="L33" s="212" t="inlineStr">
        <is>
          <t>≈ 2 hours</t>
        </is>
      </c>
      <c r="M33" s="212" t="n"/>
      <c r="N33" s="212" t="n"/>
      <c r="O33" s="212" t="inlineStr">
        <is>
          <t>Humanoid.guide</t>
        </is>
      </c>
      <c r="P33" s="212" t="inlineStr">
        <is>
          <t>beijing_galbot_ai_co_ltd_galbot_et1</t>
        </is>
      </c>
      <c r="Q33" s="212" t="inlineStr">
        <is>
          <t>https://humanoid.guide/product/galbot-et1/</t>
        </is>
      </c>
    </row>
    <row r="34" ht="18" customHeight="1" s="102">
      <c r="A34" s="214" t="inlineStr">
        <is>
          <t>Beijing Galbot AI Co., Ltd.</t>
        </is>
      </c>
      <c r="B34" s="214" t="inlineStr">
        <is>
          <t>Galbot S1</t>
        </is>
      </c>
      <c r="C34" s="214" t="inlineStr">
        <is>
          <t>China</t>
        </is>
      </c>
      <c r="D34" s="214" t="n"/>
      <c r="E34" s="215" t="n">
        <v>55000</v>
      </c>
      <c r="F34" s="214" t="inlineStr">
        <is>
          <t>In production</t>
        </is>
      </c>
      <c r="G34" s="214" t="inlineStr">
        <is>
          <t>5 ft 10 in</t>
        </is>
      </c>
      <c r="H34" s="214" t="n">
        <v>705.5</v>
      </c>
      <c r="I34" s="217" t="inlineStr">
        <is>
          <t>Not disclosed</t>
        </is>
      </c>
      <c r="J34" s="214" t="n">
        <v>66.09999999999999</v>
      </c>
      <c r="K34" s="214" t="n">
        <v>3.36</v>
      </c>
      <c r="L34" s="214" t="inlineStr">
        <is>
          <t>≈ 8 hours</t>
        </is>
      </c>
      <c r="M34" s="214" t="n"/>
      <c r="N34" s="214" t="n"/>
      <c r="O34" s="214" t="inlineStr">
        <is>
          <t>Humanoid.guide</t>
        </is>
      </c>
      <c r="P34" s="214" t="inlineStr">
        <is>
          <t>beijing_galbot_ai_co_ltd_galbot_s1</t>
        </is>
      </c>
      <c r="Q34" s="214" t="inlineStr">
        <is>
          <t>https://humanoid.guide/product/galbot-s1/</t>
        </is>
      </c>
    </row>
    <row r="35" ht="18" customHeight="1" s="102">
      <c r="A35" s="212" t="inlineStr">
        <is>
          <t>Booster Robotics</t>
        </is>
      </c>
      <c r="B35" s="212" t="inlineStr">
        <is>
          <t>Booster T1</t>
        </is>
      </c>
      <c r="C35" s="212" t="inlineStr">
        <is>
          <t>China</t>
        </is>
      </c>
      <c r="D35" s="212" t="n"/>
      <c r="E35" s="213" t="n">
        <v>22000</v>
      </c>
      <c r="F35" s="212" t="inlineStr">
        <is>
          <t>Prototype</t>
        </is>
      </c>
      <c r="G35" s="212" t="inlineStr">
        <is>
          <t>3 ft 10 in</t>
        </is>
      </c>
      <c r="H35" s="212" t="n">
        <v>66.09999999999999</v>
      </c>
      <c r="I35" s="212" t="inlineStr">
        <is>
          <t>23</t>
        </is>
      </c>
      <c r="J35" s="212" t="n">
        <v>11</v>
      </c>
      <c r="K35" s="212" t="n">
        <v>2.17</v>
      </c>
      <c r="L35" s="212" t="inlineStr">
        <is>
          <t>≈ 1.5 hours</t>
        </is>
      </c>
      <c r="M35" s="212" t="n">
        <v>2</v>
      </c>
      <c r="N35" s="212" t="n">
        <v>2</v>
      </c>
      <c r="O35" s="212" t="inlineStr">
        <is>
          <t>Humanoid.guide</t>
        </is>
      </c>
      <c r="P35" s="212" t="inlineStr">
        <is>
          <t>booster_robotics_booster_t1</t>
        </is>
      </c>
      <c r="Q35" s="212" t="inlineStr">
        <is>
          <t>https://humanoid.guide/product/booster-t1/</t>
        </is>
      </c>
    </row>
    <row r="36" ht="18" customHeight="1" s="102">
      <c r="A36" s="214" t="inlineStr">
        <is>
          <t>Booster Robotics</t>
        </is>
      </c>
      <c r="B36" s="214" t="inlineStr">
        <is>
          <t>Booster T2</t>
        </is>
      </c>
      <c r="C36" s="214" t="inlineStr">
        <is>
          <t>China</t>
        </is>
      </c>
      <c r="D36" s="214" t="n">
        <v>2024</v>
      </c>
      <c r="E36" s="215" t="n">
        <v>35000</v>
      </c>
      <c r="F36" s="214" t="inlineStr">
        <is>
          <t>In production</t>
        </is>
      </c>
      <c r="G36" s="214" t="inlineStr">
        <is>
          <t>3 ft 10 in</t>
        </is>
      </c>
      <c r="H36" s="214" t="n">
        <v>94.8</v>
      </c>
      <c r="I36" s="214" t="inlineStr">
        <is>
          <t>23–41</t>
        </is>
      </c>
      <c r="J36" s="214" t="inlineStr">
        <is>
          <t>5 lb</t>
        </is>
      </c>
      <c r="K36" s="214" t="n">
        <v>4.35</v>
      </c>
      <c r="L36" s="214" t="inlineStr">
        <is>
          <t>≈ 2 hours</t>
        </is>
      </c>
      <c r="M36" s="214" t="n"/>
      <c r="N36" s="214" t="n"/>
      <c r="O36" s="214" t="inlineStr">
        <is>
          <t>Both</t>
        </is>
      </c>
      <c r="P36" s="214" t="inlineStr">
        <is>
          <t>booster_robotics_t1_t2</t>
        </is>
      </c>
      <c r="Q36" s="214" t="inlineStr">
        <is>
          <t>https://humanoid.guide/product/booster-t2/</t>
        </is>
      </c>
    </row>
    <row r="37" ht="18" customHeight="1" s="102">
      <c r="A37" s="212" t="inlineStr">
        <is>
          <t>Booster Robotics</t>
        </is>
      </c>
      <c r="B37" s="212" t="inlineStr">
        <is>
          <t>K1</t>
        </is>
      </c>
      <c r="C37" s="212" t="inlineStr">
        <is>
          <t>China</t>
        </is>
      </c>
      <c r="D37" s="212" t="n">
        <v>2025</v>
      </c>
      <c r="E37" s="213" t="n">
        <v>5999</v>
      </c>
      <c r="F37" s="212" t="inlineStr">
        <is>
          <t>In production</t>
        </is>
      </c>
      <c r="G37" s="212" t="inlineStr">
        <is>
          <t>≈ 3 ft 1 in</t>
        </is>
      </c>
      <c r="H37" s="212" t="n">
        <v>43</v>
      </c>
      <c r="I37" s="212" t="inlineStr">
        <is>
          <t>≈ 22 (excl. end-effectors)</t>
        </is>
      </c>
      <c r="J37" s="212" t="n">
        <v>6.6</v>
      </c>
      <c r="K37" s="212" t="n">
        <v>0.87</v>
      </c>
      <c r="L37" s="212" t="inlineStr">
        <is>
          <t>30–80 min depending on pack</t>
        </is>
      </c>
      <c r="M37" s="212" t="n"/>
      <c r="N37" s="212" t="n"/>
      <c r="O37" s="212" t="inlineStr">
        <is>
          <t>Both</t>
        </is>
      </c>
      <c r="P37" s="212" t="inlineStr">
        <is>
          <t>k1</t>
        </is>
      </c>
      <c r="Q37" s="212" t="inlineStr">
        <is>
          <t>https://humanoid.guide/product/k1/</t>
        </is>
      </c>
    </row>
    <row r="38" ht="18" customHeight="1" s="102">
      <c r="A38" s="214" t="inlineStr">
        <is>
          <t>Borg Robotics</t>
        </is>
      </c>
      <c r="B38" s="214" t="inlineStr">
        <is>
          <t>Borg 01</t>
        </is>
      </c>
      <c r="C38" s="214" t="inlineStr">
        <is>
          <t>USA</t>
        </is>
      </c>
      <c r="D38" s="214" t="n"/>
      <c r="E38" s="215" t="n">
        <v>100000</v>
      </c>
      <c r="F38" s="214" t="inlineStr">
        <is>
          <t>Prototype</t>
        </is>
      </c>
      <c r="G38" s="214" t="inlineStr">
        <is>
          <t>5 ft 8 in</t>
        </is>
      </c>
      <c r="H38" s="214" t="n">
        <v>136.7</v>
      </c>
      <c r="I38" s="214" t="inlineStr">
        <is>
          <t>23</t>
        </is>
      </c>
      <c r="J38" s="214" t="n">
        <v>26.5</v>
      </c>
      <c r="K38" s="214" t="n">
        <v>1.86</v>
      </c>
      <c r="L38" s="214" t="inlineStr">
        <is>
          <t>≈ 6 hours</t>
        </is>
      </c>
      <c r="M38" s="214" t="n">
        <v>2</v>
      </c>
      <c r="N38" s="214" t="n">
        <v>2</v>
      </c>
      <c r="O38" s="214" t="inlineStr">
        <is>
          <t>Humanoid.guide</t>
        </is>
      </c>
      <c r="P38" s="214" t="inlineStr">
        <is>
          <t>borg_robotics_borg_01</t>
        </is>
      </c>
      <c r="Q38" s="214" t="inlineStr">
        <is>
          <t>https://humanoid.guide/product/borg-01/</t>
        </is>
      </c>
    </row>
    <row r="39" ht="18" customHeight="1" s="102">
      <c r="A39" s="212" t="inlineStr">
        <is>
          <t>BOSHIAC (Harbin, China)</t>
        </is>
      </c>
      <c r="B39" s="212" t="inlineStr">
        <is>
          <t>DexBot</t>
        </is>
      </c>
      <c r="C39" s="212" t="inlineStr">
        <is>
          <t>China</t>
        </is>
      </c>
      <c r="D39" s="212" t="n"/>
      <c r="E39" s="213" t="n">
        <v>120000</v>
      </c>
      <c r="F39" s="212" t="inlineStr">
        <is>
          <t>Prototype</t>
        </is>
      </c>
      <c r="G39" s="212" t="inlineStr">
        <is>
          <t>5 ft 3 in</t>
        </is>
      </c>
      <c r="H39" s="212" t="n">
        <v>176.4</v>
      </c>
      <c r="I39" s="212" t="inlineStr">
        <is>
          <t>Assumed ~30–50</t>
        </is>
      </c>
      <c r="J39" s="212" t="n">
        <v>33.1</v>
      </c>
      <c r="K39" s="212" t="n">
        <v>1.86</v>
      </c>
      <c r="L39" s="212" t="inlineStr">
        <is>
          <t>≈ 3 hours</t>
        </is>
      </c>
      <c r="M39" s="212" t="n"/>
      <c r="N39" s="212" t="n"/>
      <c r="O39" s="212" t="inlineStr">
        <is>
          <t>Humanoid.guide</t>
        </is>
      </c>
      <c r="P39" s="212" t="inlineStr">
        <is>
          <t>boshiac_harbin_china_dexbot</t>
        </is>
      </c>
      <c r="Q39" s="212" t="inlineStr">
        <is>
          <t>https://humanoid.guide/product/dexbot/</t>
        </is>
      </c>
    </row>
    <row r="40" ht="18" customHeight="1" s="102">
      <c r="A40" s="214" t="inlineStr">
        <is>
          <t>Boston Dynamics</t>
        </is>
      </c>
      <c r="B40" s="214" t="inlineStr">
        <is>
          <t>Atlas</t>
        </is>
      </c>
      <c r="C40" s="214" t="inlineStr">
        <is>
          <t>USA</t>
        </is>
      </c>
      <c r="D40" s="214" t="n">
        <v>2024</v>
      </c>
      <c r="E40" s="215" t="n">
        <v>250000</v>
      </c>
      <c r="F40" s="214" t="inlineStr">
        <is>
          <t>Early production / limited release</t>
        </is>
      </c>
      <c r="G40" s="214" t="inlineStr">
        <is>
          <t>≈ 6 ft 3 in</t>
        </is>
      </c>
      <c r="H40" s="214" t="n">
        <v>198.4</v>
      </c>
      <c r="I40" s="214" t="inlineStr">
        <is>
          <t>56</t>
        </is>
      </c>
      <c r="J40" s="214" t="n">
        <v>66.09999999999999</v>
      </c>
      <c r="K40" s="214" t="n">
        <v>4.97</v>
      </c>
      <c r="L40" s="214" t="inlineStr">
        <is>
          <t>≈ 4 h typical · ≈ 2 h with heavy lifting · autonomous battery swap ≈ 3 min</t>
        </is>
      </c>
      <c r="M40" s="214" t="n"/>
      <c r="N40" s="214" t="n"/>
      <c r="O40" s="214" t="inlineStr">
        <is>
          <t>Both</t>
        </is>
      </c>
      <c r="P40" s="214" t="inlineStr">
        <is>
          <t>atlas</t>
        </is>
      </c>
      <c r="Q40" s="214" t="inlineStr">
        <is>
          <t>https://humanoid.guide/product/atlas/</t>
        </is>
      </c>
    </row>
    <row r="41" ht="18" customHeight="1" s="102">
      <c r="A41" s="212" t="inlineStr">
        <is>
          <t>Boston Dynamics</t>
        </is>
      </c>
      <c r="B41" s="212" t="inlineStr">
        <is>
          <t>Atlas (old)</t>
        </is>
      </c>
      <c r="C41" s="212" t="inlineStr">
        <is>
          <t>USA</t>
        </is>
      </c>
      <c r="D41" s="212" t="n"/>
      <c r="E41" s="213" t="n">
        <v>39000</v>
      </c>
      <c r="F41" s="212" t="inlineStr">
        <is>
          <t>Prototype</t>
        </is>
      </c>
      <c r="G41" s="212" t="inlineStr">
        <is>
          <t>4 ft 11 in</t>
        </is>
      </c>
      <c r="H41" s="212" t="n">
        <v>196.2</v>
      </c>
      <c r="I41" s="212" t="inlineStr">
        <is>
          <t>50</t>
        </is>
      </c>
      <c r="J41" s="212" t="n">
        <v>39.7</v>
      </c>
      <c r="K41" s="212" t="n">
        <v>5.59</v>
      </c>
      <c r="L41" s="212" t="inlineStr">
        <is>
          <t>≈ 3 hours</t>
        </is>
      </c>
      <c r="M41" s="212" t="n">
        <v>3</v>
      </c>
      <c r="N41" s="212" t="n">
        <v>3</v>
      </c>
      <c r="O41" s="212" t="inlineStr">
        <is>
          <t>Humanoid.guide</t>
        </is>
      </c>
      <c r="P41" s="212" t="inlineStr">
        <is>
          <t>boston_dynamics_atlas_old</t>
        </is>
      </c>
      <c r="Q41" s="212" t="inlineStr">
        <is>
          <t>https://humanoid.guide/product/atlas-2013/</t>
        </is>
      </c>
    </row>
    <row r="42" ht="18" customHeight="1" s="102">
      <c r="A42" s="214" t="inlineStr">
        <is>
          <t>Cartwheel Robotics</t>
        </is>
      </c>
      <c r="B42" s="214" t="inlineStr">
        <is>
          <t>Yogi</t>
        </is>
      </c>
      <c r="C42" s="214" t="inlineStr">
        <is>
          <t>USA</t>
        </is>
      </c>
      <c r="D42" s="214" t="n"/>
      <c r="E42" s="215" t="n">
        <v>85000</v>
      </c>
      <c r="F42" s="214" t="inlineStr">
        <is>
          <t>Prototype</t>
        </is>
      </c>
      <c r="G42" s="214" t="inlineStr">
        <is>
          <t>4 ft 11 in</t>
        </is>
      </c>
      <c r="H42" s="214" t="n">
        <v>103.6</v>
      </c>
      <c r="I42" s="214" t="inlineStr">
        <is>
          <t>36</t>
        </is>
      </c>
      <c r="J42" s="214" t="n">
        <v>33.1</v>
      </c>
      <c r="K42" s="214" t="n">
        <v>3.73</v>
      </c>
      <c r="L42" s="214" t="inlineStr">
        <is>
          <t>≈ 3 hours</t>
        </is>
      </c>
      <c r="M42" s="214" t="n">
        <v>3</v>
      </c>
      <c r="N42" s="214" t="n">
        <v>4</v>
      </c>
      <c r="O42" s="214" t="inlineStr">
        <is>
          <t>Humanoid.guide</t>
        </is>
      </c>
      <c r="P42" s="214" t="inlineStr">
        <is>
          <t>cartwheel_robotics_yogi</t>
        </is>
      </c>
      <c r="Q42" s="214" t="inlineStr">
        <is>
          <t>https://humanoid.guide/product/yogi/</t>
        </is>
      </c>
    </row>
    <row r="43" ht="18" customHeight="1" s="102">
      <c r="A43" s="212" t="inlineStr">
        <is>
          <t>CASBOT / Beijing Zhongke Huiling Robotics Technology Co., Ltd.</t>
        </is>
      </c>
      <c r="B43" s="212" t="inlineStr">
        <is>
          <t>CASBOT 02</t>
        </is>
      </c>
      <c r="C43" s="212" t="inlineStr">
        <is>
          <t>China</t>
        </is>
      </c>
      <c r="D43" s="212" t="n"/>
      <c r="E43" s="213" t="n">
        <v>63500</v>
      </c>
      <c r="F43" s="212" t="inlineStr">
        <is>
          <t>Early commercial / production with lead times (subject to availability)</t>
        </is>
      </c>
      <c r="G43" s="212" t="inlineStr">
        <is>
          <t>5 ft 4 in</t>
        </is>
      </c>
      <c r="H43" s="212" t="n">
        <v>110.2</v>
      </c>
      <c r="I43" s="212" t="inlineStr">
        <is>
          <t>25</t>
        </is>
      </c>
      <c r="J43" s="212" t="n">
        <v>8.800000000000001</v>
      </c>
      <c r="K43" s="212" t="n">
        <v>3.73</v>
      </c>
      <c r="L43" s="212" t="inlineStr">
        <is>
          <t>~1.5–2</t>
        </is>
      </c>
      <c r="M43" s="212" t="n"/>
      <c r="N43" s="212" t="n"/>
      <c r="O43" s="212" t="inlineStr">
        <is>
          <t>Humanoid.guide</t>
        </is>
      </c>
      <c r="P43" s="212" t="inlineStr">
        <is>
          <t>casbot_beijing_zhongke_huiling_robotics_technolo</t>
        </is>
      </c>
      <c r="Q43" s="212" t="inlineStr">
        <is>
          <t>https://humanoid.guide/product/casbot-02/</t>
        </is>
      </c>
    </row>
    <row r="44" ht="18" customHeight="1" s="102">
      <c r="A44" s="214" t="inlineStr">
        <is>
          <t>CASBOT / Beijing Zhongke Huiling Robotics Technology Co., Ltd.</t>
        </is>
      </c>
      <c r="B44" s="214" t="inlineStr">
        <is>
          <t>CASBOT W1</t>
        </is>
      </c>
      <c r="C44" s="214" t="inlineStr">
        <is>
          <t>China</t>
        </is>
      </c>
      <c r="D44" s="214" t="n"/>
      <c r="E44" s="215" t="n">
        <v>67700</v>
      </c>
      <c r="F44" s="214" t="inlineStr">
        <is>
          <t>In production</t>
        </is>
      </c>
      <c r="G44" s="214" t="inlineStr">
        <is>
          <t>3 ft 8 in</t>
        </is>
      </c>
      <c r="H44" s="214" t="n">
        <v>573.2</v>
      </c>
      <c r="I44" s="214" t="inlineStr">
        <is>
          <t>20</t>
        </is>
      </c>
      <c r="J44" s="214" t="n">
        <v>22</v>
      </c>
      <c r="K44" s="214" t="n">
        <v>2.67</v>
      </c>
      <c r="L44" s="214" t="inlineStr">
        <is>
          <t>~4–5</t>
        </is>
      </c>
      <c r="M44" s="214" t="n"/>
      <c r="N44" s="214" t="n"/>
      <c r="O44" s="214" t="inlineStr">
        <is>
          <t>Humanoid.guide</t>
        </is>
      </c>
      <c r="P44" s="214" t="inlineStr">
        <is>
          <t>casbot_beijing_zhongke_huiling_robotics_technolo_2</t>
        </is>
      </c>
      <c r="Q44" s="214" t="inlineStr">
        <is>
          <t>https://humanoid.guide/product/casbot-w1/</t>
        </is>
      </c>
    </row>
    <row r="45" ht="18" customHeight="1" s="102">
      <c r="A45" s="212" t="inlineStr">
        <is>
          <t>CasiVision</t>
        </is>
      </c>
      <c r="B45" s="212" t="inlineStr">
        <is>
          <t>CASIVIBOT</t>
        </is>
      </c>
      <c r="C45" s="212" t="inlineStr">
        <is>
          <t>China</t>
        </is>
      </c>
      <c r="D45" s="212" t="n"/>
      <c r="E45" s="213" t="n">
        <v>29000</v>
      </c>
      <c r="F45" s="212" t="inlineStr">
        <is>
          <t>In production</t>
        </is>
      </c>
      <c r="G45" s="212" t="inlineStr">
        <is>
          <t>4 ft 7 in</t>
        </is>
      </c>
      <c r="H45" s="212" t="n">
        <v>121.3</v>
      </c>
      <c r="I45" s="212" t="inlineStr">
        <is>
          <t>14</t>
        </is>
      </c>
      <c r="J45" s="212" t="n">
        <v>22</v>
      </c>
      <c r="K45" s="212" t="n">
        <v>2.17</v>
      </c>
      <c r="L45" s="212" t="inlineStr">
        <is>
          <t>≈ 8 hours</t>
        </is>
      </c>
      <c r="M45" s="212" t="n">
        <v>3</v>
      </c>
      <c r="N45" s="212" t="n">
        <v>3</v>
      </c>
      <c r="O45" s="212" t="inlineStr">
        <is>
          <t>Humanoid.guide</t>
        </is>
      </c>
      <c r="P45" s="212" t="inlineStr">
        <is>
          <t>casivision_casivibot</t>
        </is>
      </c>
      <c r="Q45" s="212" t="inlineStr">
        <is>
          <t>https://humanoid.guide/product/casivibot/</t>
        </is>
      </c>
    </row>
    <row r="46" ht="18" customHeight="1" s="102">
      <c r="A46" s="214" t="inlineStr">
        <is>
          <t>Clone Robotics</t>
        </is>
      </c>
      <c r="B46" s="214" t="inlineStr">
        <is>
          <t>Clone Alpha</t>
        </is>
      </c>
      <c r="C46" s="214" t="inlineStr">
        <is>
          <t>Poland</t>
        </is>
      </c>
      <c r="D46" s="214" t="n"/>
      <c r="E46" s="215" t="n">
        <v>100000</v>
      </c>
      <c r="F46" s="214" t="inlineStr">
        <is>
          <t>Prototype</t>
        </is>
      </c>
      <c r="G46" s="214" t="inlineStr">
        <is>
          <t>5 ft 7 in</t>
        </is>
      </c>
      <c r="H46" s="214" t="n">
        <v>132.3</v>
      </c>
      <c r="I46" s="214" t="inlineStr">
        <is>
          <t>164</t>
        </is>
      </c>
      <c r="J46" s="214" t="n">
        <v>44.1</v>
      </c>
      <c r="K46" s="214" t="n">
        <v>3.11</v>
      </c>
      <c r="L46" s="214" t="inlineStr">
        <is>
          <t>≈ 1.5 hours</t>
        </is>
      </c>
      <c r="M46" s="214" t="n">
        <v>2</v>
      </c>
      <c r="N46" s="214" t="n">
        <v>2</v>
      </c>
      <c r="O46" s="214" t="inlineStr">
        <is>
          <t>Humanoid.guide</t>
        </is>
      </c>
      <c r="P46" s="214" t="inlineStr">
        <is>
          <t>clone_robotics_clone_alpha</t>
        </is>
      </c>
      <c r="Q46" s="214" t="inlineStr">
        <is>
          <t>https://humanoid.guide/product/clone-alpha/</t>
        </is>
      </c>
    </row>
    <row r="47" ht="18" customHeight="1" s="102">
      <c r="A47" s="212" t="inlineStr">
        <is>
          <t>Cyan Robotics</t>
        </is>
      </c>
      <c r="B47" s="212" t="inlineStr">
        <is>
          <t>Orca</t>
        </is>
      </c>
      <c r="C47" s="212" t="inlineStr">
        <is>
          <t>China</t>
        </is>
      </c>
      <c r="D47" s="212" t="n"/>
      <c r="E47" s="213" t="n">
        <v>34000</v>
      </c>
      <c r="F47" s="212" t="inlineStr">
        <is>
          <t>Prototype</t>
        </is>
      </c>
      <c r="G47" s="212" t="inlineStr">
        <is>
          <t>5 ft 3 in</t>
        </is>
      </c>
      <c r="H47" s="212" t="n">
        <v>110.2</v>
      </c>
      <c r="I47" s="212" t="inlineStr">
        <is>
          <t>40</t>
        </is>
      </c>
      <c r="J47" s="212" t="n">
        <v>19.8</v>
      </c>
      <c r="K47" s="212" t="n">
        <v>1.86</v>
      </c>
      <c r="L47" s="212" t="inlineStr">
        <is>
          <t>≈ 2 hours</t>
        </is>
      </c>
      <c r="M47" s="212" t="n">
        <v>3</v>
      </c>
      <c r="N47" s="212" t="n">
        <v>3</v>
      </c>
      <c r="O47" s="212" t="inlineStr">
        <is>
          <t>Humanoid.guide</t>
        </is>
      </c>
      <c r="P47" s="212" t="inlineStr">
        <is>
          <t>cyan_robotics_orca</t>
        </is>
      </c>
      <c r="Q47" s="212" t="inlineStr">
        <is>
          <t>https://humanoid.guide/product/orca/</t>
        </is>
      </c>
    </row>
    <row r="48" ht="18" customHeight="1" s="102">
      <c r="A48" s="214" t="inlineStr">
        <is>
          <t>DaxAI Robotics</t>
        </is>
      </c>
      <c r="B48" s="214" t="inlineStr">
        <is>
          <t>Qiji X1</t>
        </is>
      </c>
      <c r="C48" s="214" t="inlineStr">
        <is>
          <t>China</t>
        </is>
      </c>
      <c r="D48" s="214" t="n">
        <v>2025</v>
      </c>
      <c r="E48" s="215" t="n">
        <v>50000</v>
      </c>
      <c r="F48" s="214" t="n"/>
      <c r="G48" s="214" t="inlineStr">
        <is>
          <t>— (rideable)</t>
        </is>
      </c>
      <c r="H48" s="217" t="inlineStr">
        <is>
          <t>Not disclosed</t>
        </is>
      </c>
      <c r="I48" s="217" t="inlineStr">
        <is>
          <t>Not disclosed</t>
        </is>
      </c>
      <c r="J48" s="214" t="inlineStr">
        <is>
          <t>High torque (~1400 Nm)</t>
        </is>
      </c>
      <c r="K48" s="217" t="inlineStr">
        <is>
          <t>Not disclosed</t>
        </is>
      </c>
      <c r="L48" s="217" t="inlineStr">
        <is>
          <t>Not disclosed</t>
        </is>
      </c>
      <c r="M48" s="214" t="n"/>
      <c r="N48" s="214" t="n"/>
      <c r="O48" s="214" t="inlineStr">
        <is>
          <t>Website</t>
        </is>
      </c>
      <c r="P48" s="214" t="inlineStr">
        <is>
          <t>daxai_robotics_qiji_x1</t>
        </is>
      </c>
      <c r="Q48" s="214" t="n"/>
    </row>
    <row r="49" ht="18" customHeight="1" s="102">
      <c r="A49" s="212" t="inlineStr">
        <is>
          <t>Deep Robotics</t>
        </is>
      </c>
      <c r="B49" s="212" t="inlineStr">
        <is>
          <t>DR01</t>
        </is>
      </c>
      <c r="C49" s="212" t="inlineStr">
        <is>
          <t>China</t>
        </is>
      </c>
      <c r="D49" s="212" t="n"/>
      <c r="E49" s="213" t="n">
        <v>200000</v>
      </c>
      <c r="F49" s="212" t="inlineStr">
        <is>
          <t>Prototype</t>
        </is>
      </c>
      <c r="G49" s="212" t="inlineStr">
        <is>
          <t>5 ft 7 in</t>
        </is>
      </c>
      <c r="H49" s="212" t="n">
        <v>176.4</v>
      </c>
      <c r="I49" s="212" t="inlineStr">
        <is>
          <t>12</t>
        </is>
      </c>
      <c r="J49" s="212" t="n">
        <v>33.1</v>
      </c>
      <c r="K49" s="212" t="n">
        <v>3.6</v>
      </c>
      <c r="L49" s="212" t="inlineStr">
        <is>
          <t>≈ 2 hours</t>
        </is>
      </c>
      <c r="M49" s="212" t="n">
        <v>2</v>
      </c>
      <c r="N49" s="212" t="n">
        <v>2</v>
      </c>
      <c r="O49" s="212" t="inlineStr">
        <is>
          <t>Humanoid.guide</t>
        </is>
      </c>
      <c r="P49" s="212" t="inlineStr">
        <is>
          <t>deep_robotics_dr01</t>
        </is>
      </c>
      <c r="Q49" s="212" t="inlineStr">
        <is>
          <t>https://humanoid.guide/product/dr01/</t>
        </is>
      </c>
    </row>
    <row r="50" ht="18" customHeight="1" s="102">
      <c r="A50" s="214" t="inlineStr">
        <is>
          <t>Deep Robotics</t>
        </is>
      </c>
      <c r="B50" s="214" t="inlineStr">
        <is>
          <t>DR02</t>
        </is>
      </c>
      <c r="C50" s="214" t="inlineStr">
        <is>
          <t>China</t>
        </is>
      </c>
      <c r="D50" s="214" t="n">
        <v>2025</v>
      </c>
      <c r="E50" s="215" t="n">
        <v>75600</v>
      </c>
      <c r="F50" s="214" t="inlineStr">
        <is>
          <t>In production</t>
        </is>
      </c>
      <c r="G50" s="214" t="inlineStr">
        <is>
          <t>≈ 5 ft 9 in class</t>
        </is>
      </c>
      <c r="H50" s="214" t="n">
        <v>143.3</v>
      </c>
      <c r="I50" s="214" t="inlineStr">
        <is>
          <t>Humanoid DOF class (confirm configuration)</t>
        </is>
      </c>
      <c r="J50" s="214" t="n">
        <v>44.1</v>
      </c>
      <c r="K50" s="214" t="n">
        <v>8.949999999999999</v>
      </c>
      <c r="L50" s="214" t="inlineStr">
        <is>
          <t>≈ 2 hours</t>
        </is>
      </c>
      <c r="M50" s="214" t="n"/>
      <c r="N50" s="214" t="n"/>
      <c r="O50" s="214" t="inlineStr">
        <is>
          <t>Both</t>
        </is>
      </c>
      <c r="P50" s="214" t="inlineStr">
        <is>
          <t>dr02</t>
        </is>
      </c>
      <c r="Q50" s="214" t="inlineStr">
        <is>
          <t>https://humanoid.guide/product/dr02/</t>
        </is>
      </c>
    </row>
    <row r="51" ht="18" customHeight="1" s="102">
      <c r="A51" s="212" t="inlineStr">
        <is>
          <t>DexForce Technology Co., Ltd.</t>
        </is>
      </c>
      <c r="B51" s="212" t="inlineStr">
        <is>
          <t>W1 Pro</t>
        </is>
      </c>
      <c r="C51" s="212" t="inlineStr">
        <is>
          <t>China</t>
        </is>
      </c>
      <c r="D51" s="212" t="n"/>
      <c r="E51" s="213" t="n">
        <v>78000</v>
      </c>
      <c r="F51" s="212" t="inlineStr">
        <is>
          <t>Production / business-ready (offered with delivery lead time)</t>
        </is>
      </c>
      <c r="G51" s="212" t="inlineStr">
        <is>
          <t>5 ft 4 in</t>
        </is>
      </c>
      <c r="H51" s="212" t="n">
        <v>242.5</v>
      </c>
      <c r="I51" s="212" t="inlineStr">
        <is>
          <t>34</t>
        </is>
      </c>
      <c r="J51" s="212" t="n">
        <v>22</v>
      </c>
      <c r="K51" s="212" t="n">
        <v>3.36</v>
      </c>
      <c r="L51" s="212" t="inlineStr">
        <is>
          <t>≈ 8 hours</t>
        </is>
      </c>
      <c r="M51" s="212" t="n"/>
      <c r="N51" s="212" t="n"/>
      <c r="O51" s="212" t="inlineStr">
        <is>
          <t>Humanoid.guide</t>
        </is>
      </c>
      <c r="P51" s="212" t="inlineStr">
        <is>
          <t>dexforce_technology_co_ltd_w1_pro</t>
        </is>
      </c>
      <c r="Q51" s="212" t="inlineStr">
        <is>
          <t>https://humanoid.guide/product/w1-pro/</t>
        </is>
      </c>
    </row>
    <row r="52" ht="18" customHeight="1" s="102">
      <c r="A52" s="214" t="inlineStr">
        <is>
          <t>Dexmate</t>
        </is>
      </c>
      <c r="B52" s="214" t="inlineStr">
        <is>
          <t>Vega</t>
        </is>
      </c>
      <c r="C52" s="214" t="inlineStr">
        <is>
          <t>USA</t>
        </is>
      </c>
      <c r="D52" s="214" t="n">
        <v>2023</v>
      </c>
      <c r="E52" s="215" t="n">
        <v>50000</v>
      </c>
      <c r="F52" s="214" t="inlineStr">
        <is>
          <t>In production</t>
        </is>
      </c>
      <c r="G52" s="214" t="inlineStr">
        <is>
          <t>5 ft 7 in</t>
        </is>
      </c>
      <c r="H52" s="214" t="n">
        <v>297.6</v>
      </c>
      <c r="I52" s="214" t="inlineStr">
        <is>
          <t>36</t>
        </is>
      </c>
      <c r="J52" s="214" t="n">
        <v>33.1</v>
      </c>
      <c r="K52" s="214" t="n">
        <v>2.49</v>
      </c>
      <c r="L52" s="214" t="inlineStr">
        <is>
          <t>≈ 20 hours</t>
        </is>
      </c>
      <c r="M52" s="214" t="n">
        <v>2</v>
      </c>
      <c r="N52" s="214" t="n">
        <v>2</v>
      </c>
      <c r="O52" s="214" t="inlineStr">
        <is>
          <t>Both</t>
        </is>
      </c>
      <c r="P52" s="214" t="inlineStr">
        <is>
          <t>dexmate_vega</t>
        </is>
      </c>
      <c r="Q52" s="214" t="inlineStr">
        <is>
          <t>https://humanoid.guide/product/vega/</t>
        </is>
      </c>
    </row>
    <row r="53" ht="18" customHeight="1" s="102">
      <c r="A53" s="212" t="inlineStr">
        <is>
          <t>Digit Robotics</t>
        </is>
      </c>
      <c r="B53" s="212" t="inlineStr">
        <is>
          <t>Nezha P01</t>
        </is>
      </c>
      <c r="C53" s="212" t="inlineStr">
        <is>
          <t>China</t>
        </is>
      </c>
      <c r="D53" s="212" t="n"/>
      <c r="E53" s="213" t="n">
        <v>80000</v>
      </c>
      <c r="F53" s="212" t="inlineStr">
        <is>
          <t>Prototype</t>
        </is>
      </c>
      <c r="G53" s="212" t="inlineStr">
        <is>
          <t>4 ft 9 in</t>
        </is>
      </c>
      <c r="H53" s="212" t="n">
        <v>143.3</v>
      </c>
      <c r="I53" s="212" t="inlineStr">
        <is>
          <t>54</t>
        </is>
      </c>
      <c r="J53" s="212" t="n">
        <v>2.2</v>
      </c>
      <c r="K53" s="212" t="n">
        <v>1.24</v>
      </c>
      <c r="L53" s="212" t="inlineStr">
        <is>
          <t>≈ 10 hours</t>
        </is>
      </c>
      <c r="M53" s="212" t="n"/>
      <c r="N53" s="212" t="n"/>
      <c r="O53" s="212" t="inlineStr">
        <is>
          <t>Humanoid.guide</t>
        </is>
      </c>
      <c r="P53" s="212" t="inlineStr">
        <is>
          <t>digit_robotics_nezha_p01</t>
        </is>
      </c>
      <c r="Q53" s="212" t="inlineStr">
        <is>
          <t>https://humanoid.guide/product/nezha-p01/</t>
        </is>
      </c>
    </row>
    <row r="54" ht="18" customHeight="1" s="102">
      <c r="A54" s="214" t="inlineStr">
        <is>
          <t>Digit Robotics</t>
        </is>
      </c>
      <c r="B54" s="214" t="inlineStr">
        <is>
          <t>Xialan S0</t>
        </is>
      </c>
      <c r="C54" s="214" t="inlineStr">
        <is>
          <t>China</t>
        </is>
      </c>
      <c r="D54" s="214" t="n"/>
      <c r="E54" s="215" t="n">
        <v>90000</v>
      </c>
      <c r="F54" s="214" t="inlineStr">
        <is>
          <t>Prototype</t>
        </is>
      </c>
      <c r="G54" s="214" t="inlineStr">
        <is>
          <t>5 ft 7 in</t>
        </is>
      </c>
      <c r="H54" s="217" t="inlineStr">
        <is>
          <t>Not disclosed</t>
        </is>
      </c>
      <c r="I54" s="214" t="inlineStr">
        <is>
          <t>40+</t>
        </is>
      </c>
      <c r="J54" s="214" t="n">
        <v>17.6</v>
      </c>
      <c r="K54" s="214" t="n">
        <v>2.8</v>
      </c>
      <c r="L54" s="214" t="inlineStr">
        <is>
          <t>≈ 2 hours</t>
        </is>
      </c>
      <c r="M54" s="214" t="n"/>
      <c r="N54" s="214" t="n"/>
      <c r="O54" s="214" t="inlineStr">
        <is>
          <t>Humanoid.guide</t>
        </is>
      </c>
      <c r="P54" s="214" t="inlineStr">
        <is>
          <t>digit_robotics_xialan_s0</t>
        </is>
      </c>
      <c r="Q54" s="214" t="inlineStr">
        <is>
          <t>https://humanoid.guide/product/xialan-s0/</t>
        </is>
      </c>
    </row>
    <row r="55" ht="18" customHeight="1" s="102">
      <c r="A55" s="212" t="inlineStr">
        <is>
          <t>Digit Robotics</t>
        </is>
      </c>
      <c r="B55" s="212" t="inlineStr">
        <is>
          <t>XiaQi</t>
        </is>
      </c>
      <c r="C55" s="212" t="inlineStr">
        <is>
          <t>China</t>
        </is>
      </c>
      <c r="D55" s="212" t="n"/>
      <c r="E55" s="213" t="n">
        <v>75000</v>
      </c>
      <c r="F55" s="212" t="inlineStr">
        <is>
          <t>Production platform for commercial and exhibition deployment</t>
        </is>
      </c>
      <c r="G55" s="212" t="inlineStr">
        <is>
          <t>5 ft 7 in</t>
        </is>
      </c>
      <c r="H55" s="212" t="n">
        <v>152.1</v>
      </c>
      <c r="I55" s="212" t="inlineStr">
        <is>
          <t>40+</t>
        </is>
      </c>
      <c r="J55" s="212" t="n">
        <v>4.4</v>
      </c>
      <c r="K55" s="212" t="n">
        <v>2.8</v>
      </c>
      <c r="L55" s="212" t="inlineStr">
        <is>
          <t>≈ 2 hours</t>
        </is>
      </c>
      <c r="M55" s="212" t="n"/>
      <c r="N55" s="212" t="n"/>
      <c r="O55" s="212" t="inlineStr">
        <is>
          <t>Humanoid.guide</t>
        </is>
      </c>
      <c r="P55" s="212" t="inlineStr">
        <is>
          <t>digit_robotics_xiaqi</t>
        </is>
      </c>
      <c r="Q55" s="212" t="inlineStr">
        <is>
          <t>https://humanoid.guide/product/xiaqi/</t>
        </is>
      </c>
    </row>
    <row r="56" ht="18" customHeight="1" s="102">
      <c r="A56" s="214" t="inlineStr">
        <is>
          <t>DOBOT Robotics</t>
        </is>
      </c>
      <c r="B56" s="214" t="inlineStr">
        <is>
          <t>Atom</t>
        </is>
      </c>
      <c r="C56" s="214" t="inlineStr">
        <is>
          <t>China</t>
        </is>
      </c>
      <c r="D56" s="214" t="n"/>
      <c r="E56" s="215" t="n">
        <v>27500</v>
      </c>
      <c r="F56" s="214" t="inlineStr">
        <is>
          <t>Prototype</t>
        </is>
      </c>
      <c r="G56" s="214" t="inlineStr">
        <is>
          <t>5 ft 0 in</t>
        </is>
      </c>
      <c r="H56" s="214" t="n">
        <v>136.7</v>
      </c>
      <c r="I56" s="214" t="inlineStr">
        <is>
          <t>41</t>
        </is>
      </c>
      <c r="J56" s="214" t="n">
        <v>13.2</v>
      </c>
      <c r="K56" s="214" t="n">
        <v>1.86</v>
      </c>
      <c r="L56" s="217" t="inlineStr">
        <is>
          <t>Not disclosed</t>
        </is>
      </c>
      <c r="M56" s="214" t="n">
        <v>2</v>
      </c>
      <c r="N56" s="214" t="n">
        <v>2</v>
      </c>
      <c r="O56" s="214" t="inlineStr">
        <is>
          <t>Humanoid.guide</t>
        </is>
      </c>
      <c r="P56" s="214" t="inlineStr">
        <is>
          <t>dobot_robotics_atom</t>
        </is>
      </c>
      <c r="Q56" s="214" t="inlineStr">
        <is>
          <t>https://humanoid.guide/product/atom-2/</t>
        </is>
      </c>
    </row>
    <row r="57" ht="18" customHeight="1" s="102">
      <c r="A57" s="212" t="inlineStr">
        <is>
          <t>DOBOT Robotics</t>
        </is>
      </c>
      <c r="B57" s="212" t="inlineStr">
        <is>
          <t>Atom Max</t>
        </is>
      </c>
      <c r="C57" s="212" t="inlineStr">
        <is>
          <t>China</t>
        </is>
      </c>
      <c r="D57" s="212" t="n"/>
      <c r="E57" s="213" t="n">
        <v>42000</v>
      </c>
      <c r="F57" s="212" t="inlineStr">
        <is>
          <t>Prototype</t>
        </is>
      </c>
      <c r="G57" s="212" t="inlineStr">
        <is>
          <t>5 ft 7 in</t>
        </is>
      </c>
      <c r="H57" s="212" t="n">
        <v>121.3</v>
      </c>
      <c r="I57" s="212" t="inlineStr">
        <is>
          <t>40–45 DoF (based on 7-DoF arms + typical biped DoF configuration)</t>
        </is>
      </c>
      <c r="J57" s="212" t="n">
        <v>17.6</v>
      </c>
      <c r="K57" s="212" t="n">
        <v>3.11</v>
      </c>
      <c r="L57" s="212" t="inlineStr">
        <is>
          <t>≈ 3 hours</t>
        </is>
      </c>
      <c r="M57" s="212" t="n">
        <v>4</v>
      </c>
      <c r="N57" s="212" t="n">
        <v>3</v>
      </c>
      <c r="O57" s="212" t="inlineStr">
        <is>
          <t>Humanoid.guide</t>
        </is>
      </c>
      <c r="P57" s="212" t="inlineStr">
        <is>
          <t>dobot_robotics_atom_max</t>
        </is>
      </c>
      <c r="Q57" s="212" t="inlineStr">
        <is>
          <t>https://humanoid.guide/product/atom-max/</t>
        </is>
      </c>
    </row>
    <row r="58" ht="18" customHeight="1" s="102">
      <c r="A58" s="214" t="inlineStr">
        <is>
          <t>Donut Robotics Co., Ltd.</t>
        </is>
      </c>
      <c r="B58" s="214" t="inlineStr">
        <is>
          <t>Cinnamon 1</t>
        </is>
      </c>
      <c r="C58" s="214" t="inlineStr">
        <is>
          <t>Japan</t>
        </is>
      </c>
      <c r="D58" s="214" t="n"/>
      <c r="E58" s="215" t="n">
        <v>165000</v>
      </c>
      <c r="F58" s="214" t="inlineStr">
        <is>
          <t>Prototype</t>
        </is>
      </c>
      <c r="G58" s="214" t="inlineStr">
        <is>
          <t>5 ft 3 in</t>
        </is>
      </c>
      <c r="H58" s="214" t="n">
        <v>132.3</v>
      </c>
      <c r="I58" s="214" t="inlineStr">
        <is>
          <t>~20–30+</t>
        </is>
      </c>
      <c r="J58" s="214" t="n">
        <v>13.2</v>
      </c>
      <c r="K58" s="214" t="n">
        <v>2.17</v>
      </c>
      <c r="L58" s="214" t="inlineStr">
        <is>
          <t>≈ 2 hours</t>
        </is>
      </c>
      <c r="M58" s="214" t="n"/>
      <c r="N58" s="214" t="n"/>
      <c r="O58" s="214" t="inlineStr">
        <is>
          <t>Humanoid.guide</t>
        </is>
      </c>
      <c r="P58" s="214" t="inlineStr">
        <is>
          <t>donut_robotics_co_ltd_cinnamon_1</t>
        </is>
      </c>
      <c r="Q58" s="214" t="inlineStr">
        <is>
          <t>https://humanoid.guide/product/cinnamon-1/</t>
        </is>
      </c>
    </row>
    <row r="59" ht="18" customHeight="1" s="102">
      <c r="A59" s="212" t="inlineStr">
        <is>
          <t>Duatic</t>
        </is>
      </c>
      <c r="B59" s="212" t="inlineStr">
        <is>
          <t>Duatic Alpha</t>
        </is>
      </c>
      <c r="C59" s="212" t="inlineStr">
        <is>
          <t>Switzerland</t>
        </is>
      </c>
      <c r="D59" s="212" t="n"/>
      <c r="E59" s="213" t="n">
        <v>150000</v>
      </c>
      <c r="F59" s="212" t="inlineStr">
        <is>
          <t>Prototype</t>
        </is>
      </c>
      <c r="G59" s="212" t="inlineStr">
        <is>
          <t>5 ft 9 in</t>
        </is>
      </c>
      <c r="H59" s="212" t="n">
        <v>198.4</v>
      </c>
      <c r="I59" s="212" t="inlineStr">
        <is>
          <t>19</t>
        </is>
      </c>
      <c r="J59" s="212" t="n">
        <v>66.09999999999999</v>
      </c>
      <c r="K59" s="212" t="n">
        <v>3.42</v>
      </c>
      <c r="L59" s="212" t="inlineStr">
        <is>
          <t>≈ 8 hours</t>
        </is>
      </c>
      <c r="M59" s="212" t="n"/>
      <c r="N59" s="212" t="n"/>
      <c r="O59" s="212" t="inlineStr">
        <is>
          <t>Humanoid.guide</t>
        </is>
      </c>
      <c r="P59" s="212" t="inlineStr">
        <is>
          <t>duatic_duatic_alpha</t>
        </is>
      </c>
      <c r="Q59" s="212" t="inlineStr">
        <is>
          <t>https://humanoid.guide/product/duatic-alpha/</t>
        </is>
      </c>
    </row>
    <row r="60" ht="18" customHeight="1" s="102">
      <c r="A60" s="214" t="inlineStr">
        <is>
          <t>EIR Technology</t>
        </is>
      </c>
      <c r="B60" s="214" t="inlineStr">
        <is>
          <t>SkyWalker 2</t>
        </is>
      </c>
      <c r="C60" s="214" t="inlineStr">
        <is>
          <t>China</t>
        </is>
      </c>
      <c r="D60" s="214" t="n"/>
      <c r="E60" s="215" t="n">
        <v>85000</v>
      </c>
      <c r="F60" s="214" t="inlineStr">
        <is>
          <t>Production-ready prototype / early commercial units</t>
        </is>
      </c>
      <c r="G60" s="214" t="inlineStr">
        <is>
          <t>5 ft 5 in</t>
        </is>
      </c>
      <c r="H60" s="214" t="n">
        <v>121.3</v>
      </c>
      <c r="I60" s="214" t="inlineStr">
        <is>
          <t>55</t>
        </is>
      </c>
      <c r="J60" s="214" t="n">
        <v>33.1</v>
      </c>
      <c r="K60" s="214" t="n">
        <v>4.35</v>
      </c>
      <c r="L60" s="214" t="inlineStr">
        <is>
          <t>≈ 3 hours</t>
        </is>
      </c>
      <c r="M60" s="214" t="n">
        <v>3</v>
      </c>
      <c r="N60" s="214" t="n">
        <v>4</v>
      </c>
      <c r="O60" s="214" t="inlineStr">
        <is>
          <t>Humanoid.guide</t>
        </is>
      </c>
      <c r="P60" s="214" t="inlineStr">
        <is>
          <t>eir_technology_skywalker_2</t>
        </is>
      </c>
      <c r="Q60" s="214" t="inlineStr">
        <is>
          <t>https://humanoid.guide/product/skywalker-2/</t>
        </is>
      </c>
    </row>
    <row r="61" ht="18" customHeight="1" s="102">
      <c r="A61" s="212" t="inlineStr">
        <is>
          <t>Elu.AI</t>
        </is>
      </c>
      <c r="B61" s="212" t="inlineStr">
        <is>
          <t>AstroD. AD-01</t>
        </is>
      </c>
      <c r="C61" s="212" t="inlineStr">
        <is>
          <t>China</t>
        </is>
      </c>
      <c r="D61" s="212" t="n"/>
      <c r="E61" s="213" t="n">
        <v>100000</v>
      </c>
      <c r="F61" s="212" t="inlineStr">
        <is>
          <t>Prototype</t>
        </is>
      </c>
      <c r="G61" s="212" t="inlineStr">
        <is>
          <t>5 ft 7 in</t>
        </is>
      </c>
      <c r="H61" s="212" t="n">
        <v>264.6</v>
      </c>
      <c r="I61" s="216" t="inlineStr">
        <is>
          <t>Not disclosed</t>
        </is>
      </c>
      <c r="J61" s="212" t="n">
        <v>6.6</v>
      </c>
      <c r="K61" s="212" t="n">
        <v>4.47</v>
      </c>
      <c r="L61" s="212" t="inlineStr">
        <is>
          <t>≈ 2 hours</t>
        </is>
      </c>
      <c r="M61" s="212" t="n">
        <v>3</v>
      </c>
      <c r="N61" s="212" t="n">
        <v>2</v>
      </c>
      <c r="O61" s="212" t="inlineStr">
        <is>
          <t>Humanoid.guide</t>
        </is>
      </c>
      <c r="P61" s="212" t="inlineStr">
        <is>
          <t>elu_ai_astrod_ad_01</t>
        </is>
      </c>
      <c r="Q61" s="212" t="inlineStr">
        <is>
          <t>https://humanoid.guide/product/astrodroid-ad-01/</t>
        </is>
      </c>
    </row>
    <row r="62" ht="18" customHeight="1" s="102">
      <c r="A62" s="214" t="inlineStr">
        <is>
          <t>Enchanted Tools</t>
        </is>
      </c>
      <c r="B62" s="214" t="inlineStr">
        <is>
          <t>Mirokaï</t>
        </is>
      </c>
      <c r="C62" s="214" t="inlineStr">
        <is>
          <t>France</t>
        </is>
      </c>
      <c r="D62" s="214" t="n"/>
      <c r="E62" s="215" t="n">
        <v>30000</v>
      </c>
      <c r="F62" s="214" t="inlineStr">
        <is>
          <t>Prototype</t>
        </is>
      </c>
      <c r="G62" s="214" t="inlineStr">
        <is>
          <t>4 ft 0 in</t>
        </is>
      </c>
      <c r="H62" s="214" t="n">
        <v>63.9</v>
      </c>
      <c r="I62" s="214" t="inlineStr">
        <is>
          <t>26</t>
        </is>
      </c>
      <c r="J62" s="214" t="n">
        <v>3.3</v>
      </c>
      <c r="K62" s="214" t="n">
        <v>1.86</v>
      </c>
      <c r="L62" s="214" t="inlineStr">
        <is>
          <t>≈ 4 hours</t>
        </is>
      </c>
      <c r="M62" s="214" t="n">
        <v>2</v>
      </c>
      <c r="N62" s="214" t="n">
        <v>2</v>
      </c>
      <c r="O62" s="214" t="inlineStr">
        <is>
          <t>Humanoid.guide</t>
        </is>
      </c>
      <c r="P62" s="214" t="inlineStr">
        <is>
          <t>enchanted_tools_miroka</t>
        </is>
      </c>
      <c r="Q62" s="214" t="inlineStr">
        <is>
          <t>https://humanoid.guide/product/mirokai/</t>
        </is>
      </c>
    </row>
    <row r="63" ht="18" customHeight="1" s="102">
      <c r="A63" s="212" t="inlineStr">
        <is>
          <t>EngineAI Robotics</t>
        </is>
      </c>
      <c r="B63" s="212" t="inlineStr">
        <is>
          <t>PM01</t>
        </is>
      </c>
      <c r="C63" s="212" t="inlineStr">
        <is>
          <t>China</t>
        </is>
      </c>
      <c r="D63" s="212" t="n">
        <v>2025</v>
      </c>
      <c r="E63" s="213" t="n">
        <v>12000</v>
      </c>
      <c r="F63" s="212" t="inlineStr">
        <is>
          <t>Prototype</t>
        </is>
      </c>
      <c r="G63" s="212" t="inlineStr">
        <is>
          <t>4 ft 6 in</t>
        </is>
      </c>
      <c r="H63" s="212" t="n">
        <v>88.2</v>
      </c>
      <c r="I63" s="212" t="inlineStr">
        <is>
          <t>24</t>
        </is>
      </c>
      <c r="J63" s="212" t="n">
        <v>33.1</v>
      </c>
      <c r="K63" s="212" t="n">
        <v>4.47</v>
      </c>
      <c r="L63" s="212" t="inlineStr">
        <is>
          <t>≈ 2 hours</t>
        </is>
      </c>
      <c r="M63" s="212" t="n">
        <v>3</v>
      </c>
      <c r="N63" s="212" t="n">
        <v>3</v>
      </c>
      <c r="O63" s="212" t="inlineStr">
        <is>
          <t>Both</t>
        </is>
      </c>
      <c r="P63" s="212" t="inlineStr">
        <is>
          <t>engineai_robotics_pm01</t>
        </is>
      </c>
      <c r="Q63" s="212" t="inlineStr">
        <is>
          <t>https://humanoid.guide/product/pm01/</t>
        </is>
      </c>
    </row>
    <row r="64" ht="18" customHeight="1" s="102">
      <c r="A64" s="214" t="inlineStr">
        <is>
          <t>EngineAI Robotics</t>
        </is>
      </c>
      <c r="B64" s="214" t="inlineStr">
        <is>
          <t>SAO2</t>
        </is>
      </c>
      <c r="C64" s="214" t="inlineStr">
        <is>
          <t>China</t>
        </is>
      </c>
      <c r="D64" s="214" t="n"/>
      <c r="E64" s="215" t="n">
        <v>5300</v>
      </c>
      <c r="F64" s="214" t="inlineStr">
        <is>
          <t>In production</t>
        </is>
      </c>
      <c r="G64" s="214" t="inlineStr">
        <is>
          <t>4 ft 1 in</t>
        </is>
      </c>
      <c r="H64" s="214" t="n">
        <v>55.1</v>
      </c>
      <c r="I64" s="214" t="inlineStr">
        <is>
          <t>28</t>
        </is>
      </c>
      <c r="J64" s="214" t="n">
        <v>11</v>
      </c>
      <c r="K64" s="214" t="n">
        <v>4.47</v>
      </c>
      <c r="L64" s="214" t="inlineStr">
        <is>
          <t>≈ 4 hours</t>
        </is>
      </c>
      <c r="M64" s="214" t="n">
        <v>3</v>
      </c>
      <c r="N64" s="214" t="n">
        <v>3</v>
      </c>
      <c r="O64" s="214" t="inlineStr">
        <is>
          <t>Humanoid.guide</t>
        </is>
      </c>
      <c r="P64" s="214" t="inlineStr">
        <is>
          <t>engineai_robotics_sao2</t>
        </is>
      </c>
      <c r="Q64" s="214" t="inlineStr">
        <is>
          <t>https://humanoid.guide/product/sao2/</t>
        </is>
      </c>
    </row>
    <row r="65" ht="18" customHeight="1" s="102">
      <c r="A65" s="212" t="inlineStr">
        <is>
          <t>EngineAI Robotics</t>
        </is>
      </c>
      <c r="B65" s="212" t="inlineStr">
        <is>
          <t>SE01</t>
        </is>
      </c>
      <c r="C65" s="212" t="inlineStr">
        <is>
          <t>China</t>
        </is>
      </c>
      <c r="D65" s="212" t="n"/>
      <c r="E65" s="213" t="n">
        <v>20500</v>
      </c>
      <c r="F65" s="212" t="inlineStr">
        <is>
          <t>Prototype</t>
        </is>
      </c>
      <c r="G65" s="212" t="inlineStr">
        <is>
          <t>5 ft 11 in</t>
        </is>
      </c>
      <c r="H65" s="212" t="n">
        <v>176.4</v>
      </c>
      <c r="I65" s="212" t="inlineStr">
        <is>
          <t>12</t>
        </is>
      </c>
      <c r="J65" s="212" t="n">
        <v>33.1</v>
      </c>
      <c r="K65" s="212" t="n">
        <v>2.49</v>
      </c>
      <c r="L65" s="212" t="inlineStr">
        <is>
          <t>≈ 2 hours</t>
        </is>
      </c>
      <c r="M65" s="212" t="n">
        <v>3</v>
      </c>
      <c r="N65" s="212" t="n">
        <v>3</v>
      </c>
      <c r="O65" s="212" t="inlineStr">
        <is>
          <t>Humanoid.guide</t>
        </is>
      </c>
      <c r="P65" s="212" t="inlineStr">
        <is>
          <t>engineai_robotics_se01</t>
        </is>
      </c>
      <c r="Q65" s="212" t="inlineStr">
        <is>
          <t>https://humanoid.guide/product/se01/</t>
        </is>
      </c>
    </row>
    <row r="66" ht="18" customHeight="1" s="102">
      <c r="A66" s="214" t="inlineStr">
        <is>
          <t>EngineAI Robotics</t>
        </is>
      </c>
      <c r="B66" s="214" t="inlineStr">
        <is>
          <t>T800</t>
        </is>
      </c>
      <c r="C66" s="214" t="inlineStr">
        <is>
          <t>China</t>
        </is>
      </c>
      <c r="D66" s="214" t="n">
        <v>2025</v>
      </c>
      <c r="E66" s="215" t="n">
        <v>20500</v>
      </c>
      <c r="F66" s="214" t="inlineStr">
        <is>
          <t>Prototype</t>
        </is>
      </c>
      <c r="G66" s="214" t="inlineStr">
        <is>
          <t>5 ft 7 in</t>
        </is>
      </c>
      <c r="H66" s="214" t="n">
        <v>132.3</v>
      </c>
      <c r="I66" s="214" t="inlineStr">
        <is>
          <t>32+</t>
        </is>
      </c>
      <c r="J66" s="214" t="n">
        <v>44.1</v>
      </c>
      <c r="K66" s="214" t="n">
        <v>3.73</v>
      </c>
      <c r="L66" s="214" t="inlineStr">
        <is>
          <t>≈ 2 hours</t>
        </is>
      </c>
      <c r="M66" s="214" t="n"/>
      <c r="N66" s="214" t="n"/>
      <c r="O66" s="214" t="inlineStr">
        <is>
          <t>Both</t>
        </is>
      </c>
      <c r="P66" s="214" t="inlineStr">
        <is>
          <t>engineai_robotics_se01_t800_variants</t>
        </is>
      </c>
      <c r="Q66" s="214" t="inlineStr">
        <is>
          <t>https://humanoid.guide/product/t800/</t>
        </is>
      </c>
    </row>
    <row r="67" ht="18" customHeight="1" s="102">
      <c r="A67" s="212" t="inlineStr">
        <is>
          <t>Engineered Arts</t>
        </is>
      </c>
      <c r="B67" s="212" t="inlineStr">
        <is>
          <t>Ameca</t>
        </is>
      </c>
      <c r="C67" s="212" t="inlineStr">
        <is>
          <t>UK</t>
        </is>
      </c>
      <c r="D67" s="212" t="n">
        <v>2025</v>
      </c>
      <c r="E67" s="213" t="n">
        <v>100000</v>
      </c>
      <c r="F67" s="212" t="n"/>
      <c r="G67" s="212" t="inlineStr">
        <is>
          <t>6 ft 2 in (variants)</t>
        </is>
      </c>
      <c r="H67" s="216" t="inlineStr">
        <is>
          <t>Not disclosed</t>
        </is>
      </c>
      <c r="I67" s="212" t="inlineStr">
        <is>
          <t>High (facial + body)</t>
        </is>
      </c>
      <c r="J67" s="216" t="inlineStr">
        <is>
          <t>Not disclosed</t>
        </is>
      </c>
      <c r="K67" s="216" t="inlineStr">
        <is>
          <t>Not disclosed</t>
        </is>
      </c>
      <c r="L67" s="216" t="inlineStr">
        <is>
          <t>Not disclosed</t>
        </is>
      </c>
      <c r="M67" s="212" t="n"/>
      <c r="N67" s="212" t="n"/>
      <c r="O67" s="212" t="inlineStr">
        <is>
          <t>Website</t>
        </is>
      </c>
      <c r="P67" s="212" t="inlineStr">
        <is>
          <t>engineered_arts_ameca</t>
        </is>
      </c>
      <c r="Q67" s="212" t="n"/>
    </row>
    <row r="68" ht="18" customHeight="1" s="102">
      <c r="A68" s="214" t="inlineStr">
        <is>
          <t>Faraday Future Intelligent Electric Inc.</t>
        </is>
      </c>
      <c r="B68" s="214" t="inlineStr">
        <is>
          <t>FF Futurist</t>
        </is>
      </c>
      <c r="C68" s="214" t="inlineStr">
        <is>
          <t>USA</t>
        </is>
      </c>
      <c r="D68" s="214" t="n"/>
      <c r="E68" s="215" t="n">
        <v>34990</v>
      </c>
      <c r="F68" s="214" t="inlineStr">
        <is>
          <t>Production-ready prototype / early commercial units</t>
        </is>
      </c>
      <c r="G68" s="214" t="inlineStr">
        <is>
          <t>5 ft 7 in</t>
        </is>
      </c>
      <c r="H68" s="214" t="n">
        <v>152.1</v>
      </c>
      <c r="I68" s="214" t="inlineStr">
        <is>
          <t>40</t>
        </is>
      </c>
      <c r="J68" s="214" t="n">
        <v>33.1</v>
      </c>
      <c r="K68" s="214" t="n">
        <v>1.86</v>
      </c>
      <c r="L68" s="214" t="inlineStr">
        <is>
          <t>≈ 3 hours</t>
        </is>
      </c>
      <c r="M68" s="214" t="n"/>
      <c r="N68" s="214" t="n"/>
      <c r="O68" s="214" t="inlineStr">
        <is>
          <t>Humanoid.guide</t>
        </is>
      </c>
      <c r="P68" s="214" t="inlineStr">
        <is>
          <t>faraday_future_intelligent_electric_inc_ff_futur</t>
        </is>
      </c>
      <c r="Q68" s="214" t="inlineStr">
        <is>
          <t>https://humanoid.guide/product/futurist/</t>
        </is>
      </c>
    </row>
    <row r="69" ht="18" customHeight="1" s="102">
      <c r="A69" s="212" t="inlineStr">
        <is>
          <t>Faraday Future Intelligent Electric Inc.</t>
        </is>
      </c>
      <c r="B69" s="212" t="inlineStr">
        <is>
          <t>FF Master</t>
        </is>
      </c>
      <c r="C69" s="212" t="inlineStr">
        <is>
          <t>USA</t>
        </is>
      </c>
      <c r="D69" s="212" t="n"/>
      <c r="E69" s="213" t="n">
        <v>19990</v>
      </c>
      <c r="F69" s="212" t="inlineStr">
        <is>
          <t>Production-ready prototype / early commercial units</t>
        </is>
      </c>
      <c r="G69" s="212" t="inlineStr">
        <is>
          <t>4 ft 4 in</t>
        </is>
      </c>
      <c r="H69" s="212" t="n">
        <v>86</v>
      </c>
      <c r="I69" s="212" t="inlineStr">
        <is>
          <t>30</t>
        </is>
      </c>
      <c r="J69" s="212" t="n">
        <v>11</v>
      </c>
      <c r="K69" s="212" t="n">
        <v>4.47</v>
      </c>
      <c r="L69" s="212" t="inlineStr">
        <is>
          <t>≈ 2 hours</t>
        </is>
      </c>
      <c r="M69" s="212" t="n"/>
      <c r="N69" s="212" t="n"/>
      <c r="O69" s="212" t="inlineStr">
        <is>
          <t>Humanoid.guide</t>
        </is>
      </c>
      <c r="P69" s="212" t="inlineStr">
        <is>
          <t>faraday_future_intelligent_electric_inc_ff_maste</t>
        </is>
      </c>
      <c r="Q69" s="212" t="inlineStr">
        <is>
          <t>https://humanoid.guide/product/master/</t>
        </is>
      </c>
    </row>
    <row r="70" ht="18" customHeight="1" s="102">
      <c r="A70" s="214" t="inlineStr">
        <is>
          <t>Fauna Robotics</t>
        </is>
      </c>
      <c r="B70" s="214" t="inlineStr">
        <is>
          <t>Sprout</t>
        </is>
      </c>
      <c r="C70" s="214" t="inlineStr">
        <is>
          <t>USA</t>
        </is>
      </c>
      <c r="D70" s="214" t="n">
        <v>2023</v>
      </c>
      <c r="E70" s="215" t="n">
        <v>50000</v>
      </c>
      <c r="F70" s="214" t="inlineStr">
        <is>
          <t>In production</t>
        </is>
      </c>
      <c r="G70" s="214" t="inlineStr">
        <is>
          <t>3 ft 6 in</t>
        </is>
      </c>
      <c r="H70" s="214" t="n">
        <v>50</v>
      </c>
      <c r="I70" s="214" t="inlineStr">
        <is>
          <t>29</t>
        </is>
      </c>
      <c r="J70" s="214" t="n">
        <v>4.4</v>
      </c>
      <c r="K70" s="214" t="n">
        <v>1.24</v>
      </c>
      <c r="L70" s="214" t="inlineStr">
        <is>
          <t>~3–3.5</t>
        </is>
      </c>
      <c r="M70" s="214" t="n"/>
      <c r="N70" s="214" t="n"/>
      <c r="O70" s="214" t="inlineStr">
        <is>
          <t>Both</t>
        </is>
      </c>
      <c r="P70" s="214" t="inlineStr">
        <is>
          <t>fauna_robotics_sprout</t>
        </is>
      </c>
      <c r="Q70" s="214" t="inlineStr">
        <is>
          <t>https://humanoid.guide/product/sprout/</t>
        </is>
      </c>
    </row>
    <row r="71" ht="18" customHeight="1" s="102">
      <c r="A71" s="212" t="inlineStr">
        <is>
          <t>Figure AI</t>
        </is>
      </c>
      <c r="B71" s="212" t="inlineStr">
        <is>
          <t>Figure 02</t>
        </is>
      </c>
      <c r="C71" s="212" t="inlineStr">
        <is>
          <t>USA</t>
        </is>
      </c>
      <c r="D71" s="212" t="n"/>
      <c r="E71" s="213" t="n">
        <v>130000</v>
      </c>
      <c r="F71" s="212" t="inlineStr">
        <is>
          <t>Prototype</t>
        </is>
      </c>
      <c r="G71" s="212" t="inlineStr">
        <is>
          <t>5 ft 6 in</t>
        </is>
      </c>
      <c r="H71" s="212" t="n">
        <v>154.3</v>
      </c>
      <c r="I71" s="212" t="inlineStr">
        <is>
          <t>28</t>
        </is>
      </c>
      <c r="J71" s="212" t="n">
        <v>55.1</v>
      </c>
      <c r="K71" s="212" t="n">
        <v>1.86</v>
      </c>
      <c r="L71" s="212" t="inlineStr">
        <is>
          <t>≈ 5 hours</t>
        </is>
      </c>
      <c r="M71" s="212" t="n">
        <v>3</v>
      </c>
      <c r="N71" s="212" t="n">
        <v>3</v>
      </c>
      <c r="O71" s="212" t="inlineStr">
        <is>
          <t>Humanoid.guide</t>
        </is>
      </c>
      <c r="P71" s="212" t="inlineStr">
        <is>
          <t>figure_ai_figure_02</t>
        </is>
      </c>
      <c r="Q71" s="212" t="inlineStr">
        <is>
          <t>https://humanoid.guide/product/figure-02/</t>
        </is>
      </c>
    </row>
    <row r="72" ht="18" customHeight="1" s="102">
      <c r="A72" s="214" t="inlineStr">
        <is>
          <t>Figure AI</t>
        </is>
      </c>
      <c r="B72" s="214" t="inlineStr">
        <is>
          <t>Figure 03</t>
        </is>
      </c>
      <c r="C72" s="214" t="inlineStr">
        <is>
          <t>USA</t>
        </is>
      </c>
      <c r="D72" s="214" t="n">
        <v>2025</v>
      </c>
      <c r="E72" s="215" t="n">
        <v>150000</v>
      </c>
      <c r="F72" s="214" t="inlineStr">
        <is>
          <t>Prototype</t>
        </is>
      </c>
      <c r="G72" s="214" t="inlineStr">
        <is>
          <t>≈ 5 ft 6 in – 5 ft 8 in</t>
        </is>
      </c>
      <c r="H72" s="214" t="n">
        <v>132.3</v>
      </c>
      <c r="I72" s="214" t="inlineStr">
        <is>
          <t>≈ 44 total · hands ≈ 16 DOF class</t>
        </is>
      </c>
      <c r="J72" s="214" t="n">
        <v>44.1</v>
      </c>
      <c r="K72" s="214" t="n">
        <v>2.67</v>
      </c>
      <c r="L72" s="214" t="inlineStr">
        <is>
          <t>≈ 5 h class</t>
        </is>
      </c>
      <c r="M72" s="214" t="n">
        <v>3</v>
      </c>
      <c r="N72" s="214" t="n">
        <v>3</v>
      </c>
      <c r="O72" s="214" t="inlineStr">
        <is>
          <t>Both</t>
        </is>
      </c>
      <c r="P72" s="214" t="inlineStr">
        <is>
          <t>figure03</t>
        </is>
      </c>
      <c r="Q72" s="214" t="inlineStr">
        <is>
          <t>https://humanoid.guide/product/figure-03/</t>
        </is>
      </c>
    </row>
    <row r="73" ht="18" customHeight="1" s="102">
      <c r="A73" s="212" t="inlineStr">
        <is>
          <t>Flexiv Robotics</t>
        </is>
      </c>
      <c r="B73" s="212" t="inlineStr">
        <is>
          <t>AICO 2</t>
        </is>
      </c>
      <c r="C73" s="212" t="inlineStr">
        <is>
          <t>USA</t>
        </is>
      </c>
      <c r="D73" s="212" t="n"/>
      <c r="E73" s="213" t="n">
        <v>120000</v>
      </c>
      <c r="F73" s="212" t="inlineStr">
        <is>
          <t>In production</t>
        </is>
      </c>
      <c r="G73" s="212" t="inlineStr">
        <is>
          <t>5 ft 3 in</t>
        </is>
      </c>
      <c r="H73" s="212" t="n">
        <v>619.5</v>
      </c>
      <c r="I73" s="212" t="inlineStr">
        <is>
          <t>14</t>
        </is>
      </c>
      <c r="J73" s="212" t="n">
        <v>17.6</v>
      </c>
      <c r="K73" s="212" t="n">
        <v>2.49</v>
      </c>
      <c r="L73" s="212" t="inlineStr">
        <is>
          <t>≈ 6 hours</t>
        </is>
      </c>
      <c r="M73" s="212" t="n"/>
      <c r="N73" s="212" t="n"/>
      <c r="O73" s="212" t="inlineStr">
        <is>
          <t>Humanoid.guide</t>
        </is>
      </c>
      <c r="P73" s="212" t="inlineStr">
        <is>
          <t>flexiv_robotics_aico_2</t>
        </is>
      </c>
      <c r="Q73" s="212" t="inlineStr">
        <is>
          <t>https://humanoid.guide/product/aico-2/</t>
        </is>
      </c>
    </row>
    <row r="74" ht="18" customHeight="1" s="102">
      <c r="A74" s="214" t="inlineStr">
        <is>
          <t>Flexiv Robotics</t>
        </is>
      </c>
      <c r="B74" s="214" t="inlineStr">
        <is>
          <t>MICO</t>
        </is>
      </c>
      <c r="C74" s="214" t="inlineStr">
        <is>
          <t>USA</t>
        </is>
      </c>
      <c r="D74" s="214" t="n"/>
      <c r="E74" s="215" t="n">
        <v>80000</v>
      </c>
      <c r="F74" s="214" t="inlineStr">
        <is>
          <t>In production</t>
        </is>
      </c>
      <c r="G74" s="214" t="inlineStr">
        <is>
          <t>4 ft 11 in</t>
        </is>
      </c>
      <c r="H74" s="214" t="n">
        <v>174.2</v>
      </c>
      <c r="I74" s="214" t="inlineStr">
        <is>
          <t>14</t>
        </is>
      </c>
      <c r="J74" s="214" t="n">
        <v>22</v>
      </c>
      <c r="K74" s="214" t="n">
        <v>1.86</v>
      </c>
      <c r="L74" s="217" t="inlineStr">
        <is>
          <t>Not disclosed</t>
        </is>
      </c>
      <c r="M74" s="214" t="n"/>
      <c r="N74" s="214" t="n"/>
      <c r="O74" s="214" t="inlineStr">
        <is>
          <t>Humanoid.guide</t>
        </is>
      </c>
      <c r="P74" s="214" t="inlineStr">
        <is>
          <t>flexiv_robotics_mico</t>
        </is>
      </c>
      <c r="Q74" s="214" t="inlineStr">
        <is>
          <t>https://humanoid.guide/product/mico/</t>
        </is>
      </c>
    </row>
    <row r="75" ht="18" customHeight="1" s="102">
      <c r="A75" s="212" t="inlineStr">
        <is>
          <t>Foundation Robotics</t>
        </is>
      </c>
      <c r="B75" s="212" t="inlineStr">
        <is>
          <t>Phantom MK1</t>
        </is>
      </c>
      <c r="C75" s="212" t="inlineStr">
        <is>
          <t>USA</t>
        </is>
      </c>
      <c r="D75" s="212" t="n">
        <v>2024</v>
      </c>
      <c r="E75" s="213" t="n">
        <v>50000</v>
      </c>
      <c r="F75" s="212" t="inlineStr">
        <is>
          <t>Prototype</t>
        </is>
      </c>
      <c r="G75" s="212" t="inlineStr">
        <is>
          <t>5 ft 9 in</t>
        </is>
      </c>
      <c r="H75" s="212" t="n">
        <v>176.4</v>
      </c>
      <c r="I75" s="212" t="inlineStr">
        <is>
          <t>19; Upper body</t>
        </is>
      </c>
      <c r="J75" s="212" t="n">
        <v>44.1</v>
      </c>
      <c r="K75" s="212" t="n">
        <v>3.79</v>
      </c>
      <c r="L75" s="216" t="inlineStr">
        <is>
          <t>Not disclosed</t>
        </is>
      </c>
      <c r="M75" s="212" t="n">
        <v>2</v>
      </c>
      <c r="N75" s="212" t="n">
        <v>2</v>
      </c>
      <c r="O75" s="212" t="inlineStr">
        <is>
          <t>Both</t>
        </is>
      </c>
      <c r="P75" s="212" t="inlineStr">
        <is>
          <t>foundation_robotics_phantom_mk1</t>
        </is>
      </c>
      <c r="Q75" s="212" t="inlineStr">
        <is>
          <t>https://humanoid.guide/product/phantom-mk1/</t>
        </is>
      </c>
    </row>
    <row r="76" ht="18" customHeight="1" s="102">
      <c r="A76" s="214" t="inlineStr">
        <is>
          <t>Fourier Intelligence</t>
        </is>
      </c>
      <c r="B76" s="214" t="inlineStr">
        <is>
          <t>GR-1</t>
        </is>
      </c>
      <c r="C76" s="214" t="inlineStr">
        <is>
          <t>China</t>
        </is>
      </c>
      <c r="D76" s="214" t="n"/>
      <c r="E76" s="215" t="n">
        <v>150000</v>
      </c>
      <c r="F76" s="214" t="inlineStr">
        <is>
          <t>Prototype</t>
        </is>
      </c>
      <c r="G76" s="214" t="inlineStr">
        <is>
          <t>5 ft 5 in</t>
        </is>
      </c>
      <c r="H76" s="214" t="n">
        <v>121.3</v>
      </c>
      <c r="I76" s="214" t="inlineStr">
        <is>
          <t>25</t>
        </is>
      </c>
      <c r="J76" s="214" t="n">
        <v>33.1</v>
      </c>
      <c r="K76" s="214" t="n">
        <v>3.11</v>
      </c>
      <c r="L76" s="214" t="inlineStr">
        <is>
          <t>≈ 2 hours</t>
        </is>
      </c>
      <c r="M76" s="214" t="n">
        <v>3</v>
      </c>
      <c r="N76" s="214" t="n">
        <v>3</v>
      </c>
      <c r="O76" s="214" t="inlineStr">
        <is>
          <t>Humanoid.guide</t>
        </is>
      </c>
      <c r="P76" s="214" t="inlineStr">
        <is>
          <t>fourier_intelligence_gr_1</t>
        </is>
      </c>
      <c r="Q76" s="214" t="inlineStr">
        <is>
          <t>https://humanoid.guide/product/gr-1/</t>
        </is>
      </c>
    </row>
    <row r="77" ht="18" customHeight="1" s="102">
      <c r="A77" s="212" t="inlineStr">
        <is>
          <t>Fourier Intelligence</t>
        </is>
      </c>
      <c r="B77" s="212" t="inlineStr">
        <is>
          <t>GR-2</t>
        </is>
      </c>
      <c r="C77" s="212" t="inlineStr">
        <is>
          <t>China</t>
        </is>
      </c>
      <c r="D77" s="212" t="n"/>
      <c r="E77" s="213" t="n">
        <v>150000</v>
      </c>
      <c r="F77" s="212" t="inlineStr">
        <is>
          <t>Prototype</t>
        </is>
      </c>
      <c r="G77" s="212" t="inlineStr">
        <is>
          <t>5 ft 9 in</t>
        </is>
      </c>
      <c r="H77" s="212" t="n">
        <v>143.3</v>
      </c>
      <c r="I77" s="212" t="inlineStr">
        <is>
          <t>53</t>
        </is>
      </c>
      <c r="J77" s="212" t="n">
        <v>6.6</v>
      </c>
      <c r="K77" s="212" t="n">
        <v>3.11</v>
      </c>
      <c r="L77" s="212" t="inlineStr">
        <is>
          <t>≈ 2 hours</t>
        </is>
      </c>
      <c r="M77" s="212" t="n">
        <v>2</v>
      </c>
      <c r="N77" s="212" t="n">
        <v>2</v>
      </c>
      <c r="O77" s="212" t="inlineStr">
        <is>
          <t>Humanoid.guide</t>
        </is>
      </c>
      <c r="P77" s="212" t="inlineStr">
        <is>
          <t>fourier_intelligence_gr_2</t>
        </is>
      </c>
      <c r="Q77" s="212" t="inlineStr">
        <is>
          <t>https://humanoid.guide/product/gr-2/</t>
        </is>
      </c>
    </row>
    <row r="78" ht="18" customHeight="1" s="102">
      <c r="A78" s="214" t="inlineStr">
        <is>
          <t>Fourier Intelligence</t>
        </is>
      </c>
      <c r="B78" s="214" t="inlineStr">
        <is>
          <t>GR-3</t>
        </is>
      </c>
      <c r="C78" s="214" t="inlineStr">
        <is>
          <t>China</t>
        </is>
      </c>
      <c r="D78" s="214" t="n">
        <v>2023</v>
      </c>
      <c r="E78" s="215" t="n">
        <v>27500</v>
      </c>
      <c r="F78" s="214" t="inlineStr">
        <is>
          <t>In production</t>
        </is>
      </c>
      <c r="G78" s="214" t="inlineStr">
        <is>
          <t>5 ft 5 in – 5 ft 9 in</t>
        </is>
      </c>
      <c r="H78" s="214" t="n">
        <v>156.5</v>
      </c>
      <c r="I78" s="214" t="inlineStr">
        <is>
          <t>40–55</t>
        </is>
      </c>
      <c r="J78" s="214" t="n">
        <v>33.1</v>
      </c>
      <c r="K78" s="214" t="n">
        <v>3.11</v>
      </c>
      <c r="L78" s="214" t="inlineStr">
        <is>
          <t>≈ 3 hours</t>
        </is>
      </c>
      <c r="M78" s="214" t="n"/>
      <c r="N78" s="214" t="n"/>
      <c r="O78" s="214" t="inlineStr">
        <is>
          <t>Both</t>
        </is>
      </c>
      <c r="P78" s="214" t="inlineStr">
        <is>
          <t>fourier_intelligence_gr_1_gr_2_gr_3</t>
        </is>
      </c>
      <c r="Q78" s="214" t="inlineStr">
        <is>
          <t>https://humanoid.guide/product/fourier-gr-3/</t>
        </is>
      </c>
    </row>
    <row r="79" ht="18" customHeight="1" s="102">
      <c r="A79" s="212" t="inlineStr">
        <is>
          <t>Futuring Robot</t>
        </is>
      </c>
      <c r="B79" s="212" t="inlineStr">
        <is>
          <t>Futuring 2</t>
        </is>
      </c>
      <c r="C79" s="212" t="inlineStr">
        <is>
          <t>China</t>
        </is>
      </c>
      <c r="D79" s="212" t="n"/>
      <c r="E79" s="213" t="n">
        <v>5000</v>
      </c>
      <c r="F79" s="212" t="inlineStr">
        <is>
          <t>Prototype</t>
        </is>
      </c>
      <c r="G79" s="212" t="inlineStr">
        <is>
          <t>4 ft 11 in</t>
        </is>
      </c>
      <c r="H79" s="212" t="n">
        <v>154.3</v>
      </c>
      <c r="I79" s="212" t="inlineStr">
        <is>
          <t>26</t>
        </is>
      </c>
      <c r="J79" s="212" t="n">
        <v>13.2</v>
      </c>
      <c r="K79" s="212" t="n">
        <v>2.49</v>
      </c>
      <c r="L79" s="212" t="inlineStr">
        <is>
          <t>≈ 3 hours</t>
        </is>
      </c>
      <c r="M79" s="212" t="n"/>
      <c r="N79" s="212" t="n"/>
      <c r="O79" s="212" t="inlineStr">
        <is>
          <t>Humanoid.guide</t>
        </is>
      </c>
      <c r="P79" s="212" t="inlineStr">
        <is>
          <t>futuring_robot_futuring_2</t>
        </is>
      </c>
      <c r="Q79" s="212" t="inlineStr">
        <is>
          <t>https://humanoid.guide/product/futuring-2/</t>
        </is>
      </c>
    </row>
    <row r="80" ht="18" customHeight="1" s="102">
      <c r="A80" s="214" t="inlineStr">
        <is>
          <t>Galaxea Dynamics</t>
        </is>
      </c>
      <c r="B80" s="214" t="inlineStr">
        <is>
          <t>Kengo</t>
        </is>
      </c>
      <c r="C80" s="214" t="inlineStr">
        <is>
          <t>China</t>
        </is>
      </c>
      <c r="D80" s="214" t="n">
        <v>2026</v>
      </c>
      <c r="E80" s="215" t="n">
        <v>69999</v>
      </c>
      <c r="F80" s="214" t="inlineStr">
        <is>
          <t>Prototype</t>
        </is>
      </c>
      <c r="G80" s="214" t="inlineStr">
        <is>
          <t>5 ft 7 in</t>
        </is>
      </c>
      <c r="H80" s="214" t="n">
        <v>143.3</v>
      </c>
      <c r="I80" s="214" t="inlineStr">
        <is>
          <t>32</t>
        </is>
      </c>
      <c r="J80" s="214" t="n">
        <v>44.1</v>
      </c>
      <c r="K80" s="214" t="n">
        <v>3.73</v>
      </c>
      <c r="L80" s="217" t="inlineStr">
        <is>
          <t>Not disclosed</t>
        </is>
      </c>
      <c r="M80" s="214" t="n"/>
      <c r="N80" s="214" t="n"/>
      <c r="O80" s="214" t="inlineStr">
        <is>
          <t>Humanoid.guide</t>
        </is>
      </c>
      <c r="P80" s="214" t="inlineStr">
        <is>
          <t>galaxea_dynamics_kengo</t>
        </is>
      </c>
      <c r="Q80" s="214" t="inlineStr">
        <is>
          <t>https://humanoid.guide/product/kengo/</t>
        </is>
      </c>
    </row>
    <row r="81" ht="18" customHeight="1" s="102">
      <c r="A81" s="212" t="inlineStr">
        <is>
          <t>Galaxea Dynamics</t>
        </is>
      </c>
      <c r="B81" s="212" t="inlineStr">
        <is>
          <t>R1 PRO</t>
        </is>
      </c>
      <c r="C81" s="212" t="inlineStr">
        <is>
          <t>China</t>
        </is>
      </c>
      <c r="D81" s="212" t="n"/>
      <c r="E81" s="213" t="n">
        <v>69999</v>
      </c>
      <c r="F81" s="212" t="inlineStr">
        <is>
          <t>In production</t>
        </is>
      </c>
      <c r="G81" s="212" t="inlineStr">
        <is>
          <t>5 ft 7 in</t>
        </is>
      </c>
      <c r="H81" s="212" t="n">
        <v>211.6</v>
      </c>
      <c r="I81" s="212" t="inlineStr">
        <is>
          <t>26</t>
        </is>
      </c>
      <c r="J81" s="212" t="n">
        <v>22</v>
      </c>
      <c r="K81" s="212" t="n">
        <v>3.36</v>
      </c>
      <c r="L81" s="212" t="inlineStr">
        <is>
          <t>≈ 3 hours</t>
        </is>
      </c>
      <c r="M81" s="212" t="n">
        <v>3</v>
      </c>
      <c r="N81" s="212" t="n">
        <v>2</v>
      </c>
      <c r="O81" s="212" t="inlineStr">
        <is>
          <t>Humanoid.guide</t>
        </is>
      </c>
      <c r="P81" s="212" t="inlineStr">
        <is>
          <t>galaxea_dynamics_r1_pro</t>
        </is>
      </c>
      <c r="Q81" s="212" t="inlineStr">
        <is>
          <t>https://humanoid.guide/product/r1-pro/</t>
        </is>
      </c>
    </row>
    <row r="82" ht="18" customHeight="1" s="102">
      <c r="A82" s="214" t="inlineStr">
        <is>
          <t>Galbot</t>
        </is>
      </c>
      <c r="B82" s="214" t="inlineStr">
        <is>
          <t>G1</t>
        </is>
      </c>
      <c r="C82" s="214" t="inlineStr">
        <is>
          <t>China</t>
        </is>
      </c>
      <c r="D82" s="214" t="n">
        <v>2024</v>
      </c>
      <c r="E82" s="215" t="n">
        <v>87000</v>
      </c>
      <c r="F82" s="214" t="inlineStr">
        <is>
          <t>Prototype</t>
        </is>
      </c>
      <c r="G82" s="214" t="inlineStr">
        <is>
          <t>5 ft 8 in</t>
        </is>
      </c>
      <c r="H82" s="214" t="n">
        <v>194</v>
      </c>
      <c r="I82" s="214" t="inlineStr">
        <is>
          <t>24–34</t>
        </is>
      </c>
      <c r="J82" s="214" t="inlineStr">
        <is>
          <t>5 lb per arm / 10 lb total</t>
        </is>
      </c>
      <c r="K82" s="214" t="n">
        <v>3.11</v>
      </c>
      <c r="L82" s="214" t="inlineStr">
        <is>
          <t>≈ 2 hours</t>
        </is>
      </c>
      <c r="M82" s="214" t="n">
        <v>2</v>
      </c>
      <c r="N82" s="214" t="n">
        <v>2</v>
      </c>
      <c r="O82" s="214" t="inlineStr">
        <is>
          <t>Both</t>
        </is>
      </c>
      <c r="P82" s="214" t="inlineStr">
        <is>
          <t>galbot_galaxy_general_g1_wheeled_dual_ar</t>
        </is>
      </c>
      <c r="Q82" s="214" t="inlineStr">
        <is>
          <t>https://humanoid.guide/product/galbot/</t>
        </is>
      </c>
    </row>
    <row r="83" ht="18" customHeight="1" s="102">
      <c r="A83" s="212" t="inlineStr">
        <is>
          <t>Galbot</t>
        </is>
      </c>
      <c r="B83" s="212" t="inlineStr">
        <is>
          <t>Wheeled Dual-Arm</t>
        </is>
      </c>
      <c r="C83" s="212" t="inlineStr">
        <is>
          <t>China</t>
        </is>
      </c>
      <c r="D83" s="212" t="n">
        <v>2024</v>
      </c>
      <c r="E83" s="213" t="n">
        <v>50000</v>
      </c>
      <c r="F83" s="212" t="inlineStr">
        <is>
          <t>Prototype</t>
        </is>
      </c>
      <c r="G83" s="212" t="inlineStr">
        <is>
          <t>5 ft 8 in</t>
        </is>
      </c>
      <c r="H83" s="212" t="n">
        <v>194</v>
      </c>
      <c r="I83" s="212" t="inlineStr">
        <is>
          <t>24–34</t>
        </is>
      </c>
      <c r="J83" s="212" t="inlineStr">
        <is>
          <t>5 lb per arm / 10 lb total</t>
        </is>
      </c>
      <c r="K83" s="212" t="n">
        <v>3.11</v>
      </c>
      <c r="L83" s="212" t="inlineStr">
        <is>
          <t>≈ 2 hours</t>
        </is>
      </c>
      <c r="M83" s="212" t="n">
        <v>2</v>
      </c>
      <c r="N83" s="212" t="n">
        <v>2</v>
      </c>
      <c r="O83" s="212" t="inlineStr">
        <is>
          <t>Both</t>
        </is>
      </c>
      <c r="P83" s="212" t="inlineStr">
        <is>
          <t>galbot_galaxy_general_g1_wheeled_dual_ar_wheeled</t>
        </is>
      </c>
      <c r="Q83" s="212" t="inlineStr">
        <is>
          <t>https://humanoid.guide/product/galbot/</t>
        </is>
      </c>
    </row>
    <row r="84" ht="18" customHeight="1" s="102">
      <c r="A84" s="214" t="inlineStr">
        <is>
          <t>Genesis AI</t>
        </is>
      </c>
      <c r="B84" s="214" t="inlineStr">
        <is>
          <t>Eno</t>
        </is>
      </c>
      <c r="C84" s="214" t="inlineStr">
        <is>
          <t>USA</t>
        </is>
      </c>
      <c r="D84" s="214" t="n"/>
      <c r="E84" s="215" t="n">
        <v>90000</v>
      </c>
      <c r="F84" s="214" t="inlineStr">
        <is>
          <t>Prototype</t>
        </is>
      </c>
      <c r="G84" s="214" t="inlineStr">
        <is>
          <t>5 ft 7 in</t>
        </is>
      </c>
      <c r="H84" s="214" t="n">
        <v>264.6</v>
      </c>
      <c r="I84" s="214" t="inlineStr">
        <is>
          <t>40</t>
        </is>
      </c>
      <c r="J84" s="214" t="n">
        <v>26.5</v>
      </c>
      <c r="K84" s="214" t="n">
        <v>3.73</v>
      </c>
      <c r="L84" s="214" t="inlineStr">
        <is>
          <t>≈ 8 hours</t>
        </is>
      </c>
      <c r="M84" s="214" t="n"/>
      <c r="N84" s="214" t="n"/>
      <c r="O84" s="214" t="inlineStr">
        <is>
          <t>Humanoid.guide</t>
        </is>
      </c>
      <c r="P84" s="214" t="inlineStr">
        <is>
          <t>genesis_ai_eno</t>
        </is>
      </c>
      <c r="Q84" s="214" t="inlineStr">
        <is>
          <t>https://humanoid.guide/product/eno/</t>
        </is>
      </c>
    </row>
    <row r="85" ht="18" customHeight="1" s="102">
      <c r="A85" s="212" t="inlineStr">
        <is>
          <t>GigaAI</t>
        </is>
      </c>
      <c r="B85" s="212" t="inlineStr">
        <is>
          <t>Maker H01</t>
        </is>
      </c>
      <c r="C85" s="212" t="inlineStr">
        <is>
          <t>China</t>
        </is>
      </c>
      <c r="D85" s="212" t="n"/>
      <c r="E85" s="213" t="n">
        <v>160000</v>
      </c>
      <c r="F85" s="212" t="inlineStr">
        <is>
          <t>Prototype</t>
        </is>
      </c>
      <c r="G85" s="212" t="inlineStr">
        <is>
          <t>5 ft 3 in</t>
        </is>
      </c>
      <c r="H85" s="212" t="n">
        <v>141.1</v>
      </c>
      <c r="I85" s="212" t="inlineStr">
        <is>
          <t>28</t>
        </is>
      </c>
      <c r="J85" s="212" t="n">
        <v>17.6</v>
      </c>
      <c r="K85" s="212" t="n">
        <v>4.97</v>
      </c>
      <c r="L85" s="212" t="inlineStr">
        <is>
          <t>≈ 4 hours</t>
        </is>
      </c>
      <c r="M85" s="212" t="n">
        <v>4</v>
      </c>
      <c r="N85" s="212" t="n">
        <v>3</v>
      </c>
      <c r="O85" s="212" t="inlineStr">
        <is>
          <t>Humanoid.guide</t>
        </is>
      </c>
      <c r="P85" s="212" t="inlineStr">
        <is>
          <t>gigaai_maker_h01</t>
        </is>
      </c>
      <c r="Q85" s="212" t="inlineStr">
        <is>
          <t>https://humanoid.guide/product/maker-h01/</t>
        </is>
      </c>
    </row>
    <row r="86" ht="18" customHeight="1" s="102">
      <c r="A86" s="214" t="inlineStr">
        <is>
          <t>Haier</t>
        </is>
      </c>
      <c r="B86" s="214" t="inlineStr">
        <is>
          <t>HIVA Haiwa</t>
        </is>
      </c>
      <c r="C86" s="214" t="inlineStr">
        <is>
          <t>China</t>
        </is>
      </c>
      <c r="D86" s="214" t="n"/>
      <c r="E86" s="215" t="n">
        <v>80000</v>
      </c>
      <c r="F86" s="214" t="inlineStr">
        <is>
          <t>Prototype</t>
        </is>
      </c>
      <c r="G86" s="214" t="inlineStr">
        <is>
          <t>5 ft 5 in</t>
        </is>
      </c>
      <c r="H86" s="214" t="n">
        <v>154.3</v>
      </c>
      <c r="I86" s="214" t="inlineStr">
        <is>
          <t>44</t>
        </is>
      </c>
      <c r="J86" s="214" t="n">
        <v>17.6</v>
      </c>
      <c r="K86" s="214" t="n">
        <v>2.49</v>
      </c>
      <c r="L86" s="214" t="inlineStr">
        <is>
          <t>≈ 1 hours</t>
        </is>
      </c>
      <c r="M86" s="214" t="n">
        <v>3</v>
      </c>
      <c r="N86" s="214" t="n">
        <v>2</v>
      </c>
      <c r="O86" s="214" t="inlineStr">
        <is>
          <t>Humanoid.guide</t>
        </is>
      </c>
      <c r="P86" s="214" t="inlineStr">
        <is>
          <t>haier_hiva_haiwa</t>
        </is>
      </c>
      <c r="Q86" s="214" t="inlineStr">
        <is>
          <t>https://humanoid.guide/product/hiva-haiwa/</t>
        </is>
      </c>
    </row>
    <row r="87" ht="18" customHeight="1" s="102">
      <c r="A87" s="212" t="inlineStr">
        <is>
          <t>Hexagon</t>
        </is>
      </c>
      <c r="B87" s="212" t="inlineStr">
        <is>
          <t>AEON</t>
        </is>
      </c>
      <c r="C87" s="212" t="inlineStr">
        <is>
          <t>Swedish</t>
        </is>
      </c>
      <c r="D87" s="212" t="n"/>
      <c r="E87" s="213" t="n">
        <v>20000</v>
      </c>
      <c r="F87" s="212" t="inlineStr">
        <is>
          <t>Prototype</t>
        </is>
      </c>
      <c r="G87" s="212" t="inlineStr">
        <is>
          <t>5 ft 5 in</t>
        </is>
      </c>
      <c r="H87" s="212" t="n">
        <v>132.3</v>
      </c>
      <c r="I87" s="212" t="inlineStr">
        <is>
          <t>34</t>
        </is>
      </c>
      <c r="J87" s="212" t="n">
        <v>33.1</v>
      </c>
      <c r="K87" s="212" t="n">
        <v>5.34</v>
      </c>
      <c r="L87" s="212" t="inlineStr">
        <is>
          <t>≈ 4 hours</t>
        </is>
      </c>
      <c r="M87" s="212" t="n">
        <v>2</v>
      </c>
      <c r="N87" s="212" t="n">
        <v>2</v>
      </c>
      <c r="O87" s="212" t="inlineStr">
        <is>
          <t>Humanoid.guide</t>
        </is>
      </c>
      <c r="P87" s="212" t="inlineStr">
        <is>
          <t>hexagon_aeon</t>
        </is>
      </c>
      <c r="Q87" s="212" t="inlineStr">
        <is>
          <t>https://humanoid.guide/product/aeon/</t>
        </is>
      </c>
    </row>
    <row r="88" ht="18" customHeight="1" s="102">
      <c r="A88" s="214" t="inlineStr">
        <is>
          <t>Holiday Robotics</t>
        </is>
      </c>
      <c r="B88" s="214" t="inlineStr">
        <is>
          <t>Friday</t>
        </is>
      </c>
      <c r="C88" s="214" t="n"/>
      <c r="D88" s="214" t="n"/>
      <c r="E88" s="215" t="n">
        <v>200000</v>
      </c>
      <c r="F88" s="214" t="inlineStr">
        <is>
          <t>Prototype</t>
        </is>
      </c>
      <c r="G88" s="214" t="inlineStr">
        <is>
          <t>5 ft 8 in</t>
        </is>
      </c>
      <c r="H88" s="214" t="n">
        <v>253.5</v>
      </c>
      <c r="I88" s="214" t="inlineStr">
        <is>
          <t>63</t>
        </is>
      </c>
      <c r="J88" s="214" t="n">
        <v>44.1</v>
      </c>
      <c r="K88" s="214" t="n">
        <v>4.25</v>
      </c>
      <c r="L88" s="214" t="inlineStr">
        <is>
          <t>≈ 4 hours</t>
        </is>
      </c>
      <c r="M88" s="214" t="n">
        <v>2</v>
      </c>
      <c r="N88" s="214" t="n">
        <v>1</v>
      </c>
      <c r="O88" s="214" t="inlineStr">
        <is>
          <t>Humanoid.guide</t>
        </is>
      </c>
      <c r="P88" s="214" t="inlineStr">
        <is>
          <t>holiday_robotics_friday</t>
        </is>
      </c>
      <c r="Q88" s="214" t="inlineStr">
        <is>
          <t>https://humanoid.guide/product/friday/</t>
        </is>
      </c>
    </row>
    <row r="89" ht="18" customHeight="1" s="102">
      <c r="A89" s="212" t="inlineStr">
        <is>
          <t>Honor</t>
        </is>
      </c>
      <c r="B89" s="212" t="inlineStr">
        <is>
          <t>Lightning</t>
        </is>
      </c>
      <c r="C89" s="212" t="inlineStr">
        <is>
          <t>China</t>
        </is>
      </c>
      <c r="D89" s="212" t="n">
        <v>2025</v>
      </c>
      <c r="E89" s="213" t="n">
        <v>50000</v>
      </c>
      <c r="F89" s="212" t="inlineStr">
        <is>
          <t>Prototype</t>
        </is>
      </c>
      <c r="G89" s="212" t="inlineStr">
        <is>
          <t>5 ft 3 in</t>
        </is>
      </c>
      <c r="H89" s="212" t="n">
        <v>176.4</v>
      </c>
      <c r="I89" s="212" t="inlineStr">
        <is>
          <t>20</t>
        </is>
      </c>
      <c r="J89" s="212" t="n">
        <v>22</v>
      </c>
      <c r="K89" s="212" t="n">
        <v>2.49</v>
      </c>
      <c r="L89" s="212" t="inlineStr">
        <is>
          <t>≈ 2 hours</t>
        </is>
      </c>
      <c r="M89" s="212" t="n"/>
      <c r="N89" s="212" t="n"/>
      <c r="O89" s="212" t="inlineStr">
        <is>
          <t>Both</t>
        </is>
      </c>
      <c r="P89" s="212" t="inlineStr">
        <is>
          <t>honor_lightning_flash_d1</t>
        </is>
      </c>
      <c r="Q89" s="212" t="inlineStr">
        <is>
          <t>https://humanoid.guide/product/honor/</t>
        </is>
      </c>
    </row>
    <row r="90" ht="18" customHeight="1" s="102">
      <c r="A90" s="214" t="inlineStr">
        <is>
          <t>Honor</t>
        </is>
      </c>
      <c r="B90" s="214" t="inlineStr">
        <is>
          <t>Flash</t>
        </is>
      </c>
      <c r="C90" s="214" t="inlineStr">
        <is>
          <t>China</t>
        </is>
      </c>
      <c r="D90" s="214" t="n">
        <v>2025</v>
      </c>
      <c r="E90" s="215" t="n">
        <v>50000</v>
      </c>
      <c r="F90" s="214" t="inlineStr">
        <is>
          <t>Prototype</t>
        </is>
      </c>
      <c r="G90" s="214" t="inlineStr">
        <is>
          <t>5 ft 3 in</t>
        </is>
      </c>
      <c r="H90" s="214" t="n">
        <v>176.4</v>
      </c>
      <c r="I90" s="214" t="inlineStr">
        <is>
          <t>20</t>
        </is>
      </c>
      <c r="J90" s="214" t="n">
        <v>22</v>
      </c>
      <c r="K90" s="214" t="n">
        <v>2.49</v>
      </c>
      <c r="L90" s="214" t="inlineStr">
        <is>
          <t>≈ 2 hours</t>
        </is>
      </c>
      <c r="M90" s="214" t="n"/>
      <c r="N90" s="214" t="n"/>
      <c r="O90" s="214" t="inlineStr">
        <is>
          <t>Both</t>
        </is>
      </c>
      <c r="P90" s="214" t="inlineStr">
        <is>
          <t>honor_lightning_flash_d1_flash</t>
        </is>
      </c>
      <c r="Q90" s="214" t="inlineStr">
        <is>
          <t>https://humanoid.guide/product/honor/</t>
        </is>
      </c>
    </row>
    <row r="91" ht="18" customHeight="1" s="102">
      <c r="A91" s="212" t="inlineStr">
        <is>
          <t>Honor</t>
        </is>
      </c>
      <c r="B91" s="212" t="inlineStr">
        <is>
          <t>D1</t>
        </is>
      </c>
      <c r="C91" s="212" t="inlineStr">
        <is>
          <t>China</t>
        </is>
      </c>
      <c r="D91" s="212" t="n">
        <v>2025</v>
      </c>
      <c r="E91" s="213" t="n">
        <v>50000</v>
      </c>
      <c r="F91" s="212" t="inlineStr">
        <is>
          <t>Prototype</t>
        </is>
      </c>
      <c r="G91" s="212" t="inlineStr">
        <is>
          <t>5 ft 3 in</t>
        </is>
      </c>
      <c r="H91" s="212" t="n">
        <v>176.4</v>
      </c>
      <c r="I91" s="212" t="inlineStr">
        <is>
          <t>20</t>
        </is>
      </c>
      <c r="J91" s="212" t="n">
        <v>22</v>
      </c>
      <c r="K91" s="212" t="n">
        <v>2.49</v>
      </c>
      <c r="L91" s="212" t="inlineStr">
        <is>
          <t>≈ 2 hours</t>
        </is>
      </c>
      <c r="M91" s="212" t="n"/>
      <c r="N91" s="212" t="n"/>
      <c r="O91" s="212" t="inlineStr">
        <is>
          <t>Both</t>
        </is>
      </c>
      <c r="P91" s="212" t="inlineStr">
        <is>
          <t>honor_lightning_flash_d1_d1</t>
        </is>
      </c>
      <c r="Q91" s="212" t="inlineStr">
        <is>
          <t>https://humanoid.guide/product/honor/</t>
        </is>
      </c>
    </row>
    <row r="92" ht="18" customHeight="1" s="102">
      <c r="A92" s="214" t="inlineStr">
        <is>
          <t>iHub Robotics</t>
        </is>
      </c>
      <c r="B92" s="214" t="inlineStr">
        <is>
          <t>TARA GEN1</t>
        </is>
      </c>
      <c r="C92" s="214" t="inlineStr">
        <is>
          <t>India</t>
        </is>
      </c>
      <c r="D92" s="214" t="n"/>
      <c r="E92" s="215" t="n">
        <v>13998</v>
      </c>
      <c r="F92" s="214" t="inlineStr">
        <is>
          <t>In production</t>
        </is>
      </c>
      <c r="G92" s="214" t="inlineStr">
        <is>
          <t>5 ft 4 in</t>
        </is>
      </c>
      <c r="H92" s="214" t="n">
        <v>165.3</v>
      </c>
      <c r="I92" s="214" t="inlineStr">
        <is>
          <t>3</t>
        </is>
      </c>
      <c r="J92" s="214" t="n">
        <v>4.4</v>
      </c>
      <c r="K92" s="214" t="n">
        <v>1.57</v>
      </c>
      <c r="L92" s="214" t="inlineStr">
        <is>
          <t>≈ 8 hours</t>
        </is>
      </c>
      <c r="M92" s="214" t="n">
        <v>2</v>
      </c>
      <c r="N92" s="214" t="n">
        <v>2</v>
      </c>
      <c r="O92" s="214" t="inlineStr">
        <is>
          <t>Humanoid.guide</t>
        </is>
      </c>
      <c r="P92" s="214" t="inlineStr">
        <is>
          <t>ihub_robotics_tara_gen1</t>
        </is>
      </c>
      <c r="Q92" s="214" t="inlineStr">
        <is>
          <t>https://humanoid.guide/product/tara-gen1/</t>
        </is>
      </c>
    </row>
    <row r="93" ht="18" customHeight="1" s="102">
      <c r="A93" s="212" t="inlineStr">
        <is>
          <t>isento robotics GmbH</t>
        </is>
      </c>
      <c r="B93" s="212" t="inlineStr">
        <is>
          <t>pib.Pro</t>
        </is>
      </c>
      <c r="C93" s="212" t="inlineStr">
        <is>
          <t>Germany</t>
        </is>
      </c>
      <c r="D93" s="212" t="n"/>
      <c r="E93" s="213" t="n">
        <v>5999</v>
      </c>
      <c r="F93" s="212" t="inlineStr">
        <is>
          <t>In production</t>
        </is>
      </c>
      <c r="G93" s="212" t="inlineStr">
        <is>
          <t>2 ft 7 in</t>
        </is>
      </c>
      <c r="H93" s="216" t="inlineStr">
        <is>
          <t>Not disclosed</t>
        </is>
      </c>
      <c r="I93" s="212" t="inlineStr">
        <is>
          <t>20</t>
        </is>
      </c>
      <c r="J93" s="212" t="n">
        <v>8.800000000000001</v>
      </c>
      <c r="K93" s="212" t="n">
        <v>1.55</v>
      </c>
      <c r="L93" s="212" t="inlineStr">
        <is>
          <t>≈ 2 hours</t>
        </is>
      </c>
      <c r="M93" s="212" t="n"/>
      <c r="N93" s="212" t="n"/>
      <c r="O93" s="212" t="inlineStr">
        <is>
          <t>Humanoid.guide</t>
        </is>
      </c>
      <c r="P93" s="212" t="inlineStr">
        <is>
          <t>isento_robotics_gmbh_pib_pro</t>
        </is>
      </c>
      <c r="Q93" s="212" t="inlineStr">
        <is>
          <t>https://humanoid.guide/product/pib-pro/</t>
        </is>
      </c>
    </row>
    <row r="94" ht="18" customHeight="1" s="102">
      <c r="A94" s="214" t="inlineStr">
        <is>
          <t>JAKA Robotics</t>
        </is>
      </c>
      <c r="B94" s="214" t="inlineStr">
        <is>
          <t>JAKA π</t>
        </is>
      </c>
      <c r="C94" s="214" t="inlineStr">
        <is>
          <t>China</t>
        </is>
      </c>
      <c r="D94" s="214" t="n"/>
      <c r="E94" s="215" t="n">
        <v>25000</v>
      </c>
      <c r="F94" s="214" t="inlineStr">
        <is>
          <t>In production</t>
        </is>
      </c>
      <c r="G94" s="214" t="inlineStr">
        <is>
          <t>4 ft 0 in</t>
        </is>
      </c>
      <c r="H94" s="214" t="n">
        <v>92.59999999999999</v>
      </c>
      <c r="I94" s="214" t="inlineStr">
        <is>
          <t>27</t>
        </is>
      </c>
      <c r="J94" s="214" t="n">
        <v>6.6</v>
      </c>
      <c r="K94" s="214" t="n">
        <v>4.03</v>
      </c>
      <c r="L94" s="214" t="inlineStr">
        <is>
          <t>≈ 2 hours</t>
        </is>
      </c>
      <c r="M94" s="214" t="n"/>
      <c r="N94" s="214" t="n"/>
      <c r="O94" s="214" t="inlineStr">
        <is>
          <t>Humanoid.guide</t>
        </is>
      </c>
      <c r="P94" s="214" t="inlineStr">
        <is>
          <t>jaka_robotics_jaka</t>
        </is>
      </c>
      <c r="Q94" s="214" t="inlineStr">
        <is>
          <t>https://humanoid.guide/product/jaka-%cf%80/</t>
        </is>
      </c>
    </row>
    <row r="95" ht="18" customHeight="1" s="102">
      <c r="A95" s="212" t="inlineStr">
        <is>
          <t>JAKA Robotics</t>
        </is>
      </c>
      <c r="B95" s="212" t="inlineStr">
        <is>
          <t>Jaka K1</t>
        </is>
      </c>
      <c r="C95" s="212" t="inlineStr">
        <is>
          <t>China</t>
        </is>
      </c>
      <c r="D95" s="212" t="n"/>
      <c r="E95" s="213" t="n">
        <v>100000</v>
      </c>
      <c r="F95" s="212" t="inlineStr">
        <is>
          <t>Prototype</t>
        </is>
      </c>
      <c r="G95" s="212" t="inlineStr">
        <is>
          <t>5 ft 5 in</t>
        </is>
      </c>
      <c r="H95" s="212" t="n">
        <v>88.2</v>
      </c>
      <c r="I95" s="212" t="inlineStr">
        <is>
          <t>18</t>
        </is>
      </c>
      <c r="J95" s="212" t="n">
        <v>17.6</v>
      </c>
      <c r="K95" s="212" t="n">
        <v>2.49</v>
      </c>
      <c r="L95" s="212" t="inlineStr">
        <is>
          <t>≈ 3 hours</t>
        </is>
      </c>
      <c r="M95" s="212" t="n">
        <v>2</v>
      </c>
      <c r="N95" s="212" t="n">
        <v>2</v>
      </c>
      <c r="O95" s="212" t="inlineStr">
        <is>
          <t>Humanoid.guide</t>
        </is>
      </c>
      <c r="P95" s="212" t="inlineStr">
        <is>
          <t>jaka_robotics_jaka_k1</t>
        </is>
      </c>
      <c r="Q95" s="212" t="inlineStr">
        <is>
          <t>https://humanoid.guide/product/jaka-k1/</t>
        </is>
      </c>
    </row>
    <row r="96" ht="18" customHeight="1" s="102">
      <c r="A96" s="214" t="inlineStr">
        <is>
          <t>JAKA Robotics</t>
        </is>
      </c>
      <c r="B96" s="214" t="inlineStr">
        <is>
          <t>JAKA Kargo</t>
        </is>
      </c>
      <c r="C96" s="214" t="inlineStr">
        <is>
          <t>China</t>
        </is>
      </c>
      <c r="D96" s="214" t="n"/>
      <c r="E96" s="215" t="n">
        <v>65000</v>
      </c>
      <c r="F96" s="214" t="inlineStr">
        <is>
          <t>In production</t>
        </is>
      </c>
      <c r="G96" s="214" t="inlineStr">
        <is>
          <t>5 ft 2 in</t>
        </is>
      </c>
      <c r="H96" s="214" t="n">
        <v>396.8</v>
      </c>
      <c r="I96" s="214" t="inlineStr">
        <is>
          <t>21</t>
        </is>
      </c>
      <c r="J96" s="214" t="n">
        <v>33.1</v>
      </c>
      <c r="K96" s="214" t="n">
        <v>2.49</v>
      </c>
      <c r="L96" s="214" t="inlineStr">
        <is>
          <t>≈ 4 hours</t>
        </is>
      </c>
      <c r="M96" s="214" t="n"/>
      <c r="N96" s="214" t="n"/>
      <c r="O96" s="214" t="inlineStr">
        <is>
          <t>Humanoid.guide</t>
        </is>
      </c>
      <c r="P96" s="214" t="inlineStr">
        <is>
          <t>jaka_robotics_jaka_kargo</t>
        </is>
      </c>
      <c r="Q96" s="214" t="inlineStr">
        <is>
          <t>https://humanoid.guide/product/jaka-kargo/</t>
        </is>
      </c>
    </row>
    <row r="97" ht="18" customHeight="1" s="102">
      <c r="A97" s="212" t="inlineStr">
        <is>
          <t>KEENON Robotics</t>
        </is>
      </c>
      <c r="B97" s="212" t="inlineStr">
        <is>
          <t>Keenon XMAN‑R1</t>
        </is>
      </c>
      <c r="C97" s="212" t="inlineStr">
        <is>
          <t>China</t>
        </is>
      </c>
      <c r="D97" s="212" t="n"/>
      <c r="E97" s="213" t="n">
        <v>100000</v>
      </c>
      <c r="F97" s="212" t="inlineStr">
        <is>
          <t>In production</t>
        </is>
      </c>
      <c r="G97" s="212" t="inlineStr">
        <is>
          <t>5 ft 8 in</t>
        </is>
      </c>
      <c r="H97" s="212" t="n">
        <v>242.5</v>
      </c>
      <c r="I97" s="212" t="inlineStr">
        <is>
          <t>36</t>
        </is>
      </c>
      <c r="J97" s="212" t="n">
        <v>6.6</v>
      </c>
      <c r="K97" s="212" t="n">
        <v>1.8</v>
      </c>
      <c r="L97" s="212" t="inlineStr">
        <is>
          <t>≈ 3 hours</t>
        </is>
      </c>
      <c r="M97" s="212" t="n">
        <v>2</v>
      </c>
      <c r="N97" s="212" t="n">
        <v>2</v>
      </c>
      <c r="O97" s="212" t="inlineStr">
        <is>
          <t>Humanoid.guide</t>
        </is>
      </c>
      <c r="P97" s="212" t="inlineStr">
        <is>
          <t>keenon_robotics_keenon_xman_r1</t>
        </is>
      </c>
      <c r="Q97" s="212" t="inlineStr">
        <is>
          <t>https://humanoid.guide/product/keenon-xman-r1/</t>
        </is>
      </c>
    </row>
    <row r="98" ht="18" customHeight="1" s="102">
      <c r="A98" s="214" t="inlineStr">
        <is>
          <t>Kepler Exploration Robot Co.</t>
        </is>
      </c>
      <c r="B98" s="214" t="inlineStr">
        <is>
          <t>K2 Bumblebee</t>
        </is>
      </c>
      <c r="C98" s="214" t="inlineStr">
        <is>
          <t>China</t>
        </is>
      </c>
      <c r="D98" s="214" t="n"/>
      <c r="E98" s="215" t="n">
        <v>20000</v>
      </c>
      <c r="F98" s="214" t="inlineStr">
        <is>
          <t>Prototype</t>
        </is>
      </c>
      <c r="G98" s="214" t="inlineStr">
        <is>
          <t>5 ft 9 in</t>
        </is>
      </c>
      <c r="H98" s="214" t="n">
        <v>165.3</v>
      </c>
      <c r="I98" s="214" t="inlineStr">
        <is>
          <t>28</t>
        </is>
      </c>
      <c r="J98" s="214" t="n">
        <v>19.8</v>
      </c>
      <c r="K98" s="214" t="n">
        <v>1.86</v>
      </c>
      <c r="L98" s="214" t="inlineStr">
        <is>
          <t>≈ 2 hours</t>
        </is>
      </c>
      <c r="M98" s="214" t="n">
        <v>2</v>
      </c>
      <c r="N98" s="214" t="n">
        <v>2</v>
      </c>
      <c r="O98" s="214" t="inlineStr">
        <is>
          <t>Humanoid.guide</t>
        </is>
      </c>
      <c r="P98" s="214" t="inlineStr">
        <is>
          <t>kepler_exploration_robot_co_k2_bumblebee</t>
        </is>
      </c>
      <c r="Q98" s="214" t="inlineStr">
        <is>
          <t>https://humanoid.guide/product/k2-bumblebee/</t>
        </is>
      </c>
    </row>
    <row r="99" ht="18" customHeight="1" s="102">
      <c r="A99" s="212" t="inlineStr">
        <is>
          <t>Kepler Exploration Robot Co.</t>
        </is>
      </c>
      <c r="B99" s="212" t="inlineStr">
        <is>
          <t>Kepler</t>
        </is>
      </c>
      <c r="C99" s="212" t="inlineStr">
        <is>
          <t>China</t>
        </is>
      </c>
      <c r="D99" s="212" t="n"/>
      <c r="E99" s="213" t="n">
        <v>85000</v>
      </c>
      <c r="F99" s="212" t="inlineStr">
        <is>
          <t>Prototype</t>
        </is>
      </c>
      <c r="G99" s="212" t="inlineStr">
        <is>
          <t>5 ft 7 in</t>
        </is>
      </c>
      <c r="H99" s="212" t="n">
        <v>194</v>
      </c>
      <c r="I99" s="212" t="inlineStr">
        <is>
          <t>25</t>
        </is>
      </c>
      <c r="J99" s="212" t="n">
        <v>33.1</v>
      </c>
      <c r="K99" s="212" t="n">
        <v>3.11</v>
      </c>
      <c r="L99" s="212" t="inlineStr">
        <is>
          <t>≈ 2 hours</t>
        </is>
      </c>
      <c r="M99" s="212" t="n">
        <v>2</v>
      </c>
      <c r="N99" s="212" t="n">
        <v>2</v>
      </c>
      <c r="O99" s="212" t="inlineStr">
        <is>
          <t>Humanoid.guide</t>
        </is>
      </c>
      <c r="P99" s="212" t="inlineStr">
        <is>
          <t>kepler_exploration_robot_co_kepler</t>
        </is>
      </c>
      <c r="Q99" s="212" t="inlineStr">
        <is>
          <t>https://humanoid.guide/product/kepler/</t>
        </is>
      </c>
    </row>
    <row r="100" ht="18" customHeight="1" s="102">
      <c r="A100" s="214" t="inlineStr">
        <is>
          <t>Kepler Exploration Robotics</t>
        </is>
      </c>
      <c r="B100" s="214" t="inlineStr">
        <is>
          <t>Kepler K2</t>
        </is>
      </c>
      <c r="C100" s="214" t="inlineStr">
        <is>
          <t>China</t>
        </is>
      </c>
      <c r="D100" s="214" t="n">
        <v>2025</v>
      </c>
      <c r="E100" s="215" t="n">
        <v>20000</v>
      </c>
      <c r="F100" s="214" t="inlineStr">
        <is>
          <t>Prototype</t>
        </is>
      </c>
      <c r="G100" s="214" t="inlineStr">
        <is>
          <t>5 ft 10 in</t>
        </is>
      </c>
      <c r="H100" s="214" t="n">
        <v>187.4</v>
      </c>
      <c r="I100" s="214" t="inlineStr">
        <is>
          <t>52</t>
        </is>
      </c>
      <c r="J100" s="214" t="n">
        <v>33.1</v>
      </c>
      <c r="K100" s="214" t="n">
        <v>2.49</v>
      </c>
      <c r="L100" s="214" t="inlineStr">
        <is>
          <t>≈ 3 hours</t>
        </is>
      </c>
      <c r="M100" s="214" t="n">
        <v>2</v>
      </c>
      <c r="N100" s="214" t="n">
        <v>2</v>
      </c>
      <c r="O100" s="214" t="inlineStr">
        <is>
          <t>Both</t>
        </is>
      </c>
      <c r="P100" s="214" t="inlineStr">
        <is>
          <t>kepler_exploration_robotics_k2_forerunne</t>
        </is>
      </c>
      <c r="Q100" s="214" t="inlineStr">
        <is>
          <t>https://humanoid.guide/product/kepler-k2/</t>
        </is>
      </c>
    </row>
    <row r="101" ht="18" customHeight="1" s="102">
      <c r="A101" s="212" t="inlineStr">
        <is>
          <t>KinetixAI</t>
        </is>
      </c>
      <c r="B101" s="212" t="inlineStr">
        <is>
          <t>KAI</t>
        </is>
      </c>
      <c r="C101" s="212" t="inlineStr">
        <is>
          <t>China</t>
        </is>
      </c>
      <c r="D101" s="212" t="n"/>
      <c r="E101" s="213" t="n">
        <v>80000</v>
      </c>
      <c r="F101" s="212" t="inlineStr">
        <is>
          <t>Prototype</t>
        </is>
      </c>
      <c r="G101" s="212" t="inlineStr">
        <is>
          <t>5 ft 8 in</t>
        </is>
      </c>
      <c r="H101" s="212" t="n">
        <v>154.3</v>
      </c>
      <c r="I101" s="212" t="inlineStr">
        <is>
          <t>115</t>
        </is>
      </c>
      <c r="J101" s="212" t="n">
        <v>44.1</v>
      </c>
      <c r="K101" s="212" t="n">
        <v>3.11</v>
      </c>
      <c r="L101" s="212" t="inlineStr">
        <is>
          <t>≈ 4 hours</t>
        </is>
      </c>
      <c r="M101" s="212" t="n"/>
      <c r="N101" s="212" t="n"/>
      <c r="O101" s="212" t="inlineStr">
        <is>
          <t>Humanoid.guide</t>
        </is>
      </c>
      <c r="P101" s="212" t="inlineStr">
        <is>
          <t>kinetixai_kai</t>
        </is>
      </c>
      <c r="Q101" s="212" t="inlineStr">
        <is>
          <t>https://humanoid.guide/product/kai/</t>
        </is>
      </c>
    </row>
    <row r="102" ht="18" customHeight="1" s="102">
      <c r="A102" s="214" t="inlineStr">
        <is>
          <t>Kinisi Robotics</t>
        </is>
      </c>
      <c r="B102" s="214" t="inlineStr">
        <is>
          <t>Kinisi 01</t>
        </is>
      </c>
      <c r="C102" s="214" t="inlineStr">
        <is>
          <t>USA</t>
        </is>
      </c>
      <c r="D102" s="214" t="n"/>
      <c r="E102" s="215" t="n">
        <v>75000</v>
      </c>
      <c r="F102" s="214" t="inlineStr">
        <is>
          <t>Prototype</t>
        </is>
      </c>
      <c r="G102" s="217" t="inlineStr">
        <is>
          <t>Not disclosed</t>
        </is>
      </c>
      <c r="H102" s="217" t="inlineStr">
        <is>
          <t>Not disclosed</t>
        </is>
      </c>
      <c r="I102" s="217" t="inlineStr">
        <is>
          <t>Not disclosed</t>
        </is>
      </c>
      <c r="J102" s="214" t="n">
        <v>22</v>
      </c>
      <c r="K102" s="214" t="n">
        <v>1.86</v>
      </c>
      <c r="L102" s="214" t="inlineStr">
        <is>
          <t>8; hot‑swappable battery</t>
        </is>
      </c>
      <c r="M102" s="214" t="n">
        <v>2</v>
      </c>
      <c r="N102" s="214" t="n">
        <v>2</v>
      </c>
      <c r="O102" s="214" t="inlineStr">
        <is>
          <t>Humanoid.guide</t>
        </is>
      </c>
      <c r="P102" s="214" t="inlineStr">
        <is>
          <t>kinisi_robotics_kinisi_01</t>
        </is>
      </c>
      <c r="Q102" s="214" t="inlineStr">
        <is>
          <t>https://humanoid.guide/product/kinisi-01/</t>
        </is>
      </c>
    </row>
    <row r="103" ht="18" customHeight="1" s="102">
      <c r="A103" s="212" t="inlineStr">
        <is>
          <t>Kinisi Robotics</t>
        </is>
      </c>
      <c r="B103" s="212" t="inlineStr">
        <is>
          <t>Kinisi KR1</t>
        </is>
      </c>
      <c r="C103" s="212" t="inlineStr">
        <is>
          <t>USA</t>
        </is>
      </c>
      <c r="D103" s="212" t="n"/>
      <c r="E103" s="213" t="n">
        <v>75000</v>
      </c>
      <c r="F103" s="212" t="inlineStr">
        <is>
          <t>Prototype</t>
        </is>
      </c>
      <c r="G103" s="212" t="inlineStr">
        <is>
          <t>5 ft 4 in</t>
        </is>
      </c>
      <c r="H103" s="212" t="n">
        <v>220.5</v>
      </c>
      <c r="I103" s="212" t="inlineStr">
        <is>
          <t>21</t>
        </is>
      </c>
      <c r="J103" s="212" t="n">
        <v>44.1</v>
      </c>
      <c r="K103" s="212" t="n">
        <v>8.949999999999999</v>
      </c>
      <c r="L103" s="212" t="inlineStr">
        <is>
          <t>≈ 8 hours</t>
        </is>
      </c>
      <c r="M103" s="212" t="n">
        <v>2</v>
      </c>
      <c r="N103" s="212" t="n">
        <v>2</v>
      </c>
      <c r="O103" s="212" t="inlineStr">
        <is>
          <t>Humanoid.guide</t>
        </is>
      </c>
      <c r="P103" s="212" t="inlineStr">
        <is>
          <t>kinisi_robotics_kinisi_kr1</t>
        </is>
      </c>
      <c r="Q103" s="212" t="inlineStr">
        <is>
          <t>https://humanoid.guide/product/kinisi-kr1/</t>
        </is>
      </c>
    </row>
    <row r="104" ht="18" customHeight="1" s="102">
      <c r="A104" s="214" t="inlineStr">
        <is>
          <t>Lanxin Robotics</t>
        </is>
      </c>
      <c r="B104" s="214" t="inlineStr">
        <is>
          <t>VB1-I</t>
        </is>
      </c>
      <c r="C104" s="214" t="inlineStr">
        <is>
          <t>China</t>
        </is>
      </c>
      <c r="D104" s="214" t="n"/>
      <c r="E104" s="215" t="n">
        <v>120000</v>
      </c>
      <c r="F104" s="214" t="inlineStr">
        <is>
          <t>In production</t>
        </is>
      </c>
      <c r="G104" s="214" t="inlineStr">
        <is>
          <t>5 ft 5 in</t>
        </is>
      </c>
      <c r="H104" s="214" t="n">
        <v>132.3</v>
      </c>
      <c r="I104" s="214" t="inlineStr">
        <is>
          <t>~40–45</t>
        </is>
      </c>
      <c r="J104" s="214" t="n">
        <v>22</v>
      </c>
      <c r="K104" s="214" t="n">
        <v>3.73</v>
      </c>
      <c r="L104" s="217" t="inlineStr">
        <is>
          <t>Not disclosed</t>
        </is>
      </c>
      <c r="M104" s="214" t="n"/>
      <c r="N104" s="214" t="n"/>
      <c r="O104" s="214" t="inlineStr">
        <is>
          <t>Humanoid.guide</t>
        </is>
      </c>
      <c r="P104" s="214" t="inlineStr">
        <is>
          <t>lanxin_robotics_vb1_i</t>
        </is>
      </c>
      <c r="Q104" s="214" t="inlineStr">
        <is>
          <t>https://humanoid.guide/product/vb1-i/</t>
        </is>
      </c>
    </row>
    <row r="105" ht="18" customHeight="1" s="102">
      <c r="A105" s="212" t="inlineStr">
        <is>
          <t>Lanxin Robotics</t>
        </is>
      </c>
      <c r="B105" s="212" t="inlineStr">
        <is>
          <t>VB2</t>
        </is>
      </c>
      <c r="C105" s="212" t="inlineStr">
        <is>
          <t>China</t>
        </is>
      </c>
      <c r="D105" s="212" t="n"/>
      <c r="E105" s="213" t="n">
        <v>150000</v>
      </c>
      <c r="F105" s="212" t="inlineStr">
        <is>
          <t>In production</t>
        </is>
      </c>
      <c r="G105" s="212" t="inlineStr">
        <is>
          <t>5 ft 7 in</t>
        </is>
      </c>
      <c r="H105" s="212" t="n">
        <v>143.3</v>
      </c>
      <c r="I105" s="212" t="inlineStr">
        <is>
          <t>~45–50</t>
        </is>
      </c>
      <c r="J105" s="212" t="n">
        <v>26.5</v>
      </c>
      <c r="K105" s="212" t="n">
        <v>4.35</v>
      </c>
      <c r="L105" s="212" t="inlineStr">
        <is>
          <t>~2–3</t>
        </is>
      </c>
      <c r="M105" s="212" t="n"/>
      <c r="N105" s="212" t="n"/>
      <c r="O105" s="212" t="inlineStr">
        <is>
          <t>Humanoid.guide</t>
        </is>
      </c>
      <c r="P105" s="212" t="inlineStr">
        <is>
          <t>lanxin_robotics_vb2</t>
        </is>
      </c>
      <c r="Q105" s="212" t="inlineStr">
        <is>
          <t>https://humanoid.guide/product/vb2/</t>
        </is>
      </c>
    </row>
    <row r="106" ht="18" customHeight="1" s="102">
      <c r="A106" s="214" t="inlineStr">
        <is>
          <t>Lanxin Robotics</t>
        </is>
      </c>
      <c r="B106" s="214" t="inlineStr">
        <is>
          <t>VersaBot VB-1</t>
        </is>
      </c>
      <c r="C106" s="214" t="inlineStr">
        <is>
          <t>China</t>
        </is>
      </c>
      <c r="D106" s="214" t="n"/>
      <c r="E106" s="215" t="n">
        <v>120000</v>
      </c>
      <c r="F106" s="214" t="inlineStr">
        <is>
          <t>Limited production / pilot deployments</t>
        </is>
      </c>
      <c r="G106" s="214" t="inlineStr">
        <is>
          <t>5 ft 5 in</t>
        </is>
      </c>
      <c r="H106" s="214" t="n">
        <v>165.3</v>
      </c>
      <c r="I106" s="214" t="inlineStr">
        <is>
          <t>38</t>
        </is>
      </c>
      <c r="J106" s="214" t="n">
        <v>33.1</v>
      </c>
      <c r="K106" s="214" t="n">
        <v>2.8</v>
      </c>
      <c r="L106" s="214" t="inlineStr">
        <is>
          <t>~3–5</t>
        </is>
      </c>
      <c r="M106" s="214" t="n">
        <v>3</v>
      </c>
      <c r="N106" s="214" t="n">
        <v>3</v>
      </c>
      <c r="O106" s="214" t="inlineStr">
        <is>
          <t>Humanoid.guide</t>
        </is>
      </c>
      <c r="P106" s="214" t="inlineStr">
        <is>
          <t>lanxin_robotics_versabot_vb_1</t>
        </is>
      </c>
      <c r="Q106" s="214" t="inlineStr">
        <is>
          <t>https://humanoid.guide/product/versabot-vb-1/</t>
        </is>
      </c>
    </row>
    <row r="107" ht="18" customHeight="1" s="102">
      <c r="A107" s="212" t="inlineStr">
        <is>
          <t>Leju Robot (Suzhou Leju Robotics Co., Ltd.)</t>
        </is>
      </c>
      <c r="B107" s="212" t="inlineStr">
        <is>
          <t>Kuavo-5</t>
        </is>
      </c>
      <c r="C107" s="212" t="inlineStr">
        <is>
          <t>China</t>
        </is>
      </c>
      <c r="D107" s="212" t="n"/>
      <c r="E107" s="213" t="n">
        <v>38000</v>
      </c>
      <c r="F107" s="212" t="inlineStr">
        <is>
          <t>Prototype</t>
        </is>
      </c>
      <c r="G107" s="212" t="inlineStr">
        <is>
          <t>5 ft 6 in</t>
        </is>
      </c>
      <c r="H107" s="212" t="n">
        <v>121.3</v>
      </c>
      <c r="I107" s="212" t="inlineStr">
        <is>
          <t>40</t>
        </is>
      </c>
      <c r="J107" s="212" t="n">
        <v>30.9</v>
      </c>
      <c r="K107" s="212" t="n">
        <v>3.11</v>
      </c>
      <c r="L107" s="212" t="inlineStr">
        <is>
          <t>≈ 7 hours</t>
        </is>
      </c>
      <c r="M107" s="212" t="n">
        <v>4</v>
      </c>
      <c r="N107" s="212" t="n">
        <v>3</v>
      </c>
      <c r="O107" s="212" t="inlineStr">
        <is>
          <t>Humanoid.guide</t>
        </is>
      </c>
      <c r="P107" s="212" t="inlineStr">
        <is>
          <t>leju_robot_suzhou_leju_robotics_co_ltd_kuavo_5</t>
        </is>
      </c>
      <c r="Q107" s="212" t="inlineStr">
        <is>
          <t>https://humanoid.guide/product/kuavo-5/</t>
        </is>
      </c>
    </row>
    <row r="108" ht="18" customHeight="1" s="102">
      <c r="A108" s="214" t="inlineStr">
        <is>
          <t>Leju Robot (Suzhou Leju Robotics Co., Ltd.)</t>
        </is>
      </c>
      <c r="B108" s="214" t="inlineStr">
        <is>
          <t>Roban2</t>
        </is>
      </c>
      <c r="C108" s="214" t="inlineStr">
        <is>
          <t>China</t>
        </is>
      </c>
      <c r="D108" s="214" t="n"/>
      <c r="E108" s="215" t="n">
        <v>25000</v>
      </c>
      <c r="F108" s="214" t="inlineStr">
        <is>
          <t>Prototype</t>
        </is>
      </c>
      <c r="G108" s="214" t="inlineStr">
        <is>
          <t>4 ft 9 in</t>
        </is>
      </c>
      <c r="H108" s="214" t="n">
        <v>88.2</v>
      </c>
      <c r="I108" s="214" t="inlineStr">
        <is>
          <t>40</t>
        </is>
      </c>
      <c r="J108" s="214" t="n">
        <v>19.8</v>
      </c>
      <c r="K108" s="214" t="n">
        <v>1.86</v>
      </c>
      <c r="L108" s="214" t="inlineStr">
        <is>
          <t>≈ 2 hours</t>
        </is>
      </c>
      <c r="M108" s="214" t="n">
        <v>3</v>
      </c>
      <c r="N108" s="214" t="n">
        <v>3</v>
      </c>
      <c r="O108" s="214" t="inlineStr">
        <is>
          <t>Humanoid.guide</t>
        </is>
      </c>
      <c r="P108" s="214" t="inlineStr">
        <is>
          <t>leju_robot_suzhou_leju_robotics_co_ltd_roban2</t>
        </is>
      </c>
      <c r="Q108" s="214" t="inlineStr">
        <is>
          <t>https://humanoid.guide/product/roban-2/</t>
        </is>
      </c>
    </row>
    <row r="109" ht="18" customHeight="1" s="102">
      <c r="A109" s="212" t="inlineStr">
        <is>
          <t>Leju Robotics</t>
        </is>
      </c>
      <c r="B109" s="212" t="inlineStr">
        <is>
          <t>Humanoid Series</t>
        </is>
      </c>
      <c r="C109" s="212" t="inlineStr">
        <is>
          <t>China</t>
        </is>
      </c>
      <c r="D109" s="212" t="n">
        <v>2025</v>
      </c>
      <c r="E109" s="213" t="n">
        <v>50000</v>
      </c>
      <c r="F109" s="212" t="n"/>
      <c r="G109" s="216" t="inlineStr">
        <is>
          <t>Not disclosed</t>
        </is>
      </c>
      <c r="H109" s="216" t="inlineStr">
        <is>
          <t>Not disclosed</t>
        </is>
      </c>
      <c r="I109" s="216" t="inlineStr">
        <is>
          <t>Not disclosed</t>
        </is>
      </c>
      <c r="J109" s="216" t="inlineStr">
        <is>
          <t>Not disclosed</t>
        </is>
      </c>
      <c r="K109" s="216" t="inlineStr">
        <is>
          <t>Not disclosed</t>
        </is>
      </c>
      <c r="L109" s="216" t="inlineStr">
        <is>
          <t>Not disclosed</t>
        </is>
      </c>
      <c r="M109" s="212" t="n"/>
      <c r="N109" s="212" t="n"/>
      <c r="O109" s="212" t="inlineStr">
        <is>
          <t>Website</t>
        </is>
      </c>
      <c r="P109" s="212" t="inlineStr">
        <is>
          <t>leju_robotics_various_volume_ranked</t>
        </is>
      </c>
      <c r="Q109" s="212" t="n"/>
    </row>
    <row r="110" ht="18" customHeight="1" s="102">
      <c r="A110" s="214" t="inlineStr">
        <is>
          <t>Leju Robotics</t>
        </is>
      </c>
      <c r="B110" s="214" t="inlineStr">
        <is>
          <t>Kuavo-my</t>
        </is>
      </c>
      <c r="C110" s="214" t="inlineStr">
        <is>
          <t>China</t>
        </is>
      </c>
      <c r="D110" s="214" t="n"/>
      <c r="E110" s="215" t="n">
        <v>50000</v>
      </c>
      <c r="F110" s="214" t="inlineStr">
        <is>
          <t>Prototype</t>
        </is>
      </c>
      <c r="G110" s="214" t="inlineStr">
        <is>
          <t>4 ft 9 in</t>
        </is>
      </c>
      <c r="H110" s="214" t="n">
        <v>99.2</v>
      </c>
      <c r="I110" s="214" t="inlineStr">
        <is>
          <t>26</t>
        </is>
      </c>
      <c r="J110" s="214" t="n">
        <v>6.6</v>
      </c>
      <c r="K110" s="214" t="n">
        <v>2.8</v>
      </c>
      <c r="L110" s="217" t="inlineStr">
        <is>
          <t>Not disclosed</t>
        </is>
      </c>
      <c r="M110" s="214" t="n">
        <v>2</v>
      </c>
      <c r="N110" s="214" t="n">
        <v>2</v>
      </c>
      <c r="O110" s="214" t="inlineStr">
        <is>
          <t>Humanoid.guide</t>
        </is>
      </c>
      <c r="P110" s="214" t="inlineStr">
        <is>
          <t>leju_robotics_kuavo_my</t>
        </is>
      </c>
      <c r="Q110" s="214" t="inlineStr">
        <is>
          <t>https://humanoid.guide/product/kuavo-my/</t>
        </is>
      </c>
    </row>
    <row r="111" ht="18" customHeight="1" s="102">
      <c r="A111" s="212" t="inlineStr">
        <is>
          <t>Leju Robotics</t>
        </is>
      </c>
      <c r="B111" s="212" t="inlineStr">
        <is>
          <t>XTRON KUAVO-MY</t>
        </is>
      </c>
      <c r="C111" s="212" t="inlineStr">
        <is>
          <t>China</t>
        </is>
      </c>
      <c r="D111" s="212" t="n"/>
      <c r="E111" s="213" t="n">
        <v>57000</v>
      </c>
      <c r="F111" s="212" t="inlineStr">
        <is>
          <t>Prototype</t>
        </is>
      </c>
      <c r="G111" s="212" t="inlineStr">
        <is>
          <t>5 ft 5 in</t>
        </is>
      </c>
      <c r="H111" s="212" t="n">
        <v>121.3</v>
      </c>
      <c r="I111" s="212" t="inlineStr">
        <is>
          <t>30</t>
        </is>
      </c>
      <c r="J111" s="212" t="n">
        <v>17.6</v>
      </c>
      <c r="K111" s="212" t="n">
        <v>1.55</v>
      </c>
      <c r="L111" s="216" t="inlineStr">
        <is>
          <t>Not disclosed</t>
        </is>
      </c>
      <c r="M111" s="212" t="n">
        <v>2</v>
      </c>
      <c r="N111" s="212" t="n">
        <v>2</v>
      </c>
      <c r="O111" s="212" t="inlineStr">
        <is>
          <t>Humanoid.guide</t>
        </is>
      </c>
      <c r="P111" s="212" t="inlineStr">
        <is>
          <t>leju_robotics_xtron_kuavo_my</t>
        </is>
      </c>
      <c r="Q111" s="212" t="inlineStr">
        <is>
          <t>https://humanoid.guide/product/xtron-kuavo-my/</t>
        </is>
      </c>
    </row>
    <row r="112" ht="18" customHeight="1" s="102">
      <c r="A112" s="214" t="inlineStr">
        <is>
          <t>LG Electronics</t>
        </is>
      </c>
      <c r="B112" s="214" t="inlineStr">
        <is>
          <t>CLOiD</t>
        </is>
      </c>
      <c r="C112" s="214" t="inlineStr">
        <is>
          <t>South Korea</t>
        </is>
      </c>
      <c r="D112" s="214" t="n"/>
      <c r="E112" s="215" t="n">
        <v>35000</v>
      </c>
      <c r="F112" s="214" t="inlineStr">
        <is>
          <t>Commercial Pilots / Early Production</t>
        </is>
      </c>
      <c r="G112" s="214" t="inlineStr">
        <is>
          <t>3 ft 11 in</t>
        </is>
      </c>
      <c r="H112" s="214" t="n">
        <v>132.3</v>
      </c>
      <c r="I112" s="214" t="inlineStr">
        <is>
          <t>~10–15</t>
        </is>
      </c>
      <c r="J112" s="214" t="n">
        <v>11</v>
      </c>
      <c r="K112" s="214" t="n">
        <v>2.49</v>
      </c>
      <c r="L112" s="214" t="inlineStr">
        <is>
          <t>~8–10</t>
        </is>
      </c>
      <c r="M112" s="214" t="n"/>
      <c r="N112" s="214" t="n"/>
      <c r="O112" s="214" t="inlineStr">
        <is>
          <t>Humanoid.guide</t>
        </is>
      </c>
      <c r="P112" s="214" t="inlineStr">
        <is>
          <t>lg_electronics_cloid</t>
        </is>
      </c>
      <c r="Q112" s="214" t="inlineStr">
        <is>
          <t>https://humanoid.guide/product/cloid/</t>
        </is>
      </c>
    </row>
    <row r="113" ht="18" customHeight="1" s="102">
      <c r="A113" s="212" t="inlineStr">
        <is>
          <t>LG Electronics</t>
        </is>
      </c>
      <c r="B113" s="212" t="inlineStr">
        <is>
          <t>KAPEX</t>
        </is>
      </c>
      <c r="C113" s="212" t="inlineStr">
        <is>
          <t>South Korea</t>
        </is>
      </c>
      <c r="D113" s="212" t="n"/>
      <c r="E113" s="213" t="n">
        <v>150000</v>
      </c>
      <c r="F113" s="212" t="inlineStr">
        <is>
          <t>Prototype</t>
        </is>
      </c>
      <c r="G113" s="212" t="inlineStr">
        <is>
          <t>5 ft 9 in</t>
        </is>
      </c>
      <c r="H113" s="212" t="n">
        <v>143.3</v>
      </c>
      <c r="I113" s="212" t="inlineStr">
        <is>
          <t>40–50 DOF (based on multi-joint limbs + dexterous hands)</t>
        </is>
      </c>
      <c r="J113" s="212" t="n">
        <v>22</v>
      </c>
      <c r="K113" s="212" t="n">
        <v>2.8</v>
      </c>
      <c r="L113" s="212" t="inlineStr">
        <is>
          <t>≈ 3 hours</t>
        </is>
      </c>
      <c r="M113" s="212" t="n">
        <v>4</v>
      </c>
      <c r="N113" s="212" t="n">
        <v>3</v>
      </c>
      <c r="O113" s="212" t="inlineStr">
        <is>
          <t>Humanoid.guide</t>
        </is>
      </c>
      <c r="P113" s="212" t="inlineStr">
        <is>
          <t>lg_electronics_kapex</t>
        </is>
      </c>
      <c r="Q113" s="212" t="inlineStr">
        <is>
          <t>https://humanoid.guide/product/kapex/</t>
        </is>
      </c>
    </row>
    <row r="114" ht="18" customHeight="1" s="102">
      <c r="A114" s="214" t="inlineStr">
        <is>
          <t>Limx Dynamics</t>
        </is>
      </c>
      <c r="B114" s="214" t="inlineStr">
        <is>
          <t>LimX</t>
        </is>
      </c>
      <c r="C114" s="214" t="inlineStr">
        <is>
          <t>China</t>
        </is>
      </c>
      <c r="D114" s="214" t="n"/>
      <c r="E114" s="215" t="n">
        <v>40000</v>
      </c>
      <c r="F114" s="214" t="inlineStr">
        <is>
          <t>Prototype</t>
        </is>
      </c>
      <c r="G114" s="214" t="inlineStr">
        <is>
          <t>5 ft 2 in</t>
        </is>
      </c>
      <c r="H114" s="214" t="n">
        <v>110.2</v>
      </c>
      <c r="I114" s="214" t="inlineStr">
        <is>
          <t>20</t>
        </is>
      </c>
      <c r="J114" s="214" t="n">
        <v>39.7</v>
      </c>
      <c r="K114" s="214" t="n">
        <v>2.49</v>
      </c>
      <c r="L114" s="214" t="inlineStr">
        <is>
          <t>≈ 3 hours</t>
        </is>
      </c>
      <c r="M114" s="214" t="n">
        <v>2</v>
      </c>
      <c r="N114" s="214" t="n">
        <v>2</v>
      </c>
      <c r="O114" s="214" t="inlineStr">
        <is>
          <t>Humanoid.guide</t>
        </is>
      </c>
      <c r="P114" s="214" t="inlineStr">
        <is>
          <t>limx_dynamics_limx</t>
        </is>
      </c>
      <c r="Q114" s="214" t="inlineStr">
        <is>
          <t>https://humanoid.guide/product/limx/</t>
        </is>
      </c>
    </row>
    <row r="115" ht="18" customHeight="1" s="102">
      <c r="A115" s="212" t="inlineStr">
        <is>
          <t>Limx Dynamics</t>
        </is>
      </c>
      <c r="B115" s="212" t="inlineStr">
        <is>
          <t>LimX CL</t>
        </is>
      </c>
      <c r="C115" s="212" t="inlineStr">
        <is>
          <t>China</t>
        </is>
      </c>
      <c r="D115" s="212" t="n"/>
      <c r="E115" s="213" t="n">
        <v>40000</v>
      </c>
      <c r="F115" s="212" t="inlineStr">
        <is>
          <t>Prototype</t>
        </is>
      </c>
      <c r="G115" s="212" t="inlineStr">
        <is>
          <t>5 ft 5 in</t>
        </is>
      </c>
      <c r="H115" s="212" t="n">
        <v>99.2</v>
      </c>
      <c r="I115" s="212" t="inlineStr">
        <is>
          <t>52</t>
        </is>
      </c>
      <c r="J115" s="212" t="n">
        <v>55.1</v>
      </c>
      <c r="K115" s="212" t="n">
        <v>2.49</v>
      </c>
      <c r="L115" s="212" t="inlineStr">
        <is>
          <t>≈ 2 hours</t>
        </is>
      </c>
      <c r="M115" s="212" t="n">
        <v>2</v>
      </c>
      <c r="N115" s="212" t="n">
        <v>2</v>
      </c>
      <c r="O115" s="212" t="inlineStr">
        <is>
          <t>Humanoid.guide</t>
        </is>
      </c>
      <c r="P115" s="212" t="inlineStr">
        <is>
          <t>limx_dynamics_limx_cl</t>
        </is>
      </c>
      <c r="Q115" s="212" t="inlineStr">
        <is>
          <t>https://humanoid.guide/product/limx-cl-series/</t>
        </is>
      </c>
    </row>
    <row r="116" ht="18" customHeight="1" s="102">
      <c r="A116" s="214" t="inlineStr">
        <is>
          <t>LimX Dynamics</t>
        </is>
      </c>
      <c r="B116" s="214" t="inlineStr">
        <is>
          <t>Oli</t>
        </is>
      </c>
      <c r="C116" s="214" t="inlineStr">
        <is>
          <t>China</t>
        </is>
      </c>
      <c r="D116" s="214" t="n">
        <v>2025</v>
      </c>
      <c r="E116" s="215" t="n">
        <v>21800</v>
      </c>
      <c r="F116" s="214" t="inlineStr">
        <is>
          <t>In production</t>
        </is>
      </c>
      <c r="G116" s="214" t="inlineStr">
        <is>
          <t>2 ft 9 in – 5 ft 5 in</t>
        </is>
      </c>
      <c r="H116" s="214" t="n">
        <v>121.3</v>
      </c>
      <c r="I116" s="214" t="inlineStr">
        <is>
          <t>26–31</t>
        </is>
      </c>
      <c r="J116" s="214" t="n">
        <v>6.6</v>
      </c>
      <c r="K116" s="214" t="n">
        <v>3.11</v>
      </c>
      <c r="L116" s="214" t="inlineStr">
        <is>
          <t>≈ 1.5 hours</t>
        </is>
      </c>
      <c r="M116" s="214" t="n">
        <v>3</v>
      </c>
      <c r="N116" s="214" t="n">
        <v>3</v>
      </c>
      <c r="O116" s="214" t="inlineStr">
        <is>
          <t>Both</t>
        </is>
      </c>
      <c r="P116" s="214" t="inlineStr">
        <is>
          <t>limx_dynamics_tron_1_tron_2_oli</t>
        </is>
      </c>
      <c r="Q116" s="214" t="inlineStr">
        <is>
          <t>https://humanoid.guide/product/limx-oli/</t>
        </is>
      </c>
    </row>
    <row r="117" ht="18" customHeight="1" s="102">
      <c r="A117" s="212" t="inlineStr">
        <is>
          <t>LimX Dynamics</t>
        </is>
      </c>
      <c r="B117" s="212" t="inlineStr">
        <is>
          <t>TRON 1</t>
        </is>
      </c>
      <c r="C117" s="212" t="inlineStr">
        <is>
          <t>China</t>
        </is>
      </c>
      <c r="D117" s="212" t="n">
        <v>2025</v>
      </c>
      <c r="E117" s="213" t="n">
        <v>15000</v>
      </c>
      <c r="F117" s="212" t="inlineStr">
        <is>
          <t>In production</t>
        </is>
      </c>
      <c r="G117" s="212" t="inlineStr">
        <is>
          <t>2 ft 9 in – 5 ft 5 in</t>
        </is>
      </c>
      <c r="H117" s="212" t="n">
        <v>121.3</v>
      </c>
      <c r="I117" s="212" t="inlineStr">
        <is>
          <t>26–31</t>
        </is>
      </c>
      <c r="J117" s="212" t="n">
        <v>6.6</v>
      </c>
      <c r="K117" s="212" t="n">
        <v>3.11</v>
      </c>
      <c r="L117" s="212" t="inlineStr">
        <is>
          <t>≈ 1.5 hours</t>
        </is>
      </c>
      <c r="M117" s="212" t="n">
        <v>3</v>
      </c>
      <c r="N117" s="212" t="n">
        <v>3</v>
      </c>
      <c r="O117" s="212" t="inlineStr">
        <is>
          <t>Both</t>
        </is>
      </c>
      <c r="P117" s="212" t="inlineStr">
        <is>
          <t>limx_dynamics_tron_1_tron_2_oli_tron_1</t>
        </is>
      </c>
      <c r="Q117" s="212" t="inlineStr">
        <is>
          <t>https://humanoid.guide/product/limx-oli/</t>
        </is>
      </c>
    </row>
    <row r="118" ht="18" customHeight="1" s="102">
      <c r="A118" s="214" t="inlineStr">
        <is>
          <t>LimX Dynamics</t>
        </is>
      </c>
      <c r="B118" s="214" t="inlineStr">
        <is>
          <t>TRON 2</t>
        </is>
      </c>
      <c r="C118" s="214" t="inlineStr">
        <is>
          <t>China</t>
        </is>
      </c>
      <c r="D118" s="214" t="n">
        <v>2025</v>
      </c>
      <c r="E118" s="215" t="n">
        <v>20000</v>
      </c>
      <c r="F118" s="214" t="inlineStr">
        <is>
          <t>In production</t>
        </is>
      </c>
      <c r="G118" s="214" t="inlineStr">
        <is>
          <t>2 ft 9 in – 5 ft 5 in</t>
        </is>
      </c>
      <c r="H118" s="214" t="n">
        <v>121.3</v>
      </c>
      <c r="I118" s="214" t="inlineStr">
        <is>
          <t>26–31</t>
        </is>
      </c>
      <c r="J118" s="214" t="n">
        <v>6.6</v>
      </c>
      <c r="K118" s="214" t="n">
        <v>3.11</v>
      </c>
      <c r="L118" s="214" t="inlineStr">
        <is>
          <t>≈ 1.5 hours</t>
        </is>
      </c>
      <c r="M118" s="214" t="n">
        <v>3</v>
      </c>
      <c r="N118" s="214" t="n">
        <v>3</v>
      </c>
      <c r="O118" s="214" t="inlineStr">
        <is>
          <t>Both</t>
        </is>
      </c>
      <c r="P118" s="214" t="inlineStr">
        <is>
          <t>limx_dynamics_tron_1_tron_2_oli_tron_2</t>
        </is>
      </c>
      <c r="Q118" s="214" t="inlineStr">
        <is>
          <t>https://humanoid.guide/product/limx-oli/</t>
        </is>
      </c>
    </row>
    <row r="119" ht="18" customHeight="1" s="102">
      <c r="A119" s="212" t="inlineStr">
        <is>
          <t>Lumos Robotics</t>
        </is>
      </c>
      <c r="B119" s="212" t="inlineStr">
        <is>
          <t>NIX</t>
        </is>
      </c>
      <c r="C119" s="212" t="inlineStr">
        <is>
          <t>China</t>
        </is>
      </c>
      <c r="D119" s="212" t="n"/>
      <c r="E119" s="213" t="n">
        <v>12000</v>
      </c>
      <c r="F119" s="212" t="inlineStr">
        <is>
          <t>Prototype</t>
        </is>
      </c>
      <c r="G119" s="212" t="inlineStr">
        <is>
          <t>2 ft 7 in</t>
        </is>
      </c>
      <c r="H119" s="212" t="n">
        <v>44.1</v>
      </c>
      <c r="I119" s="216" t="inlineStr">
        <is>
          <t>Not disclosed</t>
        </is>
      </c>
      <c r="J119" s="212" t="n">
        <v>2.2</v>
      </c>
      <c r="K119" s="212" t="n">
        <v>1.86</v>
      </c>
      <c r="L119" s="212" t="inlineStr">
        <is>
          <t>≈ 1.5 hours</t>
        </is>
      </c>
      <c r="M119" s="212" t="n">
        <v>2</v>
      </c>
      <c r="N119" s="212" t="n">
        <v>2</v>
      </c>
      <c r="O119" s="212" t="inlineStr">
        <is>
          <t>Humanoid.guide</t>
        </is>
      </c>
      <c r="P119" s="212" t="inlineStr">
        <is>
          <t>lumos_robotics_nix</t>
        </is>
      </c>
      <c r="Q119" s="212" t="inlineStr">
        <is>
          <t>https://humanoid.guide/product/nix/</t>
        </is>
      </c>
    </row>
    <row r="120" ht="18" customHeight="1" s="102">
      <c r="A120" s="214" t="inlineStr">
        <is>
          <t>MagicLab</t>
        </is>
      </c>
      <c r="B120" s="214" t="inlineStr">
        <is>
          <t>MagicBot</t>
        </is>
      </c>
      <c r="C120" s="214" t="inlineStr">
        <is>
          <t>China</t>
        </is>
      </c>
      <c r="D120" s="214" t="n"/>
      <c r="E120" s="215" t="n">
        <v>50000</v>
      </c>
      <c r="F120" s="214" t="inlineStr">
        <is>
          <t>Prototype</t>
        </is>
      </c>
      <c r="G120" s="214" t="inlineStr">
        <is>
          <t>4 ft 6 in</t>
        </is>
      </c>
      <c r="H120" s="214" t="n">
        <v>119</v>
      </c>
      <c r="I120" s="214" t="inlineStr">
        <is>
          <t>42</t>
        </is>
      </c>
      <c r="J120" s="214" t="n">
        <v>44.1</v>
      </c>
      <c r="K120" s="214" t="n">
        <v>3.11</v>
      </c>
      <c r="L120" s="217" t="inlineStr">
        <is>
          <t>Not disclosed</t>
        </is>
      </c>
      <c r="M120" s="214" t="n">
        <v>2</v>
      </c>
      <c r="N120" s="214" t="n">
        <v>2</v>
      </c>
      <c r="O120" s="214" t="inlineStr">
        <is>
          <t>Humanoid.guide</t>
        </is>
      </c>
      <c r="P120" s="214" t="n"/>
      <c r="Q120" s="214" t="inlineStr">
        <is>
          <t>https://humanoid.guide/product/magicbot/</t>
        </is>
      </c>
    </row>
    <row r="121" ht="18" customHeight="1" s="102">
      <c r="A121" s="212" t="inlineStr">
        <is>
          <t>MagicLab</t>
        </is>
      </c>
      <c r="B121" s="212" t="inlineStr">
        <is>
          <t>MagicBot X1</t>
        </is>
      </c>
      <c r="C121" s="212" t="inlineStr">
        <is>
          <t>China</t>
        </is>
      </c>
      <c r="D121" s="212" t="n">
        <v>2026</v>
      </c>
      <c r="E121" s="213" t="n">
        <v>75000</v>
      </c>
      <c r="F121" s="212" t="inlineStr">
        <is>
          <t>In production</t>
        </is>
      </c>
      <c r="G121" s="212" t="inlineStr">
        <is>
          <t>5 ft 7 in</t>
        </is>
      </c>
      <c r="H121" s="212" t="n">
        <v>143.3</v>
      </c>
      <c r="I121" s="212" t="inlineStr">
        <is>
          <t>42</t>
        </is>
      </c>
      <c r="J121" s="212" t="n">
        <v>44.1</v>
      </c>
      <c r="K121" s="212" t="n">
        <v>4.35</v>
      </c>
      <c r="L121" s="212" t="inlineStr">
        <is>
          <t>≈ 4 hours</t>
        </is>
      </c>
      <c r="M121" s="212" t="n"/>
      <c r="N121" s="212" t="n"/>
      <c r="O121" s="212" t="inlineStr">
        <is>
          <t>Humanoid.guide</t>
        </is>
      </c>
      <c r="P121" s="212" t="inlineStr">
        <is>
          <t>magiclab_magicbot_x1</t>
        </is>
      </c>
      <c r="Q121" s="212" t="inlineStr">
        <is>
          <t>https://humanoid.guide/product/magicbot-x1/</t>
        </is>
      </c>
    </row>
    <row r="122" ht="18" customHeight="1" s="102">
      <c r="A122" s="214" t="inlineStr">
        <is>
          <t>MagicLab</t>
        </is>
      </c>
      <c r="B122" s="214" t="inlineStr">
        <is>
          <t>MagicBot Z1</t>
        </is>
      </c>
      <c r="C122" s="214" t="inlineStr">
        <is>
          <t>China</t>
        </is>
      </c>
      <c r="D122" s="214" t="n"/>
      <c r="E122" s="215" t="n">
        <v>50000</v>
      </c>
      <c r="F122" s="214" t="inlineStr">
        <is>
          <t>Prototype</t>
        </is>
      </c>
      <c r="G122" s="214" t="inlineStr">
        <is>
          <t>4 ft 7 in</t>
        </is>
      </c>
      <c r="H122" s="214" t="n">
        <v>88.2</v>
      </c>
      <c r="I122" s="214" t="inlineStr">
        <is>
          <t>49</t>
        </is>
      </c>
      <c r="J122" s="214" t="n">
        <v>22</v>
      </c>
      <c r="K122" s="214" t="n">
        <v>5.59</v>
      </c>
      <c r="L122" s="217" t="inlineStr">
        <is>
          <t>Not disclosed</t>
        </is>
      </c>
      <c r="M122" s="214" t="n">
        <v>2</v>
      </c>
      <c r="N122" s="214" t="n">
        <v>2</v>
      </c>
      <c r="O122" s="214" t="inlineStr">
        <is>
          <t>Humanoid.guide</t>
        </is>
      </c>
      <c r="P122" s="214" t="inlineStr">
        <is>
          <t>magiclab_magicbot_z1</t>
        </is>
      </c>
      <c r="Q122" s="214" t="inlineStr">
        <is>
          <t>https://humanoid.guide/product/magicbot-z1/</t>
        </is>
      </c>
    </row>
    <row r="123" ht="18" customHeight="1" s="102">
      <c r="A123" s="212" t="inlineStr">
        <is>
          <t>Matrix Robotics</t>
        </is>
      </c>
      <c r="B123" s="212" t="inlineStr">
        <is>
          <t>Matrix-1</t>
        </is>
      </c>
      <c r="C123" s="212" t="inlineStr">
        <is>
          <t>China</t>
        </is>
      </c>
      <c r="D123" s="212" t="n"/>
      <c r="E123" s="213" t="n">
        <v>100000</v>
      </c>
      <c r="F123" s="212" t="inlineStr">
        <is>
          <t>Prototype</t>
        </is>
      </c>
      <c r="G123" s="212" t="inlineStr">
        <is>
          <t>5 ft 11 in</t>
        </is>
      </c>
      <c r="H123" s="212" t="n">
        <v>147.7</v>
      </c>
      <c r="I123" s="212" t="inlineStr">
        <is>
          <t>55</t>
        </is>
      </c>
      <c r="J123" s="212" t="n">
        <v>33.1</v>
      </c>
      <c r="K123" s="212" t="n">
        <v>2.67</v>
      </c>
      <c r="L123" s="212" t="inlineStr">
        <is>
          <t>≈ 5 hours</t>
        </is>
      </c>
      <c r="M123" s="212" t="n">
        <v>2</v>
      </c>
      <c r="N123" s="212" t="n">
        <v>2</v>
      </c>
      <c r="O123" s="212" t="inlineStr">
        <is>
          <t>Humanoid.guide</t>
        </is>
      </c>
      <c r="P123" s="212" t="inlineStr">
        <is>
          <t>matrix_robotics_matrix_1</t>
        </is>
      </c>
      <c r="Q123" s="212" t="inlineStr">
        <is>
          <t>https://humanoid.guide/product/matrix-1/</t>
        </is>
      </c>
    </row>
    <row r="124" ht="18" customHeight="1" s="102">
      <c r="A124" s="214" t="inlineStr">
        <is>
          <t>Matrix Robotics</t>
        </is>
      </c>
      <c r="B124" s="214" t="inlineStr">
        <is>
          <t>MATRIX-3</t>
        </is>
      </c>
      <c r="C124" s="214" t="inlineStr">
        <is>
          <t>China</t>
        </is>
      </c>
      <c r="D124" s="214" t="n"/>
      <c r="E124" s="215" t="n">
        <v>85000</v>
      </c>
      <c r="F124" s="214" t="inlineStr">
        <is>
          <t>Prototype</t>
        </is>
      </c>
      <c r="G124" s="214" t="inlineStr">
        <is>
          <t>5 ft 3 in</t>
        </is>
      </c>
      <c r="H124" s="217" t="inlineStr">
        <is>
          <t>Not disclosed</t>
        </is>
      </c>
      <c r="I124" s="214" t="inlineStr">
        <is>
          <t>~30–45</t>
        </is>
      </c>
      <c r="J124" s="214" t="n">
        <v>13.2</v>
      </c>
      <c r="K124" s="214" t="n">
        <v>1.55</v>
      </c>
      <c r="L124" s="217" t="inlineStr">
        <is>
          <t>Not disclosed</t>
        </is>
      </c>
      <c r="M124" s="214" t="n"/>
      <c r="N124" s="214" t="n"/>
      <c r="O124" s="214" t="inlineStr">
        <is>
          <t>Humanoid.guide</t>
        </is>
      </c>
      <c r="P124" s="214" t="inlineStr">
        <is>
          <t>matrix_robotics_matrix_3</t>
        </is>
      </c>
      <c r="Q124" s="214" t="inlineStr">
        <is>
          <t>https://humanoid.guide/product/matrix-3/</t>
        </is>
      </c>
    </row>
    <row r="125" ht="18" customHeight="1" s="102">
      <c r="A125" s="212" t="inlineStr">
        <is>
          <t>MenloAI</t>
        </is>
      </c>
      <c r="B125" s="212" t="inlineStr">
        <is>
          <t>Asimov</t>
        </is>
      </c>
      <c r="C125" s="212" t="inlineStr">
        <is>
          <t>Singapore</t>
        </is>
      </c>
      <c r="D125" s="212" t="n"/>
      <c r="E125" s="213" t="n">
        <v>15000</v>
      </c>
      <c r="F125" s="212" t="inlineStr">
        <is>
          <t>In production</t>
        </is>
      </c>
      <c r="G125" s="212" t="inlineStr">
        <is>
          <t>3 ft 11 in</t>
        </is>
      </c>
      <c r="H125" s="212" t="n">
        <v>77.2</v>
      </c>
      <c r="I125" s="212" t="inlineStr">
        <is>
          <t>27</t>
        </is>
      </c>
      <c r="J125" s="212" t="n">
        <v>77.2</v>
      </c>
      <c r="K125" s="212" t="n">
        <v>1.86</v>
      </c>
      <c r="L125" s="212" t="inlineStr">
        <is>
          <t>≈ 1.5 hours</t>
        </is>
      </c>
      <c r="M125" s="212" t="n"/>
      <c r="N125" s="212" t="n"/>
      <c r="O125" s="212" t="inlineStr">
        <is>
          <t>Humanoid.guide</t>
        </is>
      </c>
      <c r="P125" s="212" t="inlineStr">
        <is>
          <t>menloai_asimov</t>
        </is>
      </c>
      <c r="Q125" s="212" t="inlineStr">
        <is>
          <t>https://humanoid.guide/product/asimov/</t>
        </is>
      </c>
    </row>
    <row r="126" ht="18" customHeight="1" s="102">
      <c r="A126" s="214" t="inlineStr">
        <is>
          <t>MenloAI</t>
        </is>
      </c>
      <c r="B126" s="214" t="inlineStr">
        <is>
          <t>Asimov 1</t>
        </is>
      </c>
      <c r="C126" s="214" t="inlineStr">
        <is>
          <t>Singapore</t>
        </is>
      </c>
      <c r="D126" s="214" t="n"/>
      <c r="E126" s="215" t="n">
        <v>20000</v>
      </c>
      <c r="F126" s="214" t="inlineStr">
        <is>
          <t>In production</t>
        </is>
      </c>
      <c r="G126" s="214" t="inlineStr">
        <is>
          <t>3 ft 11 in</t>
        </is>
      </c>
      <c r="H126" s="214" t="n">
        <v>77.2</v>
      </c>
      <c r="I126" s="214" t="inlineStr">
        <is>
          <t>27</t>
        </is>
      </c>
      <c r="J126" s="214" t="n">
        <v>6.6</v>
      </c>
      <c r="K126" s="214" t="n">
        <v>1.86</v>
      </c>
      <c r="L126" s="214" t="inlineStr">
        <is>
          <t>≈ 2 hours</t>
        </is>
      </c>
      <c r="M126" s="214" t="n"/>
      <c r="N126" s="214" t="n"/>
      <c r="O126" s="214" t="inlineStr">
        <is>
          <t>Humanoid.guide</t>
        </is>
      </c>
      <c r="P126" s="214" t="inlineStr">
        <is>
          <t>menloai_asimov_1</t>
        </is>
      </c>
      <c r="Q126" s="214" t="inlineStr">
        <is>
          <t>https://humanoid.guide/product/asimov-one/</t>
        </is>
      </c>
    </row>
    <row r="127" ht="18" customHeight="1" s="102">
      <c r="A127" s="212" t="inlineStr">
        <is>
          <t>MenloAI</t>
        </is>
      </c>
      <c r="B127" s="212" t="inlineStr">
        <is>
          <t>Asimov 2</t>
        </is>
      </c>
      <c r="C127" s="212" t="inlineStr">
        <is>
          <t>Singapore</t>
        </is>
      </c>
      <c r="D127" s="212" t="n"/>
      <c r="E127" s="213" t="n">
        <v>35000</v>
      </c>
      <c r="F127" s="212" t="inlineStr">
        <is>
          <t>Prototype</t>
        </is>
      </c>
      <c r="G127" s="212" t="inlineStr">
        <is>
          <t>3 ft 11 in</t>
        </is>
      </c>
      <c r="H127" s="212" t="n">
        <v>83.8</v>
      </c>
      <c r="I127" s="212" t="inlineStr">
        <is>
          <t>27</t>
        </is>
      </c>
      <c r="J127" s="212" t="n">
        <v>11</v>
      </c>
      <c r="K127" s="212" t="n">
        <v>2.49</v>
      </c>
      <c r="L127" s="212" t="inlineStr">
        <is>
          <t>≈ 2.5 hours</t>
        </is>
      </c>
      <c r="M127" s="212" t="n"/>
      <c r="N127" s="212" t="n"/>
      <c r="O127" s="212" t="inlineStr">
        <is>
          <t>Humanoid.guide</t>
        </is>
      </c>
      <c r="P127" s="212" t="inlineStr">
        <is>
          <t>menloai_asimov_2</t>
        </is>
      </c>
      <c r="Q127" s="212" t="inlineStr">
        <is>
          <t>https://humanoid.guide/product/asimov-two/</t>
        </is>
      </c>
    </row>
    <row r="128" ht="18" customHeight="1" s="102">
      <c r="A128" s="214" t="inlineStr">
        <is>
          <t>Mentee Robotics</t>
        </is>
      </c>
      <c r="B128" s="214" t="inlineStr">
        <is>
          <t>MenteeBot</t>
        </is>
      </c>
      <c r="C128" s="214" t="inlineStr">
        <is>
          <t>Israel</t>
        </is>
      </c>
      <c r="D128" s="214" t="n">
        <v>2022</v>
      </c>
      <c r="E128" s="215" t="n">
        <v>35000</v>
      </c>
      <c r="F128" s="214" t="inlineStr">
        <is>
          <t>Prototype</t>
        </is>
      </c>
      <c r="G128" s="214" t="inlineStr">
        <is>
          <t>5 ft 9 in</t>
        </is>
      </c>
      <c r="H128" s="214" t="n">
        <v>154.3</v>
      </c>
      <c r="I128" s="214" t="inlineStr">
        <is>
          <t>40</t>
        </is>
      </c>
      <c r="J128" s="214" t="n">
        <v>55.1</v>
      </c>
      <c r="K128" s="214" t="n">
        <v>2.8</v>
      </c>
      <c r="L128" s="214" t="inlineStr">
        <is>
          <t>≈ 3 hours</t>
        </is>
      </c>
      <c r="M128" s="214" t="n">
        <v>2</v>
      </c>
      <c r="N128" s="214" t="n">
        <v>2</v>
      </c>
      <c r="O128" s="214" t="inlineStr">
        <is>
          <t>Humanoid.guide</t>
        </is>
      </c>
      <c r="P128" s="214" t="inlineStr">
        <is>
          <t>mentee_robotics_menteebot</t>
        </is>
      </c>
      <c r="Q128" s="214" t="inlineStr">
        <is>
          <t>https://humanoid.guide/product/menteebot/</t>
        </is>
      </c>
    </row>
    <row r="129" ht="18" customHeight="1" s="102">
      <c r="A129" s="212" t="inlineStr">
        <is>
          <t>Mentee Robotics</t>
        </is>
      </c>
      <c r="B129" s="212" t="inlineStr">
        <is>
          <t>MenteeBot V3</t>
        </is>
      </c>
      <c r="C129" s="212" t="inlineStr">
        <is>
          <t>Israel</t>
        </is>
      </c>
      <c r="D129" s="212" t="n"/>
      <c r="E129" s="213" t="n">
        <v>35000</v>
      </c>
      <c r="F129" s="212" t="inlineStr">
        <is>
          <t>Prototype</t>
        </is>
      </c>
      <c r="G129" s="212" t="inlineStr">
        <is>
          <t>5 ft 9 in</t>
        </is>
      </c>
      <c r="H129" s="212" t="n">
        <v>143.3</v>
      </c>
      <c r="I129" s="212" t="inlineStr">
        <is>
          <t>55</t>
        </is>
      </c>
      <c r="J129" s="212" t="n">
        <v>55.1</v>
      </c>
      <c r="K129" s="212" t="n">
        <v>1.86</v>
      </c>
      <c r="L129" s="212" t="inlineStr">
        <is>
          <t>≈ 4 hours</t>
        </is>
      </c>
      <c r="M129" s="212" t="n">
        <v>2</v>
      </c>
      <c r="N129" s="212" t="n">
        <v>2</v>
      </c>
      <c r="O129" s="212" t="inlineStr">
        <is>
          <t>Humanoid.guide</t>
        </is>
      </c>
      <c r="P129" s="212" t="inlineStr">
        <is>
          <t>mentee_robotics_menteebot_v3</t>
        </is>
      </c>
      <c r="Q129" s="212" t="inlineStr">
        <is>
          <t>https://humanoid.guide/product/menteebot-v3/</t>
        </is>
      </c>
    </row>
    <row r="130" ht="18" customHeight="1" s="102">
      <c r="A130" s="214" t="inlineStr">
        <is>
          <t>Midea</t>
        </is>
      </c>
      <c r="B130" s="214" t="inlineStr">
        <is>
          <t>MIRO</t>
        </is>
      </c>
      <c r="C130" s="214" t="inlineStr">
        <is>
          <t>China</t>
        </is>
      </c>
      <c r="D130" s="214" t="n"/>
      <c r="E130" s="215" t="n">
        <v>58000</v>
      </c>
      <c r="F130" s="214" t="inlineStr">
        <is>
          <t>Prototype</t>
        </is>
      </c>
      <c r="G130" s="217" t="inlineStr">
        <is>
          <t>Not disclosed</t>
        </is>
      </c>
      <c r="H130" s="217" t="inlineStr">
        <is>
          <t>Not disclosed</t>
        </is>
      </c>
      <c r="I130" s="217" t="inlineStr">
        <is>
          <t>Not disclosed</t>
        </is>
      </c>
      <c r="J130" s="214" t="n">
        <v>17.6</v>
      </c>
      <c r="K130" s="214" t="n">
        <v>2.49</v>
      </c>
      <c r="L130" s="217" t="inlineStr">
        <is>
          <t>Not disclosed</t>
        </is>
      </c>
      <c r="M130" s="214" t="n">
        <v>2</v>
      </c>
      <c r="N130" s="214" t="n">
        <v>2</v>
      </c>
      <c r="O130" s="214" t="inlineStr">
        <is>
          <t>Humanoid.guide</t>
        </is>
      </c>
      <c r="P130" s="214" t="inlineStr">
        <is>
          <t>midea_miro</t>
        </is>
      </c>
      <c r="Q130" s="214" t="inlineStr">
        <is>
          <t>https://humanoid.guide/product/miro/</t>
        </is>
      </c>
    </row>
    <row r="131" ht="18" customHeight="1" s="102">
      <c r="A131" s="212" t="inlineStr">
        <is>
          <t>Mirsee Robotics</t>
        </is>
      </c>
      <c r="B131" s="212" t="inlineStr">
        <is>
          <t>MH3</t>
        </is>
      </c>
      <c r="C131" s="212" t="inlineStr">
        <is>
          <t>Canada</t>
        </is>
      </c>
      <c r="D131" s="212" t="n"/>
      <c r="E131" s="213" t="n">
        <v>200000</v>
      </c>
      <c r="F131" s="212" t="inlineStr">
        <is>
          <t>In production</t>
        </is>
      </c>
      <c r="G131" s="212" t="inlineStr">
        <is>
          <t>5 ft 11 in</t>
        </is>
      </c>
      <c r="H131" s="212" t="n">
        <v>275.6</v>
      </c>
      <c r="I131" s="212" t="inlineStr">
        <is>
          <t>31</t>
        </is>
      </c>
      <c r="J131" s="212" t="n">
        <v>66.09999999999999</v>
      </c>
      <c r="K131" s="212" t="n">
        <v>3.11</v>
      </c>
      <c r="L131" s="212" t="inlineStr">
        <is>
          <t>≈ 10 hours</t>
        </is>
      </c>
      <c r="M131" s="212" t="n">
        <v>2</v>
      </c>
      <c r="N131" s="212" t="n">
        <v>2</v>
      </c>
      <c r="O131" s="212" t="inlineStr">
        <is>
          <t>Humanoid.guide</t>
        </is>
      </c>
      <c r="P131" s="212" t="inlineStr">
        <is>
          <t>mirsee_robotics_mh3</t>
        </is>
      </c>
      <c r="Q131" s="212" t="inlineStr">
        <is>
          <t>https://humanoid.guide/product/mh3/</t>
        </is>
      </c>
    </row>
    <row r="132" ht="18" customHeight="1" s="102">
      <c r="A132" s="214" t="inlineStr">
        <is>
          <t>Moon Dynamics</t>
        </is>
      </c>
      <c r="B132" s="214" t="inlineStr">
        <is>
          <t>L1</t>
        </is>
      </c>
      <c r="C132" s="214" t="inlineStr">
        <is>
          <t>China</t>
        </is>
      </c>
      <c r="D132" s="214" t="n"/>
      <c r="E132" s="215" t="n">
        <v>60000</v>
      </c>
      <c r="F132" s="214" t="inlineStr">
        <is>
          <t>In production</t>
        </is>
      </c>
      <c r="G132" s="214" t="inlineStr">
        <is>
          <t>5 ft 5 in</t>
        </is>
      </c>
      <c r="H132" s="214" t="n">
        <v>132.3</v>
      </c>
      <c r="I132" s="214" t="inlineStr">
        <is>
          <t>18</t>
        </is>
      </c>
      <c r="J132" s="214" t="n">
        <v>55.1</v>
      </c>
      <c r="K132" s="214" t="n">
        <v>4.35</v>
      </c>
      <c r="L132" s="214" t="inlineStr">
        <is>
          <t>≈ 3 hours</t>
        </is>
      </c>
      <c r="M132" s="214" t="n"/>
      <c r="N132" s="214" t="n"/>
      <c r="O132" s="214" t="inlineStr">
        <is>
          <t>Humanoid.guide</t>
        </is>
      </c>
      <c r="P132" s="214" t="inlineStr">
        <is>
          <t>moon_dynamics_l1</t>
        </is>
      </c>
      <c r="Q132" s="214" t="inlineStr">
        <is>
          <t>https://humanoid.guide/product/l1/</t>
        </is>
      </c>
    </row>
    <row r="133" ht="18" customHeight="1" s="102">
      <c r="A133" s="212" t="inlineStr">
        <is>
          <t>Muks Robotics</t>
        </is>
      </c>
      <c r="B133" s="212" t="inlineStr">
        <is>
          <t>Spaceo M1</t>
        </is>
      </c>
      <c r="C133" s="212" t="inlineStr">
        <is>
          <t>India</t>
        </is>
      </c>
      <c r="D133" s="212" t="n"/>
      <c r="E133" s="213" t="n">
        <v>11000</v>
      </c>
      <c r="F133" s="212" t="inlineStr">
        <is>
          <t>In production</t>
        </is>
      </c>
      <c r="G133" s="212" t="inlineStr">
        <is>
          <t>5 ft 6 in</t>
        </is>
      </c>
      <c r="H133" s="212" t="n">
        <v>143.3</v>
      </c>
      <c r="I133" s="212" t="inlineStr">
        <is>
          <t>16</t>
        </is>
      </c>
      <c r="J133" s="212" t="n">
        <v>44.1</v>
      </c>
      <c r="K133" s="212" t="n">
        <v>4.47</v>
      </c>
      <c r="L133" s="212" t="inlineStr">
        <is>
          <t>≈ 4 hours</t>
        </is>
      </c>
      <c r="M133" s="212" t="n">
        <v>2</v>
      </c>
      <c r="N133" s="212" t="n">
        <v>2</v>
      </c>
      <c r="O133" s="212" t="inlineStr">
        <is>
          <t>Humanoid.guide</t>
        </is>
      </c>
      <c r="P133" s="212" t="inlineStr">
        <is>
          <t>muks_robotics_spaceo_m1</t>
        </is>
      </c>
      <c r="Q133" s="212" t="inlineStr">
        <is>
          <t>https://humanoid.guide/product/spaceo-m1/</t>
        </is>
      </c>
    </row>
    <row r="134" ht="18" customHeight="1" s="102">
      <c r="A134" s="214" t="inlineStr">
        <is>
          <t>Muks Robotics</t>
        </is>
      </c>
      <c r="B134" s="214" t="inlineStr">
        <is>
          <t>Spaceo Pro</t>
        </is>
      </c>
      <c r="C134" s="214" t="inlineStr">
        <is>
          <t>India</t>
        </is>
      </c>
      <c r="D134" s="214" t="n"/>
      <c r="E134" s="215" t="n">
        <v>60000</v>
      </c>
      <c r="F134" s="214" t="inlineStr">
        <is>
          <t>In production</t>
        </is>
      </c>
      <c r="G134" s="214" t="inlineStr">
        <is>
          <t>5 ft 6 in</t>
        </is>
      </c>
      <c r="H134" s="214" t="n">
        <v>143.3</v>
      </c>
      <c r="I134" s="214" t="inlineStr">
        <is>
          <t>20</t>
        </is>
      </c>
      <c r="J134" s="214" t="n">
        <v>11</v>
      </c>
      <c r="K134" s="214" t="n">
        <v>4.47</v>
      </c>
      <c r="L134" s="214" t="inlineStr">
        <is>
          <t>≈ 4 hours</t>
        </is>
      </c>
      <c r="M134" s="214" t="n">
        <v>2</v>
      </c>
      <c r="N134" s="214" t="n">
        <v>2</v>
      </c>
      <c r="O134" s="214" t="inlineStr">
        <is>
          <t>Humanoid.guide</t>
        </is>
      </c>
      <c r="P134" s="214" t="inlineStr">
        <is>
          <t>muks_robotics_spaceo_pro</t>
        </is>
      </c>
      <c r="Q134" s="214" t="inlineStr">
        <is>
          <t>https://humanoid.guide/product/spaceo-pro/</t>
        </is>
      </c>
    </row>
    <row r="135" ht="18" customHeight="1" s="102">
      <c r="A135" s="212" t="inlineStr">
        <is>
          <t>Naiscorp Robotics</t>
        </is>
      </c>
      <c r="B135" s="212" t="inlineStr">
        <is>
          <t>Edge-AI Eldercare Companion</t>
        </is>
      </c>
      <c r="C135" s="212" t="inlineStr">
        <is>
          <t>Vietnam</t>
        </is>
      </c>
      <c r="D135" s="212" t="n">
        <v>2026</v>
      </c>
      <c r="E135" s="213" t="n">
        <v>50000</v>
      </c>
      <c r="F135" s="212" t="n"/>
      <c r="G135" s="216" t="inlineStr">
        <is>
          <t>Not disclosed</t>
        </is>
      </c>
      <c r="H135" s="216" t="inlineStr">
        <is>
          <t>Not disclosed</t>
        </is>
      </c>
      <c r="I135" s="216" t="inlineStr">
        <is>
          <t>Not disclosed</t>
        </is>
      </c>
      <c r="J135" s="216" t="inlineStr">
        <is>
          <t>Not disclosed</t>
        </is>
      </c>
      <c r="K135" s="216" t="inlineStr">
        <is>
          <t>Not disclosed</t>
        </is>
      </c>
      <c r="L135" s="216" t="inlineStr">
        <is>
          <t>Not disclosed</t>
        </is>
      </c>
      <c r="M135" s="212" t="n"/>
      <c r="N135" s="212" t="n"/>
      <c r="O135" s="212" t="inlineStr">
        <is>
          <t>Website</t>
        </is>
      </c>
      <c r="P135" s="212" t="inlineStr">
        <is>
          <t>naiscorp_robotics_edge_ai_eldercare_comp</t>
        </is>
      </c>
      <c r="Q135" s="212" t="n"/>
    </row>
    <row r="136" ht="18" customHeight="1" s="102">
      <c r="A136" s="214" t="inlineStr">
        <is>
          <t>Naver Labs</t>
        </is>
      </c>
      <c r="B136" s="214" t="inlineStr">
        <is>
          <t>Ambidex</t>
        </is>
      </c>
      <c r="C136" s="214" t="inlineStr">
        <is>
          <t>South Korea</t>
        </is>
      </c>
      <c r="D136" s="214" t="n"/>
      <c r="E136" s="215" t="n">
        <v>100000</v>
      </c>
      <c r="F136" s="214" t="inlineStr">
        <is>
          <t>In production</t>
        </is>
      </c>
      <c r="G136" s="214" t="inlineStr">
        <is>
          <t>6 ft 1 in</t>
        </is>
      </c>
      <c r="H136" s="217" t="inlineStr">
        <is>
          <t>Not disclosed</t>
        </is>
      </c>
      <c r="I136" s="214" t="inlineStr">
        <is>
          <t>47</t>
        </is>
      </c>
      <c r="J136" s="214" t="n">
        <v>13.2</v>
      </c>
      <c r="K136" s="214" t="n">
        <v>2.24</v>
      </c>
      <c r="L136" s="214" t="inlineStr">
        <is>
          <t>≈ 8 hours</t>
        </is>
      </c>
      <c r="M136" s="214" t="n">
        <v>2</v>
      </c>
      <c r="N136" s="214" t="n">
        <v>2</v>
      </c>
      <c r="O136" s="214" t="inlineStr">
        <is>
          <t>Humanoid.guide</t>
        </is>
      </c>
      <c r="P136" s="214" t="inlineStr">
        <is>
          <t>naver_labs_ambidex</t>
        </is>
      </c>
      <c r="Q136" s="214" t="inlineStr">
        <is>
          <t>https://humanoid.guide/product/ambidex/</t>
        </is>
      </c>
    </row>
    <row r="137" ht="18" customHeight="1" s="102">
      <c r="A137" s="212" t="inlineStr">
        <is>
          <t>Neura Robotics</t>
        </is>
      </c>
      <c r="B137" s="212" t="inlineStr">
        <is>
          <t>4NE-1</t>
        </is>
      </c>
      <c r="C137" s="212" t="inlineStr">
        <is>
          <t>Germany</t>
        </is>
      </c>
      <c r="D137" s="212" t="n">
        <v>2026</v>
      </c>
      <c r="E137" s="213" t="n">
        <v>65000</v>
      </c>
      <c r="F137" s="212" t="inlineStr">
        <is>
          <t>Prototype</t>
        </is>
      </c>
      <c r="G137" s="212" t="inlineStr">
        <is>
          <t>≈ 4 ft 4 in</t>
        </is>
      </c>
      <c r="H137" s="212" t="n">
        <v>176.4</v>
      </c>
      <c r="I137" s="212" t="inlineStr">
        <is>
          <t>≈ 25</t>
        </is>
      </c>
      <c r="J137" s="212" t="n">
        <v>33.1</v>
      </c>
      <c r="K137" s="212" t="n">
        <v>2.49</v>
      </c>
      <c r="L137" s="212" t="inlineStr">
        <is>
          <t>≈ 2.5 h class</t>
        </is>
      </c>
      <c r="M137" s="212" t="n">
        <v>2</v>
      </c>
      <c r="N137" s="212" t="n">
        <v>2</v>
      </c>
      <c r="O137" s="212" t="inlineStr">
        <is>
          <t>Both</t>
        </is>
      </c>
      <c r="P137" s="212" t="inlineStr">
        <is>
          <t>fourne1mini</t>
        </is>
      </c>
      <c r="Q137" s="212" t="inlineStr">
        <is>
          <t>https://humanoid.guide/product/4ne-1/</t>
        </is>
      </c>
    </row>
    <row r="138" ht="18" customHeight="1" s="102">
      <c r="A138" s="214" t="inlineStr">
        <is>
          <t>NEURA Robotics</t>
        </is>
      </c>
      <c r="B138" s="214" t="inlineStr">
        <is>
          <t>4NE1</t>
        </is>
      </c>
      <c r="C138" s="214" t="inlineStr">
        <is>
          <t>Germany</t>
        </is>
      </c>
      <c r="D138" s="214" t="n"/>
      <c r="E138" s="215" t="n">
        <v>114500</v>
      </c>
      <c r="F138" s="214" t="inlineStr">
        <is>
          <t>Early production / limited release</t>
        </is>
      </c>
      <c r="G138" s="214" t="inlineStr">
        <is>
          <t>5 ft 11 in</t>
        </is>
      </c>
      <c r="H138" s="214" t="n">
        <v>176.4</v>
      </c>
      <c r="I138" s="214" t="inlineStr">
        <is>
          <t>Not officially published (estimate ~40–60)</t>
        </is>
      </c>
      <c r="J138" s="214" t="n">
        <v>33.1</v>
      </c>
      <c r="K138" s="214" t="n">
        <v>3.11</v>
      </c>
      <c r="L138" s="214" t="inlineStr">
        <is>
          <t>~6–8</t>
        </is>
      </c>
      <c r="M138" s="214" t="n"/>
      <c r="N138" s="214" t="n"/>
      <c r="O138" s="214" t="inlineStr">
        <is>
          <t>Humanoid.guide</t>
        </is>
      </c>
      <c r="P138" s="214" t="inlineStr">
        <is>
          <t>neura_robotics_4ne1</t>
        </is>
      </c>
      <c r="Q138" s="214" t="inlineStr">
        <is>
          <t>https://humanoid.guide/product/4ne1/</t>
        </is>
      </c>
    </row>
    <row r="139" ht="18" customHeight="1" s="102">
      <c r="A139" s="212" t="inlineStr">
        <is>
          <t>NineRay</t>
        </is>
      </c>
      <c r="B139" s="212" t="inlineStr">
        <is>
          <t>RayNex G3</t>
        </is>
      </c>
      <c r="C139" s="212" t="inlineStr">
        <is>
          <t>China</t>
        </is>
      </c>
      <c r="D139" s="212" t="n"/>
      <c r="E139" s="213" t="n">
        <v>6500</v>
      </c>
      <c r="F139" s="212" t="inlineStr">
        <is>
          <t>In production</t>
        </is>
      </c>
      <c r="G139" s="212" t="inlineStr">
        <is>
          <t>5 ft 8 in</t>
        </is>
      </c>
      <c r="H139" s="212" t="n">
        <v>132.3</v>
      </c>
      <c r="I139" s="212" t="inlineStr">
        <is>
          <t>32</t>
        </is>
      </c>
      <c r="J139" s="212" t="n">
        <v>220.5</v>
      </c>
      <c r="K139" s="212" t="n">
        <v>3.73</v>
      </c>
      <c r="L139" s="212" t="inlineStr">
        <is>
          <t>≈ 8 hours</t>
        </is>
      </c>
      <c r="M139" s="212" t="n"/>
      <c r="N139" s="212" t="n"/>
      <c r="O139" s="212" t="inlineStr">
        <is>
          <t>Humanoid.guide</t>
        </is>
      </c>
      <c r="P139" s="212" t="inlineStr">
        <is>
          <t>nineray_raynex_g3</t>
        </is>
      </c>
      <c r="Q139" s="212" t="inlineStr">
        <is>
          <t>https://humanoid.guide/product/raynex-g3/</t>
        </is>
      </c>
    </row>
    <row r="140" ht="18" customHeight="1" s="102">
      <c r="A140" s="214" t="inlineStr">
        <is>
          <t>Noble Machines</t>
        </is>
      </c>
      <c r="B140" s="214" t="inlineStr">
        <is>
          <t>Moby</t>
        </is>
      </c>
      <c r="C140" s="214" t="inlineStr">
        <is>
          <t>USA</t>
        </is>
      </c>
      <c r="D140" s="214" t="n">
        <v>2025</v>
      </c>
      <c r="E140" s="215" t="n">
        <v>50000</v>
      </c>
      <c r="F140" s="214" t="inlineStr">
        <is>
          <t>Prototype</t>
        </is>
      </c>
      <c r="G140" s="214" t="inlineStr">
        <is>
          <t>5 ft 7 in</t>
        </is>
      </c>
      <c r="H140" s="214" t="n">
        <v>99.2</v>
      </c>
      <c r="I140" s="214" t="inlineStr">
        <is>
          <t>34</t>
        </is>
      </c>
      <c r="J140" s="214" t="n">
        <v>19.8</v>
      </c>
      <c r="K140" s="214" t="n">
        <v>1.86</v>
      </c>
      <c r="L140" s="214" t="inlineStr">
        <is>
          <t>≈ 5 hours</t>
        </is>
      </c>
      <c r="M140" s="214" t="n">
        <v>2</v>
      </c>
      <c r="N140" s="214" t="n">
        <v>3</v>
      </c>
      <c r="O140" s="214" t="inlineStr">
        <is>
          <t>Both</t>
        </is>
      </c>
      <c r="P140" s="214" t="inlineStr">
        <is>
          <t>noble_machines_moby</t>
        </is>
      </c>
      <c r="Q140" s="214" t="inlineStr">
        <is>
          <t>https://humanoid.guide/product/moby/</t>
        </is>
      </c>
    </row>
    <row r="141" ht="18" customHeight="1" s="102">
      <c r="A141" s="212" t="inlineStr">
        <is>
          <t>Noetix Robotics</t>
        </is>
      </c>
      <c r="B141" s="212" t="inlineStr">
        <is>
          <t>Dora</t>
        </is>
      </c>
      <c r="C141" s="212" t="inlineStr">
        <is>
          <t>China</t>
        </is>
      </c>
      <c r="D141" s="212" t="n"/>
      <c r="E141" s="213" t="n">
        <v>10000</v>
      </c>
      <c r="F141" s="212" t="inlineStr">
        <is>
          <t>Prototype</t>
        </is>
      </c>
      <c r="G141" s="212" t="inlineStr">
        <is>
          <t>3 ft 3 in</t>
        </is>
      </c>
      <c r="H141" s="212" t="n">
        <v>44.1</v>
      </c>
      <c r="I141" s="212" t="inlineStr">
        <is>
          <t>26</t>
        </is>
      </c>
      <c r="J141" s="212" t="n">
        <v>11</v>
      </c>
      <c r="K141" s="212" t="n">
        <v>2.24</v>
      </c>
      <c r="L141" s="216" t="inlineStr">
        <is>
          <t>Not disclosed</t>
        </is>
      </c>
      <c r="M141" s="212" t="n">
        <v>2</v>
      </c>
      <c r="N141" s="212" t="n">
        <v>2</v>
      </c>
      <c r="O141" s="212" t="inlineStr">
        <is>
          <t>Humanoid.guide</t>
        </is>
      </c>
      <c r="P141" s="212" t="inlineStr">
        <is>
          <t>noetix_robotics_dora</t>
        </is>
      </c>
      <c r="Q141" s="212" t="inlineStr">
        <is>
          <t>https://humanoid.guide/product/dora/</t>
        </is>
      </c>
    </row>
    <row r="142" ht="18" customHeight="1" s="102">
      <c r="A142" s="214" t="inlineStr">
        <is>
          <t>Noetix Robotics</t>
        </is>
      </c>
      <c r="B142" s="214" t="inlineStr">
        <is>
          <t>Hobbs</t>
        </is>
      </c>
      <c r="C142" s="214" t="inlineStr">
        <is>
          <t>China</t>
        </is>
      </c>
      <c r="D142" s="214" t="n"/>
      <c r="E142" s="215" t="n">
        <v>35000</v>
      </c>
      <c r="F142" s="214" t="inlineStr">
        <is>
          <t>In production</t>
        </is>
      </c>
      <c r="G142" s="214" t="inlineStr">
        <is>
          <t>3 ft 11 in</t>
        </is>
      </c>
      <c r="H142" s="214" t="n">
        <v>88.2</v>
      </c>
      <c r="I142" s="214" t="inlineStr">
        <is>
          <t>20</t>
        </is>
      </c>
      <c r="J142" s="214" t="n">
        <v>13.2</v>
      </c>
      <c r="K142" s="214" t="n">
        <v>0</v>
      </c>
      <c r="L142" s="217" t="inlineStr">
        <is>
          <t>Not disclosed</t>
        </is>
      </c>
      <c r="M142" s="214" t="n"/>
      <c r="N142" s="214" t="n"/>
      <c r="O142" s="214" t="inlineStr">
        <is>
          <t>Humanoid.guide</t>
        </is>
      </c>
      <c r="P142" s="214" t="inlineStr">
        <is>
          <t>noetix_robotics_hobbs</t>
        </is>
      </c>
      <c r="Q142" s="214" t="inlineStr">
        <is>
          <t>https://humanoid.guide/product/hobbs/</t>
        </is>
      </c>
    </row>
    <row r="143" ht="18" customHeight="1" s="102">
      <c r="A143" s="212" t="inlineStr">
        <is>
          <t>Noetix Robotics</t>
        </is>
      </c>
      <c r="B143" s="212" t="inlineStr">
        <is>
          <t>N2</t>
        </is>
      </c>
      <c r="C143" s="212" t="inlineStr">
        <is>
          <t>China</t>
        </is>
      </c>
      <c r="D143" s="212" t="n">
        <v>2025</v>
      </c>
      <c r="E143" s="213" t="n">
        <v>35000</v>
      </c>
      <c r="F143" s="212" t="inlineStr">
        <is>
          <t>Prototype</t>
        </is>
      </c>
      <c r="G143" s="212" t="inlineStr">
        <is>
          <t>3 ft 10 in</t>
        </is>
      </c>
      <c r="H143" s="212" t="n">
        <v>66.09999999999999</v>
      </c>
      <c r="I143" s="212" t="inlineStr">
        <is>
          <t>18</t>
        </is>
      </c>
      <c r="J143" s="212" t="n">
        <v>11</v>
      </c>
      <c r="K143" s="212" t="n">
        <v>7.83</v>
      </c>
      <c r="L143" s="212" t="inlineStr">
        <is>
          <t>≈ 2 hours</t>
        </is>
      </c>
      <c r="M143" s="212" t="n">
        <v>2</v>
      </c>
      <c r="N143" s="212" t="n">
        <v>2</v>
      </c>
      <c r="O143" s="212" t="inlineStr">
        <is>
          <t>Both</t>
        </is>
      </c>
      <c r="P143" s="212" t="inlineStr">
        <is>
          <t>noetix_robotics_n2_athlete_edu</t>
        </is>
      </c>
      <c r="Q143" s="212" t="inlineStr">
        <is>
          <t>https://humanoid.guide/product/n2/</t>
        </is>
      </c>
    </row>
    <row r="144" ht="18" customHeight="1" s="102">
      <c r="A144" s="214" t="inlineStr">
        <is>
          <t>Noetix Robotics</t>
        </is>
      </c>
      <c r="B144" s="214" t="inlineStr">
        <is>
          <t>N2 Athlete</t>
        </is>
      </c>
      <c r="C144" s="214" t="inlineStr">
        <is>
          <t>China</t>
        </is>
      </c>
      <c r="D144" s="214" t="n">
        <v>2025</v>
      </c>
      <c r="E144" s="215" t="n">
        <v>35000</v>
      </c>
      <c r="F144" s="214" t="inlineStr">
        <is>
          <t>Prototype</t>
        </is>
      </c>
      <c r="G144" s="214" t="inlineStr">
        <is>
          <t>3 ft 10 in</t>
        </is>
      </c>
      <c r="H144" s="214" t="n">
        <v>66.09999999999999</v>
      </c>
      <c r="I144" s="214" t="inlineStr">
        <is>
          <t>18</t>
        </is>
      </c>
      <c r="J144" s="214" t="n">
        <v>11</v>
      </c>
      <c r="K144" s="214" t="n">
        <v>7.83</v>
      </c>
      <c r="L144" s="214" t="inlineStr">
        <is>
          <t>≈ 2 hours</t>
        </is>
      </c>
      <c r="M144" s="214" t="n">
        <v>2</v>
      </c>
      <c r="N144" s="214" t="n">
        <v>2</v>
      </c>
      <c r="O144" s="214" t="inlineStr">
        <is>
          <t>Both</t>
        </is>
      </c>
      <c r="P144" s="214" t="inlineStr">
        <is>
          <t>noetix_robotics_n2_athlete_edu_n2_athlete</t>
        </is>
      </c>
      <c r="Q144" s="214" t="inlineStr">
        <is>
          <t>https://humanoid.guide/product/n2/</t>
        </is>
      </c>
    </row>
    <row r="145" ht="18" customHeight="1" s="102">
      <c r="A145" s="212" t="inlineStr">
        <is>
          <t>Noetix Robotics</t>
        </is>
      </c>
      <c r="B145" s="212" t="inlineStr">
        <is>
          <t>N2 EDU</t>
        </is>
      </c>
      <c r="C145" s="212" t="inlineStr">
        <is>
          <t>China</t>
        </is>
      </c>
      <c r="D145" s="212" t="n">
        <v>2025</v>
      </c>
      <c r="E145" s="213" t="n">
        <v>35000</v>
      </c>
      <c r="F145" s="212" t="inlineStr">
        <is>
          <t>Prototype</t>
        </is>
      </c>
      <c r="G145" s="212" t="inlineStr">
        <is>
          <t>3 ft 10 in</t>
        </is>
      </c>
      <c r="H145" s="212" t="n">
        <v>66.09999999999999</v>
      </c>
      <c r="I145" s="212" t="inlineStr">
        <is>
          <t>18 DOF</t>
        </is>
      </c>
      <c r="J145" s="212" t="n">
        <v>11</v>
      </c>
      <c r="K145" s="212" t="n">
        <v>7.83</v>
      </c>
      <c r="L145" s="212" t="inlineStr">
        <is>
          <t>2</t>
        </is>
      </c>
      <c r="M145" s="212" t="n">
        <v>2</v>
      </c>
      <c r="N145" s="212" t="n">
        <v>2</v>
      </c>
      <c r="O145" s="212" t="inlineStr">
        <is>
          <t>Both</t>
        </is>
      </c>
      <c r="P145" s="212" t="inlineStr">
        <is>
          <t>noetix_robotics_n2_athlete_edu_n2_edu</t>
        </is>
      </c>
      <c r="Q145" s="212" t="inlineStr">
        <is>
          <t>https://humanoid.guide/product/n2/</t>
        </is>
      </c>
    </row>
    <row r="146" ht="18" customHeight="1" s="102">
      <c r="A146" s="214" t="inlineStr">
        <is>
          <t>O-ID</t>
        </is>
      </c>
      <c r="B146" s="214" t="inlineStr">
        <is>
          <t>Modular</t>
        </is>
      </c>
      <c r="C146" s="214" t="inlineStr">
        <is>
          <t>Japan</t>
        </is>
      </c>
      <c r="D146" s="214" t="n"/>
      <c r="E146" s="215" t="n">
        <v>70000</v>
      </c>
      <c r="F146" s="214" t="inlineStr">
        <is>
          <t>Early production / limited release</t>
        </is>
      </c>
      <c r="G146" s="214" t="inlineStr">
        <is>
          <t>5 ft 8 in</t>
        </is>
      </c>
      <c r="H146" s="214" t="n">
        <v>154.3</v>
      </c>
      <c r="I146" s="214" t="inlineStr">
        <is>
          <t>30</t>
        </is>
      </c>
      <c r="J146" s="214" t="n">
        <v>35.3</v>
      </c>
      <c r="K146" s="214" t="n">
        <v>3.11</v>
      </c>
      <c r="L146" s="214" t="inlineStr">
        <is>
          <t>≈ 4 hours</t>
        </is>
      </c>
      <c r="M146" s="214" t="n"/>
      <c r="N146" s="214" t="n"/>
      <c r="O146" s="214" t="inlineStr">
        <is>
          <t>Humanoid.guide</t>
        </is>
      </c>
      <c r="P146" s="214" t="inlineStr">
        <is>
          <t>o_id_modular</t>
        </is>
      </c>
      <c r="Q146" s="214" t="inlineStr">
        <is>
          <t>https://humanoid.guide/product/modular/</t>
        </is>
      </c>
    </row>
    <row r="147" ht="18" customHeight="1" s="102">
      <c r="A147" s="212" t="inlineStr">
        <is>
          <t>OpenArm</t>
        </is>
      </c>
      <c r="B147" s="212" t="inlineStr">
        <is>
          <t>OpenArm 02</t>
        </is>
      </c>
      <c r="C147" s="212" t="inlineStr">
        <is>
          <t>Japan</t>
        </is>
      </c>
      <c r="D147" s="212" t="n"/>
      <c r="E147" s="213" t="n">
        <v>6500</v>
      </c>
      <c r="F147" s="212" t="inlineStr">
        <is>
          <t>In production</t>
        </is>
      </c>
      <c r="G147" s="216" t="inlineStr">
        <is>
          <t>Not disclosed</t>
        </is>
      </c>
      <c r="H147" s="212" t="n">
        <v>66.09999999999999</v>
      </c>
      <c r="I147" s="212" t="inlineStr">
        <is>
          <t>14</t>
        </is>
      </c>
      <c r="J147" s="212" t="n">
        <v>33.1</v>
      </c>
      <c r="K147" s="212" t="n">
        <v>0</v>
      </c>
      <c r="L147" s="216" t="inlineStr">
        <is>
          <t>Not disclosed</t>
        </is>
      </c>
      <c r="M147" s="212" t="n"/>
      <c r="N147" s="212" t="n"/>
      <c r="O147" s="212" t="inlineStr">
        <is>
          <t>Humanoid.guide</t>
        </is>
      </c>
      <c r="P147" s="212" t="inlineStr">
        <is>
          <t>openarm_openarm_02</t>
        </is>
      </c>
      <c r="Q147" s="212" t="inlineStr">
        <is>
          <t>https://humanoid.guide/product/openarm-02/</t>
        </is>
      </c>
    </row>
    <row r="148" ht="18" customHeight="1" s="102">
      <c r="A148" s="214" t="inlineStr">
        <is>
          <t>OpenLoong</t>
        </is>
      </c>
      <c r="B148" s="214" t="inlineStr">
        <is>
          <t>Qinglong V3.0</t>
        </is>
      </c>
      <c r="C148" s="214" t="inlineStr">
        <is>
          <t>China</t>
        </is>
      </c>
      <c r="D148" s="214" t="n"/>
      <c r="E148" s="215" t="n">
        <v>90000</v>
      </c>
      <c r="F148" s="214" t="inlineStr">
        <is>
          <t>Early production / limited release</t>
        </is>
      </c>
      <c r="G148" s="214" t="inlineStr">
        <is>
          <t>5 ft 5 in</t>
        </is>
      </c>
      <c r="H148" s="214" t="n">
        <v>165.3</v>
      </c>
      <c r="I148" s="214" t="inlineStr">
        <is>
          <t>40</t>
        </is>
      </c>
      <c r="J148" s="214" t="n">
        <v>11</v>
      </c>
      <c r="K148" s="214" t="n">
        <v>3.11</v>
      </c>
      <c r="L148" s="214" t="inlineStr">
        <is>
          <t>≈ 3 hours</t>
        </is>
      </c>
      <c r="M148" s="214" t="n">
        <v>3</v>
      </c>
      <c r="N148" s="214" t="n">
        <v>4</v>
      </c>
      <c r="O148" s="214" t="inlineStr">
        <is>
          <t>Humanoid.guide</t>
        </is>
      </c>
      <c r="P148" s="214" t="inlineStr">
        <is>
          <t>openloong_qinglong_v3_0</t>
        </is>
      </c>
      <c r="Q148" s="214" t="inlineStr">
        <is>
          <t>https://humanoid.guide/product/qinglong-v3-0/</t>
        </is>
      </c>
    </row>
    <row r="149" ht="18" customHeight="1" s="102">
      <c r="A149" s="212" t="inlineStr">
        <is>
          <t>Openmind Robotics</t>
        </is>
      </c>
      <c r="B149" s="212" t="inlineStr">
        <is>
          <t>Smart Logistics Robot</t>
        </is>
      </c>
      <c r="C149" s="212" t="inlineStr">
        <is>
          <t>Vietnam</t>
        </is>
      </c>
      <c r="D149" s="212" t="n">
        <v>2026</v>
      </c>
      <c r="E149" s="213" t="n">
        <v>50000</v>
      </c>
      <c r="F149" s="212" t="n"/>
      <c r="G149" s="216" t="inlineStr">
        <is>
          <t>Not disclosed</t>
        </is>
      </c>
      <c r="H149" s="216" t="inlineStr">
        <is>
          <t>Not disclosed</t>
        </is>
      </c>
      <c r="I149" s="216" t="inlineStr">
        <is>
          <t>Not disclosed</t>
        </is>
      </c>
      <c r="J149" s="216" t="inlineStr">
        <is>
          <t>Not disclosed</t>
        </is>
      </c>
      <c r="K149" s="216" t="inlineStr">
        <is>
          <t>Not disclosed</t>
        </is>
      </c>
      <c r="L149" s="216" t="inlineStr">
        <is>
          <t>Not disclosed</t>
        </is>
      </c>
      <c r="M149" s="212" t="n"/>
      <c r="N149" s="212" t="n"/>
      <c r="O149" s="212" t="inlineStr">
        <is>
          <t>Website</t>
        </is>
      </c>
      <c r="P149" s="212" t="inlineStr">
        <is>
          <t>openmind_robotics_smart_logistics_automa</t>
        </is>
      </c>
      <c r="Q149" s="212" t="n"/>
    </row>
    <row r="150" ht="18" customHeight="1" s="102">
      <c r="A150" s="214" t="inlineStr">
        <is>
          <t>ORBIT Robotics</t>
        </is>
      </c>
      <c r="B150" s="214" t="inlineStr">
        <is>
          <t>HELIOS</t>
        </is>
      </c>
      <c r="C150" s="214" t="inlineStr">
        <is>
          <t>Switzerland</t>
        </is>
      </c>
      <c r="D150" s="214" t="n"/>
      <c r="E150" s="215" t="n">
        <v>75000</v>
      </c>
      <c r="F150" s="214" t="inlineStr">
        <is>
          <t>Prototype</t>
        </is>
      </c>
      <c r="G150" s="214" t="inlineStr">
        <is>
          <t>5 ft 3 in</t>
        </is>
      </c>
      <c r="H150" s="214" t="n">
        <v>132.3</v>
      </c>
      <c r="I150" s="214" t="inlineStr">
        <is>
          <t>28</t>
        </is>
      </c>
      <c r="J150" s="214" t="n">
        <v>33.1</v>
      </c>
      <c r="K150" s="214" t="n">
        <v>1.24</v>
      </c>
      <c r="L150" s="214" t="inlineStr">
        <is>
          <t>≈ 3 hours</t>
        </is>
      </c>
      <c r="M150" s="214" t="n"/>
      <c r="N150" s="214" t="n"/>
      <c r="O150" s="214" t="inlineStr">
        <is>
          <t>Humanoid.guide</t>
        </is>
      </c>
      <c r="P150" s="214" t="inlineStr">
        <is>
          <t>orbit_robotics_helios</t>
        </is>
      </c>
      <c r="Q150" s="214" t="inlineStr">
        <is>
          <t>https://humanoid.guide/product/helios/</t>
        </is>
      </c>
    </row>
    <row r="151" ht="18" customHeight="1" s="102">
      <c r="A151" s="212" t="inlineStr">
        <is>
          <t>Oversonic Robotics</t>
        </is>
      </c>
      <c r="B151" s="212" t="inlineStr">
        <is>
          <t>RoBee</t>
        </is>
      </c>
      <c r="C151" s="212" t="inlineStr">
        <is>
          <t>Italy</t>
        </is>
      </c>
      <c r="D151" s="212" t="n"/>
      <c r="E151" s="213" t="n">
        <v>140000</v>
      </c>
      <c r="F151" s="212" t="inlineStr">
        <is>
          <t>In production</t>
        </is>
      </c>
      <c r="G151" s="212" t="inlineStr">
        <is>
          <t>6 ft 3 in</t>
        </is>
      </c>
      <c r="H151" s="212" t="n">
        <v>396.8</v>
      </c>
      <c r="I151" s="212" t="inlineStr">
        <is>
          <t>40</t>
        </is>
      </c>
      <c r="J151" s="212" t="n">
        <v>35.3</v>
      </c>
      <c r="K151" s="212" t="n">
        <v>3.73</v>
      </c>
      <c r="L151" s="212" t="inlineStr">
        <is>
          <t>≈ 8 hours</t>
        </is>
      </c>
      <c r="M151" s="212" t="n"/>
      <c r="N151" s="212" t="n"/>
      <c r="O151" s="212" t="inlineStr">
        <is>
          <t>Humanoid.guide</t>
        </is>
      </c>
      <c r="P151" s="212" t="inlineStr">
        <is>
          <t>oversonic_robotics_robee</t>
        </is>
      </c>
      <c r="Q151" s="212" t="inlineStr">
        <is>
          <t>https://humanoid.guide/product/robee/</t>
        </is>
      </c>
    </row>
    <row r="152" ht="18" customHeight="1" s="102">
      <c r="A152" s="214" t="inlineStr">
        <is>
          <t>PAL Robotics</t>
        </is>
      </c>
      <c r="B152" s="214" t="inlineStr">
        <is>
          <t>Kangaroo</t>
        </is>
      </c>
      <c r="C152" s="214" t="inlineStr">
        <is>
          <t>Spain</t>
        </is>
      </c>
      <c r="D152" s="214" t="n"/>
      <c r="E152" s="215" t="n">
        <v>100000</v>
      </c>
      <c r="F152" s="214" t="inlineStr">
        <is>
          <t>Prototype</t>
        </is>
      </c>
      <c r="G152" s="214" t="inlineStr">
        <is>
          <t>5 ft 3 in</t>
        </is>
      </c>
      <c r="H152" s="214" t="n">
        <v>88.2</v>
      </c>
      <c r="I152" s="214" t="inlineStr">
        <is>
          <t>28</t>
        </is>
      </c>
      <c r="J152" s="214" t="n">
        <v>44.1</v>
      </c>
      <c r="K152" s="214" t="n">
        <v>2.8</v>
      </c>
      <c r="L152" s="214" t="inlineStr">
        <is>
          <t>≈ 6 hours</t>
        </is>
      </c>
      <c r="M152" s="214" t="n">
        <v>2</v>
      </c>
      <c r="N152" s="214" t="n">
        <v>2</v>
      </c>
      <c r="O152" s="214" t="inlineStr">
        <is>
          <t>Humanoid.guide</t>
        </is>
      </c>
      <c r="P152" s="214" t="inlineStr">
        <is>
          <t>pal_robotics_kangaroo</t>
        </is>
      </c>
      <c r="Q152" s="214" t="inlineStr">
        <is>
          <t>https://humanoid.guide/product/kangaroo/</t>
        </is>
      </c>
    </row>
    <row r="153" ht="18" customHeight="1" s="102">
      <c r="A153" s="212" t="inlineStr">
        <is>
          <t>PaXini (PaXini Tech)</t>
        </is>
      </c>
      <c r="B153" s="212" t="inlineStr">
        <is>
          <t>Tora DoubleOne</t>
        </is>
      </c>
      <c r="C153" s="212" t="inlineStr">
        <is>
          <t>China</t>
        </is>
      </c>
      <c r="D153" s="212" t="n"/>
      <c r="E153" s="213" t="n">
        <v>45000</v>
      </c>
      <c r="F153" s="212" t="inlineStr">
        <is>
          <t>In production; pre-order</t>
        </is>
      </c>
      <c r="G153" s="212" t="inlineStr">
        <is>
          <t>5 ft 6 in</t>
        </is>
      </c>
      <c r="H153" s="212" t="n">
        <v>154.3</v>
      </c>
      <c r="I153" s="212" t="inlineStr">
        <is>
          <t>58</t>
        </is>
      </c>
      <c r="J153" s="212" t="n">
        <v>14.3</v>
      </c>
      <c r="K153" s="212" t="n">
        <v>4.04</v>
      </c>
      <c r="L153" s="212" t="inlineStr">
        <is>
          <t>≈ 6 hours</t>
        </is>
      </c>
      <c r="M153" s="212" t="n"/>
      <c r="N153" s="212" t="n"/>
      <c r="O153" s="212" t="inlineStr">
        <is>
          <t>Humanoid.guide</t>
        </is>
      </c>
      <c r="P153" s="212" t="inlineStr">
        <is>
          <t>paxini_paxini_tech_tora_doubleone</t>
        </is>
      </c>
      <c r="Q153" s="212" t="inlineStr">
        <is>
          <t>https://humanoid.guide/product/tora-doubleone/</t>
        </is>
      </c>
    </row>
    <row r="154" ht="18" customHeight="1" s="102">
      <c r="A154" s="214" t="inlineStr">
        <is>
          <t>Perceptyne</t>
        </is>
      </c>
      <c r="B154" s="214" t="inlineStr">
        <is>
          <t>PR-34D</t>
        </is>
      </c>
      <c r="C154" s="214" t="inlineStr">
        <is>
          <t>India</t>
        </is>
      </c>
      <c r="D154" s="214" t="n"/>
      <c r="E154" s="215" t="n">
        <v>120000</v>
      </c>
      <c r="F154" s="214" t="inlineStr">
        <is>
          <t>Commercial Pilots / Early Production</t>
        </is>
      </c>
      <c r="G154" s="217" t="inlineStr">
        <is>
          <t>Not disclosed</t>
        </is>
      </c>
      <c r="H154" s="217" t="inlineStr">
        <is>
          <t>Not disclosed</t>
        </is>
      </c>
      <c r="I154" s="214" t="inlineStr">
        <is>
          <t>34</t>
        </is>
      </c>
      <c r="J154" s="214" t="n">
        <v>13.2</v>
      </c>
      <c r="K154" s="214" t="n">
        <v>0</v>
      </c>
      <c r="L154" s="217" t="inlineStr">
        <is>
          <t>Not disclosed</t>
        </is>
      </c>
      <c r="M154" s="214" t="n">
        <v>3</v>
      </c>
      <c r="N154" s="214" t="n">
        <v>2</v>
      </c>
      <c r="O154" s="214" t="inlineStr">
        <is>
          <t>Humanoid.guide</t>
        </is>
      </c>
      <c r="P154" s="214" t="inlineStr">
        <is>
          <t>perceptyne_pr_34d</t>
        </is>
      </c>
      <c r="Q154" s="214" t="inlineStr">
        <is>
          <t>https://humanoid.guide/product/pr-34d/</t>
        </is>
      </c>
    </row>
    <row r="155" ht="18" customHeight="1" s="102">
      <c r="A155" s="212" t="inlineStr">
        <is>
          <t>PHYBOT</t>
        </is>
      </c>
      <c r="B155" s="212" t="inlineStr">
        <is>
          <t>PHYBOT C1</t>
        </is>
      </c>
      <c r="C155" s="212" t="inlineStr">
        <is>
          <t>China</t>
        </is>
      </c>
      <c r="D155" s="212" t="n"/>
      <c r="E155" s="213" t="n">
        <v>22000</v>
      </c>
      <c r="F155" s="212" t="inlineStr">
        <is>
          <t>Prototype</t>
        </is>
      </c>
      <c r="G155" s="212" t="inlineStr">
        <is>
          <t>4 ft 1 in</t>
        </is>
      </c>
      <c r="H155" s="212" t="n">
        <v>55.1</v>
      </c>
      <c r="I155" s="212" t="inlineStr">
        <is>
          <t>28</t>
        </is>
      </c>
      <c r="J155" s="212" t="n">
        <v>11</v>
      </c>
      <c r="K155" s="212" t="n">
        <v>1.86</v>
      </c>
      <c r="L155" s="212" t="inlineStr">
        <is>
          <t>≈ 3 hours</t>
        </is>
      </c>
      <c r="M155" s="212" t="n">
        <v>2</v>
      </c>
      <c r="N155" s="212" t="n">
        <v>3</v>
      </c>
      <c r="O155" s="212" t="inlineStr">
        <is>
          <t>Humanoid.guide</t>
        </is>
      </c>
      <c r="P155" s="212" t="inlineStr">
        <is>
          <t>phybot_phybot_c1</t>
        </is>
      </c>
      <c r="Q155" s="212" t="inlineStr">
        <is>
          <t>https://humanoid.guide/product/phybot-c1/</t>
        </is>
      </c>
    </row>
    <row r="156" ht="18" customHeight="1" s="102">
      <c r="A156" s="214" t="inlineStr">
        <is>
          <t>PHYBOT</t>
        </is>
      </c>
      <c r="B156" s="214" t="inlineStr">
        <is>
          <t>PHYBOT M1</t>
        </is>
      </c>
      <c r="C156" s="214" t="inlineStr">
        <is>
          <t>China</t>
        </is>
      </c>
      <c r="D156" s="214" t="n"/>
      <c r="E156" s="215" t="n">
        <v>39000</v>
      </c>
      <c r="F156" s="214" t="inlineStr">
        <is>
          <t>Early production / limited release</t>
        </is>
      </c>
      <c r="G156" s="214" t="inlineStr">
        <is>
          <t>5 ft 8 in</t>
        </is>
      </c>
      <c r="H156" s="214" t="n">
        <v>132.3</v>
      </c>
      <c r="I156" s="214" t="inlineStr">
        <is>
          <t>32</t>
        </is>
      </c>
      <c r="J156" s="214" t="n">
        <v>11</v>
      </c>
      <c r="K156" s="214" t="n">
        <v>6.21</v>
      </c>
      <c r="L156" s="214" t="inlineStr">
        <is>
          <t>Dual 9 Ah swappable batteries — runtime claimed &amp;gt;2 hours</t>
        </is>
      </c>
      <c r="M156" s="214" t="n">
        <v>4</v>
      </c>
      <c r="N156" s="214" t="n">
        <v>3</v>
      </c>
      <c r="O156" s="214" t="inlineStr">
        <is>
          <t>Humanoid.guide</t>
        </is>
      </c>
      <c r="P156" s="214" t="inlineStr">
        <is>
          <t>phybot_phybot_m1</t>
        </is>
      </c>
      <c r="Q156" s="214" t="inlineStr">
        <is>
          <t>https://humanoid.guide/product/phybot-m1/</t>
        </is>
      </c>
    </row>
    <row r="157" ht="18" customHeight="1" s="102">
      <c r="A157" s="212" t="inlineStr">
        <is>
          <t>PL-Universe</t>
        </is>
      </c>
      <c r="B157" s="212" t="inlineStr">
        <is>
          <t>ProWhite</t>
        </is>
      </c>
      <c r="C157" s="212" t="inlineStr">
        <is>
          <t>China</t>
        </is>
      </c>
      <c r="D157" s="212" t="n"/>
      <c r="E157" s="213" t="n">
        <v>45000</v>
      </c>
      <c r="F157" s="212" t="inlineStr">
        <is>
          <t>In production</t>
        </is>
      </c>
      <c r="G157" s="212" t="inlineStr">
        <is>
          <t>5 ft 1 in</t>
        </is>
      </c>
      <c r="H157" s="212" t="n">
        <v>99.2</v>
      </c>
      <c r="I157" s="212" t="inlineStr">
        <is>
          <t>~28–32</t>
        </is>
      </c>
      <c r="J157" s="212" t="n">
        <v>8.800000000000001</v>
      </c>
      <c r="K157" s="212" t="n">
        <v>0</v>
      </c>
      <c r="L157" s="212" t="inlineStr">
        <is>
          <t>~6–8</t>
        </is>
      </c>
      <c r="M157" s="212" t="n"/>
      <c r="N157" s="212" t="n"/>
      <c r="O157" s="212" t="inlineStr">
        <is>
          <t>Humanoid.guide</t>
        </is>
      </c>
      <c r="P157" s="212" t="inlineStr">
        <is>
          <t>pl_universe_prowhite</t>
        </is>
      </c>
      <c r="Q157" s="212" t="inlineStr">
        <is>
          <t>https://humanoid.guide/product/prowhite/</t>
        </is>
      </c>
    </row>
    <row r="158" ht="18" customHeight="1" s="102">
      <c r="A158" s="214" t="inlineStr">
        <is>
          <t>PL-Universe</t>
        </is>
      </c>
      <c r="B158" s="214" t="inlineStr">
        <is>
          <t>Zeus 1</t>
        </is>
      </c>
      <c r="C158" s="214" t="inlineStr">
        <is>
          <t>China</t>
        </is>
      </c>
      <c r="D158" s="214" t="n"/>
      <c r="E158" s="215" t="n">
        <v>140000</v>
      </c>
      <c r="F158" s="214" t="inlineStr">
        <is>
          <t>Production-ready prototype / early commercial units</t>
        </is>
      </c>
      <c r="G158" s="214" t="inlineStr">
        <is>
          <t>5 ft 3 in</t>
        </is>
      </c>
      <c r="H158" s="214" t="n">
        <v>661.4</v>
      </c>
      <c r="I158" s="214" t="inlineStr">
        <is>
          <t>42</t>
        </is>
      </c>
      <c r="J158" s="214" t="n">
        <v>55.1</v>
      </c>
      <c r="K158" s="214" t="n">
        <v>4.97</v>
      </c>
      <c r="L158" s="214" t="inlineStr">
        <is>
          <t>≈ 8 hours</t>
        </is>
      </c>
      <c r="M158" s="214" t="n">
        <v>4</v>
      </c>
      <c r="N158" s="214" t="n">
        <v>3</v>
      </c>
      <c r="O158" s="214" t="inlineStr">
        <is>
          <t>Humanoid.guide</t>
        </is>
      </c>
      <c r="P158" s="214" t="inlineStr">
        <is>
          <t>pl_universe_zeus_1</t>
        </is>
      </c>
      <c r="Q158" s="214" t="inlineStr">
        <is>
          <t>https://humanoid.guide/product/zeus-1/</t>
        </is>
      </c>
    </row>
    <row r="159" ht="18" customHeight="1" s="102">
      <c r="A159" s="212" t="inlineStr">
        <is>
          <t>PNDbotics</t>
        </is>
      </c>
      <c r="B159" s="212" t="inlineStr">
        <is>
          <t>Adam Lite</t>
        </is>
      </c>
      <c r="C159" s="212" t="inlineStr">
        <is>
          <t>China</t>
        </is>
      </c>
      <c r="D159" s="212" t="n">
        <v>2025</v>
      </c>
      <c r="E159" s="213" t="n">
        <v>100000</v>
      </c>
      <c r="F159" s="212" t="inlineStr">
        <is>
          <t>Prototype</t>
        </is>
      </c>
      <c r="G159" s="212" t="inlineStr">
        <is>
          <t>5 ft 6 in</t>
        </is>
      </c>
      <c r="H159" s="212" t="n">
        <v>132.3</v>
      </c>
      <c r="I159" s="212" t="inlineStr">
        <is>
          <t>25</t>
        </is>
      </c>
      <c r="J159" s="212" t="n">
        <v>11</v>
      </c>
      <c r="K159" s="212" t="n">
        <v>3.73</v>
      </c>
      <c r="L159" s="212" t="inlineStr">
        <is>
          <t>3</t>
        </is>
      </c>
      <c r="M159" s="212" t="n">
        <v>2</v>
      </c>
      <c r="N159" s="212" t="n">
        <v>2</v>
      </c>
      <c r="O159" s="212" t="inlineStr">
        <is>
          <t>Both</t>
        </is>
      </c>
      <c r="P159" s="212" t="inlineStr">
        <is>
          <t>pndbotics_adam</t>
        </is>
      </c>
      <c r="Q159" s="212" t="inlineStr">
        <is>
          <t>https://humanoid.guide/product/adam/</t>
        </is>
      </c>
    </row>
    <row r="160" ht="18" customHeight="1" s="102">
      <c r="A160" s="214" t="inlineStr">
        <is>
          <t>PNDbotics</t>
        </is>
      </c>
      <c r="B160" s="214" t="inlineStr">
        <is>
          <t>Adam SP</t>
        </is>
      </c>
      <c r="C160" s="214" t="inlineStr">
        <is>
          <t>China</t>
        </is>
      </c>
      <c r="D160" s="214" t="n"/>
      <c r="E160" s="215" t="n">
        <v>100000</v>
      </c>
      <c r="F160" s="214" t="inlineStr">
        <is>
          <t>Prototype</t>
        </is>
      </c>
      <c r="G160" s="214" t="inlineStr">
        <is>
          <t>5 ft 6 in</t>
        </is>
      </c>
      <c r="H160" s="214" t="n">
        <v>136.7</v>
      </c>
      <c r="I160" s="214" t="inlineStr">
        <is>
          <t>41</t>
        </is>
      </c>
      <c r="J160" s="214" t="n">
        <v>11</v>
      </c>
      <c r="K160" s="214" t="n">
        <v>3.73</v>
      </c>
      <c r="L160" s="214" t="inlineStr">
        <is>
          <t>≈ 2 hours</t>
        </is>
      </c>
      <c r="M160" s="214" t="n">
        <v>2</v>
      </c>
      <c r="N160" s="214" t="n">
        <v>2</v>
      </c>
      <c r="O160" s="214" t="inlineStr">
        <is>
          <t>Humanoid.guide</t>
        </is>
      </c>
      <c r="P160" s="214" t="inlineStr">
        <is>
          <t>pndbotics_adam_sp</t>
        </is>
      </c>
      <c r="Q160" s="214" t="inlineStr">
        <is>
          <t>https://humanoid.guide/product/adamsp/</t>
        </is>
      </c>
    </row>
    <row r="161" ht="18" customHeight="1" s="102">
      <c r="A161" s="212" t="inlineStr">
        <is>
          <t>Pollen Robotics</t>
        </is>
      </c>
      <c r="B161" s="212" t="inlineStr">
        <is>
          <t>Reachy 2</t>
        </is>
      </c>
      <c r="C161" s="212" t="inlineStr">
        <is>
          <t>France</t>
        </is>
      </c>
      <c r="D161" s="212" t="n"/>
      <c r="E161" s="213" t="n">
        <v>78000</v>
      </c>
      <c r="F161" s="212" t="inlineStr">
        <is>
          <t>Prototype</t>
        </is>
      </c>
      <c r="G161" s="212" t="inlineStr">
        <is>
          <t>5 ft 5 in</t>
        </is>
      </c>
      <c r="H161" s="212" t="n">
        <v>110.2</v>
      </c>
      <c r="I161" s="212" t="inlineStr">
        <is>
          <t>14</t>
        </is>
      </c>
      <c r="J161" s="212" t="n">
        <v>6.6</v>
      </c>
      <c r="K161" s="212" t="n">
        <v>1.86</v>
      </c>
      <c r="L161" s="212" t="inlineStr">
        <is>
          <t>≈ 8 hours</t>
        </is>
      </c>
      <c r="M161" s="212" t="n">
        <v>2</v>
      </c>
      <c r="N161" s="212" t="n">
        <v>2</v>
      </c>
      <c r="O161" s="212" t="inlineStr">
        <is>
          <t>Humanoid.guide</t>
        </is>
      </c>
      <c r="P161" s="212" t="inlineStr">
        <is>
          <t>pollen_robotics_reachy_2</t>
        </is>
      </c>
      <c r="Q161" s="212" t="inlineStr">
        <is>
          <t>https://humanoid.guide/product/reachy-2/</t>
        </is>
      </c>
    </row>
    <row r="162" ht="18" customHeight="1" s="102">
      <c r="A162" s="214" t="inlineStr">
        <is>
          <t>PrimeBOT</t>
        </is>
      </c>
      <c r="B162" s="214" t="inlineStr">
        <is>
          <t>PrimeBOT Q1</t>
        </is>
      </c>
      <c r="C162" s="214" t="inlineStr">
        <is>
          <t>China</t>
        </is>
      </c>
      <c r="D162" s="214" t="n">
        <v>2026</v>
      </c>
      <c r="E162" s="215" t="n">
        <v>12000</v>
      </c>
      <c r="F162" s="214" t="inlineStr">
        <is>
          <t>In production</t>
        </is>
      </c>
      <c r="G162" s="214" t="inlineStr">
        <is>
          <t>1 ft 8 in</t>
        </is>
      </c>
      <c r="H162" s="214" t="n">
        <v>8.800000000000001</v>
      </c>
      <c r="I162" s="214" t="inlineStr">
        <is>
          <t>20</t>
        </is>
      </c>
      <c r="J162" s="214" t="n">
        <v>2.2</v>
      </c>
      <c r="K162" s="214" t="n">
        <v>1.86</v>
      </c>
      <c r="L162" s="214" t="inlineStr">
        <is>
          <t>≈ 1.5 hours</t>
        </is>
      </c>
      <c r="M162" s="214" t="n"/>
      <c r="N162" s="214" t="n"/>
      <c r="O162" s="214" t="inlineStr">
        <is>
          <t>Humanoid.guide</t>
        </is>
      </c>
      <c r="P162" s="214" t="inlineStr">
        <is>
          <t>primebot_primebot_q1</t>
        </is>
      </c>
      <c r="Q162" s="214" t="inlineStr">
        <is>
          <t>https://humanoid.guide/product/primebot-q1/</t>
        </is>
      </c>
    </row>
    <row r="163" ht="18" customHeight="1" s="102">
      <c r="A163" s="212" t="inlineStr">
        <is>
          <t>PrimeBOT</t>
        </is>
      </c>
      <c r="B163" s="212" t="inlineStr">
        <is>
          <t>PrimeBOT T1</t>
        </is>
      </c>
      <c r="C163" s="212" t="inlineStr">
        <is>
          <t>China</t>
        </is>
      </c>
      <c r="D163" s="212" t="n"/>
      <c r="E163" s="213" t="n">
        <v>3200</v>
      </c>
      <c r="F163" s="212" t="inlineStr">
        <is>
          <t>Prototype</t>
        </is>
      </c>
      <c r="G163" s="212" t="inlineStr">
        <is>
          <t>2 ft 0 in</t>
        </is>
      </c>
      <c r="H163" s="212" t="n">
        <v>18.7</v>
      </c>
      <c r="I163" s="212" t="inlineStr">
        <is>
          <t>16</t>
        </is>
      </c>
      <c r="J163" s="212" t="n">
        <v>17.6</v>
      </c>
      <c r="K163" s="212" t="n">
        <v>3.11</v>
      </c>
      <c r="L163" s="212" t="inlineStr">
        <is>
          <t>≈ 4 hours</t>
        </is>
      </c>
      <c r="M163" s="212" t="n"/>
      <c r="N163" s="212" t="n"/>
      <c r="O163" s="212" t="inlineStr">
        <is>
          <t>Humanoid.guide</t>
        </is>
      </c>
      <c r="P163" s="212" t="inlineStr">
        <is>
          <t>primebot_primebot_t1</t>
        </is>
      </c>
      <c r="Q163" s="212" t="inlineStr">
        <is>
          <t>https://humanoid.guide/product/primebot-t1/</t>
        </is>
      </c>
    </row>
    <row r="164" ht="18" customHeight="1" s="102">
      <c r="A164" s="214" t="inlineStr">
        <is>
          <t>PsiBot</t>
        </is>
      </c>
      <c r="B164" s="214" t="inlineStr">
        <is>
          <t>Psi V1</t>
        </is>
      </c>
      <c r="C164" s="214" t="inlineStr">
        <is>
          <t>China</t>
        </is>
      </c>
      <c r="D164" s="214" t="n"/>
      <c r="E164" s="215" t="n">
        <v>9300</v>
      </c>
      <c r="F164" s="214" t="inlineStr">
        <is>
          <t>In production</t>
        </is>
      </c>
      <c r="G164" s="214" t="inlineStr">
        <is>
          <t>5 ft 9 in</t>
        </is>
      </c>
      <c r="H164" s="214" t="n">
        <v>330.7</v>
      </c>
      <c r="I164" s="214" t="inlineStr">
        <is>
          <t>42</t>
        </is>
      </c>
      <c r="J164" s="214" t="n">
        <v>22</v>
      </c>
      <c r="K164" s="214" t="n">
        <v>2.49</v>
      </c>
      <c r="L164" s="214" t="inlineStr">
        <is>
          <t>≈ 5 hours</t>
        </is>
      </c>
      <c r="M164" s="214" t="n"/>
      <c r="N164" s="214" t="n"/>
      <c r="O164" s="214" t="inlineStr">
        <is>
          <t>Humanoid.guide</t>
        </is>
      </c>
      <c r="P164" s="214" t="inlineStr">
        <is>
          <t>psibot_psi_v1</t>
        </is>
      </c>
      <c r="Q164" s="214" t="inlineStr">
        <is>
          <t>https://humanoid.guide/product/psi-v1/</t>
        </is>
      </c>
    </row>
    <row r="165" ht="18" customHeight="1" s="102">
      <c r="A165" s="212" t="inlineStr">
        <is>
          <t>PsiBot</t>
        </is>
      </c>
      <c r="B165" s="212" t="inlineStr">
        <is>
          <t>ψ-SynRobot</t>
        </is>
      </c>
      <c r="C165" s="212" t="inlineStr">
        <is>
          <t>China</t>
        </is>
      </c>
      <c r="D165" s="212" t="n"/>
      <c r="E165" s="213" t="n">
        <v>80000</v>
      </c>
      <c r="F165" s="212" t="inlineStr">
        <is>
          <t>Prototype</t>
        </is>
      </c>
      <c r="G165" s="212" t="inlineStr">
        <is>
          <t>4 ft 9 in</t>
        </is>
      </c>
      <c r="H165" s="212" t="n">
        <v>143.3</v>
      </c>
      <c r="I165" s="212" t="inlineStr">
        <is>
          <t>18</t>
        </is>
      </c>
      <c r="J165" s="212" t="n">
        <v>11</v>
      </c>
      <c r="K165" s="212" t="n">
        <v>3.36</v>
      </c>
      <c r="L165" s="212" t="inlineStr">
        <is>
          <t>≈ 2 hours</t>
        </is>
      </c>
      <c r="M165" s="212" t="n"/>
      <c r="N165" s="212" t="n"/>
      <c r="O165" s="212" t="inlineStr">
        <is>
          <t>Humanoid.guide</t>
        </is>
      </c>
      <c r="P165" s="212" t="inlineStr">
        <is>
          <t>psibot_synrobot</t>
        </is>
      </c>
      <c r="Q165" s="212" t="inlineStr">
        <is>
          <t>https://humanoid.guide/product/%cf%88-synrobot/</t>
        </is>
      </c>
    </row>
    <row r="166" ht="18" customHeight="1" s="102">
      <c r="A166" s="214" t="inlineStr">
        <is>
          <t>Pudu Robotics</t>
        </is>
      </c>
      <c r="B166" s="214" t="inlineStr">
        <is>
          <t>FlashBot Arm</t>
        </is>
      </c>
      <c r="C166" s="214" t="inlineStr">
        <is>
          <t>China</t>
        </is>
      </c>
      <c r="D166" s="214" t="n"/>
      <c r="E166" s="215" t="n">
        <v>34000</v>
      </c>
      <c r="F166" s="214" t="inlineStr">
        <is>
          <t>In production</t>
        </is>
      </c>
      <c r="G166" s="214" t="inlineStr">
        <is>
          <t>4 ft 9 in</t>
        </is>
      </c>
      <c r="H166" s="214" t="n">
        <v>154.3</v>
      </c>
      <c r="I166" s="214" t="inlineStr">
        <is>
          <t>7 DOF per arm (two arms → 14 DOF for both arms, excluding hands and any base DOFs)</t>
        </is>
      </c>
      <c r="J166" s="214" t="n">
        <v>33.1</v>
      </c>
      <c r="K166" s="214" t="n">
        <v>2.8</v>
      </c>
      <c r="L166" s="214" t="inlineStr">
        <is>
          <t>≈ 8 hours</t>
        </is>
      </c>
      <c r="M166" s="214" t="n">
        <v>4</v>
      </c>
      <c r="N166" s="214" t="n">
        <v>2</v>
      </c>
      <c r="O166" s="214" t="inlineStr">
        <is>
          <t>Humanoid.guide</t>
        </is>
      </c>
      <c r="P166" s="214" t="inlineStr">
        <is>
          <t>pudu_robotics_flashbot_arm</t>
        </is>
      </c>
      <c r="Q166" s="214" t="inlineStr">
        <is>
          <t>https://humanoid.guide/product/flashbot-arm/</t>
        </is>
      </c>
    </row>
    <row r="167" ht="18" customHeight="1" s="102">
      <c r="A167" s="212" t="inlineStr">
        <is>
          <t>Pudu Robotics</t>
        </is>
      </c>
      <c r="B167" s="212" t="inlineStr">
        <is>
          <t>Pudu D7</t>
        </is>
      </c>
      <c r="C167" s="212" t="inlineStr">
        <is>
          <t>China</t>
        </is>
      </c>
      <c r="D167" s="212" t="n"/>
      <c r="E167" s="213" t="n">
        <v>70000</v>
      </c>
      <c r="F167" s="212" t="inlineStr">
        <is>
          <t>Prototype</t>
        </is>
      </c>
      <c r="G167" s="212" t="inlineStr">
        <is>
          <t>5 ft 5 in</t>
        </is>
      </c>
      <c r="H167" s="212" t="n">
        <v>99.2</v>
      </c>
      <c r="I167" s="212" t="inlineStr">
        <is>
          <t>30</t>
        </is>
      </c>
      <c r="J167" s="212" t="n">
        <v>44.1</v>
      </c>
      <c r="K167" s="212" t="n">
        <v>4.47</v>
      </c>
      <c r="L167" s="212" t="inlineStr">
        <is>
          <t>≈ 8 hours</t>
        </is>
      </c>
      <c r="M167" s="212" t="n">
        <v>2</v>
      </c>
      <c r="N167" s="212" t="n">
        <v>2</v>
      </c>
      <c r="O167" s="212" t="inlineStr">
        <is>
          <t>Humanoid.guide</t>
        </is>
      </c>
      <c r="P167" s="212" t="inlineStr">
        <is>
          <t>pudu_robotics_pudu_d7</t>
        </is>
      </c>
      <c r="Q167" s="212" t="inlineStr">
        <is>
          <t>https://humanoid.guide/product/pudu-d7/</t>
        </is>
      </c>
    </row>
    <row r="168" ht="18" customHeight="1" s="102">
      <c r="A168" s="214" t="inlineStr">
        <is>
          <t>Pudu Robotics</t>
        </is>
      </c>
      <c r="B168" s="214" t="inlineStr">
        <is>
          <t>Pudu D9</t>
        </is>
      </c>
      <c r="C168" s="214" t="inlineStr">
        <is>
          <t>China</t>
        </is>
      </c>
      <c r="D168" s="214" t="n"/>
      <c r="E168" s="215" t="n">
        <v>100000</v>
      </c>
      <c r="F168" s="214" t="inlineStr">
        <is>
          <t>Prototype</t>
        </is>
      </c>
      <c r="G168" s="214" t="inlineStr">
        <is>
          <t>5 ft 7 in</t>
        </is>
      </c>
      <c r="H168" s="214" t="n">
        <v>121.3</v>
      </c>
      <c r="I168" s="214" t="inlineStr">
        <is>
          <t>42</t>
        </is>
      </c>
      <c r="J168" s="214" t="n">
        <v>44.1</v>
      </c>
      <c r="K168" s="214" t="n">
        <v>4.47</v>
      </c>
      <c r="L168" s="214" t="inlineStr">
        <is>
          <t>≈ 1.5 hours</t>
        </is>
      </c>
      <c r="M168" s="214" t="n">
        <v>3</v>
      </c>
      <c r="N168" s="214" t="n">
        <v>3</v>
      </c>
      <c r="O168" s="214" t="inlineStr">
        <is>
          <t>Humanoid.guide</t>
        </is>
      </c>
      <c r="P168" s="214" t="inlineStr">
        <is>
          <t>pudu_robotics_pudu_d9</t>
        </is>
      </c>
      <c r="Q168" s="214" t="inlineStr">
        <is>
          <t>https://humanoid.guide/product/pudu-d9/</t>
        </is>
      </c>
    </row>
    <row r="169" ht="18" customHeight="1" s="102">
      <c r="A169" s="212" t="inlineStr">
        <is>
          <t>Rainbow Robotics</t>
        </is>
      </c>
      <c r="B169" s="212" t="inlineStr">
        <is>
          <t>RB-Y1</t>
        </is>
      </c>
      <c r="C169" s="212" t="inlineStr">
        <is>
          <t>South Korea</t>
        </is>
      </c>
      <c r="D169" s="212" t="n"/>
      <c r="E169" s="213" t="n">
        <v>120000</v>
      </c>
      <c r="F169" s="212" t="inlineStr">
        <is>
          <t>In production</t>
        </is>
      </c>
      <c r="G169" s="212" t="inlineStr">
        <is>
          <t>5 ft 3 in</t>
        </is>
      </c>
      <c r="H169" s="212" t="n">
        <v>288.8</v>
      </c>
      <c r="I169" s="212" t="inlineStr">
        <is>
          <t>24</t>
        </is>
      </c>
      <c r="J169" s="212" t="n">
        <v>6.6</v>
      </c>
      <c r="K169" s="212" t="n">
        <v>3.36</v>
      </c>
      <c r="L169" s="212" t="inlineStr">
        <is>
          <t>≈ 3 hours</t>
        </is>
      </c>
      <c r="M169" s="212" t="n">
        <v>2</v>
      </c>
      <c r="N169" s="212" t="n">
        <v>2</v>
      </c>
      <c r="O169" s="212" t="inlineStr">
        <is>
          <t>Humanoid.guide</t>
        </is>
      </c>
      <c r="P169" s="212" t="inlineStr">
        <is>
          <t>rainbow_robotics_rb_y1</t>
        </is>
      </c>
      <c r="Q169" s="212" t="inlineStr">
        <is>
          <t>https://humanoid.guide/product/rb-y1/</t>
        </is>
      </c>
    </row>
    <row r="170" ht="18" customHeight="1" s="102">
      <c r="A170" s="214" t="inlineStr">
        <is>
          <t>Reflex Robotics</t>
        </is>
      </c>
      <c r="B170" s="214" t="inlineStr">
        <is>
          <t>Reflex</t>
        </is>
      </c>
      <c r="C170" s="214" t="inlineStr">
        <is>
          <t>USA</t>
        </is>
      </c>
      <c r="D170" s="214" t="n"/>
      <c r="E170" s="215" t="n">
        <v>50000</v>
      </c>
      <c r="F170" s="214" t="inlineStr">
        <is>
          <t>Prototype</t>
        </is>
      </c>
      <c r="G170" s="217" t="inlineStr">
        <is>
          <t>Not disclosed</t>
        </is>
      </c>
      <c r="H170" s="217" t="inlineStr">
        <is>
          <t>Not disclosed</t>
        </is>
      </c>
      <c r="I170" s="214" t="inlineStr">
        <is>
          <t>0.0</t>
        </is>
      </c>
      <c r="J170" s="217" t="inlineStr">
        <is>
          <t>Not disclosed</t>
        </is>
      </c>
      <c r="K170" s="214" t="n">
        <v>0</v>
      </c>
      <c r="L170" s="214" t="inlineStr">
        <is>
          <t>≈ 16 hours</t>
        </is>
      </c>
      <c r="M170" s="214" t="n"/>
      <c r="N170" s="214" t="n"/>
      <c r="O170" s="214" t="inlineStr">
        <is>
          <t>Humanoid.guide</t>
        </is>
      </c>
      <c r="P170" s="214" t="inlineStr">
        <is>
          <t>reflex_robotics_reflex</t>
        </is>
      </c>
      <c r="Q170" s="214" t="inlineStr">
        <is>
          <t>https://humanoid.guide/product/reflex/</t>
        </is>
      </c>
    </row>
    <row r="171" ht="18" customHeight="1" s="102">
      <c r="A171" s="212" t="inlineStr">
        <is>
          <t>Robbyant (Ant Lingbo Technology), part of Ant Group (China)</t>
        </is>
      </c>
      <c r="B171" s="212" t="inlineStr">
        <is>
          <t>Robbyant R1</t>
        </is>
      </c>
      <c r="C171" s="212" t="inlineStr">
        <is>
          <t>China</t>
        </is>
      </c>
      <c r="D171" s="212" t="n"/>
      <c r="E171" s="213" t="n">
        <v>55000</v>
      </c>
      <c r="F171" s="212" t="inlineStr">
        <is>
          <t>In production</t>
        </is>
      </c>
      <c r="G171" s="212" t="inlineStr">
        <is>
          <t>5 ft 3 in</t>
        </is>
      </c>
      <c r="H171" s="212" t="n">
        <v>242.5</v>
      </c>
      <c r="I171" s="212" t="inlineStr">
        <is>
          <t>34</t>
        </is>
      </c>
      <c r="J171" s="212" t="n">
        <v>13.2</v>
      </c>
      <c r="K171" s="212" t="n">
        <v>3.36</v>
      </c>
      <c r="L171" s="216" t="inlineStr">
        <is>
          <t>Not disclosed</t>
        </is>
      </c>
      <c r="M171" s="212" t="n">
        <v>2</v>
      </c>
      <c r="N171" s="212" t="n">
        <v>3</v>
      </c>
      <c r="O171" s="212" t="inlineStr">
        <is>
          <t>Humanoid.guide</t>
        </is>
      </c>
      <c r="P171" s="212" t="inlineStr">
        <is>
          <t>robbyant_ant_lingbo_technology_part_of_ant_group</t>
        </is>
      </c>
      <c r="Q171" s="212" t="inlineStr">
        <is>
          <t>https://humanoid.guide/product/robbyant-r1/</t>
        </is>
      </c>
    </row>
    <row r="172" ht="18" customHeight="1" s="102">
      <c r="A172" s="214" t="inlineStr">
        <is>
          <t>Robo Robotics Inc.</t>
        </is>
      </c>
      <c r="B172" s="214" t="inlineStr">
        <is>
          <t>ROBO-T1</t>
        </is>
      </c>
      <c r="C172" s="214" t="inlineStr">
        <is>
          <t>USA</t>
        </is>
      </c>
      <c r="D172" s="214" t="n"/>
      <c r="E172" s="215" t="n">
        <v>12000</v>
      </c>
      <c r="F172" s="214" t="inlineStr">
        <is>
          <t>In production</t>
        </is>
      </c>
      <c r="G172" s="214" t="inlineStr">
        <is>
          <t>4 ft 3 in</t>
        </is>
      </c>
      <c r="H172" s="214" t="n">
        <v>110.2</v>
      </c>
      <c r="I172" s="214" t="inlineStr">
        <is>
          <t>12</t>
        </is>
      </c>
      <c r="J172" s="214" t="n">
        <v>11</v>
      </c>
      <c r="K172" s="214" t="n">
        <v>1.24</v>
      </c>
      <c r="L172" s="214" t="inlineStr">
        <is>
          <t>≈ 4 hours</t>
        </is>
      </c>
      <c r="M172" s="214" t="n"/>
      <c r="N172" s="214" t="n"/>
      <c r="O172" s="214" t="inlineStr">
        <is>
          <t>Humanoid.guide</t>
        </is>
      </c>
      <c r="P172" s="214" t="inlineStr">
        <is>
          <t>robo_robotics_inc_robo_t1</t>
        </is>
      </c>
      <c r="Q172" s="214" t="inlineStr">
        <is>
          <t>https://humanoid.guide/product/robo-t1/</t>
        </is>
      </c>
    </row>
    <row r="173" ht="18" customHeight="1" s="102">
      <c r="A173" s="212" t="inlineStr">
        <is>
          <t>RoboForce</t>
        </is>
      </c>
      <c r="B173" s="212" t="inlineStr">
        <is>
          <t>TITAN</t>
        </is>
      </c>
      <c r="C173" s="212" t="inlineStr">
        <is>
          <t>USA</t>
        </is>
      </c>
      <c r="D173" s="212" t="n"/>
      <c r="E173" s="213" t="n">
        <v>100000</v>
      </c>
      <c r="F173" s="212" t="inlineStr">
        <is>
          <t>Prototype</t>
        </is>
      </c>
      <c r="G173" s="212" t="inlineStr">
        <is>
          <t>6 ft 11 in</t>
        </is>
      </c>
      <c r="H173" s="216" t="inlineStr">
        <is>
          <t>Not disclosed</t>
        </is>
      </c>
      <c r="I173" s="216" t="inlineStr">
        <is>
          <t>Not disclosed</t>
        </is>
      </c>
      <c r="J173" s="212" t="n">
        <v>88.2</v>
      </c>
      <c r="K173" s="212" t="n">
        <v>5.59</v>
      </c>
      <c r="L173" s="212" t="inlineStr">
        <is>
          <t>≈ 8 hours</t>
        </is>
      </c>
      <c r="M173" s="212" t="n">
        <v>2</v>
      </c>
      <c r="N173" s="212" t="n">
        <v>2</v>
      </c>
      <c r="O173" s="212" t="inlineStr">
        <is>
          <t>Humanoid.guide</t>
        </is>
      </c>
      <c r="P173" s="212" t="inlineStr">
        <is>
          <t>roboforce_titan</t>
        </is>
      </c>
      <c r="Q173" s="212" t="inlineStr">
        <is>
          <t>https://humanoid.guide/product/titan/</t>
        </is>
      </c>
    </row>
    <row r="174" ht="18" customHeight="1" s="102">
      <c r="A174" s="214" t="inlineStr">
        <is>
          <t>Roboligent Inc.</t>
        </is>
      </c>
      <c r="B174" s="214" t="inlineStr">
        <is>
          <t>Robin</t>
        </is>
      </c>
      <c r="C174" s="214" t="inlineStr">
        <is>
          <t>USA</t>
        </is>
      </c>
      <c r="D174" s="214" t="n"/>
      <c r="E174" s="215" t="n">
        <v>85000</v>
      </c>
      <c r="F174" s="214" t="inlineStr">
        <is>
          <t>In production</t>
        </is>
      </c>
      <c r="G174" s="214" t="inlineStr">
        <is>
          <t>4 ft 11 in</t>
        </is>
      </c>
      <c r="H174" s="214" t="n">
        <v>176.4</v>
      </c>
      <c r="I174" s="214" t="inlineStr">
        <is>
          <t>14</t>
        </is>
      </c>
      <c r="J174" s="214" t="n">
        <v>22</v>
      </c>
      <c r="K174" s="214" t="n">
        <v>2.8</v>
      </c>
      <c r="L174" s="214" t="inlineStr">
        <is>
          <t>≈ 8 hours</t>
        </is>
      </c>
      <c r="M174" s="214" t="n">
        <v>4</v>
      </c>
      <c r="N174" s="214" t="n">
        <v>3</v>
      </c>
      <c r="O174" s="214" t="inlineStr">
        <is>
          <t>Humanoid.guide</t>
        </is>
      </c>
      <c r="P174" s="214" t="inlineStr">
        <is>
          <t>roboligent_inc_robin</t>
        </is>
      </c>
      <c r="Q174" s="214" t="inlineStr">
        <is>
          <t>https://humanoid.guide/product/robin/</t>
        </is>
      </c>
    </row>
    <row r="175" ht="18" customHeight="1" s="102">
      <c r="A175" s="212" t="inlineStr">
        <is>
          <t>Robot.com</t>
        </is>
      </c>
      <c r="B175" s="212" t="inlineStr">
        <is>
          <t>RNoid</t>
        </is>
      </c>
      <c r="C175" s="212" t="inlineStr">
        <is>
          <t>USA</t>
        </is>
      </c>
      <c r="D175" s="212" t="n"/>
      <c r="E175" s="213" t="n">
        <v>19000</v>
      </c>
      <c r="F175" s="212" t="inlineStr">
        <is>
          <t>Production-ready prototype / early commercial units</t>
        </is>
      </c>
      <c r="G175" s="212" t="inlineStr">
        <is>
          <t>5 ft 3 in</t>
        </is>
      </c>
      <c r="H175" s="212" t="n">
        <v>110.2</v>
      </c>
      <c r="I175" s="212" t="inlineStr">
        <is>
          <t>22</t>
        </is>
      </c>
      <c r="J175" s="212" t="n">
        <v>19.8</v>
      </c>
      <c r="K175" s="212" t="n">
        <v>3.73</v>
      </c>
      <c r="L175" s="212" t="inlineStr">
        <is>
          <t>≈ 6 hours</t>
        </is>
      </c>
      <c r="M175" s="212" t="n">
        <v>2</v>
      </c>
      <c r="N175" s="212" t="n">
        <v>3</v>
      </c>
      <c r="O175" s="212" t="inlineStr">
        <is>
          <t>Humanoid.guide</t>
        </is>
      </c>
      <c r="P175" s="212" t="inlineStr">
        <is>
          <t>robot_com_rnoid</t>
        </is>
      </c>
      <c r="Q175" s="212" t="inlineStr">
        <is>
          <t>https://humanoid.guide/product/r-noid/</t>
        </is>
      </c>
    </row>
    <row r="176" ht="18" customHeight="1" s="102">
      <c r="A176" s="214" t="inlineStr">
        <is>
          <t>RobotEra</t>
        </is>
      </c>
      <c r="B176" s="214" t="inlineStr">
        <is>
          <t>Robotera L7</t>
        </is>
      </c>
      <c r="C176" s="214" t="inlineStr">
        <is>
          <t>China</t>
        </is>
      </c>
      <c r="D176" s="214" t="n">
        <v>2025</v>
      </c>
      <c r="E176" s="215" t="n">
        <v>50000</v>
      </c>
      <c r="F176" s="214" t="inlineStr">
        <is>
          <t>Prototype</t>
        </is>
      </c>
      <c r="G176" s="214" t="inlineStr">
        <is>
          <t>5 ft 7 in – 5 ft 9 in</t>
        </is>
      </c>
      <c r="H176" s="214" t="n">
        <v>143.3</v>
      </c>
      <c r="I176" s="214" t="inlineStr">
        <is>
          <t>55</t>
        </is>
      </c>
      <c r="J176" s="214" t="inlineStr">
        <is>
          <t>20 lb</t>
        </is>
      </c>
      <c r="K176" s="214" t="n">
        <v>8.949999999999999</v>
      </c>
      <c r="L176" s="217" t="inlineStr">
        <is>
          <t>Not disclosed</t>
        </is>
      </c>
      <c r="M176" s="214" t="n">
        <v>2</v>
      </c>
      <c r="N176" s="214" t="n">
        <v>2</v>
      </c>
      <c r="O176" s="214" t="inlineStr">
        <is>
          <t>Both</t>
        </is>
      </c>
      <c r="P176" s="214" t="inlineStr">
        <is>
          <t>robotera_l7</t>
        </is>
      </c>
      <c r="Q176" s="214" t="inlineStr">
        <is>
          <t>https://humanoid.guide/product/robotera-l7/</t>
        </is>
      </c>
    </row>
    <row r="177" ht="18" customHeight="1" s="102">
      <c r="A177" s="212" t="inlineStr">
        <is>
          <t>Robotera</t>
        </is>
      </c>
      <c r="B177" s="212" t="inlineStr">
        <is>
          <t>Robotera M7</t>
        </is>
      </c>
      <c r="C177" s="212" t="inlineStr">
        <is>
          <t>China</t>
        </is>
      </c>
      <c r="D177" s="212" t="n"/>
      <c r="E177" s="213" t="n">
        <v>100000</v>
      </c>
      <c r="F177" s="212" t="inlineStr">
        <is>
          <t>In production</t>
        </is>
      </c>
      <c r="G177" s="212" t="inlineStr">
        <is>
          <t>3 ft 11 in</t>
        </is>
      </c>
      <c r="H177" s="212" t="n">
        <v>94.8</v>
      </c>
      <c r="I177" s="212" t="inlineStr">
        <is>
          <t>43</t>
        </is>
      </c>
      <c r="J177" s="212" t="n">
        <v>44.1</v>
      </c>
      <c r="K177" s="216" t="inlineStr">
        <is>
          <t>Not disclosed</t>
        </is>
      </c>
      <c r="L177" s="216" t="inlineStr">
        <is>
          <t>Not disclosed</t>
        </is>
      </c>
      <c r="M177" s="212" t="n"/>
      <c r="N177" s="212" t="n"/>
      <c r="O177" s="212" t="inlineStr">
        <is>
          <t>Humanoid.guide</t>
        </is>
      </c>
      <c r="P177" s="212" t="inlineStr">
        <is>
          <t>robotera_robotera_m7</t>
        </is>
      </c>
      <c r="Q177" s="212" t="inlineStr">
        <is>
          <t>https://humanoid.guide/product/robotera-m7/</t>
        </is>
      </c>
    </row>
    <row r="178" ht="18" customHeight="1" s="102">
      <c r="A178" s="214" t="inlineStr">
        <is>
          <t>Robotera</t>
        </is>
      </c>
      <c r="B178" s="214" t="inlineStr">
        <is>
          <t>ROBOTERA Q5</t>
        </is>
      </c>
      <c r="C178" s="214" t="inlineStr">
        <is>
          <t>China</t>
        </is>
      </c>
      <c r="D178" s="214" t="n"/>
      <c r="E178" s="215" t="n">
        <v>70000</v>
      </c>
      <c r="F178" s="214" t="inlineStr">
        <is>
          <t>In production</t>
        </is>
      </c>
      <c r="G178" s="214" t="inlineStr">
        <is>
          <t>5 ft 5 in</t>
        </is>
      </c>
      <c r="H178" s="214" t="n">
        <v>154.3</v>
      </c>
      <c r="I178" s="214" t="inlineStr">
        <is>
          <t>44</t>
        </is>
      </c>
      <c r="J178" s="214" t="n">
        <v>22</v>
      </c>
      <c r="K178" s="214" t="n">
        <v>3.73</v>
      </c>
      <c r="L178" s="214" t="inlineStr">
        <is>
          <t>≈ 4 hours</t>
        </is>
      </c>
      <c r="M178" s="214" t="n"/>
      <c r="N178" s="214" t="n"/>
      <c r="O178" s="214" t="inlineStr">
        <is>
          <t>Humanoid.guide</t>
        </is>
      </c>
      <c r="P178" s="214" t="inlineStr">
        <is>
          <t>robotera_robotera_q5</t>
        </is>
      </c>
      <c r="Q178" s="214" t="inlineStr">
        <is>
          <t>https://humanoid.guide/product/robotera-q5/</t>
        </is>
      </c>
    </row>
    <row r="179" ht="18" customHeight="1" s="102">
      <c r="A179" s="212" t="inlineStr">
        <is>
          <t>RobotEra</t>
        </is>
      </c>
      <c r="B179" s="212" t="inlineStr">
        <is>
          <t>Star1</t>
        </is>
      </c>
      <c r="C179" s="212" t="inlineStr">
        <is>
          <t>China</t>
        </is>
      </c>
      <c r="D179" s="212" t="n">
        <v>2024</v>
      </c>
      <c r="E179" s="213" t="n">
        <v>96000</v>
      </c>
      <c r="F179" s="212" t="inlineStr">
        <is>
          <t>Prototype</t>
        </is>
      </c>
      <c r="G179" s="212" t="inlineStr">
        <is>
          <t>5 ft 7 in</t>
        </is>
      </c>
      <c r="H179" s="212" t="n">
        <v>138.9</v>
      </c>
      <c r="I179" s="212" t="inlineStr">
        <is>
          <t>55</t>
        </is>
      </c>
      <c r="J179" s="212" t="inlineStr">
        <is>
          <t>20 lb</t>
        </is>
      </c>
      <c r="K179" s="212" t="n">
        <v>8.02</v>
      </c>
      <c r="L179" s="212" t="inlineStr">
        <is>
          <t>≈ 4 hours</t>
        </is>
      </c>
      <c r="M179" s="212" t="n">
        <v>2</v>
      </c>
      <c r="N179" s="212" t="n">
        <v>2</v>
      </c>
      <c r="O179" s="212" t="inlineStr">
        <is>
          <t>Both</t>
        </is>
      </c>
      <c r="P179" s="212" t="inlineStr">
        <is>
          <t>robotera_star1</t>
        </is>
      </c>
      <c r="Q179" s="212" t="inlineStr">
        <is>
          <t>https://humanoid.guide/product/star1/</t>
        </is>
      </c>
    </row>
    <row r="180" ht="18" customHeight="1" s="102">
      <c r="A180" s="214" t="inlineStr">
        <is>
          <t>Robotis</t>
        </is>
      </c>
      <c r="B180" s="214" t="inlineStr">
        <is>
          <t>AI Sapiens K1</t>
        </is>
      </c>
      <c r="C180" s="214" t="inlineStr">
        <is>
          <t>South Korea</t>
        </is>
      </c>
      <c r="D180" s="214" t="n"/>
      <c r="E180" s="215" t="n">
        <v>8000</v>
      </c>
      <c r="F180" s="214" t="inlineStr">
        <is>
          <t>In production</t>
        </is>
      </c>
      <c r="G180" s="214" t="inlineStr">
        <is>
          <t>4 ft 5 in</t>
        </is>
      </c>
      <c r="H180" s="214" t="n">
        <v>77.2</v>
      </c>
      <c r="I180" s="214" t="inlineStr">
        <is>
          <t>23</t>
        </is>
      </c>
      <c r="J180" s="214" t="n">
        <v>8.800000000000001</v>
      </c>
      <c r="K180" s="214" t="n">
        <v>2.67</v>
      </c>
      <c r="L180" s="214" t="inlineStr">
        <is>
          <t>≈ 2 hours</t>
        </is>
      </c>
      <c r="M180" s="214" t="n"/>
      <c r="N180" s="214" t="n"/>
      <c r="O180" s="214" t="inlineStr">
        <is>
          <t>Humanoid.guide</t>
        </is>
      </c>
      <c r="P180" s="214" t="inlineStr">
        <is>
          <t>robotis_ai_sapiens_k1</t>
        </is>
      </c>
      <c r="Q180" s="214" t="inlineStr">
        <is>
          <t>https://humanoid.guide/product/ai-sapiens-k1/</t>
        </is>
      </c>
    </row>
    <row r="181" ht="18" customHeight="1" s="102">
      <c r="A181" s="212" t="inlineStr">
        <is>
          <t>Robotis</t>
        </is>
      </c>
      <c r="B181" s="212" t="inlineStr">
        <is>
          <t>AI Worker</t>
        </is>
      </c>
      <c r="C181" s="212" t="inlineStr">
        <is>
          <t>South Korea</t>
        </is>
      </c>
      <c r="D181" s="212" t="n"/>
      <c r="E181" s="213" t="n">
        <v>60000</v>
      </c>
      <c r="F181" s="212" t="inlineStr">
        <is>
          <t>In production</t>
        </is>
      </c>
      <c r="G181" s="212" t="inlineStr">
        <is>
          <t>5 ft 4 in</t>
        </is>
      </c>
      <c r="H181" s="212" t="n">
        <v>198.4</v>
      </c>
      <c r="I181" s="212" t="inlineStr">
        <is>
          <t>25</t>
        </is>
      </c>
      <c r="J181" s="212" t="n">
        <v>13.2</v>
      </c>
      <c r="K181" s="212" t="n">
        <v>3.36</v>
      </c>
      <c r="L181" s="212" t="inlineStr">
        <is>
          <t>≈ 4 hours</t>
        </is>
      </c>
      <c r="M181" s="212" t="n">
        <v>2</v>
      </c>
      <c r="N181" s="212" t="n">
        <v>2</v>
      </c>
      <c r="O181" s="212" t="inlineStr">
        <is>
          <t>Humanoid.guide</t>
        </is>
      </c>
      <c r="P181" s="212" t="inlineStr">
        <is>
          <t>robotis_ai_worker</t>
        </is>
      </c>
      <c r="Q181" s="212" t="inlineStr">
        <is>
          <t>https://humanoid.guide/product/ai-worker/</t>
        </is>
      </c>
    </row>
    <row r="182" ht="18" customHeight="1" s="102">
      <c r="A182" s="214" t="inlineStr">
        <is>
          <t>Robotis</t>
        </is>
      </c>
      <c r="B182" s="214" t="inlineStr">
        <is>
          <t>K0</t>
        </is>
      </c>
      <c r="C182" s="214" t="inlineStr">
        <is>
          <t>South Korea</t>
        </is>
      </c>
      <c r="D182" s="214" t="n"/>
      <c r="E182" s="215" t="n">
        <v>15000</v>
      </c>
      <c r="F182" s="214" t="inlineStr">
        <is>
          <t>Prototype</t>
        </is>
      </c>
      <c r="G182" s="214" t="inlineStr">
        <is>
          <t>4 ft 3 in</t>
        </is>
      </c>
      <c r="H182" s="214" t="n">
        <v>75</v>
      </c>
      <c r="I182" s="214" t="inlineStr">
        <is>
          <t>23</t>
        </is>
      </c>
      <c r="J182" s="214" t="n">
        <v>11</v>
      </c>
      <c r="K182" s="214" t="n">
        <v>2.49</v>
      </c>
      <c r="L182" s="214" t="inlineStr">
        <is>
          <t>≈ 1 hours</t>
        </is>
      </c>
      <c r="M182" s="214" t="n"/>
      <c r="N182" s="214" t="n"/>
      <c r="O182" s="214" t="inlineStr">
        <is>
          <t>Humanoid.guide</t>
        </is>
      </c>
      <c r="P182" s="214" t="inlineStr">
        <is>
          <t>robotis_k0</t>
        </is>
      </c>
      <c r="Q182" s="214" t="inlineStr">
        <is>
          <t>https://humanoid.guide/product/k0-by-robotis/</t>
        </is>
      </c>
    </row>
    <row r="183" ht="18" customHeight="1" s="102">
      <c r="A183" s="212" t="inlineStr">
        <is>
          <t>ROBROS</t>
        </is>
      </c>
      <c r="B183" s="212" t="inlineStr">
        <is>
          <t>IGRIS-C</t>
        </is>
      </c>
      <c r="C183" s="212" t="inlineStr">
        <is>
          <t>South Korea</t>
        </is>
      </c>
      <c r="D183" s="212" t="n"/>
      <c r="E183" s="213" t="n">
        <v>100000</v>
      </c>
      <c r="F183" s="212" t="inlineStr">
        <is>
          <t>Production</t>
        </is>
      </c>
      <c r="G183" s="212" t="inlineStr">
        <is>
          <t>5 ft 1 in</t>
        </is>
      </c>
      <c r="H183" s="212" t="n">
        <v>123.5</v>
      </c>
      <c r="I183" s="212" t="inlineStr">
        <is>
          <t>43</t>
        </is>
      </c>
      <c r="J183" s="212" t="n">
        <v>13.2</v>
      </c>
      <c r="K183" s="212" t="n">
        <v>6.21</v>
      </c>
      <c r="L183" s="212" t="inlineStr">
        <is>
          <t>≈ 3 hours</t>
        </is>
      </c>
      <c r="M183" s="212" t="n"/>
      <c r="N183" s="212" t="n"/>
      <c r="O183" s="212" t="inlineStr">
        <is>
          <t>Humanoid.guide</t>
        </is>
      </c>
      <c r="P183" s="212" t="inlineStr">
        <is>
          <t>robros_igris_c</t>
        </is>
      </c>
      <c r="Q183" s="212" t="inlineStr">
        <is>
          <t>https://humanoid.guide/product/igris-c/</t>
        </is>
      </c>
    </row>
    <row r="184" ht="18" customHeight="1" s="102">
      <c r="A184" s="214" t="inlineStr">
        <is>
          <t>Sanctuary AI</t>
        </is>
      </c>
      <c r="B184" s="214" t="inlineStr">
        <is>
          <t>Phoenix</t>
        </is>
      </c>
      <c r="C184" s="214" t="inlineStr">
        <is>
          <t>Canada</t>
        </is>
      </c>
      <c r="D184" s="214" t="n">
        <v>2023</v>
      </c>
      <c r="E184" s="215" t="n">
        <v>50000</v>
      </c>
      <c r="F184" s="214" t="inlineStr">
        <is>
          <t>Prototype</t>
        </is>
      </c>
      <c r="G184" s="214" t="inlineStr">
        <is>
          <t>5 ft 7 in</t>
        </is>
      </c>
      <c r="H184" s="214" t="n">
        <v>154.3</v>
      </c>
      <c r="I184" s="214" t="inlineStr">
        <is>
          <t>40–75 (hands 20+)</t>
        </is>
      </c>
      <c r="J184" s="214" t="inlineStr">
        <is>
          <t>25 lb</t>
        </is>
      </c>
      <c r="K184" s="214" t="n">
        <v>3.11</v>
      </c>
      <c r="L184" s="214" t="inlineStr">
        <is>
          <t>≈ 4 h class</t>
        </is>
      </c>
      <c r="M184" s="214" t="n">
        <v>2</v>
      </c>
      <c r="N184" s="214" t="n">
        <v>2</v>
      </c>
      <c r="O184" s="214" t="inlineStr">
        <is>
          <t>Both</t>
        </is>
      </c>
      <c r="P184" s="214" t="inlineStr">
        <is>
          <t>sanctuary_ai_phoenix_gen_7_8</t>
        </is>
      </c>
      <c r="Q184" s="214" t="inlineStr">
        <is>
          <t>https://humanoid.guide/product/phoenix/</t>
        </is>
      </c>
    </row>
    <row r="185" ht="18" customHeight="1" s="102">
      <c r="A185" s="212" t="inlineStr">
        <is>
          <t>Shanghai RoboParty Technology Co., Ltd.</t>
        </is>
      </c>
      <c r="B185" s="212" t="inlineStr">
        <is>
          <t>Roboto Origin</t>
        </is>
      </c>
      <c r="C185" s="212" t="inlineStr">
        <is>
          <t>China</t>
        </is>
      </c>
      <c r="D185" s="212" t="n"/>
      <c r="E185" s="213" t="n">
        <v>4900</v>
      </c>
      <c r="F185" s="212" t="inlineStr">
        <is>
          <t>Prototype</t>
        </is>
      </c>
      <c r="G185" s="212" t="inlineStr">
        <is>
          <t>4 ft 1 in</t>
        </is>
      </c>
      <c r="H185" s="212" t="n">
        <v>75</v>
      </c>
      <c r="I185" s="212" t="inlineStr">
        <is>
          <t>23</t>
        </is>
      </c>
      <c r="J185" s="212" t="n">
        <v>11</v>
      </c>
      <c r="K185" s="212" t="n">
        <v>6.21</v>
      </c>
      <c r="L185" s="212" t="inlineStr">
        <is>
          <t>≈ 2 hours</t>
        </is>
      </c>
      <c r="M185" s="212" t="n"/>
      <c r="N185" s="212" t="n"/>
      <c r="O185" s="212" t="inlineStr">
        <is>
          <t>Humanoid.guide</t>
        </is>
      </c>
      <c r="P185" s="212" t="inlineStr">
        <is>
          <t>shanghai_roboparty_technology_co_ltd_roboto_orig</t>
        </is>
      </c>
      <c r="Q185" s="212" t="inlineStr">
        <is>
          <t>https://humanoid.guide/product/roboto-origin/</t>
        </is>
      </c>
    </row>
    <row r="186" ht="18" customHeight="1" s="102">
      <c r="A186" s="214" t="inlineStr">
        <is>
          <t>Siasun Robot &amp; Automation</t>
        </is>
      </c>
      <c r="B186" s="214" t="inlineStr">
        <is>
          <t>DUCO</t>
        </is>
      </c>
      <c r="C186" s="214" t="inlineStr">
        <is>
          <t>China</t>
        </is>
      </c>
      <c r="D186" s="214" t="n"/>
      <c r="E186" s="215" t="n">
        <v>85000</v>
      </c>
      <c r="F186" s="214" t="inlineStr">
        <is>
          <t>Prototype</t>
        </is>
      </c>
      <c r="G186" s="214" t="inlineStr">
        <is>
          <t>4 ft 11 in</t>
        </is>
      </c>
      <c r="H186" s="214" t="n">
        <v>198.4</v>
      </c>
      <c r="I186" s="214" t="inlineStr">
        <is>
          <t>~30–35</t>
        </is>
      </c>
      <c r="J186" s="214" t="n">
        <v>22</v>
      </c>
      <c r="K186" s="214" t="n">
        <v>3.11</v>
      </c>
      <c r="L186" s="214" t="inlineStr">
        <is>
          <t>~6–8</t>
        </is>
      </c>
      <c r="M186" s="214" t="n"/>
      <c r="N186" s="214" t="n"/>
      <c r="O186" s="214" t="inlineStr">
        <is>
          <t>Humanoid.guide</t>
        </is>
      </c>
      <c r="P186" s="214" t="inlineStr">
        <is>
          <t>siasun_robot_automation_duco</t>
        </is>
      </c>
      <c r="Q186" s="214" t="inlineStr">
        <is>
          <t>https://humanoid.guide/product/duco/</t>
        </is>
      </c>
    </row>
    <row r="187" ht="18" customHeight="1" s="102">
      <c r="A187" s="212" t="inlineStr">
        <is>
          <t>Siasun Robot &amp; Automation</t>
        </is>
      </c>
      <c r="B187" s="212" t="inlineStr">
        <is>
          <t>Songxing</t>
        </is>
      </c>
      <c r="C187" s="212" t="inlineStr">
        <is>
          <t>China</t>
        </is>
      </c>
      <c r="D187" s="212" t="n"/>
      <c r="E187" s="213" t="n">
        <v>140000</v>
      </c>
      <c r="F187" s="212" t="inlineStr">
        <is>
          <t>Early production / limited release</t>
        </is>
      </c>
      <c r="G187" s="212" t="inlineStr">
        <is>
          <t>5 ft 5 in</t>
        </is>
      </c>
      <c r="H187" s="212" t="n">
        <v>187.4</v>
      </c>
      <c r="I187" s="212" t="inlineStr">
        <is>
          <t>38</t>
        </is>
      </c>
      <c r="J187" s="212" t="n">
        <v>26.5</v>
      </c>
      <c r="K187" s="212" t="n">
        <v>1.86</v>
      </c>
      <c r="L187" s="212" t="inlineStr">
        <is>
          <t>≈ 3 hours</t>
        </is>
      </c>
      <c r="M187" s="212" t="n">
        <v>3</v>
      </c>
      <c r="N187" s="212" t="n">
        <v>2</v>
      </c>
      <c r="O187" s="212" t="inlineStr">
        <is>
          <t>Humanoid.guide</t>
        </is>
      </c>
      <c r="P187" s="212" t="inlineStr">
        <is>
          <t>siasun_robot_automation_songxing</t>
        </is>
      </c>
      <c r="Q187" s="212" t="inlineStr">
        <is>
          <t>https://humanoid.guide/product/songxing/</t>
        </is>
      </c>
    </row>
    <row r="188" ht="18" customHeight="1" s="102">
      <c r="A188" s="214" t="inlineStr">
        <is>
          <t>Simplexity Robotics</t>
        </is>
      </c>
      <c r="B188" s="214" t="inlineStr">
        <is>
          <t>I-Series</t>
        </is>
      </c>
      <c r="C188" s="214" t="inlineStr">
        <is>
          <t>China</t>
        </is>
      </c>
      <c r="D188" s="214" t="n"/>
      <c r="E188" s="215" t="n">
        <v>78000</v>
      </c>
      <c r="F188" s="214" t="inlineStr">
        <is>
          <t>Prototype</t>
        </is>
      </c>
      <c r="G188" s="214" t="inlineStr">
        <is>
          <t>5 ft 9 in</t>
        </is>
      </c>
      <c r="H188" s="214" t="n">
        <v>132.3</v>
      </c>
      <c r="I188" s="214" t="inlineStr">
        <is>
          <t>20</t>
        </is>
      </c>
      <c r="J188" s="214" t="n">
        <v>11</v>
      </c>
      <c r="K188" s="214" t="n">
        <v>1.86</v>
      </c>
      <c r="L188" s="214" t="inlineStr">
        <is>
          <t>≈ 2 hours</t>
        </is>
      </c>
      <c r="M188" s="214" t="n"/>
      <c r="N188" s="214" t="n"/>
      <c r="O188" s="214" t="inlineStr">
        <is>
          <t>Humanoid.guide</t>
        </is>
      </c>
      <c r="P188" s="214" t="inlineStr">
        <is>
          <t>simplexity_robotics_i_series</t>
        </is>
      </c>
      <c r="Q188" s="214" t="inlineStr">
        <is>
          <t>https://humanoid.guide/product/simplexity-robotics-i-series/</t>
        </is>
      </c>
    </row>
    <row r="189" ht="18" customHeight="1" s="102">
      <c r="A189" s="212" t="inlineStr">
        <is>
          <t>Spirit AI</t>
        </is>
      </c>
      <c r="B189" s="212" t="inlineStr">
        <is>
          <t>Moz1</t>
        </is>
      </c>
      <c r="C189" s="212" t="inlineStr">
        <is>
          <t>China</t>
        </is>
      </c>
      <c r="D189" s="212" t="n"/>
      <c r="E189" s="213" t="n">
        <v>150000</v>
      </c>
      <c r="F189" s="212" t="inlineStr">
        <is>
          <t>Prototype</t>
        </is>
      </c>
      <c r="G189" s="212" t="inlineStr">
        <is>
          <t>5 ft 3 in</t>
        </is>
      </c>
      <c r="H189" s="212" t="n">
        <v>154.3</v>
      </c>
      <c r="I189" s="212" t="inlineStr">
        <is>
          <t>26</t>
        </is>
      </c>
      <c r="J189" s="212" t="n">
        <v>57.3</v>
      </c>
      <c r="K189" s="212" t="n">
        <v>2.24</v>
      </c>
      <c r="L189" s="212" t="inlineStr">
        <is>
          <t>≈ 3 hours</t>
        </is>
      </c>
      <c r="M189" s="212" t="n">
        <v>3</v>
      </c>
      <c r="N189" s="212" t="n">
        <v>3</v>
      </c>
      <c r="O189" s="212" t="inlineStr">
        <is>
          <t>Humanoid.guide</t>
        </is>
      </c>
      <c r="P189" s="212" t="inlineStr">
        <is>
          <t>spirit_ai_moz1</t>
        </is>
      </c>
      <c r="Q189" s="212" t="inlineStr">
        <is>
          <t>https://humanoid.guide/product/moz1/</t>
        </is>
      </c>
    </row>
    <row r="190" ht="18" customHeight="1" s="102">
      <c r="A190" s="214" t="inlineStr">
        <is>
          <t>Sulu.be</t>
        </is>
      </c>
      <c r="B190" s="214" t="inlineStr">
        <is>
          <t>Steve</t>
        </is>
      </c>
      <c r="C190" s="214" t="inlineStr">
        <is>
          <t>Belgian</t>
        </is>
      </c>
      <c r="D190" s="214" t="n"/>
      <c r="E190" s="215" t="n">
        <v>60000</v>
      </c>
      <c r="F190" s="214" t="inlineStr">
        <is>
          <t>In production</t>
        </is>
      </c>
      <c r="G190" s="214" t="inlineStr">
        <is>
          <t>6 ft 11 in</t>
        </is>
      </c>
      <c r="H190" s="214" t="n">
        <v>308.6</v>
      </c>
      <c r="I190" s="214" t="inlineStr">
        <is>
          <t>22</t>
        </is>
      </c>
      <c r="J190" s="214" t="n">
        <v>11</v>
      </c>
      <c r="K190" s="214" t="n">
        <v>4.97</v>
      </c>
      <c r="L190" s="214" t="inlineStr">
        <is>
          <t>≈ 2 hours</t>
        </is>
      </c>
      <c r="M190" s="214" t="n">
        <v>2</v>
      </c>
      <c r="N190" s="214" t="n">
        <v>2</v>
      </c>
      <c r="O190" s="214" t="inlineStr">
        <is>
          <t>Humanoid.guide</t>
        </is>
      </c>
      <c r="P190" s="214" t="inlineStr">
        <is>
          <t>sulu_be_steve</t>
        </is>
      </c>
      <c r="Q190" s="214" t="inlineStr">
        <is>
          <t>https://humanoid.guide/product/steve/</t>
        </is>
      </c>
    </row>
    <row r="191" ht="18" customHeight="1" s="102">
      <c r="A191" s="212" t="inlineStr">
        <is>
          <t>Sunday Robotics</t>
        </is>
      </c>
      <c r="B191" s="212" t="inlineStr">
        <is>
          <t>MEMO</t>
        </is>
      </c>
      <c r="C191" s="212" t="inlineStr">
        <is>
          <t>USA</t>
        </is>
      </c>
      <c r="D191" s="212" t="n"/>
      <c r="E191" s="213" t="n">
        <v>10000</v>
      </c>
      <c r="F191" s="212" t="inlineStr">
        <is>
          <t>Prototype</t>
        </is>
      </c>
      <c r="G191" s="212" t="inlineStr">
        <is>
          <t>5 ft 7 in</t>
        </is>
      </c>
      <c r="H191" s="212" t="n">
        <v>169.8</v>
      </c>
      <c r="I191" s="212" t="inlineStr">
        <is>
          <t>20</t>
        </is>
      </c>
      <c r="J191" s="212" t="n">
        <v>13.2</v>
      </c>
      <c r="K191" s="212" t="n">
        <v>2.24</v>
      </c>
      <c r="L191" s="212" t="inlineStr">
        <is>
          <t>≈ 4 hours</t>
        </is>
      </c>
      <c r="M191" s="212" t="n">
        <v>2</v>
      </c>
      <c r="N191" s="212" t="n">
        <v>2</v>
      </c>
      <c r="O191" s="212" t="inlineStr">
        <is>
          <t>Humanoid.guide</t>
        </is>
      </c>
      <c r="P191" s="212" t="inlineStr">
        <is>
          <t>sunday_robotics_memo</t>
        </is>
      </c>
      <c r="Q191" s="212" t="inlineStr">
        <is>
          <t>https://humanoid.guide/product/memo/</t>
        </is>
      </c>
    </row>
    <row r="192" ht="18" customHeight="1" s="102">
      <c r="A192" s="214" t="inlineStr">
        <is>
          <t>Svaya Robotics</t>
        </is>
      </c>
      <c r="B192" s="214" t="inlineStr">
        <is>
          <t>Bimanual</t>
        </is>
      </c>
      <c r="C192" s="214" t="inlineStr">
        <is>
          <t>India</t>
        </is>
      </c>
      <c r="D192" s="214" t="n"/>
      <c r="E192" s="215" t="n">
        <v>90000</v>
      </c>
      <c r="F192" s="214" t="inlineStr">
        <is>
          <t>Early production / limited release</t>
        </is>
      </c>
      <c r="G192" s="214" t="inlineStr">
        <is>
          <t>5 ft 1 in</t>
        </is>
      </c>
      <c r="H192" s="214" t="n">
        <v>154.3</v>
      </c>
      <c r="I192" s="214" t="inlineStr">
        <is>
          <t>12</t>
        </is>
      </c>
      <c r="J192" s="214" t="n">
        <v>22</v>
      </c>
      <c r="K192" s="214" t="n">
        <v>0</v>
      </c>
      <c r="L192" s="214" t="inlineStr">
        <is>
          <t>≈ 2 hours</t>
        </is>
      </c>
      <c r="M192" s="214" t="n">
        <v>4</v>
      </c>
      <c r="N192" s="214" t="n">
        <v>1</v>
      </c>
      <c r="O192" s="214" t="inlineStr">
        <is>
          <t>Humanoid.guide</t>
        </is>
      </c>
      <c r="P192" s="214" t="inlineStr">
        <is>
          <t>svaya_robotics_bimanual</t>
        </is>
      </c>
      <c r="Q192" s="214" t="inlineStr">
        <is>
          <t>https://humanoid.guide/product/bimanual/</t>
        </is>
      </c>
    </row>
    <row r="193" ht="18" customHeight="1" s="102">
      <c r="A193" s="212" t="inlineStr">
        <is>
          <t>SwitchBot</t>
        </is>
      </c>
      <c r="B193" s="212" t="inlineStr">
        <is>
          <t>Onero H1</t>
        </is>
      </c>
      <c r="C193" s="212" t="inlineStr">
        <is>
          <t>Japan</t>
        </is>
      </c>
      <c r="D193" s="212" t="n"/>
      <c r="E193" s="213" t="n">
        <v>24500</v>
      </c>
      <c r="F193" s="212" t="inlineStr">
        <is>
          <t>Prototype</t>
        </is>
      </c>
      <c r="G193" s="212" t="inlineStr">
        <is>
          <t>3 ft 11 in</t>
        </is>
      </c>
      <c r="H193" s="212" t="n">
        <v>77.2</v>
      </c>
      <c r="I193" s="212" t="inlineStr">
        <is>
          <t>~28–32</t>
        </is>
      </c>
      <c r="J193" s="212" t="n">
        <v>11</v>
      </c>
      <c r="K193" s="212" t="n">
        <v>1.86</v>
      </c>
      <c r="L193" s="212" t="inlineStr">
        <is>
          <t>~4–6</t>
        </is>
      </c>
      <c r="M193" s="212" t="n"/>
      <c r="N193" s="212" t="n"/>
      <c r="O193" s="212" t="inlineStr">
        <is>
          <t>Humanoid.guide</t>
        </is>
      </c>
      <c r="P193" s="212" t="inlineStr">
        <is>
          <t>switchbot_onero_h1</t>
        </is>
      </c>
      <c r="Q193" s="212" t="inlineStr">
        <is>
          <t>https://humanoid.guide/product/onero-h1/</t>
        </is>
      </c>
    </row>
    <row r="194" ht="18" customHeight="1" s="102">
      <c r="A194" s="214" t="inlineStr">
        <is>
          <t>Tangible Robots</t>
        </is>
      </c>
      <c r="B194" s="214" t="inlineStr">
        <is>
          <t>Eggie</t>
        </is>
      </c>
      <c r="C194" s="214" t="inlineStr">
        <is>
          <t>USA</t>
        </is>
      </c>
      <c r="D194" s="214" t="n"/>
      <c r="E194" s="215" t="n">
        <v>32000</v>
      </c>
      <c r="F194" s="214" t="inlineStr">
        <is>
          <t>Prototype</t>
        </is>
      </c>
      <c r="G194" s="214" t="inlineStr">
        <is>
          <t>5 ft 3 in</t>
        </is>
      </c>
      <c r="H194" s="214" t="n">
        <v>99.2</v>
      </c>
      <c r="I194" s="214" t="inlineStr">
        <is>
          <t>20</t>
        </is>
      </c>
      <c r="J194" s="214" t="n">
        <v>8.800000000000001</v>
      </c>
      <c r="K194" s="214" t="n">
        <v>1.86</v>
      </c>
      <c r="L194" s="214" t="inlineStr">
        <is>
          <t>≈ 7 hours</t>
        </is>
      </c>
      <c r="M194" s="214" t="n">
        <v>2</v>
      </c>
      <c r="N194" s="214" t="n">
        <v>3</v>
      </c>
      <c r="O194" s="214" t="inlineStr">
        <is>
          <t>Humanoid.guide</t>
        </is>
      </c>
      <c r="P194" s="214" t="inlineStr">
        <is>
          <t>tangible_robots_eggie</t>
        </is>
      </c>
      <c r="Q194" s="214" t="inlineStr">
        <is>
          <t>https://humanoid.guide/product/eggie/</t>
        </is>
      </c>
    </row>
    <row r="195" ht="18" customHeight="1" s="102">
      <c r="A195" s="212" t="inlineStr">
        <is>
          <t>TARS Robotics (Shanghai)</t>
        </is>
      </c>
      <c r="B195" s="212" t="inlineStr">
        <is>
          <t>TARS</t>
        </is>
      </c>
      <c r="C195" s="212" t="inlineStr">
        <is>
          <t>China</t>
        </is>
      </c>
      <c r="D195" s="212" t="n"/>
      <c r="E195" s="213" t="n">
        <v>95000</v>
      </c>
      <c r="F195" s="212" t="inlineStr">
        <is>
          <t>Prototype</t>
        </is>
      </c>
      <c r="G195" s="212" t="inlineStr">
        <is>
          <t>5 ft 3 in</t>
        </is>
      </c>
      <c r="H195" s="212" t="n">
        <v>176.4</v>
      </c>
      <c r="I195" s="212" t="inlineStr">
        <is>
          <t>Assumed 30–40+</t>
        </is>
      </c>
      <c r="J195" s="212" t="n">
        <v>33.1</v>
      </c>
      <c r="K195" s="212" t="n">
        <v>2.49</v>
      </c>
      <c r="L195" s="212" t="inlineStr">
        <is>
          <t>≈ 3 hours</t>
        </is>
      </c>
      <c r="M195" s="212" t="n"/>
      <c r="N195" s="212" t="n"/>
      <c r="O195" s="212" t="inlineStr">
        <is>
          <t>Humanoid.guide</t>
        </is>
      </c>
      <c r="P195" s="212" t="inlineStr">
        <is>
          <t>tars_robotics_shanghai_tars</t>
        </is>
      </c>
      <c r="Q195" s="212" t="inlineStr">
        <is>
          <t>https://humanoid.guide/product/tars/</t>
        </is>
      </c>
    </row>
    <row r="196" ht="18" customHeight="1" s="102">
      <c r="A196" s="214" t="inlineStr">
        <is>
          <t>Techman Robot</t>
        </is>
      </c>
      <c r="B196" s="214" t="inlineStr">
        <is>
          <t>TM Xplore 1</t>
        </is>
      </c>
      <c r="C196" s="214" t="inlineStr">
        <is>
          <t>Taiwan</t>
        </is>
      </c>
      <c r="D196" s="214" t="n"/>
      <c r="E196" s="215" t="n">
        <v>25000</v>
      </c>
      <c r="F196" s="214" t="inlineStr">
        <is>
          <t>Prototype</t>
        </is>
      </c>
      <c r="G196" s="214" t="inlineStr">
        <is>
          <t>5 ft 3 in</t>
        </is>
      </c>
      <c r="H196" s="217" t="inlineStr">
        <is>
          <t>Not disclosed</t>
        </is>
      </c>
      <c r="I196" s="214" t="inlineStr">
        <is>
          <t>22</t>
        </is>
      </c>
      <c r="J196" s="214" t="n">
        <v>13.2</v>
      </c>
      <c r="K196" s="214" t="n">
        <v>1.86</v>
      </c>
      <c r="L196" s="214" t="inlineStr">
        <is>
          <t>≈ 2 hours</t>
        </is>
      </c>
      <c r="M196" s="214" t="n">
        <v>3</v>
      </c>
      <c r="N196" s="214" t="n">
        <v>2</v>
      </c>
      <c r="O196" s="214" t="inlineStr">
        <is>
          <t>Humanoid.guide</t>
        </is>
      </c>
      <c r="P196" s="214" t="inlineStr">
        <is>
          <t>techman_robot_tm_xplore_1</t>
        </is>
      </c>
      <c r="Q196" s="214" t="inlineStr">
        <is>
          <t>https://humanoid.guide/product/tm-xplore-1/</t>
        </is>
      </c>
    </row>
    <row r="197" ht="18" customHeight="1" s="102">
      <c r="A197" s="212" t="inlineStr">
        <is>
          <t>TeknTrash</t>
        </is>
      </c>
      <c r="B197" s="212" t="inlineStr">
        <is>
          <t>ALPHA</t>
        </is>
      </c>
      <c r="C197" s="212" t="inlineStr">
        <is>
          <t>UK</t>
        </is>
      </c>
      <c r="D197" s="212" t="n"/>
      <c r="E197" s="213" t="n">
        <v>55000</v>
      </c>
      <c r="F197" s="212" t="inlineStr">
        <is>
          <t>Prototype</t>
        </is>
      </c>
      <c r="G197" s="212" t="inlineStr">
        <is>
          <t>6 ft 7 in</t>
        </is>
      </c>
      <c r="H197" s="212" t="n">
        <v>198.4</v>
      </c>
      <c r="I197" s="212" t="inlineStr">
        <is>
          <t>13</t>
        </is>
      </c>
      <c r="J197" s="212" t="n">
        <v>11</v>
      </c>
      <c r="K197" s="212" t="n">
        <v>0.5600000000000001</v>
      </c>
      <c r="L197" s="212" t="inlineStr">
        <is>
          <t>≈ 7 hours</t>
        </is>
      </c>
      <c r="M197" s="212" t="n">
        <v>2</v>
      </c>
      <c r="N197" s="212" t="n">
        <v>2</v>
      </c>
      <c r="O197" s="212" t="inlineStr">
        <is>
          <t>Humanoid.guide</t>
        </is>
      </c>
      <c r="P197" s="212" t="inlineStr">
        <is>
          <t>tekntrash_alpha</t>
        </is>
      </c>
      <c r="Q197" s="212" t="inlineStr">
        <is>
          <t>https://humanoid.guide/product/alpha/</t>
        </is>
      </c>
    </row>
    <row r="198" ht="18" customHeight="1" s="102">
      <c r="A198" s="214" t="inlineStr">
        <is>
          <t>Tencent Robotics X</t>
        </is>
      </c>
      <c r="B198" s="214" t="inlineStr">
        <is>
          <t>Xiao Liu</t>
        </is>
      </c>
      <c r="C198" s="214" t="inlineStr">
        <is>
          <t>China</t>
        </is>
      </c>
      <c r="D198" s="214" t="n"/>
      <c r="E198" s="215" t="n">
        <v>90000</v>
      </c>
      <c r="F198" s="214" t="inlineStr">
        <is>
          <t>Prototype</t>
        </is>
      </c>
      <c r="G198" s="214" t="inlineStr">
        <is>
          <t>5 ft 5 in</t>
        </is>
      </c>
      <c r="H198" s="214" t="n">
        <v>154.3</v>
      </c>
      <c r="I198" s="214" t="inlineStr">
        <is>
          <t>38</t>
        </is>
      </c>
      <c r="J198" s="214" t="n">
        <v>22</v>
      </c>
      <c r="K198" s="214" t="n">
        <v>3.11</v>
      </c>
      <c r="L198" s="214" t="inlineStr">
        <is>
          <t>≈ 2 hours</t>
        </is>
      </c>
      <c r="M198" s="214" t="n"/>
      <c r="N198" s="214" t="n"/>
      <c r="O198" s="214" t="inlineStr">
        <is>
          <t>Humanoid.guide</t>
        </is>
      </c>
      <c r="P198" s="214" t="inlineStr">
        <is>
          <t>tencent_robotics_x_xiao_liu</t>
        </is>
      </c>
      <c r="Q198" s="214" t="inlineStr">
        <is>
          <t>https://humanoid.guide/product/xiao-liu/</t>
        </is>
      </c>
    </row>
    <row r="199" ht="18" customHeight="1" s="102">
      <c r="A199" s="212" t="inlineStr">
        <is>
          <t>Tesla</t>
        </is>
      </c>
      <c r="B199" s="212" t="inlineStr">
        <is>
          <t>Optimus</t>
        </is>
      </c>
      <c r="C199" s="212" t="inlineStr">
        <is>
          <t>USA</t>
        </is>
      </c>
      <c r="D199" s="212" t="n">
        <v>2026</v>
      </c>
      <c r="E199" s="213" t="n">
        <v>25000</v>
      </c>
      <c r="F199" s="212" t="inlineStr">
        <is>
          <t>Prototype</t>
        </is>
      </c>
      <c r="G199" s="212" t="inlineStr">
        <is>
          <t>≈ 5 ft 8 in</t>
        </is>
      </c>
      <c r="H199" s="212" t="n">
        <v>123.5</v>
      </c>
      <c r="I199" s="212" t="inlineStr">
        <is>
          <t>≈ 28 body DOF · Gen 3 hands ≈ 22 DOF per hand (≈ 50 actuators total for both hands)</t>
        </is>
      </c>
      <c r="J199" s="212" t="n">
        <v>44.1</v>
      </c>
      <c r="K199" s="212" t="n">
        <v>4.97</v>
      </c>
      <c r="L199" s="212" t="inlineStr">
        <is>
          <t>≈ 2.3 kWh · designed for multi-hour / full-shift light duty</t>
        </is>
      </c>
      <c r="M199" s="212" t="n">
        <v>2</v>
      </c>
      <c r="N199" s="212" t="n">
        <v>2</v>
      </c>
      <c r="O199" s="212" t="inlineStr">
        <is>
          <t>Both</t>
        </is>
      </c>
      <c r="P199" s="212" t="inlineStr">
        <is>
          <t>optimus</t>
        </is>
      </c>
      <c r="Q199" s="212" t="inlineStr">
        <is>
          <t>https://humanoid.guide/product/optimus/</t>
        </is>
      </c>
    </row>
    <row r="200" ht="18" customHeight="1" s="102">
      <c r="A200" s="214" t="inlineStr">
        <is>
          <t>Tesla</t>
        </is>
      </c>
      <c r="B200" s="214" t="inlineStr">
        <is>
          <t>OPTIMUS GEN 3</t>
        </is>
      </c>
      <c r="C200" s="214" t="inlineStr">
        <is>
          <t>USA</t>
        </is>
      </c>
      <c r="D200" s="214" t="n">
        <v>2026</v>
      </c>
      <c r="E200" s="215" t="n">
        <v>30000</v>
      </c>
      <c r="F200" s="214" t="inlineStr">
        <is>
          <t>In production</t>
        </is>
      </c>
      <c r="G200" s="214" t="inlineStr">
        <is>
          <t>5 ft 11 in</t>
        </is>
      </c>
      <c r="H200" s="214" t="n">
        <v>99.2</v>
      </c>
      <c r="I200" s="214" t="inlineStr">
        <is>
          <t>75</t>
        </is>
      </c>
      <c r="J200" s="214" t="n">
        <v>88.2</v>
      </c>
      <c r="K200" s="214" t="n">
        <v>12.43</v>
      </c>
      <c r="L200" s="214" t="inlineStr">
        <is>
          <t>≈ 5 hours</t>
        </is>
      </c>
      <c r="M200" s="214" t="n"/>
      <c r="N200" s="214" t="n"/>
      <c r="O200" s="214" t="inlineStr">
        <is>
          <t>Humanoid.guide</t>
        </is>
      </c>
      <c r="P200" s="214" t="inlineStr">
        <is>
          <t>tesla_optimus_gen_3</t>
        </is>
      </c>
      <c r="Q200" s="214" t="inlineStr">
        <is>
          <t>https://humanoid.guide/product/optimus-gen-3/</t>
        </is>
      </c>
    </row>
    <row r="201" ht="18" customHeight="1" s="102">
      <c r="A201" s="212" t="inlineStr">
        <is>
          <t>Tesla</t>
        </is>
      </c>
      <c r="B201" s="212" t="inlineStr">
        <is>
          <t>Optimus Gen2</t>
        </is>
      </c>
      <c r="C201" s="212" t="inlineStr">
        <is>
          <t>USA</t>
        </is>
      </c>
      <c r="D201" s="212" t="n"/>
      <c r="E201" s="213" t="n">
        <v>30000</v>
      </c>
      <c r="F201" s="212" t="inlineStr">
        <is>
          <t>Prototype</t>
        </is>
      </c>
      <c r="G201" s="212" t="inlineStr">
        <is>
          <t>5 ft 8 in</t>
        </is>
      </c>
      <c r="H201" s="212" t="n">
        <v>123.5</v>
      </c>
      <c r="I201" s="212" t="inlineStr">
        <is>
          <t>22</t>
        </is>
      </c>
      <c r="J201" s="212" t="n">
        <v>44.1</v>
      </c>
      <c r="K201" s="212" t="n">
        <v>4.97</v>
      </c>
      <c r="L201" s="212" t="inlineStr">
        <is>
          <t>≈ 1 hours</t>
        </is>
      </c>
      <c r="M201" s="212" t="n">
        <v>3</v>
      </c>
      <c r="N201" s="212" t="n">
        <v>3</v>
      </c>
      <c r="O201" s="212" t="inlineStr">
        <is>
          <t>Humanoid.guide</t>
        </is>
      </c>
      <c r="P201" s="212" t="inlineStr">
        <is>
          <t>tesla_optimus_gen2</t>
        </is>
      </c>
      <c r="Q201" s="212" t="inlineStr">
        <is>
          <t>https://humanoid.guide/product/optimus-gen2/</t>
        </is>
      </c>
    </row>
    <row r="202" ht="18" customHeight="1" s="102">
      <c r="A202" s="214" t="inlineStr">
        <is>
          <t>Tesla</t>
        </is>
      </c>
      <c r="B202" s="214" t="inlineStr">
        <is>
          <t>OPTIMUS V2.5</t>
        </is>
      </c>
      <c r="C202" s="214" t="inlineStr">
        <is>
          <t>USA</t>
        </is>
      </c>
      <c r="D202" s="214" t="n">
        <v>2026</v>
      </c>
      <c r="E202" s="215" t="n">
        <v>45000</v>
      </c>
      <c r="F202" s="214" t="inlineStr">
        <is>
          <t>Prototype</t>
        </is>
      </c>
      <c r="G202" s="214" t="inlineStr">
        <is>
          <t>5 ft 9 in</t>
        </is>
      </c>
      <c r="H202" s="214" t="n">
        <v>121.3</v>
      </c>
      <c r="I202" s="214" t="inlineStr">
        <is>
          <t>65</t>
        </is>
      </c>
      <c r="J202" s="214" t="n">
        <v>44.1</v>
      </c>
      <c r="K202" s="214" t="n">
        <v>8.699999999999999</v>
      </c>
      <c r="L202" s="214" t="inlineStr">
        <is>
          <t>≈ 4 hours</t>
        </is>
      </c>
      <c r="M202" s="214" t="n"/>
      <c r="N202" s="214" t="n"/>
      <c r="O202" s="214" t="inlineStr">
        <is>
          <t>Humanoid.guide</t>
        </is>
      </c>
      <c r="P202" s="214" t="inlineStr">
        <is>
          <t>tesla_optimus_v2_5</t>
        </is>
      </c>
      <c r="Q202" s="214" t="inlineStr">
        <is>
          <t>https://humanoid.guide/product/tesla-optimus-v2-5/</t>
        </is>
      </c>
    </row>
    <row r="203" ht="18" customHeight="1" s="102">
      <c r="A203" s="212" t="inlineStr">
        <is>
          <t>Tokyo Robotics</t>
        </is>
      </c>
      <c r="B203" s="212" t="inlineStr">
        <is>
          <t>ToraOne</t>
        </is>
      </c>
      <c r="C203" s="212" t="inlineStr">
        <is>
          <t>China</t>
        </is>
      </c>
      <c r="D203" s="212" t="n"/>
      <c r="E203" s="213" t="n">
        <v>100000</v>
      </c>
      <c r="F203" s="212" t="inlineStr">
        <is>
          <t>Prototype</t>
        </is>
      </c>
      <c r="G203" s="212" t="inlineStr">
        <is>
          <t>6 ft 1 in</t>
        </is>
      </c>
      <c r="H203" s="216" t="inlineStr">
        <is>
          <t>Not disclosed</t>
        </is>
      </c>
      <c r="I203" s="212" t="inlineStr">
        <is>
          <t>47</t>
        </is>
      </c>
      <c r="J203" s="212" t="n">
        <v>13.2</v>
      </c>
      <c r="K203" s="212" t="n">
        <v>2.24</v>
      </c>
      <c r="L203" s="212" t="inlineStr">
        <is>
          <t>≈ 8 hours</t>
        </is>
      </c>
      <c r="M203" s="212" t="n">
        <v>2</v>
      </c>
      <c r="N203" s="212" t="n">
        <v>2</v>
      </c>
      <c r="O203" s="212" t="inlineStr">
        <is>
          <t>Humanoid.guide</t>
        </is>
      </c>
      <c r="P203" s="212" t="inlineStr">
        <is>
          <t>tokyo_robotics_toraone</t>
        </is>
      </c>
      <c r="Q203" s="212" t="inlineStr">
        <is>
          <t>https://humanoid.guide/product/toraone/</t>
        </is>
      </c>
    </row>
    <row r="204" ht="18" customHeight="1" s="102">
      <c r="A204" s="214" t="inlineStr">
        <is>
          <t>Tokyo Robotics</t>
        </is>
      </c>
      <c r="B204" s="214" t="inlineStr">
        <is>
          <t>Torobo</t>
        </is>
      </c>
      <c r="C204" s="214" t="inlineStr">
        <is>
          <t>Japan</t>
        </is>
      </c>
      <c r="D204" s="214" t="n"/>
      <c r="E204" s="215" t="n">
        <v>100000</v>
      </c>
      <c r="F204" s="214" t="inlineStr">
        <is>
          <t>Prototype</t>
        </is>
      </c>
      <c r="G204" s="214" t="inlineStr">
        <is>
          <t>5 ft 5 in</t>
        </is>
      </c>
      <c r="H204" s="214" t="n">
        <v>352.7</v>
      </c>
      <c r="I204" s="214" t="inlineStr">
        <is>
          <t>24</t>
        </is>
      </c>
      <c r="J204" s="214" t="n">
        <v>44.1</v>
      </c>
      <c r="K204" s="214" t="n">
        <v>3.11</v>
      </c>
      <c r="L204" s="214" t="inlineStr">
        <is>
          <t>≈ 3 hours</t>
        </is>
      </c>
      <c r="M204" s="214" t="n">
        <v>2</v>
      </c>
      <c r="N204" s="214" t="n">
        <v>2</v>
      </c>
      <c r="O204" s="214" t="inlineStr">
        <is>
          <t>Humanoid.guide</t>
        </is>
      </c>
      <c r="P204" s="214" t="inlineStr">
        <is>
          <t>tokyo_robotics_torobo</t>
        </is>
      </c>
      <c r="Q204" s="214" t="inlineStr">
        <is>
          <t>https://humanoid.guide/product/torobo/</t>
        </is>
      </c>
    </row>
    <row r="205" ht="18" customHeight="1" s="102">
      <c r="A205" s="212" t="inlineStr">
        <is>
          <t>TOPSTAR Group</t>
        </is>
      </c>
      <c r="B205" s="212" t="inlineStr">
        <is>
          <t>Xiao Tuo</t>
        </is>
      </c>
      <c r="C205" s="212" t="inlineStr">
        <is>
          <t>China</t>
        </is>
      </c>
      <c r="D205" s="212" t="n"/>
      <c r="E205" s="213" t="n">
        <v>21000</v>
      </c>
      <c r="F205" s="212" t="inlineStr">
        <is>
          <t>Prototype</t>
        </is>
      </c>
      <c r="G205" s="212" t="inlineStr">
        <is>
          <t>3 ft 11 in</t>
        </is>
      </c>
      <c r="H205" s="212" t="n">
        <v>88.2</v>
      </c>
      <c r="I205" s="212" t="inlineStr">
        <is>
          <t>30</t>
        </is>
      </c>
      <c r="J205" s="212" t="n">
        <v>11</v>
      </c>
      <c r="K205" s="212" t="n">
        <v>1.86</v>
      </c>
      <c r="L205" s="212" t="inlineStr">
        <is>
          <t>≈ 3 hours</t>
        </is>
      </c>
      <c r="M205" s="212" t="n">
        <v>2</v>
      </c>
      <c r="N205" s="212" t="n">
        <v>2</v>
      </c>
      <c r="O205" s="212" t="inlineStr">
        <is>
          <t>Humanoid.guide</t>
        </is>
      </c>
      <c r="P205" s="212" t="inlineStr">
        <is>
          <t>topstar_group_xiao_tuo</t>
        </is>
      </c>
      <c r="Q205" s="212" t="inlineStr">
        <is>
          <t>https://humanoid.guide/product/xiao-tuo/</t>
        </is>
      </c>
    </row>
    <row r="206" ht="18" customHeight="1" s="102">
      <c r="A206" s="214" t="inlineStr">
        <is>
          <t>Toyota Motor Corporation</t>
        </is>
      </c>
      <c r="B206" s="214" t="inlineStr">
        <is>
          <t>CUE7</t>
        </is>
      </c>
      <c r="C206" s="214" t="inlineStr">
        <is>
          <t>Japan</t>
        </is>
      </c>
      <c r="D206" s="214" t="n"/>
      <c r="E206" s="215" t="n">
        <v>150000</v>
      </c>
      <c r="F206" s="214" t="inlineStr">
        <is>
          <t>Prototype</t>
        </is>
      </c>
      <c r="G206" s="214" t="inlineStr">
        <is>
          <t>7 ft 2 in</t>
        </is>
      </c>
      <c r="H206" s="214" t="n">
        <v>163.1</v>
      </c>
      <c r="I206" s="217" t="inlineStr">
        <is>
          <t>Not disclosed</t>
        </is>
      </c>
      <c r="J206" s="214" t="n">
        <v>13.2</v>
      </c>
      <c r="K206" s="214" t="n">
        <v>3.11</v>
      </c>
      <c r="L206" s="217" t="inlineStr">
        <is>
          <t>Not disclosed</t>
        </is>
      </c>
      <c r="M206" s="214" t="n"/>
      <c r="N206" s="214" t="n"/>
      <c r="O206" s="214" t="inlineStr">
        <is>
          <t>Humanoid.guide</t>
        </is>
      </c>
      <c r="P206" s="214" t="inlineStr">
        <is>
          <t>toyota_motor_corporation_cue7</t>
        </is>
      </c>
      <c r="Q206" s="214" t="inlineStr">
        <is>
          <t>https://humanoid.guide/product/cue7/</t>
        </is>
      </c>
    </row>
    <row r="207" ht="18" customHeight="1" s="102">
      <c r="A207" s="212" t="inlineStr">
        <is>
          <t>TwoLabs</t>
        </is>
      </c>
      <c r="B207" s="212" t="inlineStr">
        <is>
          <t>Tobi</t>
        </is>
      </c>
      <c r="C207" s="212" t="inlineStr">
        <is>
          <t>USA</t>
        </is>
      </c>
      <c r="D207" s="212" t="n"/>
      <c r="E207" s="213" t="n">
        <v>50000</v>
      </c>
      <c r="F207" s="212" t="inlineStr">
        <is>
          <t>Prototype</t>
        </is>
      </c>
      <c r="G207" s="212" t="inlineStr">
        <is>
          <t>4 ft 11 in</t>
        </is>
      </c>
      <c r="H207" s="212" t="n">
        <v>132.3</v>
      </c>
      <c r="I207" s="212" t="inlineStr">
        <is>
          <t>16</t>
        </is>
      </c>
      <c r="J207" s="212" t="n">
        <v>11</v>
      </c>
      <c r="K207" s="212" t="n">
        <v>2.49</v>
      </c>
      <c r="L207" s="212" t="inlineStr">
        <is>
          <t>≈ 5 hours</t>
        </is>
      </c>
      <c r="M207" s="212" t="n"/>
      <c r="N207" s="212" t="n"/>
      <c r="O207" s="212" t="inlineStr">
        <is>
          <t>Humanoid.guide</t>
        </is>
      </c>
      <c r="P207" s="212" t="inlineStr">
        <is>
          <t>twolabs_tobi</t>
        </is>
      </c>
      <c r="Q207" s="212" t="inlineStr">
        <is>
          <t>https://humanoid.guide/product/tobi/</t>
        </is>
      </c>
    </row>
    <row r="208" ht="18" customHeight="1" s="102">
      <c r="A208" s="214" t="inlineStr">
        <is>
          <t>UBTECH</t>
        </is>
      </c>
      <c r="B208" s="214" t="inlineStr">
        <is>
          <t>Walker S2</t>
        </is>
      </c>
      <c r="C208" s="214" t="inlineStr">
        <is>
          <t>China</t>
        </is>
      </c>
      <c r="D208" s="214" t="n">
        <v>2025</v>
      </c>
      <c r="E208" s="215" t="n">
        <v>68000</v>
      </c>
      <c r="F208" s="214" t="inlineStr">
        <is>
          <t>Prototype</t>
        </is>
      </c>
      <c r="G208" s="214" t="inlineStr">
        <is>
          <t>≈ 5 ft 9 in</t>
        </is>
      </c>
      <c r="H208" s="214" t="n">
        <v>94.8</v>
      </c>
      <c r="I208" s="214" t="inlineStr">
        <is>
          <t>≈ 52</t>
        </is>
      </c>
      <c r="J208" s="214" t="n">
        <v>33.1</v>
      </c>
      <c r="K208" s="214" t="n">
        <v>4.47</v>
      </c>
      <c r="L208" s="214" t="inlineStr">
        <is>
          <t>≈ 2 hours</t>
        </is>
      </c>
      <c r="M208" s="214" t="n">
        <v>2</v>
      </c>
      <c r="N208" s="214" t="n">
        <v>2</v>
      </c>
      <c r="O208" s="214" t="inlineStr">
        <is>
          <t>Both</t>
        </is>
      </c>
      <c r="P208" s="214" t="inlineStr">
        <is>
          <t>walker_s2</t>
        </is>
      </c>
      <c r="Q208" s="214" t="inlineStr">
        <is>
          <t>https://humanoid.guide/product/walker-s2/</t>
        </is>
      </c>
    </row>
    <row r="209" ht="18" customHeight="1" s="102">
      <c r="A209" s="212" t="inlineStr">
        <is>
          <t>UBTECH Robotics</t>
        </is>
      </c>
      <c r="B209" s="212" t="inlineStr">
        <is>
          <t>Cruzr S2</t>
        </is>
      </c>
      <c r="C209" s="212" t="inlineStr">
        <is>
          <t>China</t>
        </is>
      </c>
      <c r="D209" s="212" t="n"/>
      <c r="E209" s="213" t="n">
        <v>200000</v>
      </c>
      <c r="F209" s="212" t="inlineStr">
        <is>
          <t>In production</t>
        </is>
      </c>
      <c r="G209" s="212" t="inlineStr">
        <is>
          <t>5 ft 9 in</t>
        </is>
      </c>
      <c r="H209" s="212" t="n">
        <v>330.7</v>
      </c>
      <c r="I209" s="212" t="inlineStr">
        <is>
          <t>&amp;gt;20</t>
        </is>
      </c>
      <c r="J209" s="212" t="n">
        <v>33.1</v>
      </c>
      <c r="K209" s="212" t="n">
        <v>4.47</v>
      </c>
      <c r="L209" s="212" t="inlineStr">
        <is>
          <t>≈ 6 hours</t>
        </is>
      </c>
      <c r="M209" s="212" t="n">
        <v>2</v>
      </c>
      <c r="N209" s="212" t="n">
        <v>1</v>
      </c>
      <c r="O209" s="212" t="inlineStr">
        <is>
          <t>Humanoid.guide</t>
        </is>
      </c>
      <c r="P209" s="212" t="inlineStr">
        <is>
          <t>ubtech_robotics_cruzr_s2</t>
        </is>
      </c>
      <c r="Q209" s="212" t="inlineStr">
        <is>
          <t>https://humanoid.guide/product/cruzr-s2/</t>
        </is>
      </c>
    </row>
    <row r="210" ht="18" customHeight="1" s="102">
      <c r="A210" s="214" t="inlineStr">
        <is>
          <t>UBTECH Robotics</t>
        </is>
      </c>
      <c r="B210" s="214" t="inlineStr">
        <is>
          <t>Cruzr Y1</t>
        </is>
      </c>
      <c r="C210" s="214" t="inlineStr">
        <is>
          <t>China</t>
        </is>
      </c>
      <c r="D210" s="214" t="n"/>
      <c r="E210" s="215" t="n">
        <v>55000</v>
      </c>
      <c r="F210" s="214" t="inlineStr">
        <is>
          <t>In production</t>
        </is>
      </c>
      <c r="G210" s="214" t="inlineStr">
        <is>
          <t>5 ft 7 in</t>
        </is>
      </c>
      <c r="H210" s="214" t="n">
        <v>198.4</v>
      </c>
      <c r="I210" s="214" t="inlineStr">
        <is>
          <t>14</t>
        </is>
      </c>
      <c r="J210" s="214" t="n">
        <v>22</v>
      </c>
      <c r="K210" s="214" t="n">
        <v>3.36</v>
      </c>
      <c r="L210" s="214" t="inlineStr">
        <is>
          <t>≈ 4 hours</t>
        </is>
      </c>
      <c r="M210" s="214" t="n"/>
      <c r="N210" s="214" t="n"/>
      <c r="O210" s="214" t="inlineStr">
        <is>
          <t>Humanoid.guide</t>
        </is>
      </c>
      <c r="P210" s="214" t="inlineStr">
        <is>
          <t>ubtech_robotics_cruzr_y1</t>
        </is>
      </c>
      <c r="Q210" s="214" t="inlineStr">
        <is>
          <t>https://humanoid.guide/product/cruzr-y1/</t>
        </is>
      </c>
    </row>
    <row r="211" ht="18" customHeight="1" s="102">
      <c r="A211" s="212" t="inlineStr">
        <is>
          <t>UBTECH Robotics</t>
        </is>
      </c>
      <c r="B211" s="212" t="inlineStr">
        <is>
          <t>U1 Pro</t>
        </is>
      </c>
      <c r="C211" s="212" t="inlineStr">
        <is>
          <t>China</t>
        </is>
      </c>
      <c r="D211" s="212" t="n">
        <v>2025</v>
      </c>
      <c r="E211" s="213" t="n">
        <v>16500</v>
      </c>
      <c r="F211" s="212" t="inlineStr">
        <is>
          <t>pre-order</t>
        </is>
      </c>
      <c r="G211" s="212" t="inlineStr">
        <is>
          <t>6 ft 0 in</t>
        </is>
      </c>
      <c r="H211" s="212" t="n">
        <v>92.59999999999999</v>
      </c>
      <c r="I211" s="212" t="inlineStr">
        <is>
          <t>88</t>
        </is>
      </c>
      <c r="J211" s="212" t="n">
        <v>33.1</v>
      </c>
      <c r="K211" s="212" t="n">
        <v>3.11</v>
      </c>
      <c r="L211" s="212" t="inlineStr">
        <is>
          <t>≈ 3 hours</t>
        </is>
      </c>
      <c r="M211" s="212" t="n"/>
      <c r="N211" s="212" t="n"/>
      <c r="O211" s="212" t="inlineStr">
        <is>
          <t>Both</t>
        </is>
      </c>
      <c r="P211" s="212" t="inlineStr">
        <is>
          <t>ubtech_robotics_uworld_u1</t>
        </is>
      </c>
      <c r="Q211" s="212" t="inlineStr">
        <is>
          <t>https://humanoid.guide/product/u1-pro/</t>
        </is>
      </c>
    </row>
    <row r="212" ht="18" customHeight="1" s="102">
      <c r="A212" s="214" t="inlineStr">
        <is>
          <t>UBTECH Robotics</t>
        </is>
      </c>
      <c r="B212" s="214" t="inlineStr">
        <is>
          <t>Walker C</t>
        </is>
      </c>
      <c r="C212" s="214" t="inlineStr">
        <is>
          <t>China</t>
        </is>
      </c>
      <c r="D212" s="214" t="n"/>
      <c r="E212" s="215" t="n">
        <v>30000</v>
      </c>
      <c r="F212" s="214" t="inlineStr">
        <is>
          <t>Prototype</t>
        </is>
      </c>
      <c r="G212" s="214" t="inlineStr">
        <is>
          <t>5 ft 4 in</t>
        </is>
      </c>
      <c r="H212" s="214" t="n">
        <v>94.8</v>
      </c>
      <c r="I212" s="214" t="inlineStr">
        <is>
          <t>20</t>
        </is>
      </c>
      <c r="J212" s="214" t="n">
        <v>13.2</v>
      </c>
      <c r="K212" s="214" t="n">
        <v>3.73</v>
      </c>
      <c r="L212" s="214" t="inlineStr">
        <is>
          <t>≈ 2 hours</t>
        </is>
      </c>
      <c r="M212" s="214" t="n">
        <v>2</v>
      </c>
      <c r="N212" s="214" t="n">
        <v>2</v>
      </c>
      <c r="O212" s="214" t="inlineStr">
        <is>
          <t>Humanoid.guide</t>
        </is>
      </c>
      <c r="P212" s="214" t="inlineStr">
        <is>
          <t>ubtech_robotics_walker_c</t>
        </is>
      </c>
      <c r="Q212" s="214" t="inlineStr">
        <is>
          <t>https://humanoid.guide/product/walker-c/</t>
        </is>
      </c>
    </row>
    <row r="213" ht="18" customHeight="1" s="102">
      <c r="A213" s="212" t="inlineStr">
        <is>
          <t>UBTECH Robotics</t>
        </is>
      </c>
      <c r="B213" s="212" t="inlineStr">
        <is>
          <t>Walker C1</t>
        </is>
      </c>
      <c r="C213" s="212" t="inlineStr">
        <is>
          <t>China</t>
        </is>
      </c>
      <c r="D213" s="212" t="n"/>
      <c r="E213" s="213" t="n">
        <v>79000</v>
      </c>
      <c r="F213" s="212" t="inlineStr">
        <is>
          <t>Prototype</t>
        </is>
      </c>
      <c r="G213" s="212" t="inlineStr">
        <is>
          <t>5 ft 5 in</t>
        </is>
      </c>
      <c r="H213" s="212" t="n">
        <v>110.2</v>
      </c>
      <c r="I213" s="212" t="inlineStr">
        <is>
          <t>26</t>
        </is>
      </c>
      <c r="J213" s="212" t="n">
        <v>11</v>
      </c>
      <c r="K213" s="212" t="n">
        <v>3.73</v>
      </c>
      <c r="L213" s="212" t="inlineStr">
        <is>
          <t>≈ 3 hours</t>
        </is>
      </c>
      <c r="M213" s="212" t="n"/>
      <c r="N213" s="212" t="n"/>
      <c r="O213" s="212" t="inlineStr">
        <is>
          <t>Humanoid.guide</t>
        </is>
      </c>
      <c r="P213" s="212" t="inlineStr">
        <is>
          <t>ubtech_robotics_walker_c1</t>
        </is>
      </c>
      <c r="Q213" s="212" t="inlineStr">
        <is>
          <t>https://humanoid.guide/product/walker-c1/</t>
        </is>
      </c>
    </row>
    <row r="214" ht="18" customHeight="1" s="102">
      <c r="A214" s="214" t="inlineStr">
        <is>
          <t>UBTECH Robotics</t>
        </is>
      </c>
      <c r="B214" s="214" t="inlineStr">
        <is>
          <t>Walker S1</t>
        </is>
      </c>
      <c r="C214" s="214" t="inlineStr">
        <is>
          <t>China</t>
        </is>
      </c>
      <c r="D214" s="214" t="n"/>
      <c r="E214" s="215" t="n">
        <v>75000</v>
      </c>
      <c r="F214" s="214" t="inlineStr">
        <is>
          <t>Prototype</t>
        </is>
      </c>
      <c r="G214" s="214" t="inlineStr">
        <is>
          <t>5 ft 8 in</t>
        </is>
      </c>
      <c r="H214" s="214" t="n">
        <v>167.6</v>
      </c>
      <c r="I214" s="214" t="inlineStr">
        <is>
          <t>41</t>
        </is>
      </c>
      <c r="J214" s="214" t="n">
        <v>6.6</v>
      </c>
      <c r="K214" s="214" t="n">
        <v>3.11</v>
      </c>
      <c r="L214" s="214" t="inlineStr">
        <is>
          <t>≈ 2 hours</t>
        </is>
      </c>
      <c r="M214" s="214" t="n">
        <v>3</v>
      </c>
      <c r="N214" s="214" t="n">
        <v>3</v>
      </c>
      <c r="O214" s="214" t="inlineStr">
        <is>
          <t>Humanoid.guide</t>
        </is>
      </c>
      <c r="P214" s="214" t="inlineStr">
        <is>
          <t>ubtech_robotics_walker_s1</t>
        </is>
      </c>
      <c r="Q214" s="214" t="inlineStr">
        <is>
          <t>https://humanoid.guide/product/walker-s1/</t>
        </is>
      </c>
    </row>
    <row r="215" ht="18" customHeight="1" s="102">
      <c r="A215" s="212" t="inlineStr">
        <is>
          <t>Ultra Robotics Corp</t>
        </is>
      </c>
      <c r="B215" s="212" t="inlineStr">
        <is>
          <t>Operator (OP1)</t>
        </is>
      </c>
      <c r="C215" s="212" t="inlineStr">
        <is>
          <t>USA</t>
        </is>
      </c>
      <c r="D215" s="212" t="n"/>
      <c r="E215" s="213" t="n">
        <v>80000</v>
      </c>
      <c r="F215" s="212" t="inlineStr">
        <is>
          <t>In production</t>
        </is>
      </c>
      <c r="G215" s="212" t="inlineStr">
        <is>
          <t>5 ft 11 in</t>
        </is>
      </c>
      <c r="H215" s="212" t="n">
        <v>308.6</v>
      </c>
      <c r="I215" s="212" t="inlineStr">
        <is>
          <t>14</t>
        </is>
      </c>
      <c r="J215" s="212" t="n">
        <v>11</v>
      </c>
      <c r="K215" s="212" t="n">
        <v>1.86</v>
      </c>
      <c r="L215" s="212" t="inlineStr">
        <is>
          <t>≈ 2 hours</t>
        </is>
      </c>
      <c r="M215" s="212" t="n"/>
      <c r="N215" s="212" t="n"/>
      <c r="O215" s="212" t="inlineStr">
        <is>
          <t>Humanoid.guide</t>
        </is>
      </c>
      <c r="P215" s="212" t="inlineStr">
        <is>
          <t>ultra_robotics_corp_operator_op1</t>
        </is>
      </c>
      <c r="Q215" s="212" t="inlineStr">
        <is>
          <t>https://humanoid.guide/product/operator-op1/</t>
        </is>
      </c>
    </row>
    <row r="216" ht="18" customHeight="1" s="102">
      <c r="A216" s="214" t="inlineStr">
        <is>
          <t>UMA</t>
        </is>
      </c>
      <c r="B216" s="214" t="inlineStr">
        <is>
          <t>Northstar</t>
        </is>
      </c>
      <c r="C216" s="214" t="inlineStr">
        <is>
          <t>France</t>
        </is>
      </c>
      <c r="D216" s="214" t="n"/>
      <c r="E216" s="215" t="n">
        <v>70000</v>
      </c>
      <c r="F216" s="214" t="inlineStr">
        <is>
          <t>Prototype</t>
        </is>
      </c>
      <c r="G216" s="214" t="inlineStr">
        <is>
          <t>5 ft 5 in</t>
        </is>
      </c>
      <c r="H216" s="214" t="n">
        <v>88.2</v>
      </c>
      <c r="I216" s="214" t="inlineStr">
        <is>
          <t>24</t>
        </is>
      </c>
      <c r="J216" s="214" t="n">
        <v>33.1</v>
      </c>
      <c r="K216" s="214" t="n">
        <v>2.49</v>
      </c>
      <c r="L216" s="217" t="inlineStr">
        <is>
          <t>Not disclosed</t>
        </is>
      </c>
      <c r="M216" s="214" t="n"/>
      <c r="N216" s="214" t="n"/>
      <c r="O216" s="214" t="inlineStr">
        <is>
          <t>Humanoid.guide</t>
        </is>
      </c>
      <c r="P216" s="214" t="inlineStr">
        <is>
          <t>uma_northstar</t>
        </is>
      </c>
      <c r="Q216" s="214" t="inlineStr">
        <is>
          <t>https://humanoid.guide/product/northstar/</t>
        </is>
      </c>
    </row>
    <row r="217" ht="18" customHeight="1" s="102">
      <c r="A217" s="212" t="inlineStr">
        <is>
          <t>Under Control Robotics</t>
        </is>
      </c>
      <c r="B217" s="212" t="inlineStr">
        <is>
          <t>Moby (old)</t>
        </is>
      </c>
      <c r="C217" s="212" t="inlineStr">
        <is>
          <t>USA</t>
        </is>
      </c>
      <c r="D217" s="212" t="n"/>
      <c r="E217" s="213" t="n">
        <v>75000</v>
      </c>
      <c r="F217" s="212" t="inlineStr">
        <is>
          <t>Prototype</t>
        </is>
      </c>
      <c r="G217" s="212" t="inlineStr">
        <is>
          <t>5 ft 7 in</t>
        </is>
      </c>
      <c r="H217" s="212" t="n">
        <v>99.2</v>
      </c>
      <c r="I217" s="212" t="inlineStr">
        <is>
          <t>34</t>
        </is>
      </c>
      <c r="J217" s="212" t="n">
        <v>19.8</v>
      </c>
      <c r="K217" s="212" t="n">
        <v>1.86</v>
      </c>
      <c r="L217" s="212" t="inlineStr">
        <is>
          <t>≈ 5 hours</t>
        </is>
      </c>
      <c r="M217" s="212" t="n">
        <v>2</v>
      </c>
      <c r="N217" s="212" t="n">
        <v>3</v>
      </c>
      <c r="O217" s="212" t="inlineStr">
        <is>
          <t>Humanoid.guide</t>
        </is>
      </c>
      <c r="P217" s="212" t="inlineStr">
        <is>
          <t>under_control_robotics_moby_old</t>
        </is>
      </c>
      <c r="Q217" s="212" t="inlineStr">
        <is>
          <t>https://humanoid.guide/product/moby-old/</t>
        </is>
      </c>
    </row>
    <row r="218" ht="18" customHeight="1" s="102">
      <c r="A218" s="214" t="inlineStr">
        <is>
          <t>Unitree</t>
        </is>
      </c>
      <c r="B218" s="214" t="inlineStr">
        <is>
          <t>G1</t>
        </is>
      </c>
      <c r="C218" s="214" t="inlineStr">
        <is>
          <t>China</t>
        </is>
      </c>
      <c r="D218" s="214" t="n">
        <v>2024</v>
      </c>
      <c r="E218" s="215" t="n">
        <v>13500</v>
      </c>
      <c r="F218" s="214" t="inlineStr">
        <is>
          <t>In production</t>
        </is>
      </c>
      <c r="G218" s="214" t="inlineStr">
        <is>
          <t>≈ 4 ft 4 in</t>
        </is>
      </c>
      <c r="H218" s="214" t="n">
        <v>77.2</v>
      </c>
      <c r="I218" s="214" t="inlineStr">
        <is>
          <t>23 base · up to 43 with waist/wrist/hands options</t>
        </is>
      </c>
      <c r="J218" s="214" t="n">
        <v>6.6</v>
      </c>
      <c r="K218" s="214" t="n">
        <v>4.47</v>
      </c>
      <c r="L218" s="214" t="inlineStr">
        <is>
          <t>9 000 mAh quick-swap · ≈ 2 hours</t>
        </is>
      </c>
      <c r="M218" s="214" t="n">
        <v>3</v>
      </c>
      <c r="N218" s="214" t="n">
        <v>3</v>
      </c>
      <c r="O218" s="214" t="inlineStr">
        <is>
          <t>Both</t>
        </is>
      </c>
      <c r="P218" s="214" t="inlineStr">
        <is>
          <t>g1</t>
        </is>
      </c>
      <c r="Q218" s="214" t="inlineStr">
        <is>
          <t>https://humanoid.guide/product/g1/</t>
        </is>
      </c>
    </row>
    <row r="219" ht="18" customHeight="1" s="102">
      <c r="A219" s="212" t="inlineStr">
        <is>
          <t>Unitree</t>
        </is>
      </c>
      <c r="B219" s="212" t="inlineStr">
        <is>
          <t>H1-2</t>
        </is>
      </c>
      <c r="C219" s="212" t="inlineStr">
        <is>
          <t>China</t>
        </is>
      </c>
      <c r="D219" s="212" t="n">
        <v>2024</v>
      </c>
      <c r="E219" s="213" t="n">
        <v>90000</v>
      </c>
      <c r="F219" s="212" t="inlineStr">
        <is>
          <t>In production</t>
        </is>
      </c>
      <c r="G219" s="212" t="inlineStr">
        <is>
          <t>≈ 5 ft 11 in (H1) / ≈ 6 ft 1 in class (H1-2)</t>
        </is>
      </c>
      <c r="H219" s="212" t="n">
        <v>154.3</v>
      </c>
      <c r="I219" s="212" t="inlineStr">
        <is>
          <t>≈ 19–27 base + hands options</t>
        </is>
      </c>
      <c r="J219" s="212" t="inlineStr">
        <is>
          <t>High carry capability for research tasks</t>
        </is>
      </c>
      <c r="K219" s="212" t="n">
        <v>4.47</v>
      </c>
      <c r="L219" s="212" t="inlineStr">
        <is>
          <t>Quick-change ≈ 0.86 kWh class · ≈ 1.5 h active</t>
        </is>
      </c>
      <c r="M219" s="212" t="n"/>
      <c r="N219" s="212" t="n"/>
      <c r="O219" s="212" t="inlineStr">
        <is>
          <t>Both</t>
        </is>
      </c>
      <c r="P219" s="212" t="inlineStr">
        <is>
          <t>h1</t>
        </is>
      </c>
      <c r="Q219" s="212" t="inlineStr">
        <is>
          <t>https://humanoid.guide/product/h1-2/</t>
        </is>
      </c>
    </row>
    <row r="220" ht="18" customHeight="1" s="102">
      <c r="A220" s="214" t="inlineStr">
        <is>
          <t>Unitree</t>
        </is>
      </c>
      <c r="B220" s="214" t="inlineStr">
        <is>
          <t>H2</t>
        </is>
      </c>
      <c r="C220" s="214" t="inlineStr">
        <is>
          <t>China</t>
        </is>
      </c>
      <c r="D220" s="214" t="n">
        <v>2025</v>
      </c>
      <c r="E220" s="215" t="n">
        <v>29900</v>
      </c>
      <c r="F220" s="214" t="inlineStr">
        <is>
          <t>Prototype</t>
        </is>
      </c>
      <c r="G220" s="214" t="inlineStr">
        <is>
          <t>≈ 5 ft 10 in – 6 ft 0 in</t>
        </is>
      </c>
      <c r="H220" s="214" t="n">
        <v>154.3</v>
      </c>
      <c r="I220" s="214" t="inlineStr">
        <is>
          <t>31+ class</t>
        </is>
      </c>
      <c r="J220" s="214" t="inlineStr">
        <is>
          <t>Higher than G1; exact arm payload configuration-dependent</t>
        </is>
      </c>
      <c r="K220" s="214" t="n">
        <v>6.84</v>
      </c>
      <c r="L220" s="214" t="inlineStr">
        <is>
          <t>≈ 3 hours class</t>
        </is>
      </c>
      <c r="M220" s="214" t="n">
        <v>3</v>
      </c>
      <c r="N220" s="214" t="n">
        <v>3</v>
      </c>
      <c r="O220" s="214" t="inlineStr">
        <is>
          <t>Both</t>
        </is>
      </c>
      <c r="P220" s="214" t="inlineStr">
        <is>
          <t>h2</t>
        </is>
      </c>
      <c r="Q220" s="214" t="inlineStr">
        <is>
          <t>https://humanoid.guide/product/h2/</t>
        </is>
      </c>
    </row>
    <row r="221" ht="18" customHeight="1" s="102">
      <c r="A221" s="212" t="inlineStr">
        <is>
          <t>Unitree</t>
        </is>
      </c>
      <c r="B221" s="212" t="inlineStr">
        <is>
          <t>Unitree R1</t>
        </is>
      </c>
      <c r="C221" s="212" t="inlineStr">
        <is>
          <t>China</t>
        </is>
      </c>
      <c r="D221" s="212" t="n">
        <v>2025</v>
      </c>
      <c r="E221" s="213" t="n">
        <v>4900</v>
      </c>
      <c r="F221" s="212" t="inlineStr">
        <is>
          <t>In production</t>
        </is>
      </c>
      <c r="G221" s="212" t="inlineStr">
        <is>
          <t>≈ 4 ft 0 in</t>
        </is>
      </c>
      <c r="H221" s="212" t="n">
        <v>55.1</v>
      </c>
      <c r="I221" s="212" t="inlineStr">
        <is>
          <t>20 (Air) · 26 (Standard) · 26–40 (EDU with hands)</t>
        </is>
      </c>
      <c r="J221" s="212" t="n">
        <v>22</v>
      </c>
      <c r="K221" s="212" t="n">
        <v>5.59</v>
      </c>
      <c r="L221" s="212" t="inlineStr">
        <is>
          <t>Hot-swap · ≈ 1 hour typical</t>
        </is>
      </c>
      <c r="M221" s="212" t="n">
        <v>3</v>
      </c>
      <c r="N221" s="212" t="n">
        <v>3</v>
      </c>
      <c r="O221" s="212" t="inlineStr">
        <is>
          <t>Both</t>
        </is>
      </c>
      <c r="P221" s="212" t="inlineStr">
        <is>
          <t>r1</t>
        </is>
      </c>
      <c r="Q221" s="212" t="inlineStr">
        <is>
          <t>https://humanoid.guide/product/unitree-r1/</t>
        </is>
      </c>
    </row>
    <row r="222" ht="18" customHeight="1" s="102">
      <c r="A222" s="214" t="inlineStr">
        <is>
          <t>Unitree Robotics</t>
        </is>
      </c>
      <c r="B222" s="214" t="inlineStr">
        <is>
          <t>H2 Plus</t>
        </is>
      </c>
      <c r="C222" s="214" t="inlineStr">
        <is>
          <t>China</t>
        </is>
      </c>
      <c r="D222" s="214" t="n"/>
      <c r="E222" s="215" t="n">
        <v>80000</v>
      </c>
      <c r="F222" s="214" t="inlineStr">
        <is>
          <t>Limited production / pilot deployments</t>
        </is>
      </c>
      <c r="G222" s="214" t="inlineStr">
        <is>
          <t>5 ft 11 in</t>
        </is>
      </c>
      <c r="H222" s="214" t="n">
        <v>149.9</v>
      </c>
      <c r="I222" s="214" t="inlineStr">
        <is>
          <t>75</t>
        </is>
      </c>
      <c r="J222" s="214" t="n">
        <v>33.1</v>
      </c>
      <c r="K222" s="214" t="n">
        <v>4.35</v>
      </c>
      <c r="L222" s="214" t="inlineStr">
        <is>
          <t>≈ 3 hours</t>
        </is>
      </c>
      <c r="M222" s="214" t="n"/>
      <c r="N222" s="214" t="n"/>
      <c r="O222" s="214" t="inlineStr">
        <is>
          <t>Humanoid.guide</t>
        </is>
      </c>
      <c r="P222" s="214" t="inlineStr">
        <is>
          <t>unitree_robotics_h2_plus</t>
        </is>
      </c>
      <c r="Q222" s="214" t="inlineStr">
        <is>
          <t>https://humanoid.guide/product/h2-plus/</t>
        </is>
      </c>
    </row>
    <row r="223" ht="18" customHeight="1" s="102">
      <c r="A223" s="212" t="inlineStr">
        <is>
          <t>Unitree Robotics</t>
        </is>
      </c>
      <c r="B223" s="212" t="inlineStr">
        <is>
          <t>Superman</t>
        </is>
      </c>
      <c r="C223" s="212" t="inlineStr">
        <is>
          <t>China</t>
        </is>
      </c>
      <c r="D223" s="212" t="n">
        <v>2026</v>
      </c>
      <c r="E223" s="213" t="n">
        <v>55000</v>
      </c>
      <c r="F223" s="212" t="inlineStr">
        <is>
          <t>Prototype</t>
        </is>
      </c>
      <c r="G223" s="212" t="inlineStr">
        <is>
          <t>5 ft 7 in</t>
        </is>
      </c>
      <c r="H223" s="212" t="n">
        <v>99.2</v>
      </c>
      <c r="I223" s="212" t="inlineStr">
        <is>
          <t>20</t>
        </is>
      </c>
      <c r="J223" s="212" t="n">
        <v>13.2</v>
      </c>
      <c r="K223" s="212" t="n">
        <v>28.33</v>
      </c>
      <c r="L223" s="212" t="inlineStr">
        <is>
          <t>≈ 1.5 hours</t>
        </is>
      </c>
      <c r="M223" s="212" t="n"/>
      <c r="N223" s="212" t="n"/>
      <c r="O223" s="212" t="inlineStr">
        <is>
          <t>Humanoid.guide</t>
        </is>
      </c>
      <c r="P223" s="212" t="inlineStr">
        <is>
          <t>unitree_robotics_superman</t>
        </is>
      </c>
      <c r="Q223" s="212" t="inlineStr">
        <is>
          <t>https://humanoid.guide/product/superman/</t>
        </is>
      </c>
    </row>
    <row r="224" ht="18" customHeight="1" s="102">
      <c r="A224" s="214" t="inlineStr">
        <is>
          <t>Unix Group</t>
        </is>
      </c>
      <c r="B224" s="214" t="inlineStr">
        <is>
          <t>Martian</t>
        </is>
      </c>
      <c r="C224" s="214" t="inlineStr">
        <is>
          <t>China</t>
        </is>
      </c>
      <c r="D224" s="214" t="n"/>
      <c r="E224" s="215" t="n">
        <v>125000</v>
      </c>
      <c r="F224" s="214" t="inlineStr">
        <is>
          <t>Prototype</t>
        </is>
      </c>
      <c r="G224" s="214" t="inlineStr">
        <is>
          <t>5 ft 3 in</t>
        </is>
      </c>
      <c r="H224" s="214" t="n">
        <v>110.2</v>
      </c>
      <c r="I224" s="214" t="inlineStr">
        <is>
          <t>16</t>
        </is>
      </c>
      <c r="J224" s="214" t="n">
        <v>110.2</v>
      </c>
      <c r="K224" s="214" t="n">
        <v>6.21</v>
      </c>
      <c r="L224" s="214" t="inlineStr">
        <is>
          <t>≈ 9 hours</t>
        </is>
      </c>
      <c r="M224" s="214" t="n"/>
      <c r="N224" s="214" t="n"/>
      <c r="O224" s="214" t="inlineStr">
        <is>
          <t>Humanoid.guide</t>
        </is>
      </c>
      <c r="P224" s="214" t="inlineStr">
        <is>
          <t>unix_group_martian</t>
        </is>
      </c>
      <c r="Q224" s="214" t="inlineStr">
        <is>
          <t>https://humanoid.guide/product/martian/</t>
        </is>
      </c>
    </row>
    <row r="225" ht="18" customHeight="1" s="102">
      <c r="A225" s="212" t="inlineStr">
        <is>
          <t>Unix Group</t>
        </is>
      </c>
      <c r="B225" s="212" t="inlineStr">
        <is>
          <t>Panther</t>
        </is>
      </c>
      <c r="C225" s="212" t="inlineStr">
        <is>
          <t>China</t>
        </is>
      </c>
      <c r="D225" s="212" t="n"/>
      <c r="E225" s="213" t="n">
        <v>115000</v>
      </c>
      <c r="F225" s="212" t="inlineStr">
        <is>
          <t>Advanced prototype / pilot industrial deployment</t>
        </is>
      </c>
      <c r="G225" s="212" t="inlineStr">
        <is>
          <t>5 ft 3 in</t>
        </is>
      </c>
      <c r="H225" s="216" t="inlineStr">
        <is>
          <t>Not disclosed</t>
        </is>
      </c>
      <c r="I225" s="212" t="inlineStr">
        <is>
          <t>34</t>
        </is>
      </c>
      <c r="J225" s="212" t="n">
        <v>26.5</v>
      </c>
      <c r="K225" s="212" t="n">
        <v>3.36</v>
      </c>
      <c r="L225" s="212" t="inlineStr">
        <is>
          <t>8 - 16</t>
        </is>
      </c>
      <c r="M225" s="212" t="n"/>
      <c r="N225" s="212" t="n"/>
      <c r="O225" s="212" t="inlineStr">
        <is>
          <t>Humanoid.guide</t>
        </is>
      </c>
      <c r="P225" s="212" t="inlineStr">
        <is>
          <t>unix_group_panther</t>
        </is>
      </c>
      <c r="Q225" s="212" t="inlineStr">
        <is>
          <t>https://humanoid.guide/product/panther/</t>
        </is>
      </c>
    </row>
    <row r="226" ht="18" customHeight="1" s="102">
      <c r="A226" s="214" t="inlineStr">
        <is>
          <t>Unix Group</t>
        </is>
      </c>
      <c r="B226" s="214" t="inlineStr">
        <is>
          <t>Wanda 2.0</t>
        </is>
      </c>
      <c r="C226" s="214" t="inlineStr">
        <is>
          <t>China</t>
        </is>
      </c>
      <c r="D226" s="214" t="n"/>
      <c r="E226" s="215" t="n">
        <v>120000</v>
      </c>
      <c r="F226" s="214" t="inlineStr">
        <is>
          <t>In production</t>
        </is>
      </c>
      <c r="G226" s="214" t="inlineStr">
        <is>
          <t>4 ft 8 in</t>
        </is>
      </c>
      <c r="H226" s="217" t="inlineStr">
        <is>
          <t>Not disclosed</t>
        </is>
      </c>
      <c r="I226" s="214" t="inlineStr">
        <is>
          <t>22</t>
        </is>
      </c>
      <c r="J226" s="214" t="n">
        <v>26.5</v>
      </c>
      <c r="K226" s="214" t="n">
        <v>3.36</v>
      </c>
      <c r="L226" s="214" t="inlineStr">
        <is>
          <t>8 - 16</t>
        </is>
      </c>
      <c r="M226" s="214" t="n"/>
      <c r="N226" s="214" t="n"/>
      <c r="O226" s="214" t="inlineStr">
        <is>
          <t>Humanoid.guide</t>
        </is>
      </c>
      <c r="P226" s="214" t="inlineStr">
        <is>
          <t>unix_group_wanda_2_0</t>
        </is>
      </c>
      <c r="Q226" s="214" t="inlineStr">
        <is>
          <t>https://humanoid.guide/product/wanda-2-0/</t>
        </is>
      </c>
    </row>
    <row r="227" ht="18" customHeight="1" s="102">
      <c r="A227" s="212" t="inlineStr">
        <is>
          <t>VinDynamics</t>
        </is>
      </c>
      <c r="B227" s="212" t="inlineStr">
        <is>
          <t>Dyno</t>
        </is>
      </c>
      <c r="C227" s="212" t="inlineStr">
        <is>
          <t>Vietnam</t>
        </is>
      </c>
      <c r="D227" s="212" t="n">
        <v>2025</v>
      </c>
      <c r="E227" s="213" t="n">
        <v>50000</v>
      </c>
      <c r="F227" s="212" t="n"/>
      <c r="G227" s="216" t="inlineStr">
        <is>
          <t>Not disclosed</t>
        </is>
      </c>
      <c r="H227" s="216" t="inlineStr">
        <is>
          <t>Not disclosed</t>
        </is>
      </c>
      <c r="I227" s="216" t="inlineStr">
        <is>
          <t>Not disclosed</t>
        </is>
      </c>
      <c r="J227" s="216" t="inlineStr">
        <is>
          <t>Not disclosed</t>
        </is>
      </c>
      <c r="K227" s="216" t="inlineStr">
        <is>
          <t>Not disclosed</t>
        </is>
      </c>
      <c r="L227" s="216" t="inlineStr">
        <is>
          <t>Not disclosed</t>
        </is>
      </c>
      <c r="M227" s="212" t="n"/>
      <c r="N227" s="212" t="n"/>
      <c r="O227" s="212" t="inlineStr">
        <is>
          <t>Website</t>
        </is>
      </c>
      <c r="P227" s="212" t="inlineStr">
        <is>
          <t>vindynamics_vingroup_dyno</t>
        </is>
      </c>
      <c r="Q227" s="212" t="n"/>
    </row>
    <row r="228" ht="18" customHeight="1" s="102">
      <c r="A228" s="214" t="inlineStr">
        <is>
          <t>VinMotion</t>
        </is>
      </c>
      <c r="B228" s="214" t="inlineStr">
        <is>
          <t>Motion 2</t>
        </is>
      </c>
      <c r="C228" s="214" t="inlineStr">
        <is>
          <t>Vietnam</t>
        </is>
      </c>
      <c r="D228" s="214" t="n">
        <v>2025</v>
      </c>
      <c r="E228" s="215" t="n">
        <v>50000</v>
      </c>
      <c r="F228" s="214" t="inlineStr">
        <is>
          <t>Prototype</t>
        </is>
      </c>
      <c r="G228" s="214" t="inlineStr">
        <is>
          <t>5 ft 3 in</t>
        </is>
      </c>
      <c r="H228" s="214" t="n">
        <v>132.3</v>
      </c>
      <c r="I228" s="214" t="inlineStr">
        <is>
          <t>~32–40</t>
        </is>
      </c>
      <c r="J228" s="214" t="n">
        <v>22</v>
      </c>
      <c r="K228" s="214" t="n">
        <v>2.49</v>
      </c>
      <c r="L228" s="214" t="inlineStr">
        <is>
          <t>≈ 4 hours</t>
        </is>
      </c>
      <c r="M228" s="214" t="n"/>
      <c r="N228" s="214" t="n"/>
      <c r="O228" s="214" t="inlineStr">
        <is>
          <t>Both</t>
        </is>
      </c>
      <c r="P228" s="214" t="inlineStr">
        <is>
          <t>vinmotion_vingroup_motion_series</t>
        </is>
      </c>
      <c r="Q228" s="214" t="inlineStr">
        <is>
          <t>https://humanoid.guide/product/motion-2/</t>
        </is>
      </c>
    </row>
    <row r="229" ht="18" customHeight="1" s="102">
      <c r="A229" s="212" t="inlineStr">
        <is>
          <t>VinRobotics</t>
        </is>
      </c>
      <c r="B229" s="212" t="inlineStr">
        <is>
          <t>VR-H3</t>
        </is>
      </c>
      <c r="C229" s="212" t="inlineStr">
        <is>
          <t>Vietnam</t>
        </is>
      </c>
      <c r="D229" s="212" t="n">
        <v>2024</v>
      </c>
      <c r="E229" s="213" t="n">
        <v>50000</v>
      </c>
      <c r="F229" s="212" t="n"/>
      <c r="G229" s="212" t="inlineStr">
        <is>
          <t>— (industrial form)</t>
        </is>
      </c>
      <c r="H229" s="216" t="inlineStr">
        <is>
          <t>Not disclosed</t>
        </is>
      </c>
      <c r="I229" s="212" t="inlineStr">
        <is>
          <t>31+ actuators</t>
        </is>
      </c>
      <c r="J229" s="212" t="inlineStr">
        <is>
          <t>6–8 lb</t>
        </is>
      </c>
      <c r="K229" s="216" t="inlineStr">
        <is>
          <t>Not disclosed</t>
        </is>
      </c>
      <c r="L229" s="216" t="inlineStr">
        <is>
          <t>Not disclosed</t>
        </is>
      </c>
      <c r="M229" s="212" t="n"/>
      <c r="N229" s="212" t="n"/>
      <c r="O229" s="212" t="inlineStr">
        <is>
          <t>Website</t>
        </is>
      </c>
      <c r="P229" s="212" t="inlineStr">
        <is>
          <t>vinrobotics_vingroup_vr_h3</t>
        </is>
      </c>
      <c r="Q229" s="212" t="n"/>
    </row>
    <row r="230" ht="18" customHeight="1" s="102">
      <c r="A230" s="214" t="inlineStr">
        <is>
          <t>Wandercraft</t>
        </is>
      </c>
      <c r="B230" s="214" t="inlineStr">
        <is>
          <t>CALVIN-40</t>
        </is>
      </c>
      <c r="C230" s="214" t="inlineStr">
        <is>
          <t>France</t>
        </is>
      </c>
      <c r="D230" s="214" t="n"/>
      <c r="E230" s="215" t="n">
        <v>65000</v>
      </c>
      <c r="F230" s="214" t="inlineStr">
        <is>
          <t>Limited production / pilot deployments</t>
        </is>
      </c>
      <c r="G230" s="214" t="inlineStr">
        <is>
          <t>5 ft 7 in</t>
        </is>
      </c>
      <c r="H230" s="214" t="n">
        <v>176.4</v>
      </c>
      <c r="I230" s="214" t="inlineStr">
        <is>
          <t>28</t>
        </is>
      </c>
      <c r="J230" s="214" t="n">
        <v>88.2</v>
      </c>
      <c r="K230" s="214" t="n">
        <v>1.86</v>
      </c>
      <c r="L230" s="214" t="inlineStr">
        <is>
          <t>≈ 4 hours</t>
        </is>
      </c>
      <c r="M230" s="214" t="n"/>
      <c r="N230" s="214" t="n"/>
      <c r="O230" s="214" t="inlineStr">
        <is>
          <t>Humanoid.guide</t>
        </is>
      </c>
      <c r="P230" s="214" t="inlineStr">
        <is>
          <t>wandercraft_calvin_40</t>
        </is>
      </c>
      <c r="Q230" s="214" t="inlineStr">
        <is>
          <t>https://humanoid.guide/product/calvin-40/</t>
        </is>
      </c>
    </row>
    <row r="231" ht="18" customHeight="1" s="102">
      <c r="A231" s="212" t="inlineStr">
        <is>
          <t>Weave Robotics, Inc.</t>
        </is>
      </c>
      <c r="B231" s="212" t="inlineStr">
        <is>
          <t>Isaac 0</t>
        </is>
      </c>
      <c r="C231" s="212" t="inlineStr">
        <is>
          <t>USA</t>
        </is>
      </c>
      <c r="D231" s="212" t="n"/>
      <c r="E231" s="213" t="n">
        <v>7999</v>
      </c>
      <c r="F231" s="212" t="inlineStr">
        <is>
          <t>In production</t>
        </is>
      </c>
      <c r="G231" s="212" t="inlineStr">
        <is>
          <t>5 ft 7 in</t>
        </is>
      </c>
      <c r="H231" s="216" t="inlineStr">
        <is>
          <t>Not disclosed</t>
        </is>
      </c>
      <c r="I231" s="212" t="inlineStr">
        <is>
          <t>17</t>
        </is>
      </c>
      <c r="J231" s="212" t="n">
        <v>30.9</v>
      </c>
      <c r="K231" s="212" t="n">
        <v>0</v>
      </c>
      <c r="L231" s="212" t="inlineStr">
        <is>
          <t>Plug-in device (no battery)</t>
        </is>
      </c>
      <c r="M231" s="212" t="n"/>
      <c r="N231" s="212" t="n"/>
      <c r="O231" s="212" t="inlineStr">
        <is>
          <t>Humanoid.guide</t>
        </is>
      </c>
      <c r="P231" s="212" t="inlineStr">
        <is>
          <t>weave_robotics_inc_isaac_0</t>
        </is>
      </c>
      <c r="Q231" s="212" t="inlineStr">
        <is>
          <t>https://humanoid.guide/product/isaac-0/</t>
        </is>
      </c>
    </row>
    <row r="232" ht="18" customHeight="1" s="102">
      <c r="A232" s="214" t="inlineStr">
        <is>
          <t>Weave Robotics, Inc.</t>
        </is>
      </c>
      <c r="B232" s="214" t="inlineStr">
        <is>
          <t>Isaac 1</t>
        </is>
      </c>
      <c r="C232" s="214" t="inlineStr">
        <is>
          <t>USA</t>
        </is>
      </c>
      <c r="D232" s="214" t="n"/>
      <c r="E232" s="215" t="n">
        <v>7999</v>
      </c>
      <c r="F232" s="214" t="inlineStr">
        <is>
          <t>pre-order</t>
        </is>
      </c>
      <c r="G232" s="214" t="inlineStr">
        <is>
          <t>5 ft 3 in</t>
        </is>
      </c>
      <c r="H232" s="214" t="n">
        <v>88.2</v>
      </c>
      <c r="I232" s="214" t="inlineStr">
        <is>
          <t>21</t>
        </is>
      </c>
      <c r="J232" s="214" t="n">
        <v>22</v>
      </c>
      <c r="K232" s="214" t="n">
        <v>3.11</v>
      </c>
      <c r="L232" s="214" t="inlineStr">
        <is>
          <t>≈ 8 hours</t>
        </is>
      </c>
      <c r="M232" s="214" t="n"/>
      <c r="N232" s="214" t="n"/>
      <c r="O232" s="214" t="inlineStr">
        <is>
          <t>Humanoid.guide</t>
        </is>
      </c>
      <c r="P232" s="214" t="inlineStr">
        <is>
          <t>weave_robotics_inc_isaac_1</t>
        </is>
      </c>
      <c r="Q232" s="214" t="inlineStr">
        <is>
          <t>https://humanoid.guide/product/isaac-1/</t>
        </is>
      </c>
    </row>
    <row r="233" ht="18" customHeight="1" s="102">
      <c r="A233" s="212" t="inlineStr">
        <is>
          <t>Westwood Robotics</t>
        </is>
      </c>
      <c r="B233" s="212" t="inlineStr">
        <is>
          <t>THEMIS V2</t>
        </is>
      </c>
      <c r="C233" s="212" t="inlineStr">
        <is>
          <t>USA</t>
        </is>
      </c>
      <c r="D233" s="212" t="n"/>
      <c r="E233" s="213" t="n">
        <v>69890</v>
      </c>
      <c r="F233" s="212" t="inlineStr">
        <is>
          <t>In production</t>
        </is>
      </c>
      <c r="G233" s="212" t="inlineStr">
        <is>
          <t>5 ft 3 in</t>
        </is>
      </c>
      <c r="H233" s="212" t="n">
        <v>70.5</v>
      </c>
      <c r="I233" s="212" t="inlineStr">
        <is>
          <t>40</t>
        </is>
      </c>
      <c r="J233" s="212" t="n">
        <v>33.1</v>
      </c>
      <c r="K233" s="212" t="n">
        <v>6.21</v>
      </c>
      <c r="L233" s="216" t="inlineStr">
        <is>
          <t>Not disclosed</t>
        </is>
      </c>
      <c r="M233" s="212" t="n">
        <v>2</v>
      </c>
      <c r="N233" s="212" t="n">
        <v>2</v>
      </c>
      <c r="O233" s="212" t="inlineStr">
        <is>
          <t>Humanoid.guide</t>
        </is>
      </c>
      <c r="P233" s="212" t="inlineStr">
        <is>
          <t>westwood_robotics_themis_v2</t>
        </is>
      </c>
      <c r="Q233" s="212" t="inlineStr">
        <is>
          <t>https://humanoid.guide/product/themis-v2/</t>
        </is>
      </c>
    </row>
    <row r="234" ht="18" customHeight="1" s="102">
      <c r="A234" s="214" t="inlineStr">
        <is>
          <t>WIRobotics</t>
        </is>
      </c>
      <c r="B234" s="214" t="inlineStr">
        <is>
          <t>ALLEX</t>
        </is>
      </c>
      <c r="C234" s="214" t="inlineStr">
        <is>
          <t>South Korea</t>
        </is>
      </c>
      <c r="D234" s="214" t="n"/>
      <c r="E234" s="215" t="n">
        <v>180000</v>
      </c>
      <c r="F234" s="214" t="inlineStr">
        <is>
          <t>Prototype</t>
        </is>
      </c>
      <c r="G234" s="217" t="inlineStr">
        <is>
          <t>Not disclosed</t>
        </is>
      </c>
      <c r="H234" s="217" t="inlineStr">
        <is>
          <t>Not disclosed</t>
        </is>
      </c>
      <c r="I234" s="217" t="inlineStr">
        <is>
          <t>Not disclosed</t>
        </is>
      </c>
      <c r="J234" s="214" t="n">
        <v>66.09999999999999</v>
      </c>
      <c r="K234" s="214" t="n">
        <v>0</v>
      </c>
      <c r="L234" s="217" t="inlineStr">
        <is>
          <t>Not disclosed</t>
        </is>
      </c>
      <c r="M234" s="214" t="n">
        <v>2</v>
      </c>
      <c r="N234" s="214" t="n">
        <v>2</v>
      </c>
      <c r="O234" s="214" t="inlineStr">
        <is>
          <t>Humanoid.guide</t>
        </is>
      </c>
      <c r="P234" s="214" t="inlineStr">
        <is>
          <t>wirobotics_allex</t>
        </is>
      </c>
      <c r="Q234" s="214" t="inlineStr">
        <is>
          <t>https://humanoid.guide/product/allex/</t>
        </is>
      </c>
    </row>
    <row r="235" ht="18" customHeight="1" s="102">
      <c r="A235" s="212" t="inlineStr">
        <is>
          <t>WL Robotics (WL Robo)</t>
        </is>
      </c>
      <c r="B235" s="212" t="inlineStr">
        <is>
          <t>Totan O1</t>
        </is>
      </c>
      <c r="C235" s="212" t="inlineStr">
        <is>
          <t>China</t>
        </is>
      </c>
      <c r="D235" s="212" t="n"/>
      <c r="E235" s="213" t="n">
        <v>60000</v>
      </c>
      <c r="F235" s="212" t="inlineStr">
        <is>
          <t>Limited production / pilot deployments</t>
        </is>
      </c>
      <c r="G235" s="212" t="inlineStr">
        <is>
          <t>4 ft 5 in</t>
        </is>
      </c>
      <c r="H235" s="212" t="n">
        <v>75</v>
      </c>
      <c r="I235" s="212" t="inlineStr">
        <is>
          <t>30</t>
        </is>
      </c>
      <c r="J235" s="212" t="n">
        <v>22</v>
      </c>
      <c r="K235" s="212" t="n">
        <v>2.49</v>
      </c>
      <c r="L235" s="212" t="inlineStr">
        <is>
          <t>1.5 – 2.5</t>
        </is>
      </c>
      <c r="M235" s="212" t="n"/>
      <c r="N235" s="212" t="n"/>
      <c r="O235" s="212" t="inlineStr">
        <is>
          <t>Humanoid.guide</t>
        </is>
      </c>
      <c r="P235" s="212" t="inlineStr">
        <is>
          <t>wl_robotics_wl_robo_totan_o1</t>
        </is>
      </c>
      <c r="Q235" s="212" t="inlineStr">
        <is>
          <t>https://humanoid.guide/product/totan-o1/</t>
        </is>
      </c>
    </row>
    <row r="236" ht="18" customHeight="1" s="102">
      <c r="A236" s="214" t="inlineStr">
        <is>
          <t>WorkFar Technologies (USA)</t>
        </is>
      </c>
      <c r="B236" s="214" t="inlineStr">
        <is>
          <t>Syntro</t>
        </is>
      </c>
      <c r="C236" s="214" t="inlineStr">
        <is>
          <t>USA</t>
        </is>
      </c>
      <c r="D236" s="214" t="n"/>
      <c r="E236" s="215" t="n">
        <v>29999</v>
      </c>
      <c r="F236" s="214" t="inlineStr">
        <is>
          <t>In production</t>
        </is>
      </c>
      <c r="G236" s="214" t="inlineStr">
        <is>
          <t>5 ft 7 in</t>
        </is>
      </c>
      <c r="H236" s="214" t="n">
        <v>238.1</v>
      </c>
      <c r="I236" s="214" t="inlineStr">
        <is>
          <t>45</t>
        </is>
      </c>
      <c r="J236" s="214" t="n">
        <v>44.1</v>
      </c>
      <c r="K236" s="214" t="n">
        <v>1.86</v>
      </c>
      <c r="L236" s="214" t="inlineStr">
        <is>
          <t>Swappable Batteries 1.2 kWh / Run Time: 6-10 Hours / Charge Time: 6-10 Hours</t>
        </is>
      </c>
      <c r="M236" s="214" t="n"/>
      <c r="N236" s="214" t="n"/>
      <c r="O236" s="214" t="inlineStr">
        <is>
          <t>Humanoid.guide</t>
        </is>
      </c>
      <c r="P236" s="214" t="inlineStr">
        <is>
          <t>workfar_technologies_usa_syntro</t>
        </is>
      </c>
      <c r="Q236" s="214" t="inlineStr">
        <is>
          <t>https://humanoid.guide/product/syntro/</t>
        </is>
      </c>
    </row>
    <row r="237" ht="18" customHeight="1" s="102">
      <c r="A237" s="212" t="inlineStr">
        <is>
          <t>X-Humanoid</t>
        </is>
      </c>
      <c r="B237" s="212" t="inlineStr">
        <is>
          <t>Omni</t>
        </is>
      </c>
      <c r="C237" s="212" t="inlineStr">
        <is>
          <t>China</t>
        </is>
      </c>
      <c r="D237" s="212" t="n"/>
      <c r="E237" s="213" t="n">
        <v>75000</v>
      </c>
      <c r="F237" s="212" t="inlineStr">
        <is>
          <t>Prototype</t>
        </is>
      </c>
      <c r="G237" s="212" t="inlineStr">
        <is>
          <t>5 ft 5 in</t>
        </is>
      </c>
      <c r="H237" s="212" t="n">
        <v>121.3</v>
      </c>
      <c r="I237" s="212" t="inlineStr">
        <is>
          <t>32</t>
        </is>
      </c>
      <c r="J237" s="212" t="n">
        <v>22</v>
      </c>
      <c r="K237" s="212" t="n">
        <v>3.11</v>
      </c>
      <c r="L237" s="212" t="inlineStr">
        <is>
          <t>≈ 2 hours</t>
        </is>
      </c>
      <c r="M237" s="212" t="n"/>
      <c r="N237" s="212" t="n"/>
      <c r="O237" s="212" t="inlineStr">
        <is>
          <t>Humanoid.guide</t>
        </is>
      </c>
      <c r="P237" s="212" t="inlineStr">
        <is>
          <t>x_humanoid_omni</t>
        </is>
      </c>
      <c r="Q237" s="212" t="inlineStr">
        <is>
          <t>https://humanoid.guide/product/omni/</t>
        </is>
      </c>
    </row>
    <row r="238" ht="18" customHeight="1" s="102">
      <c r="A238" s="214" t="inlineStr">
        <is>
          <t>X-Humanoid</t>
        </is>
      </c>
      <c r="B238" s="214" t="inlineStr">
        <is>
          <t>Tian Yi 2.0</t>
        </is>
      </c>
      <c r="C238" s="214" t="inlineStr">
        <is>
          <t>China</t>
        </is>
      </c>
      <c r="D238" s="214" t="n"/>
      <c r="E238" s="215" t="n">
        <v>60000</v>
      </c>
      <c r="F238" s="214" t="inlineStr">
        <is>
          <t>In production</t>
        </is>
      </c>
      <c r="G238" s="214" t="inlineStr">
        <is>
          <t>5 ft 3 in</t>
        </is>
      </c>
      <c r="H238" s="217" t="inlineStr">
        <is>
          <t>Not disclosed</t>
        </is>
      </c>
      <c r="I238" s="214" t="inlineStr">
        <is>
          <t>20; Not disclosed (likely 30+ with arms and base)</t>
        </is>
      </c>
      <c r="J238" s="214" t="n">
        <v>39.7</v>
      </c>
      <c r="K238" s="214" t="n">
        <v>4.35</v>
      </c>
      <c r="L238" s="217" t="inlineStr">
        <is>
          <t>Not disclosed</t>
        </is>
      </c>
      <c r="M238" s="214" t="n"/>
      <c r="N238" s="214" t="n"/>
      <c r="O238" s="214" t="inlineStr">
        <is>
          <t>Humanoid.guide</t>
        </is>
      </c>
      <c r="P238" s="214" t="inlineStr">
        <is>
          <t>x_humanoid_tian_yi_2_0</t>
        </is>
      </c>
      <c r="Q238" s="214" t="inlineStr">
        <is>
          <t>https://humanoid.guide/product/tian-yi-2-0/</t>
        </is>
      </c>
    </row>
    <row r="239" ht="18" customHeight="1" s="102">
      <c r="A239" s="212" t="inlineStr">
        <is>
          <t>X-Humanoid</t>
        </is>
      </c>
      <c r="B239" s="212" t="inlineStr">
        <is>
          <t>Tien Kung 2.0</t>
        </is>
      </c>
      <c r="C239" s="212" t="inlineStr">
        <is>
          <t>China</t>
        </is>
      </c>
      <c r="D239" s="212" t="n"/>
      <c r="E239" s="213" t="n">
        <v>41000</v>
      </c>
      <c r="F239" s="212" t="inlineStr">
        <is>
          <t>In production</t>
        </is>
      </c>
      <c r="G239" s="212" t="inlineStr">
        <is>
          <t>5 ft 7 in</t>
        </is>
      </c>
      <c r="H239" s="212" t="n">
        <v>154.3</v>
      </c>
      <c r="I239" s="212" t="inlineStr">
        <is>
          <t>20</t>
        </is>
      </c>
      <c r="J239" s="212" t="n">
        <v>26.5</v>
      </c>
      <c r="K239" s="212" t="n">
        <v>6.21</v>
      </c>
      <c r="L239" s="216" t="inlineStr">
        <is>
          <t>Not disclosed</t>
        </is>
      </c>
      <c r="M239" s="212" t="n"/>
      <c r="N239" s="212" t="n"/>
      <c r="O239" s="212" t="inlineStr">
        <is>
          <t>Humanoid.guide</t>
        </is>
      </c>
      <c r="P239" s="212" t="inlineStr">
        <is>
          <t>x_humanoid_tien_kung_2_0</t>
        </is>
      </c>
      <c r="Q239" s="212" t="inlineStr">
        <is>
          <t>https://humanoid.guide/product/tien-kung-2-0/</t>
        </is>
      </c>
    </row>
    <row r="240" ht="18" customHeight="1" s="102">
      <c r="A240" s="214" t="inlineStr">
        <is>
          <t>X-Humanoid</t>
        </is>
      </c>
      <c r="B240" s="214" t="inlineStr">
        <is>
          <t>Tien Kung 3.0</t>
        </is>
      </c>
      <c r="C240" s="214" t="inlineStr">
        <is>
          <t>China</t>
        </is>
      </c>
      <c r="D240" s="214" t="n">
        <v>2025</v>
      </c>
      <c r="E240" s="215" t="n">
        <v>41000</v>
      </c>
      <c r="F240" s="214" t="inlineStr">
        <is>
          <t>Prototype</t>
        </is>
      </c>
      <c r="G240" s="214" t="inlineStr">
        <is>
          <t>5 ft 5 in – 5 ft 10 in</t>
        </is>
      </c>
      <c r="H240" s="214" t="n">
        <v>136.7</v>
      </c>
      <c r="I240" s="214" t="inlineStr">
        <is>
          <t>High</t>
        </is>
      </c>
      <c r="J240" s="214" t="n">
        <v>33.1</v>
      </c>
      <c r="K240" s="214" t="n">
        <v>3.73</v>
      </c>
      <c r="L240" s="214" t="inlineStr">
        <is>
          <t>~1.5–2</t>
        </is>
      </c>
      <c r="M240" s="214" t="n"/>
      <c r="N240" s="214" t="n"/>
      <c r="O240" s="214" t="inlineStr">
        <is>
          <t>Both</t>
        </is>
      </c>
      <c r="P240" s="214" t="inlineStr">
        <is>
          <t>x_humanoid_beijing_humanoid_robot_innova</t>
        </is>
      </c>
      <c r="Q240" s="214" t="inlineStr">
        <is>
          <t>https://humanoid.guide/product/tien-kung-3-0/</t>
        </is>
      </c>
    </row>
    <row r="241" ht="18" customHeight="1" s="102">
      <c r="A241" s="212" t="inlineStr">
        <is>
          <t>X-Humanoid</t>
        </is>
      </c>
      <c r="B241" s="212" t="inlineStr">
        <is>
          <t>Tiangong Ultra</t>
        </is>
      </c>
      <c r="C241" s="212" t="inlineStr">
        <is>
          <t>China</t>
        </is>
      </c>
      <c r="D241" s="212" t="n">
        <v>2025</v>
      </c>
      <c r="E241" s="213" t="n">
        <v>41000</v>
      </c>
      <c r="F241" s="212" t="inlineStr">
        <is>
          <t>Prototype</t>
        </is>
      </c>
      <c r="G241" s="212" t="inlineStr">
        <is>
          <t>5 ft 5 in – 5 ft 10 in</t>
        </is>
      </c>
      <c r="H241" s="212" t="n">
        <v>136.7</v>
      </c>
      <c r="I241" s="212" t="inlineStr">
        <is>
          <t>High</t>
        </is>
      </c>
      <c r="J241" s="212" t="n">
        <v>33.1</v>
      </c>
      <c r="K241" s="212" t="n">
        <v>3.73</v>
      </c>
      <c r="L241" s="212" t="inlineStr">
        <is>
          <t>~1.5–2</t>
        </is>
      </c>
      <c r="M241" s="212" t="n"/>
      <c r="N241" s="212" t="n"/>
      <c r="O241" s="212" t="inlineStr">
        <is>
          <t>Both</t>
        </is>
      </c>
      <c r="P241" s="212" t="inlineStr">
        <is>
          <t>x_humanoid_beijing_humanoid_robot_innova_tiangon</t>
        </is>
      </c>
      <c r="Q241" s="212" t="inlineStr">
        <is>
          <t>https://humanoid.guide/product/tien-kung-3-0/</t>
        </is>
      </c>
    </row>
    <row r="242" ht="18" customHeight="1" s="102">
      <c r="A242" s="214" t="inlineStr">
        <is>
          <t>Xiaomi</t>
        </is>
      </c>
      <c r="B242" s="214" t="inlineStr">
        <is>
          <t>CyberOne</t>
        </is>
      </c>
      <c r="C242" s="214" t="inlineStr">
        <is>
          <t>China</t>
        </is>
      </c>
      <c r="D242" s="214" t="n"/>
      <c r="E242" s="215" t="n">
        <v>100000</v>
      </c>
      <c r="F242" s="214" t="inlineStr">
        <is>
          <t>Prototype</t>
        </is>
      </c>
      <c r="G242" s="214" t="inlineStr">
        <is>
          <t>5 ft 10 in</t>
        </is>
      </c>
      <c r="H242" s="214" t="n">
        <v>114.6</v>
      </c>
      <c r="I242" s="214" t="inlineStr">
        <is>
          <t>21</t>
        </is>
      </c>
      <c r="J242" s="214" t="n">
        <v>3.3</v>
      </c>
      <c r="K242" s="214" t="n">
        <v>2.49</v>
      </c>
      <c r="L242" s="214" t="inlineStr">
        <is>
          <t>≈ 3 hours</t>
        </is>
      </c>
      <c r="M242" s="214" t="n">
        <v>2</v>
      </c>
      <c r="N242" s="214" t="n">
        <v>2</v>
      </c>
      <c r="O242" s="214" t="inlineStr">
        <is>
          <t>Humanoid.guide</t>
        </is>
      </c>
      <c r="P242" s="214" t="inlineStr">
        <is>
          <t>xiaomi_cyberone</t>
        </is>
      </c>
      <c r="Q242" s="214" t="inlineStr">
        <is>
          <t>https://humanoid.guide/product/cyberone/</t>
        </is>
      </c>
    </row>
    <row r="243" ht="18" customHeight="1" s="102">
      <c r="A243" s="212" t="inlineStr">
        <is>
          <t>Xiaomi</t>
        </is>
      </c>
      <c r="B243" s="212" t="inlineStr">
        <is>
          <t>CyberOne v2</t>
        </is>
      </c>
      <c r="C243" s="212" t="inlineStr">
        <is>
          <t>China</t>
        </is>
      </c>
      <c r="D243" s="212" t="n">
        <v>2022</v>
      </c>
      <c r="E243" s="213" t="n">
        <v>50000</v>
      </c>
      <c r="F243" s="212" t="inlineStr">
        <is>
          <t>Prototype</t>
        </is>
      </c>
      <c r="G243" s="212" t="inlineStr">
        <is>
          <t>5 ft 7 in – 5 ft 10 in</t>
        </is>
      </c>
      <c r="H243" s="212" t="n">
        <v>114.6</v>
      </c>
      <c r="I243" s="212" t="inlineStr">
        <is>
          <t>21–66 (33 in hands latest)</t>
        </is>
      </c>
      <c r="J243" s="212" t="inlineStr">
        <is>
          <t>Low–moderate</t>
        </is>
      </c>
      <c r="K243" s="212" t="n">
        <v>2.24</v>
      </c>
      <c r="L243" s="212" t="inlineStr">
        <is>
          <t>≈ 3 hours</t>
        </is>
      </c>
      <c r="M243" s="212" t="n"/>
      <c r="N243" s="212" t="n"/>
      <c r="O243" s="212" t="inlineStr">
        <is>
          <t>Both</t>
        </is>
      </c>
      <c r="P243" s="212" t="inlineStr">
        <is>
          <t>xiaomi_cyberone_tieda_gen_2_factory</t>
        </is>
      </c>
      <c r="Q243" s="212" t="inlineStr">
        <is>
          <t>https://humanoid.guide/product/cyberone-v2/</t>
        </is>
      </c>
    </row>
    <row r="244" ht="18" customHeight="1" s="102">
      <c r="A244" s="214" t="inlineStr">
        <is>
          <t>Xpeng</t>
        </is>
      </c>
      <c r="B244" s="214" t="inlineStr">
        <is>
          <t>IRON</t>
        </is>
      </c>
      <c r="C244" s="214" t="inlineStr">
        <is>
          <t>China</t>
        </is>
      </c>
      <c r="D244" s="214" t="n"/>
      <c r="E244" s="215" t="n">
        <v>150000</v>
      </c>
      <c r="F244" s="214" t="inlineStr">
        <is>
          <t>Prototype</t>
        </is>
      </c>
      <c r="G244" s="214" t="inlineStr">
        <is>
          <t>5 ft 11 in</t>
        </is>
      </c>
      <c r="H244" s="214" t="n">
        <v>198.4</v>
      </c>
      <c r="I244" s="214" t="inlineStr">
        <is>
          <t>26</t>
        </is>
      </c>
      <c r="J244" s="214" t="n">
        <v>44.1</v>
      </c>
      <c r="K244" s="214" t="n">
        <v>3.11</v>
      </c>
      <c r="L244" s="214" t="inlineStr">
        <is>
          <t>≈ 4 hours</t>
        </is>
      </c>
      <c r="M244" s="214" t="n">
        <v>2</v>
      </c>
      <c r="N244" s="214" t="n">
        <v>2</v>
      </c>
      <c r="O244" s="214" t="inlineStr">
        <is>
          <t>Humanoid.guide</t>
        </is>
      </c>
      <c r="P244" s="214" t="inlineStr">
        <is>
          <t>xpeng_iron</t>
        </is>
      </c>
      <c r="Q244" s="214" t="inlineStr">
        <is>
          <t>https://humanoid.guide/product/iron_prototype/</t>
        </is>
      </c>
    </row>
    <row r="245" ht="18" customHeight="1" s="102">
      <c r="A245" s="212" t="inlineStr">
        <is>
          <t>Xpeng</t>
        </is>
      </c>
      <c r="B245" s="212" t="inlineStr">
        <is>
          <t>PX5</t>
        </is>
      </c>
      <c r="C245" s="212" t="inlineStr">
        <is>
          <t>China</t>
        </is>
      </c>
      <c r="D245" s="212" t="n"/>
      <c r="E245" s="213" t="n">
        <v>150000</v>
      </c>
      <c r="F245" s="212" t="inlineStr">
        <is>
          <t>Prototype</t>
        </is>
      </c>
      <c r="G245" s="212" t="inlineStr">
        <is>
          <t>4 ft 11 in</t>
        </is>
      </c>
      <c r="H245" s="212" t="n">
        <v>240.3</v>
      </c>
      <c r="I245" s="212" t="inlineStr">
        <is>
          <t>22</t>
        </is>
      </c>
      <c r="J245" s="212" t="n">
        <v>26.5</v>
      </c>
      <c r="K245" s="212" t="n">
        <v>3.11</v>
      </c>
      <c r="L245" s="212" t="inlineStr">
        <is>
          <t>≈ 1.5 hours</t>
        </is>
      </c>
      <c r="M245" s="212" t="n">
        <v>2</v>
      </c>
      <c r="N245" s="212" t="n">
        <v>2</v>
      </c>
      <c r="O245" s="212" t="inlineStr">
        <is>
          <t>Humanoid.guide</t>
        </is>
      </c>
      <c r="P245" s="212" t="inlineStr">
        <is>
          <t>xpeng_px5</t>
        </is>
      </c>
      <c r="Q245" s="212" t="inlineStr">
        <is>
          <t>https://humanoid.guide/product/px5/</t>
        </is>
      </c>
    </row>
    <row r="246" ht="18" customHeight="1" s="102">
      <c r="A246" s="214" t="inlineStr">
        <is>
          <t>XPENG Robotics</t>
        </is>
      </c>
      <c r="B246" s="214" t="inlineStr">
        <is>
          <t>IRON Gen 2</t>
        </is>
      </c>
      <c r="C246" s="214" t="inlineStr">
        <is>
          <t>China</t>
        </is>
      </c>
      <c r="D246" s="214" t="n">
        <v>2024</v>
      </c>
      <c r="E246" s="215" t="n">
        <v>50000</v>
      </c>
      <c r="F246" s="214" t="inlineStr">
        <is>
          <t>Prototype</t>
        </is>
      </c>
      <c r="G246" s="214" t="inlineStr">
        <is>
          <t>5 ft 8 in – 5 ft 10 in</t>
        </is>
      </c>
      <c r="H246" s="214" t="n">
        <v>154.3</v>
      </c>
      <c r="I246" s="214" t="inlineStr">
        <is>
          <t>76–82 (21–22 per hand)</t>
        </is>
      </c>
      <c r="J246" s="214" t="inlineStr">
        <is>
          <t>35 lb (reported)</t>
        </is>
      </c>
      <c r="K246" s="214" t="n">
        <v>4.35</v>
      </c>
      <c r="L246" s="214" t="inlineStr">
        <is>
          <t>≈ 4 hours</t>
        </is>
      </c>
      <c r="M246" s="214" t="n">
        <v>3</v>
      </c>
      <c r="N246" s="214" t="n">
        <v>3</v>
      </c>
      <c r="O246" s="214" t="inlineStr">
        <is>
          <t>Both</t>
        </is>
      </c>
      <c r="P246" s="214" t="inlineStr">
        <is>
          <t>xpeng_robotics_iron_gen_2_production</t>
        </is>
      </c>
      <c r="Q246" s="214" t="inlineStr">
        <is>
          <t>https://humanoid.guide/product/iron/</t>
        </is>
      </c>
    </row>
    <row r="247" ht="18" customHeight="1" s="102">
      <c r="A247" s="212" t="inlineStr">
        <is>
          <t>XYZ</t>
        </is>
      </c>
      <c r="B247" s="212" t="inlineStr">
        <is>
          <t>DEUX</t>
        </is>
      </c>
      <c r="C247" s="212" t="inlineStr">
        <is>
          <t>South Korea</t>
        </is>
      </c>
      <c r="D247" s="212" t="n"/>
      <c r="E247" s="213" t="n">
        <v>29900</v>
      </c>
      <c r="F247" s="212" t="inlineStr">
        <is>
          <t>In production</t>
        </is>
      </c>
      <c r="G247" s="212" t="inlineStr">
        <is>
          <t>5 ft 1 in</t>
        </is>
      </c>
      <c r="H247" s="212" t="n">
        <v>132.3</v>
      </c>
      <c r="I247" s="212" t="inlineStr">
        <is>
          <t>32</t>
        </is>
      </c>
      <c r="J247" s="212" t="n">
        <v>24.3</v>
      </c>
      <c r="K247" s="212" t="n">
        <v>3.11</v>
      </c>
      <c r="L247" s="216" t="inlineStr">
        <is>
          <t>Not disclosed</t>
        </is>
      </c>
      <c r="M247" s="212" t="n"/>
      <c r="N247" s="212" t="n"/>
      <c r="O247" s="212" t="inlineStr">
        <is>
          <t>Humanoid.guide</t>
        </is>
      </c>
      <c r="P247" s="212" t="inlineStr">
        <is>
          <t>xyz_deux</t>
        </is>
      </c>
      <c r="Q247" s="212" t="inlineStr">
        <is>
          <t>https://humanoid.guide/product/deux/</t>
        </is>
      </c>
    </row>
    <row r="248" ht="18" customHeight="1" s="102">
      <c r="A248" s="214" t="inlineStr">
        <is>
          <t>Zerith Robotics</t>
        </is>
      </c>
      <c r="B248" s="214" t="inlineStr">
        <is>
          <t>Zerith H1</t>
        </is>
      </c>
      <c r="C248" s="214" t="inlineStr">
        <is>
          <t>China</t>
        </is>
      </c>
      <c r="D248" s="214" t="n"/>
      <c r="E248" s="215" t="n">
        <v>80000</v>
      </c>
      <c r="F248" s="214" t="inlineStr">
        <is>
          <t>In production</t>
        </is>
      </c>
      <c r="G248" s="214" t="inlineStr">
        <is>
          <t>5 ft 11 in</t>
        </is>
      </c>
      <c r="H248" s="214" t="n">
        <v>121.3</v>
      </c>
      <c r="I248" s="214" t="inlineStr">
        <is>
          <t>23</t>
        </is>
      </c>
      <c r="J248" s="214" t="n">
        <v>22</v>
      </c>
      <c r="K248" s="214" t="n">
        <v>3.36</v>
      </c>
      <c r="L248" s="214" t="inlineStr">
        <is>
          <t>~3.5 – 4</t>
        </is>
      </c>
      <c r="M248" s="214" t="n"/>
      <c r="N248" s="214" t="n"/>
      <c r="O248" s="214" t="inlineStr">
        <is>
          <t>Humanoid.guide</t>
        </is>
      </c>
      <c r="P248" s="214" t="inlineStr">
        <is>
          <t>zerith_robotics_zerith_h1</t>
        </is>
      </c>
      <c r="Q248" s="214" t="inlineStr">
        <is>
          <t>https://humanoid.guide/product/zerith-h1/</t>
        </is>
      </c>
    </row>
    <row r="249" ht="18" customHeight="1" s="102">
      <c r="A249" s="212" t="inlineStr">
        <is>
          <t>Zerith Robotics</t>
        </is>
      </c>
      <c r="B249" s="212" t="inlineStr">
        <is>
          <t>Zerith Z1</t>
        </is>
      </c>
      <c r="C249" s="212" t="inlineStr">
        <is>
          <t>China</t>
        </is>
      </c>
      <c r="D249" s="212" t="n"/>
      <c r="E249" s="213" t="n">
        <v>120000</v>
      </c>
      <c r="F249" s="212" t="inlineStr">
        <is>
          <t>In production</t>
        </is>
      </c>
      <c r="G249" s="212" t="inlineStr">
        <is>
          <t>4 ft 9 in</t>
        </is>
      </c>
      <c r="H249" s="212" t="n">
        <v>72.8</v>
      </c>
      <c r="I249" s="212" t="inlineStr">
        <is>
          <t>27</t>
        </is>
      </c>
      <c r="J249" s="212" t="n">
        <v>17.6</v>
      </c>
      <c r="K249" s="212" t="n">
        <v>2.49</v>
      </c>
      <c r="L249" s="212" t="inlineStr">
        <is>
          <t>≈ 2 hours</t>
        </is>
      </c>
      <c r="M249" s="212" t="n"/>
      <c r="N249" s="212" t="n"/>
      <c r="O249" s="212" t="inlineStr">
        <is>
          <t>Humanoid.guide</t>
        </is>
      </c>
      <c r="P249" s="212" t="inlineStr">
        <is>
          <t>zerith_robotics_zerith_z1</t>
        </is>
      </c>
      <c r="Q249" s="212" t="inlineStr">
        <is>
          <t>https://humanoid.guide/product/zerith-z1/</t>
        </is>
      </c>
    </row>
    <row r="250" ht="18" customHeight="1" s="102">
      <c r="A250" s="214" t="inlineStr">
        <is>
          <t>Zeroth Robotics</t>
        </is>
      </c>
      <c r="B250" s="214" t="inlineStr">
        <is>
          <t>Sean</t>
        </is>
      </c>
      <c r="C250" s="214" t="inlineStr">
        <is>
          <t>China</t>
        </is>
      </c>
      <c r="D250" s="214" t="n"/>
      <c r="E250" s="215" t="n">
        <v>65000</v>
      </c>
      <c r="F250" s="214" t="inlineStr">
        <is>
          <t>Prototype</t>
        </is>
      </c>
      <c r="G250" s="214" t="inlineStr">
        <is>
          <t>5 ft 1 in</t>
        </is>
      </c>
      <c r="H250" s="214" t="n">
        <v>99.2</v>
      </c>
      <c r="I250" s="214" t="inlineStr">
        <is>
          <t>16</t>
        </is>
      </c>
      <c r="J250" s="214" t="n">
        <v>6.6</v>
      </c>
      <c r="K250" s="214" t="n">
        <v>1.86</v>
      </c>
      <c r="L250" s="214" t="inlineStr">
        <is>
          <t>≈ 2 hours</t>
        </is>
      </c>
      <c r="M250" s="214" t="n"/>
      <c r="N250" s="214" t="n"/>
      <c r="O250" s="214" t="inlineStr">
        <is>
          <t>Humanoid.guide</t>
        </is>
      </c>
      <c r="P250" s="214" t="inlineStr">
        <is>
          <t>zeroth_robotics_sean</t>
        </is>
      </c>
      <c r="Q250" s="214" t="inlineStr">
        <is>
          <t>https://humanoid.guide/product/sean/</t>
        </is>
      </c>
    </row>
    <row r="251" ht="18" customHeight="1" s="102">
      <c r="A251" s="212" t="inlineStr">
        <is>
          <t>Zhejiang Humanoid Robot Innovation Center</t>
        </is>
      </c>
      <c r="B251" s="212" t="inlineStr">
        <is>
          <t>NAVAI-I3</t>
        </is>
      </c>
      <c r="C251" s="212" t="inlineStr">
        <is>
          <t>China</t>
        </is>
      </c>
      <c r="D251" s="212" t="n"/>
      <c r="E251" s="213" t="n">
        <v>120000</v>
      </c>
      <c r="F251" s="212" t="inlineStr">
        <is>
          <t>Prototype</t>
        </is>
      </c>
      <c r="G251" s="212" t="inlineStr">
        <is>
          <t>5 ft 11 in</t>
        </is>
      </c>
      <c r="H251" s="212" t="n">
        <v>154.3</v>
      </c>
      <c r="I251" s="212" t="inlineStr">
        <is>
          <t>44</t>
        </is>
      </c>
      <c r="J251" s="212" t="n">
        <v>22</v>
      </c>
      <c r="K251" s="212" t="n">
        <v>5.59</v>
      </c>
      <c r="L251" s="212" t="inlineStr">
        <is>
          <t>≈ 2 hours</t>
        </is>
      </c>
      <c r="M251" s="212" t="n">
        <v>2</v>
      </c>
      <c r="N251" s="212" t="n">
        <v>4</v>
      </c>
      <c r="O251" s="212" t="inlineStr">
        <is>
          <t>Humanoid.guide</t>
        </is>
      </c>
      <c r="P251" s="212" t="inlineStr">
        <is>
          <t>zhejiang_humanoid_robot_innovation_center_navai</t>
        </is>
      </c>
      <c r="Q251" s="212" t="inlineStr">
        <is>
          <t>https://humanoid.guide/product/navai-i3/</t>
        </is>
      </c>
    </row>
    <row r="252" ht="18" customHeight="1" s="102">
      <c r="A252" s="214" t="inlineStr">
        <is>
          <t>Zhejiang Humanoid Robot Innovation Center</t>
        </is>
      </c>
      <c r="B252" s="214" t="inlineStr">
        <is>
          <t>Navigator 2</t>
        </is>
      </c>
      <c r="C252" s="214" t="inlineStr">
        <is>
          <t>China</t>
        </is>
      </c>
      <c r="D252" s="214" t="n">
        <v>2024</v>
      </c>
      <c r="E252" s="215" t="n">
        <v>100000</v>
      </c>
      <c r="F252" s="214" t="inlineStr">
        <is>
          <t>Prototype</t>
        </is>
      </c>
      <c r="G252" s="214" t="inlineStr">
        <is>
          <t>5 ft 5 in</t>
        </is>
      </c>
      <c r="H252" s="214" t="n">
        <v>132.3</v>
      </c>
      <c r="I252" s="214" t="inlineStr">
        <is>
          <t>20</t>
        </is>
      </c>
      <c r="J252" s="214" t="n">
        <v>11</v>
      </c>
      <c r="K252" s="214" t="n">
        <v>3.73</v>
      </c>
      <c r="L252" s="214" t="inlineStr">
        <is>
          <t>≈ 2 hours</t>
        </is>
      </c>
      <c r="M252" s="214" t="n">
        <v>2</v>
      </c>
      <c r="N252" s="214" t="n">
        <v>2</v>
      </c>
      <c r="O252" s="214" t="inlineStr">
        <is>
          <t>Humanoid.guide</t>
        </is>
      </c>
      <c r="P252" s="214" t="inlineStr">
        <is>
          <t>zhejiang_humanoid_robot_innovation_center_naviga</t>
        </is>
      </c>
      <c r="Q252" s="214" t="inlineStr">
        <is>
          <t>https://humanoid.guide/product/navigator-2/</t>
        </is>
      </c>
    </row>
    <row r="253" ht="18" customHeight="1" s="102">
      <c r="A253" s="212" t="inlineStr">
        <is>
          <t>KNOWIN (Knowin AI)</t>
        </is>
      </c>
      <c r="B253" s="212" t="inlineStr">
        <is>
          <t>Knowin-X1</t>
        </is>
      </c>
      <c r="C253" s="212" t="inlineStr">
        <is>
          <t>China</t>
        </is>
      </c>
      <c r="D253" s="212" t="n">
        <v>2026</v>
      </c>
      <c r="E253" s="213" t="n">
        <v>45000</v>
      </c>
      <c r="F253" s="212" t="n"/>
      <c r="G253" s="212" t="inlineStr">
        <is>
          <t>1 ft 4 in</t>
        </is>
      </c>
      <c r="H253" s="212" t="n">
        <v>110.2</v>
      </c>
      <c r="I253" s="212" t="n">
        <v>23</v>
      </c>
      <c r="J253" s="212" t="n">
        <v>13.2</v>
      </c>
      <c r="K253" s="216" t="inlineStr">
        <is>
          <t>Not disclosed</t>
        </is>
      </c>
      <c r="L253" s="216" t="inlineStr">
        <is>
          <t>Not disclosed</t>
        </is>
      </c>
      <c r="M253" s="212" t="n"/>
      <c r="N253" s="212" t="n"/>
      <c r="O253" s="212" t="inlineStr">
        <is>
          <t>AIXZD</t>
        </is>
      </c>
      <c r="P253" s="212" t="inlineStr">
        <is>
          <t>knowin_x1</t>
        </is>
      </c>
      <c r="Q253" s="212" t="n"/>
    </row>
    <row r="254" ht="18" customHeight="1" s="102">
      <c r="A254" s="214" t="inlineStr">
        <is>
          <t>Gento Robotics (Tianji Intelligence)</t>
        </is>
      </c>
      <c r="B254" s="214" t="inlineStr">
        <is>
          <t>GENTO Luna</t>
        </is>
      </c>
      <c r="C254" s="214" t="inlineStr">
        <is>
          <t>China</t>
        </is>
      </c>
      <c r="D254" s="214" t="n">
        <v>2026</v>
      </c>
      <c r="E254" s="215" t="n">
        <v>80000</v>
      </c>
      <c r="F254" s="214" t="n"/>
      <c r="G254" s="214" t="inlineStr">
        <is>
          <t>5 ft 7 in</t>
        </is>
      </c>
      <c r="H254" s="217" t="inlineStr">
        <is>
          <t>Not disclosed</t>
        </is>
      </c>
      <c r="I254" s="214" t="n">
        <v>26</v>
      </c>
      <c r="J254" s="214" t="n">
        <v>11</v>
      </c>
      <c r="K254" s="214" t="n">
        <v>3.4</v>
      </c>
      <c r="L254" s="217" t="inlineStr">
        <is>
          <t>Not disclosed</t>
        </is>
      </c>
      <c r="M254" s="214" t="n"/>
      <c r="N254" s="214" t="n"/>
      <c r="O254" s="214" t="inlineStr">
        <is>
          <t>AIXZD</t>
        </is>
      </c>
      <c r="P254" s="214" t="inlineStr">
        <is>
          <t>gento_luna</t>
        </is>
      </c>
      <c r="Q254" s="214" t="n"/>
    </row>
    <row r="255" ht="18" customHeight="1" s="102">
      <c r="A255" s="212" t="inlineStr">
        <is>
          <t>UBTECH Robotics</t>
        </is>
      </c>
      <c r="B255" s="212" t="inlineStr">
        <is>
          <t>Walker X</t>
        </is>
      </c>
      <c r="C255" s="212" t="inlineStr">
        <is>
          <t>China</t>
        </is>
      </c>
      <c r="D255" s="212" t="n">
        <v>2021</v>
      </c>
      <c r="E255" s="213" t="n">
        <v>150000</v>
      </c>
      <c r="F255" s="212" t="n"/>
      <c r="G255" s="212" t="inlineStr">
        <is>
          <t>4 ft 3 in</t>
        </is>
      </c>
      <c r="H255" s="212" t="n">
        <v>138.9</v>
      </c>
      <c r="I255" s="212" t="n">
        <v>41</v>
      </c>
      <c r="J255" s="212" t="n">
        <v>3.3</v>
      </c>
      <c r="K255" s="212" t="n">
        <v>1.9</v>
      </c>
      <c r="L255" s="216" t="inlineStr">
        <is>
          <t>Not disclosed</t>
        </is>
      </c>
      <c r="M255" s="212" t="n"/>
      <c r="N255" s="212" t="n"/>
      <c r="O255" s="212" t="inlineStr">
        <is>
          <t>AIXZD</t>
        </is>
      </c>
      <c r="P255" s="212" t="inlineStr">
        <is>
          <t>walker_x</t>
        </is>
      </c>
      <c r="Q255" s="212" t="n"/>
    </row>
    <row r="256" ht="18" customHeight="1" s="102">
      <c r="A256" s="214" t="inlineStr">
        <is>
          <t>UBTECH Robotics</t>
        </is>
      </c>
      <c r="B256" s="214" t="inlineStr">
        <is>
          <t>Alpha Mini</t>
        </is>
      </c>
      <c r="C256" s="214" t="inlineStr">
        <is>
          <t>China</t>
        </is>
      </c>
      <c r="D256" s="214" t="n">
        <v>2019</v>
      </c>
      <c r="E256" s="215" t="n">
        <v>599</v>
      </c>
      <c r="F256" s="214" t="n"/>
      <c r="G256" s="214" t="inlineStr">
        <is>
          <t>0 ft 9 in</t>
        </is>
      </c>
      <c r="H256" s="214" t="n">
        <v>3.5</v>
      </c>
      <c r="I256" s="214" t="n">
        <v>14</v>
      </c>
      <c r="J256" s="217" t="inlineStr">
        <is>
          <t>Not disclosed</t>
        </is>
      </c>
      <c r="K256" s="217" t="inlineStr">
        <is>
          <t>Not disclosed</t>
        </is>
      </c>
      <c r="L256" s="217" t="inlineStr">
        <is>
          <t>Not disclosed</t>
        </is>
      </c>
      <c r="M256" s="214" t="n"/>
      <c r="N256" s="214" t="n"/>
      <c r="O256" s="214" t="inlineStr">
        <is>
          <t>AIXZD</t>
        </is>
      </c>
      <c r="P256" s="214" t="inlineStr">
        <is>
          <t>alpha_mini</t>
        </is>
      </c>
      <c r="Q256" s="214" t="n"/>
    </row>
    <row r="257" ht="18" customHeight="1" s="102">
      <c r="A257" s="212" t="inlineStr">
        <is>
          <t>PNDbotics</t>
        </is>
      </c>
      <c r="B257" s="212" t="inlineStr">
        <is>
          <t>Adam-U</t>
        </is>
      </c>
      <c r="C257" s="212" t="inlineStr">
        <is>
          <t>China</t>
        </is>
      </c>
      <c r="D257" s="212" t="n">
        <v>2025</v>
      </c>
      <c r="E257" s="213" t="n">
        <v>35000</v>
      </c>
      <c r="F257" s="212" t="n"/>
      <c r="G257" s="212" t="inlineStr">
        <is>
          <t>5 ft 10 in</t>
        </is>
      </c>
      <c r="H257" s="212" t="n">
        <v>57.3</v>
      </c>
      <c r="I257" s="212" t="n">
        <v>31</v>
      </c>
      <c r="J257" s="216" t="inlineStr">
        <is>
          <t>Not disclosed</t>
        </is>
      </c>
      <c r="K257" s="216" t="inlineStr">
        <is>
          <t>Not disclosed</t>
        </is>
      </c>
      <c r="L257" s="216" t="inlineStr">
        <is>
          <t>Not disclosed</t>
        </is>
      </c>
      <c r="M257" s="212" t="n"/>
      <c r="N257" s="212" t="n"/>
      <c r="O257" s="212" t="inlineStr">
        <is>
          <t>AIXZD</t>
        </is>
      </c>
      <c r="P257" s="212" t="inlineStr">
        <is>
          <t>pnd_adam_u</t>
        </is>
      </c>
      <c r="Q257" s="212" t="n"/>
    </row>
    <row r="258" ht="18" customHeight="1" s="102">
      <c r="A258" s="214" t="inlineStr">
        <is>
          <t>Fourier Intelligence</t>
        </is>
      </c>
      <c r="B258" s="214" t="inlineStr">
        <is>
          <t>Fourier N1</t>
        </is>
      </c>
      <c r="C258" s="214" t="inlineStr">
        <is>
          <t>China</t>
        </is>
      </c>
      <c r="D258" s="214" t="n">
        <v>2025</v>
      </c>
      <c r="E258" s="215" t="n">
        <v>18000</v>
      </c>
      <c r="F258" s="214" t="n"/>
      <c r="G258" s="214" t="inlineStr">
        <is>
          <t>4 ft 3 in</t>
        </is>
      </c>
      <c r="H258" s="214" t="n">
        <v>83.8</v>
      </c>
      <c r="I258" s="214" t="n">
        <v>23</v>
      </c>
      <c r="J258" s="217" t="inlineStr">
        <is>
          <t>Not disclosed</t>
        </is>
      </c>
      <c r="K258" s="214" t="n">
        <v>7.8</v>
      </c>
      <c r="L258" s="217" t="inlineStr">
        <is>
          <t>Not disclosed</t>
        </is>
      </c>
      <c r="M258" s="214" t="n"/>
      <c r="N258" s="214" t="n"/>
      <c r="O258" s="214" t="inlineStr">
        <is>
          <t>AIXZD</t>
        </is>
      </c>
      <c r="P258" s="214" t="inlineStr">
        <is>
          <t>fourier_n1</t>
        </is>
      </c>
      <c r="Q258" s="214" t="n"/>
    </row>
    <row r="259" ht="18" customHeight="1" s="102">
      <c r="A259" s="212" t="inlineStr">
        <is>
          <t>Songyan Power (松延动力)</t>
        </is>
      </c>
      <c r="B259" s="212" t="inlineStr">
        <is>
          <t>Bumi</t>
        </is>
      </c>
      <c r="C259" s="212" t="inlineStr">
        <is>
          <t>China</t>
        </is>
      </c>
      <c r="D259" s="212" t="n">
        <v>2025</v>
      </c>
      <c r="E259" s="213" t="n">
        <v>1400</v>
      </c>
      <c r="F259" s="212" t="n"/>
      <c r="G259" s="212" t="inlineStr">
        <is>
          <t>3 ft 3 in</t>
        </is>
      </c>
      <c r="H259" s="212" t="n">
        <v>37.5</v>
      </c>
      <c r="I259" s="212" t="n">
        <v>21</v>
      </c>
      <c r="J259" s="216" t="inlineStr">
        <is>
          <t>Not disclosed</t>
        </is>
      </c>
      <c r="K259" s="216" t="inlineStr">
        <is>
          <t>Not disclosed</t>
        </is>
      </c>
      <c r="L259" s="216" t="inlineStr">
        <is>
          <t>Not disclosed</t>
        </is>
      </c>
      <c r="M259" s="212" t="n"/>
      <c r="N259" s="212" t="n"/>
      <c r="O259" s="212" t="inlineStr">
        <is>
          <t>AIXZD</t>
        </is>
      </c>
      <c r="P259" s="212" t="inlineStr">
        <is>
          <t>songyan_bumi</t>
        </is>
      </c>
      <c r="Q259" s="212" t="n"/>
    </row>
    <row r="260" ht="18" customHeight="1" s="102">
      <c r="A260" s="214" t="inlineStr">
        <is>
          <t>Engineered Arts</t>
        </is>
      </c>
      <c r="B260" s="214" t="inlineStr">
        <is>
          <t>Azi</t>
        </is>
      </c>
      <c r="C260" s="214" t="inlineStr">
        <is>
          <t>United Kingdom</t>
        </is>
      </c>
      <c r="D260" s="214" t="n">
        <v>2024</v>
      </c>
      <c r="E260" s="215" t="n">
        <v>15000</v>
      </c>
      <c r="F260" s="214" t="n"/>
      <c r="G260" s="214" t="inlineStr">
        <is>
          <t>1 ft 9 in</t>
        </is>
      </c>
      <c r="H260" s="214" t="n">
        <v>18.7</v>
      </c>
      <c r="I260" s="214" t="n">
        <v>32</v>
      </c>
      <c r="J260" s="217" t="inlineStr">
        <is>
          <t>Not disclosed</t>
        </is>
      </c>
      <c r="K260" s="217" t="inlineStr">
        <is>
          <t>Not disclosed</t>
        </is>
      </c>
      <c r="L260" s="217" t="inlineStr">
        <is>
          <t>Not disclosed</t>
        </is>
      </c>
      <c r="M260" s="214" t="n"/>
      <c r="N260" s="214" t="n"/>
      <c r="O260" s="214" t="inlineStr">
        <is>
          <t>AIXZD</t>
        </is>
      </c>
      <c r="P260" s="214" t="inlineStr">
        <is>
          <t>engineered_arts_azi</t>
        </is>
      </c>
      <c r="Q260" s="214" t="n"/>
    </row>
    <row r="261" ht="18" customHeight="1" s="102">
      <c r="A261" s="212" t="inlineStr">
        <is>
          <t>SoftBank Robotics / Aldebaran (United Robotics Group)</t>
        </is>
      </c>
      <c r="B261" s="212" t="inlineStr">
        <is>
          <t>Pepper</t>
        </is>
      </c>
      <c r="C261" s="212" t="inlineStr">
        <is>
          <t>France / Japan</t>
        </is>
      </c>
      <c r="D261" s="212" t="n">
        <v>2014</v>
      </c>
      <c r="E261" s="213" t="n">
        <v>12000</v>
      </c>
      <c r="F261" s="212" t="n"/>
      <c r="G261" s="212" t="inlineStr">
        <is>
          <t>3 ft 11 in</t>
        </is>
      </c>
      <c r="H261" s="212" t="n">
        <v>61.7</v>
      </c>
      <c r="I261" s="212" t="n">
        <v>20</v>
      </c>
      <c r="J261" s="216" t="inlineStr">
        <is>
          <t>Not disclosed</t>
        </is>
      </c>
      <c r="K261" s="216" t="inlineStr">
        <is>
          <t>Not disclosed</t>
        </is>
      </c>
      <c r="L261" s="216" t="inlineStr">
        <is>
          <t>Not disclosed</t>
        </is>
      </c>
      <c r="M261" s="212" t="n"/>
      <c r="N261" s="212" t="n"/>
      <c r="O261" s="212" t="inlineStr">
        <is>
          <t>AIXZD</t>
        </is>
      </c>
      <c r="P261" s="212" t="inlineStr">
        <is>
          <t>softbank_pepper</t>
        </is>
      </c>
      <c r="Q261" s="212" t="n"/>
    </row>
    <row r="262" ht="18" customHeight="1" s="102">
      <c r="A262" s="214" t="inlineStr">
        <is>
          <t>Aldebaran (United Robotics Group)</t>
        </is>
      </c>
      <c r="B262" s="214" t="inlineStr">
        <is>
          <t>NAO6</t>
        </is>
      </c>
      <c r="C262" s="214" t="inlineStr">
        <is>
          <t>France</t>
        </is>
      </c>
      <c r="D262" s="214" t="n">
        <v>2018</v>
      </c>
      <c r="E262" s="215" t="n">
        <v>11000</v>
      </c>
      <c r="F262" s="214" t="n"/>
      <c r="G262" s="214" t="inlineStr">
        <is>
          <t>1 ft 11 in</t>
        </is>
      </c>
      <c r="H262" s="214" t="n">
        <v>12.1</v>
      </c>
      <c r="I262" s="214" t="n">
        <v>25</v>
      </c>
      <c r="J262" s="217" t="inlineStr">
        <is>
          <t>Not disclosed</t>
        </is>
      </c>
      <c r="K262" s="217" t="inlineStr">
        <is>
          <t>Not disclosed</t>
        </is>
      </c>
      <c r="L262" s="217" t="inlineStr">
        <is>
          <t>Not disclosed</t>
        </is>
      </c>
      <c r="M262" s="214" t="n"/>
      <c r="N262" s="214" t="n"/>
      <c r="O262" s="214" t="inlineStr">
        <is>
          <t>AIXZD</t>
        </is>
      </c>
      <c r="P262" s="214" t="inlineStr">
        <is>
          <t>aldebaran_nao6</t>
        </is>
      </c>
      <c r="Q262" s="214" t="n"/>
    </row>
    <row r="263" ht="18" customHeight="1" s="102">
      <c r="A263" s="212" t="inlineStr">
        <is>
          <t>Humanoid (UK)</t>
        </is>
      </c>
      <c r="B263" s="212" t="inlineStr">
        <is>
          <t>HMND 01 Alpha Wheeled</t>
        </is>
      </c>
      <c r="C263" s="212" t="inlineStr">
        <is>
          <t>United Kingdom</t>
        </is>
      </c>
      <c r="D263" s="212" t="n">
        <v>2025</v>
      </c>
      <c r="E263" s="213" t="n">
        <v>100000</v>
      </c>
      <c r="F263" s="212" t="n"/>
      <c r="G263" s="212" t="inlineStr">
        <is>
          <t>5 ft 9 in</t>
        </is>
      </c>
      <c r="H263" s="212" t="n">
        <v>154.3</v>
      </c>
      <c r="I263" s="212" t="n">
        <v>41</v>
      </c>
      <c r="J263" s="212" t="n">
        <v>33.1</v>
      </c>
      <c r="K263" s="216" t="inlineStr">
        <is>
          <t>Not disclosed</t>
        </is>
      </c>
      <c r="L263" s="216" t="inlineStr">
        <is>
          <t>Not disclosed</t>
        </is>
      </c>
      <c r="M263" s="212" t="n"/>
      <c r="N263" s="212" t="n"/>
      <c r="O263" s="212" t="inlineStr">
        <is>
          <t>TAAFT</t>
        </is>
      </c>
      <c r="P263" s="212" t="inlineStr">
        <is>
          <t>hmnd_01_wheeled</t>
        </is>
      </c>
      <c r="Q263" s="212" t="n"/>
    </row>
    <row r="264" ht="18" customHeight="1" s="102">
      <c r="A264" s="214" t="inlineStr">
        <is>
          <t>Humanoid (UK)</t>
        </is>
      </c>
      <c r="B264" s="214" t="inlineStr">
        <is>
          <t>HMND 01 Alpha Bipedal</t>
        </is>
      </c>
      <c r="C264" s="214" t="inlineStr">
        <is>
          <t>United Kingdom</t>
        </is>
      </c>
      <c r="D264" s="214" t="n">
        <v>2025</v>
      </c>
      <c r="E264" s="215" t="n">
        <v>100000</v>
      </c>
      <c r="F264" s="214" t="n"/>
      <c r="G264" s="214" t="inlineStr">
        <is>
          <t>5 ft 10 in</t>
        </is>
      </c>
      <c r="H264" s="214" t="n">
        <v>154.3</v>
      </c>
      <c r="I264" s="214" t="n">
        <v>41</v>
      </c>
      <c r="J264" s="214" t="n">
        <v>33.1</v>
      </c>
      <c r="K264" s="217" t="inlineStr">
        <is>
          <t>Not disclosed</t>
        </is>
      </c>
      <c r="L264" s="217" t="inlineStr">
        <is>
          <t>Not disclosed</t>
        </is>
      </c>
      <c r="M264" s="214" t="n"/>
      <c r="N264" s="214" t="n"/>
      <c r="O264" s="214" t="inlineStr">
        <is>
          <t>TAAFT</t>
        </is>
      </c>
      <c r="P264" s="214" t="inlineStr">
        <is>
          <t>hmnd_01_bipedal</t>
        </is>
      </c>
      <c r="Q264" s="214" t="n"/>
    </row>
    <row r="265" ht="18" customHeight="1" s="102">
      <c r="A265" s="212" t="inlineStr">
        <is>
          <t>Dexmal (原力灵机)</t>
        </is>
      </c>
      <c r="B265" s="212" t="inlineStr">
        <is>
          <t>Apex</t>
        </is>
      </c>
      <c r="C265" s="212" t="inlineStr">
        <is>
          <t>China</t>
        </is>
      </c>
      <c r="D265" s="212" t="n">
        <v>2026</v>
      </c>
      <c r="E265" s="213" t="n">
        <v>120000</v>
      </c>
      <c r="F265" s="212" t="n"/>
      <c r="G265" s="216" t="inlineStr">
        <is>
          <t>Not disclosed</t>
        </is>
      </c>
      <c r="H265" s="216" t="inlineStr">
        <is>
          <t>Not disclosed</t>
        </is>
      </c>
      <c r="I265" s="216" t="inlineStr">
        <is>
          <t>Not disclosed</t>
        </is>
      </c>
      <c r="J265" s="212" t="n">
        <v>6.6</v>
      </c>
      <c r="K265" s="216" t="inlineStr">
        <is>
          <t>Not disclosed</t>
        </is>
      </c>
      <c r="L265" s="216" t="inlineStr">
        <is>
          <t>Not disclosed</t>
        </is>
      </c>
      <c r="M265" s="212" t="n"/>
      <c r="N265" s="212" t="n"/>
      <c r="O265" s="212" t="inlineStr">
        <is>
          <t>AIXZD</t>
        </is>
      </c>
      <c r="P265" s="212" t="inlineStr">
        <is>
          <t>dexmal_apex</t>
        </is>
      </c>
      <c r="Q265" s="212" t="n"/>
    </row>
    <row r="266" ht="18" customHeight="1" s="102">
      <c r="A266" s="214" t="inlineStr">
        <is>
          <t>PadBot (派宝机器人)</t>
        </is>
      </c>
      <c r="B266" s="214" t="inlineStr">
        <is>
          <t>PadBot P3</t>
        </is>
      </c>
      <c r="C266" s="214" t="inlineStr">
        <is>
          <t>China</t>
        </is>
      </c>
      <c r="D266" s="214" t="n">
        <v>2024</v>
      </c>
      <c r="E266" s="215" t="n">
        <v>8000</v>
      </c>
      <c r="F266" s="214" t="n"/>
      <c r="G266" s="217" t="inlineStr">
        <is>
          <t>Not disclosed</t>
        </is>
      </c>
      <c r="H266" s="217" t="inlineStr">
        <is>
          <t>Not disclosed</t>
        </is>
      </c>
      <c r="I266" s="217" t="inlineStr">
        <is>
          <t>Not disclosed</t>
        </is>
      </c>
      <c r="J266" s="217" t="inlineStr">
        <is>
          <t>Not disclosed</t>
        </is>
      </c>
      <c r="K266" s="217" t="inlineStr">
        <is>
          <t>Not disclosed</t>
        </is>
      </c>
      <c r="L266" s="217" t="inlineStr">
        <is>
          <t>Not disclosed</t>
        </is>
      </c>
      <c r="M266" s="214" t="n"/>
      <c r="N266" s="214" t="n"/>
      <c r="O266" s="214" t="inlineStr">
        <is>
          <t>AIXZD</t>
        </is>
      </c>
      <c r="P266" s="214" t="inlineStr">
        <is>
          <t>padbot_p3</t>
        </is>
      </c>
      <c r="Q266" s="214" t="n"/>
    </row>
  </sheetData>
  <autoFilter ref="A4:Q266"/>
  <mergeCells count="2">
    <mergeCell ref="A2:Q2"/>
    <mergeCell ref="A1:Q1"/>
  </mergeCells>
  <hyperlinks>
    <hyperlink xmlns:r="http://schemas.openxmlformats.org/officeDocument/2006/relationships" ref="O5" display="https://humanoid.guide/product/neo/" r:id="rId1"/>
    <hyperlink xmlns:r="http://schemas.openxmlformats.org/officeDocument/2006/relationships" ref="O6" display="https://humanoid.guide/product/neo-beta/" r:id="rId2"/>
    <hyperlink xmlns:r="http://schemas.openxmlformats.org/officeDocument/2006/relationships" ref="O7" display="https://humanoid.guide/product/neo-gamma/" r:id="rId3"/>
    <hyperlink xmlns:r="http://schemas.openxmlformats.org/officeDocument/2006/relationships" ref="O8" display="https://humanoid.guide/product/alice/" r:id="rId4"/>
    <hyperlink xmlns:r="http://schemas.openxmlformats.org/officeDocument/2006/relationships" ref="O9" display="https://humanoid.guide/product/alice-m1/" r:id="rId5"/>
    <hyperlink xmlns:r="http://schemas.openxmlformats.org/officeDocument/2006/relationships" ref="O10" display="https://humanoid.guide/product/a2/" r:id="rId6"/>
    <hyperlink xmlns:r="http://schemas.openxmlformats.org/officeDocument/2006/relationships" ref="O11" display="https://humanoid.guide/product/a2-max/" r:id="rId7"/>
    <hyperlink xmlns:r="http://schemas.openxmlformats.org/officeDocument/2006/relationships" ref="O12" display="https://humanoid.guide/product/agibot-a2-w/" r:id="rId8"/>
    <hyperlink xmlns:r="http://schemas.openxmlformats.org/officeDocument/2006/relationships" ref="O13" display="https://humanoid.guide/product/agibot-a3/" r:id="rId9"/>
    <hyperlink xmlns:r="http://schemas.openxmlformats.org/officeDocument/2006/relationships" ref="O14" display="https://humanoid.guide/product/agibot-g1/" r:id="rId10"/>
    <hyperlink xmlns:r="http://schemas.openxmlformats.org/officeDocument/2006/relationships" ref="O15" display="https://humanoid.guide/product/agibot-x1/" r:id="rId11"/>
    <hyperlink xmlns:r="http://schemas.openxmlformats.org/officeDocument/2006/relationships" ref="O16" display="https://humanoid.guide/product/g2-genie/" r:id="rId12"/>
    <hyperlink xmlns:r="http://schemas.openxmlformats.org/officeDocument/2006/relationships" ref="O17" display="https://humanoid.guide/product/g2-max/" r:id="rId13"/>
    <hyperlink xmlns:r="http://schemas.openxmlformats.org/officeDocument/2006/relationships" ref="O18" display="https://humanoid.guide/product/quester1-q1/" r:id="rId14"/>
    <hyperlink xmlns:r="http://schemas.openxmlformats.org/officeDocument/2006/relationships" ref="O19" display="https://humanoid.guide/product/raise-a1/" r:id="rId15"/>
    <hyperlink xmlns:r="http://schemas.openxmlformats.org/officeDocument/2006/relationships" ref="O21" display="https://humanoid.guide/product/agibot-x2/" r:id="rId16"/>
    <hyperlink xmlns:r="http://schemas.openxmlformats.org/officeDocument/2006/relationships" ref="O22" display="https://humanoid.guide/product/agile-one/" r:id="rId17"/>
    <hyperlink xmlns:r="http://schemas.openxmlformats.org/officeDocument/2006/relationships" ref="O23" display="https://humanoid.guide/product/digit/" r:id="rId18"/>
    <hyperlink xmlns:r="http://schemas.openxmlformats.org/officeDocument/2006/relationships" ref="O24" display="https://humanoid.guide/product/akinci-5/" r:id="rId19"/>
    <hyperlink xmlns:r="http://schemas.openxmlformats.org/officeDocument/2006/relationships" ref="O25" display="https://humanoid.guide/product/abi/" r:id="rId20"/>
    <hyperlink xmlns:r="http://schemas.openxmlformats.org/officeDocument/2006/relationships" ref="O26" display="https://humanoid.guide/product/apollo/" r:id="rId21"/>
    <hyperlink xmlns:r="http://schemas.openxmlformats.org/officeDocument/2006/relationships" ref="O27" display="https://humanoid.guide/product/apollo-2/" r:id="rId22"/>
    <hyperlink xmlns:r="http://schemas.openxmlformats.org/officeDocument/2006/relationships" ref="O28" display="https://humanoid.guide/product/astra/" r:id="rId23"/>
    <hyperlink xmlns:r="http://schemas.openxmlformats.org/officeDocument/2006/relationships" ref="O29" display="https://humanoid.guide/product/qdh/" r:id="rId24"/>
    <hyperlink xmlns:r="http://schemas.openxmlformats.org/officeDocument/2006/relationships" ref="O30" display="https://humanoid.guide/product/aidol/" r:id="rId25"/>
    <hyperlink xmlns:r="http://schemas.openxmlformats.org/officeDocument/2006/relationships" ref="O31" display="https://humanoid.guide/product/astribot-s1/" r:id="rId26"/>
    <hyperlink xmlns:r="http://schemas.openxmlformats.org/officeDocument/2006/relationships" ref="O32" display="https://humanoid.guide/product/astribot-t1/" r:id="rId27"/>
    <hyperlink xmlns:r="http://schemas.openxmlformats.org/officeDocument/2006/relationships" ref="O33" display="https://humanoid.guide/product/galbot-et1/" r:id="rId28"/>
    <hyperlink xmlns:r="http://schemas.openxmlformats.org/officeDocument/2006/relationships" ref="O34" display="https://humanoid.guide/product/galbot-s1/" r:id="rId29"/>
    <hyperlink xmlns:r="http://schemas.openxmlformats.org/officeDocument/2006/relationships" ref="O35" display="https://humanoid.guide/product/booster-t1/" r:id="rId30"/>
    <hyperlink xmlns:r="http://schemas.openxmlformats.org/officeDocument/2006/relationships" ref="O36" display="https://humanoid.guide/product/booster-t2/" r:id="rId31"/>
    <hyperlink xmlns:r="http://schemas.openxmlformats.org/officeDocument/2006/relationships" ref="O37" display="https://humanoid.guide/product/k1/" r:id="rId32"/>
    <hyperlink xmlns:r="http://schemas.openxmlformats.org/officeDocument/2006/relationships" ref="O38" display="https://humanoid.guide/product/borg-01/" r:id="rId33"/>
    <hyperlink xmlns:r="http://schemas.openxmlformats.org/officeDocument/2006/relationships" ref="O39" display="https://humanoid.guide/product/dexbot/" r:id="rId34"/>
    <hyperlink xmlns:r="http://schemas.openxmlformats.org/officeDocument/2006/relationships" ref="O40" display="https://humanoid.guide/product/atlas/" r:id="rId35"/>
    <hyperlink xmlns:r="http://schemas.openxmlformats.org/officeDocument/2006/relationships" ref="O41" display="https://humanoid.guide/product/atlas-2013/" r:id="rId36"/>
    <hyperlink xmlns:r="http://schemas.openxmlformats.org/officeDocument/2006/relationships" ref="O42" display="https://humanoid.guide/product/yogi/" r:id="rId37"/>
    <hyperlink xmlns:r="http://schemas.openxmlformats.org/officeDocument/2006/relationships" ref="O43" display="https://humanoid.guide/product/casbot-02/" r:id="rId38"/>
    <hyperlink xmlns:r="http://schemas.openxmlformats.org/officeDocument/2006/relationships" ref="O44" display="https://humanoid.guide/product/casbot-w1/" r:id="rId39"/>
    <hyperlink xmlns:r="http://schemas.openxmlformats.org/officeDocument/2006/relationships" ref="O45" display="https://humanoid.guide/product/casivibot/" r:id="rId40"/>
    <hyperlink xmlns:r="http://schemas.openxmlformats.org/officeDocument/2006/relationships" ref="O46" display="https://humanoid.guide/product/clone-alpha/" r:id="rId41"/>
    <hyperlink xmlns:r="http://schemas.openxmlformats.org/officeDocument/2006/relationships" ref="O47" display="https://humanoid.guide/product/orca/" r:id="rId42"/>
    <hyperlink xmlns:r="http://schemas.openxmlformats.org/officeDocument/2006/relationships" ref="O49" display="https://humanoid.guide/product/dr01/" r:id="rId43"/>
    <hyperlink xmlns:r="http://schemas.openxmlformats.org/officeDocument/2006/relationships" ref="O50" display="https://humanoid.guide/product/dr02/" r:id="rId44"/>
    <hyperlink xmlns:r="http://schemas.openxmlformats.org/officeDocument/2006/relationships" ref="O51" display="https://humanoid.guide/product/w1-pro/" r:id="rId45"/>
    <hyperlink xmlns:r="http://schemas.openxmlformats.org/officeDocument/2006/relationships" ref="O52" display="https://humanoid.guide/product/vega/" r:id="rId46"/>
    <hyperlink xmlns:r="http://schemas.openxmlformats.org/officeDocument/2006/relationships" ref="O53" display="https://humanoid.guide/product/nezha-p01/" r:id="rId47"/>
    <hyperlink xmlns:r="http://schemas.openxmlformats.org/officeDocument/2006/relationships" ref="O54" display="https://humanoid.guide/product/xialan-s0/" r:id="rId48"/>
    <hyperlink xmlns:r="http://schemas.openxmlformats.org/officeDocument/2006/relationships" ref="O55" display="https://humanoid.guide/product/xiaqi/" r:id="rId49"/>
    <hyperlink xmlns:r="http://schemas.openxmlformats.org/officeDocument/2006/relationships" ref="O56" display="https://humanoid.guide/product/atom-2/" r:id="rId50"/>
    <hyperlink xmlns:r="http://schemas.openxmlformats.org/officeDocument/2006/relationships" ref="O57" display="https://humanoid.guide/product/atom-max/" r:id="rId51"/>
    <hyperlink xmlns:r="http://schemas.openxmlformats.org/officeDocument/2006/relationships" ref="O58" display="https://humanoid.guide/product/cinnamon-1/" r:id="rId52"/>
    <hyperlink xmlns:r="http://schemas.openxmlformats.org/officeDocument/2006/relationships" ref="O59" display="https://humanoid.guide/product/duatic-alpha/" r:id="rId53"/>
    <hyperlink xmlns:r="http://schemas.openxmlformats.org/officeDocument/2006/relationships" ref="O60" display="https://humanoid.guide/product/skywalker-2/" r:id="rId54"/>
    <hyperlink xmlns:r="http://schemas.openxmlformats.org/officeDocument/2006/relationships" ref="O61" display="https://humanoid.guide/product/astrodroid-ad-01/" r:id="rId55"/>
    <hyperlink xmlns:r="http://schemas.openxmlformats.org/officeDocument/2006/relationships" ref="O62" display="https://humanoid.guide/product/mirokai/" r:id="rId56"/>
    <hyperlink xmlns:r="http://schemas.openxmlformats.org/officeDocument/2006/relationships" ref="O63" display="https://humanoid.guide/product/pm01/" r:id="rId57"/>
    <hyperlink xmlns:r="http://schemas.openxmlformats.org/officeDocument/2006/relationships" ref="O64" display="https://humanoid.guide/product/sao2/" r:id="rId58"/>
    <hyperlink xmlns:r="http://schemas.openxmlformats.org/officeDocument/2006/relationships" ref="O65" display="https://humanoid.guide/product/se01/" r:id="rId59"/>
    <hyperlink xmlns:r="http://schemas.openxmlformats.org/officeDocument/2006/relationships" ref="O66" display="https://humanoid.guide/product/t800/" r:id="rId60"/>
    <hyperlink xmlns:r="http://schemas.openxmlformats.org/officeDocument/2006/relationships" ref="O68" display="https://humanoid.guide/product/futurist/" r:id="rId61"/>
    <hyperlink xmlns:r="http://schemas.openxmlformats.org/officeDocument/2006/relationships" ref="O69" display="https://humanoid.guide/product/master/" r:id="rId62"/>
    <hyperlink xmlns:r="http://schemas.openxmlformats.org/officeDocument/2006/relationships" ref="O70" display="https://humanoid.guide/product/sprout/" r:id="rId63"/>
    <hyperlink xmlns:r="http://schemas.openxmlformats.org/officeDocument/2006/relationships" ref="O71" display="https://humanoid.guide/product/figure-02/" r:id="rId64"/>
    <hyperlink xmlns:r="http://schemas.openxmlformats.org/officeDocument/2006/relationships" ref="O72" display="https://humanoid.guide/product/figure-03/" r:id="rId65"/>
    <hyperlink xmlns:r="http://schemas.openxmlformats.org/officeDocument/2006/relationships" ref="O73" display="https://humanoid.guide/product/aico-2/" r:id="rId66"/>
    <hyperlink xmlns:r="http://schemas.openxmlformats.org/officeDocument/2006/relationships" ref="O74" display="https://humanoid.guide/product/mico/" r:id="rId67"/>
    <hyperlink xmlns:r="http://schemas.openxmlformats.org/officeDocument/2006/relationships" ref="O75" display="https://humanoid.guide/product/phantom-mk1/" r:id="rId68"/>
    <hyperlink xmlns:r="http://schemas.openxmlformats.org/officeDocument/2006/relationships" ref="O76" display="https://humanoid.guide/product/gr-1/" r:id="rId69"/>
    <hyperlink xmlns:r="http://schemas.openxmlformats.org/officeDocument/2006/relationships" ref="O77" display="https://humanoid.guide/product/gr-2/" r:id="rId70"/>
    <hyperlink xmlns:r="http://schemas.openxmlformats.org/officeDocument/2006/relationships" ref="O78" display="https://humanoid.guide/product/fourier-gr-3/" r:id="rId71"/>
    <hyperlink xmlns:r="http://schemas.openxmlformats.org/officeDocument/2006/relationships" ref="O79" display="https://humanoid.guide/product/futuring-2/" r:id="rId72"/>
    <hyperlink xmlns:r="http://schemas.openxmlformats.org/officeDocument/2006/relationships" ref="O80" display="https://humanoid.guide/product/kengo/" r:id="rId73"/>
    <hyperlink xmlns:r="http://schemas.openxmlformats.org/officeDocument/2006/relationships" ref="O81" display="https://humanoid.guide/product/r1-pro/" r:id="rId74"/>
    <hyperlink xmlns:r="http://schemas.openxmlformats.org/officeDocument/2006/relationships" ref="O82" display="https://humanoid.guide/product/galbot/" r:id="rId75"/>
    <hyperlink xmlns:r="http://schemas.openxmlformats.org/officeDocument/2006/relationships" ref="O83" display="https://humanoid.guide/product/gene-01/" r:id="rId76"/>
    <hyperlink xmlns:r="http://schemas.openxmlformats.org/officeDocument/2006/relationships" ref="O84" display="https://humanoid.guide/product/eno/" r:id="rId77"/>
    <hyperlink xmlns:r="http://schemas.openxmlformats.org/officeDocument/2006/relationships" ref="O85" display="https://humanoid.guide/product/maker-h01/" r:id="rId78"/>
    <hyperlink xmlns:r="http://schemas.openxmlformats.org/officeDocument/2006/relationships" ref="O86" display="https://humanoid.guide/product/hiva-haiwa/" r:id="rId79"/>
    <hyperlink xmlns:r="http://schemas.openxmlformats.org/officeDocument/2006/relationships" ref="O87" display="https://humanoid.guide/product/aeon/" r:id="rId80"/>
    <hyperlink xmlns:r="http://schemas.openxmlformats.org/officeDocument/2006/relationships" ref="O88" display="https://humanoid.guide/product/friday/" r:id="rId81"/>
    <hyperlink xmlns:r="http://schemas.openxmlformats.org/officeDocument/2006/relationships" ref="O89" display="https://humanoid.guide/product/honor/" r:id="rId82"/>
    <hyperlink xmlns:r="http://schemas.openxmlformats.org/officeDocument/2006/relationships" ref="O90" display="https://humanoid.guide/product/hmnd-01-alpha-bipedal/" r:id="rId83"/>
    <hyperlink xmlns:r="http://schemas.openxmlformats.org/officeDocument/2006/relationships" ref="O91" display="https://humanoid.guide/product/hmnd-01/" r:id="rId84"/>
    <hyperlink xmlns:r="http://schemas.openxmlformats.org/officeDocument/2006/relationships" ref="O92" display="https://humanoid.guide/product/tara-gen1/" r:id="rId85"/>
    <hyperlink xmlns:r="http://schemas.openxmlformats.org/officeDocument/2006/relationships" ref="O93" display="https://humanoid.guide/product/pib-pro/" r:id="rId86"/>
    <hyperlink xmlns:r="http://schemas.openxmlformats.org/officeDocument/2006/relationships" ref="O94" display="https://humanoid.guide/product/jaka-%cf%80/" r:id="rId87"/>
    <hyperlink xmlns:r="http://schemas.openxmlformats.org/officeDocument/2006/relationships" ref="O95" display="https://humanoid.guide/product/jaka-k1/" r:id="rId88"/>
    <hyperlink xmlns:r="http://schemas.openxmlformats.org/officeDocument/2006/relationships" ref="O96" display="https://humanoid.guide/product/jaka-kargo/" r:id="rId89"/>
    <hyperlink xmlns:r="http://schemas.openxmlformats.org/officeDocument/2006/relationships" ref="O97" display="https://humanoid.guide/product/keenon-xman-r1/" r:id="rId90"/>
    <hyperlink xmlns:r="http://schemas.openxmlformats.org/officeDocument/2006/relationships" ref="O98" display="https://humanoid.guide/product/k2-bumblebee/" r:id="rId91"/>
    <hyperlink xmlns:r="http://schemas.openxmlformats.org/officeDocument/2006/relationships" ref="O99" display="https://humanoid.guide/product/kepler/" r:id="rId92"/>
    <hyperlink xmlns:r="http://schemas.openxmlformats.org/officeDocument/2006/relationships" ref="O100" display="https://humanoid.guide/product/kepler-k2/" r:id="rId93"/>
    <hyperlink xmlns:r="http://schemas.openxmlformats.org/officeDocument/2006/relationships" ref="O101" display="https://humanoid.guide/product/kai/" r:id="rId94"/>
    <hyperlink xmlns:r="http://schemas.openxmlformats.org/officeDocument/2006/relationships" ref="O102" display="https://humanoid.guide/product/kinisi-01/" r:id="rId95"/>
    <hyperlink xmlns:r="http://schemas.openxmlformats.org/officeDocument/2006/relationships" ref="O103" display="https://humanoid.guide/product/kinisi-kr1/" r:id="rId96"/>
    <hyperlink xmlns:r="http://schemas.openxmlformats.org/officeDocument/2006/relationships" ref="O104" display="https://humanoid.guide/product/vb1-i/" r:id="rId97"/>
    <hyperlink xmlns:r="http://schemas.openxmlformats.org/officeDocument/2006/relationships" ref="O105" display="https://humanoid.guide/product/vb2/" r:id="rId98"/>
    <hyperlink xmlns:r="http://schemas.openxmlformats.org/officeDocument/2006/relationships" ref="O106" display="https://humanoid.guide/product/versabot-vb-1/" r:id="rId99"/>
    <hyperlink xmlns:r="http://schemas.openxmlformats.org/officeDocument/2006/relationships" ref="O107" display="https://humanoid.guide/product/kuavo-5/" r:id="rId100"/>
    <hyperlink xmlns:r="http://schemas.openxmlformats.org/officeDocument/2006/relationships" ref="O108" display="https://humanoid.guide/product/roban-2/" r:id="rId101"/>
    <hyperlink xmlns:r="http://schemas.openxmlformats.org/officeDocument/2006/relationships" ref="O110" display="https://humanoid.guide/product/kuavo-my/" r:id="rId102"/>
    <hyperlink xmlns:r="http://schemas.openxmlformats.org/officeDocument/2006/relationships" ref="O111" display="https://humanoid.guide/product/xtron-kuavo-my/" r:id="rId103"/>
    <hyperlink xmlns:r="http://schemas.openxmlformats.org/officeDocument/2006/relationships" ref="O112" display="https://humanoid.guide/product/cloid/" r:id="rId104"/>
    <hyperlink xmlns:r="http://schemas.openxmlformats.org/officeDocument/2006/relationships" ref="O113" display="https://humanoid.guide/product/kapex/" r:id="rId105"/>
    <hyperlink xmlns:r="http://schemas.openxmlformats.org/officeDocument/2006/relationships" ref="O114" display="https://humanoid.guide/product/limx/" r:id="rId106"/>
    <hyperlink xmlns:r="http://schemas.openxmlformats.org/officeDocument/2006/relationships" ref="O115" display="https://humanoid.guide/product/limx-cl-series/" r:id="rId107"/>
    <hyperlink xmlns:r="http://schemas.openxmlformats.org/officeDocument/2006/relationships" ref="O116" display="https://humanoid.guide/product/limx-oli/" r:id="rId108"/>
    <hyperlink xmlns:r="http://schemas.openxmlformats.org/officeDocument/2006/relationships" ref="O117" display="https://humanoid.guide/product/luna/" r:id="rId109"/>
    <hyperlink xmlns:r="http://schemas.openxmlformats.org/officeDocument/2006/relationships" ref="O118" display="https://humanoid.guide/product/lus2/" r:id="rId110"/>
    <hyperlink xmlns:r="http://schemas.openxmlformats.org/officeDocument/2006/relationships" ref="O119" display="https://humanoid.guide/product/nix/" r:id="rId111"/>
    <hyperlink xmlns:r="http://schemas.openxmlformats.org/officeDocument/2006/relationships" ref="O120" display="https://humanoid.guide/product/magicbot/" r:id="rId112"/>
    <hyperlink xmlns:r="http://schemas.openxmlformats.org/officeDocument/2006/relationships" ref="O121" display="https://humanoid.guide/product/magicbot-x1/" r:id="rId113"/>
    <hyperlink xmlns:r="http://schemas.openxmlformats.org/officeDocument/2006/relationships" ref="O122" display="https://humanoid.guide/product/magicbot-z1/" r:id="rId114"/>
    <hyperlink xmlns:r="http://schemas.openxmlformats.org/officeDocument/2006/relationships" ref="O123" display="https://humanoid.guide/product/matrix-1/" r:id="rId115"/>
    <hyperlink xmlns:r="http://schemas.openxmlformats.org/officeDocument/2006/relationships" ref="O124" display="https://humanoid.guide/product/matrix-3/" r:id="rId116"/>
    <hyperlink xmlns:r="http://schemas.openxmlformats.org/officeDocument/2006/relationships" ref="O125" display="https://humanoid.guide/product/asimov/" r:id="rId117"/>
    <hyperlink xmlns:r="http://schemas.openxmlformats.org/officeDocument/2006/relationships" ref="O126" display="https://humanoid.guide/product/asimov-one/" r:id="rId118"/>
    <hyperlink xmlns:r="http://schemas.openxmlformats.org/officeDocument/2006/relationships" ref="O127" display="https://humanoid.guide/product/asimov-two/" r:id="rId119"/>
    <hyperlink xmlns:r="http://schemas.openxmlformats.org/officeDocument/2006/relationships" ref="O128" display="https://humanoid.guide/product/menteebot/" r:id="rId120"/>
    <hyperlink xmlns:r="http://schemas.openxmlformats.org/officeDocument/2006/relationships" ref="O129" display="https://humanoid.guide/product/menteebot-v3/" r:id="rId121"/>
    <hyperlink xmlns:r="http://schemas.openxmlformats.org/officeDocument/2006/relationships" ref="O130" display="https://humanoid.guide/product/miro/" r:id="rId122"/>
    <hyperlink xmlns:r="http://schemas.openxmlformats.org/officeDocument/2006/relationships" ref="O131" display="https://humanoid.guide/product/mh3/" r:id="rId123"/>
    <hyperlink xmlns:r="http://schemas.openxmlformats.org/officeDocument/2006/relationships" ref="O132" display="https://humanoid.guide/product/l1/" r:id="rId124"/>
    <hyperlink xmlns:r="http://schemas.openxmlformats.org/officeDocument/2006/relationships" ref="O133" display="https://humanoid.guide/product/spaceo-m1/" r:id="rId125"/>
    <hyperlink xmlns:r="http://schemas.openxmlformats.org/officeDocument/2006/relationships" ref="O134" display="https://humanoid.guide/product/spaceo-pro/" r:id="rId126"/>
    <hyperlink xmlns:r="http://schemas.openxmlformats.org/officeDocument/2006/relationships" ref="O136" display="https://humanoid.guide/product/ambidex/" r:id="rId127"/>
    <hyperlink xmlns:r="http://schemas.openxmlformats.org/officeDocument/2006/relationships" ref="O137" display="https://humanoid.guide/product/4ne-1/" r:id="rId128"/>
    <hyperlink xmlns:r="http://schemas.openxmlformats.org/officeDocument/2006/relationships" ref="O138" display="https://humanoid.guide/product/4ne1/" r:id="rId129"/>
    <hyperlink xmlns:r="http://schemas.openxmlformats.org/officeDocument/2006/relationships" ref="O139" display="https://humanoid.guide/product/raynex-g3/" r:id="rId130"/>
    <hyperlink xmlns:r="http://schemas.openxmlformats.org/officeDocument/2006/relationships" ref="O140" display="https://humanoid.guide/product/moby/" r:id="rId131"/>
    <hyperlink xmlns:r="http://schemas.openxmlformats.org/officeDocument/2006/relationships" ref="O141" display="https://humanoid.guide/product/dora/" r:id="rId132"/>
    <hyperlink xmlns:r="http://schemas.openxmlformats.org/officeDocument/2006/relationships" ref="O142" display="https://humanoid.guide/product/hobbs/" r:id="rId133"/>
    <hyperlink xmlns:r="http://schemas.openxmlformats.org/officeDocument/2006/relationships" ref="O143" display="https://humanoid.guide/product/n2/" r:id="rId134"/>
    <hyperlink xmlns:r="http://schemas.openxmlformats.org/officeDocument/2006/relationships" ref="O144" display="https://humanoid.guide/product/nori-l3/" r:id="rId135"/>
    <hyperlink xmlns:r="http://schemas.openxmlformats.org/officeDocument/2006/relationships" ref="O145" display="https://humanoid.guide/product/isaac-gr00t/" r:id="rId136"/>
    <hyperlink xmlns:r="http://schemas.openxmlformats.org/officeDocument/2006/relationships" ref="O146" display="https://humanoid.guide/product/modular/" r:id="rId137"/>
    <hyperlink xmlns:r="http://schemas.openxmlformats.org/officeDocument/2006/relationships" ref="O147" display="https://humanoid.guide/product/openarm-02/" r:id="rId138"/>
    <hyperlink xmlns:r="http://schemas.openxmlformats.org/officeDocument/2006/relationships" ref="O148" display="https://humanoid.guide/product/qinglong-v3-0/" r:id="rId139"/>
    <hyperlink xmlns:r="http://schemas.openxmlformats.org/officeDocument/2006/relationships" ref="O150" display="https://humanoid.guide/product/helios/" r:id="rId140"/>
    <hyperlink xmlns:r="http://schemas.openxmlformats.org/officeDocument/2006/relationships" ref="O151" display="https://humanoid.guide/product/robee/" r:id="rId141"/>
    <hyperlink xmlns:r="http://schemas.openxmlformats.org/officeDocument/2006/relationships" ref="O152" display="https://humanoid.guide/product/kangaroo/" r:id="rId142"/>
    <hyperlink xmlns:r="http://schemas.openxmlformats.org/officeDocument/2006/relationships" ref="O153" display="https://humanoid.guide/product/tora-doubleone/" r:id="rId143"/>
    <hyperlink xmlns:r="http://schemas.openxmlformats.org/officeDocument/2006/relationships" ref="O154" display="https://humanoid.guide/product/pr-34d/" r:id="rId144"/>
    <hyperlink xmlns:r="http://schemas.openxmlformats.org/officeDocument/2006/relationships" ref="O155" display="https://humanoid.guide/product/phybot-c1/" r:id="rId145"/>
    <hyperlink xmlns:r="http://schemas.openxmlformats.org/officeDocument/2006/relationships" ref="O156" display="https://humanoid.guide/product/phybot-m1/" r:id="rId146"/>
    <hyperlink xmlns:r="http://schemas.openxmlformats.org/officeDocument/2006/relationships" ref="O157" display="https://humanoid.guide/product/prowhite/" r:id="rId147"/>
    <hyperlink xmlns:r="http://schemas.openxmlformats.org/officeDocument/2006/relationships" ref="O158" display="https://humanoid.guide/product/zeus-1/" r:id="rId148"/>
    <hyperlink xmlns:r="http://schemas.openxmlformats.org/officeDocument/2006/relationships" ref="O159" display="https://humanoid.guide/product/adam/" r:id="rId149"/>
    <hyperlink xmlns:r="http://schemas.openxmlformats.org/officeDocument/2006/relationships" ref="O160" display="https://humanoid.guide/product/adamsp/" r:id="rId150"/>
    <hyperlink xmlns:r="http://schemas.openxmlformats.org/officeDocument/2006/relationships" ref="O161" display="https://humanoid.guide/product/reachy-2/" r:id="rId151"/>
    <hyperlink xmlns:r="http://schemas.openxmlformats.org/officeDocument/2006/relationships" ref="O162" display="https://humanoid.guide/product/primebot-q1/" r:id="rId152"/>
    <hyperlink xmlns:r="http://schemas.openxmlformats.org/officeDocument/2006/relationships" ref="O163" display="https://humanoid.guide/product/primebot-t1/" r:id="rId153"/>
    <hyperlink xmlns:r="http://schemas.openxmlformats.org/officeDocument/2006/relationships" ref="O164" display="https://humanoid.guide/product/psi-v1/" r:id="rId154"/>
    <hyperlink xmlns:r="http://schemas.openxmlformats.org/officeDocument/2006/relationships" ref="O165" display="https://humanoid.guide/product/%cf%88-synrobot/" r:id="rId155"/>
    <hyperlink xmlns:r="http://schemas.openxmlformats.org/officeDocument/2006/relationships" ref="O166" display="https://humanoid.guide/product/flashbot-arm/" r:id="rId156"/>
    <hyperlink xmlns:r="http://schemas.openxmlformats.org/officeDocument/2006/relationships" ref="O167" display="https://humanoid.guide/product/pudu-d7/" r:id="rId157"/>
    <hyperlink xmlns:r="http://schemas.openxmlformats.org/officeDocument/2006/relationships" ref="O168" display="https://humanoid.guide/product/pudu-d9/" r:id="rId158"/>
    <hyperlink xmlns:r="http://schemas.openxmlformats.org/officeDocument/2006/relationships" ref="O169" display="https://humanoid.guide/product/rb-y1/" r:id="rId159"/>
    <hyperlink xmlns:r="http://schemas.openxmlformats.org/officeDocument/2006/relationships" ref="O170" display="https://humanoid.guide/product/reflex/" r:id="rId160"/>
    <hyperlink xmlns:r="http://schemas.openxmlformats.org/officeDocument/2006/relationships" ref="O171" display="https://humanoid.guide/product/robbyant-r1/" r:id="rId161"/>
    <hyperlink xmlns:r="http://schemas.openxmlformats.org/officeDocument/2006/relationships" ref="O172" display="https://humanoid.guide/product/robo-t1/" r:id="rId162"/>
    <hyperlink xmlns:r="http://schemas.openxmlformats.org/officeDocument/2006/relationships" ref="O173" display="https://humanoid.guide/product/titan/" r:id="rId163"/>
    <hyperlink xmlns:r="http://schemas.openxmlformats.org/officeDocument/2006/relationships" ref="O174" display="https://humanoid.guide/product/robin/" r:id="rId164"/>
    <hyperlink xmlns:r="http://schemas.openxmlformats.org/officeDocument/2006/relationships" ref="O175" display="https://humanoid.guide/product/r-noid/" r:id="rId165"/>
    <hyperlink xmlns:r="http://schemas.openxmlformats.org/officeDocument/2006/relationships" ref="O176" display="https://humanoid.guide/product/robotera-l7/" r:id="rId166"/>
    <hyperlink xmlns:r="http://schemas.openxmlformats.org/officeDocument/2006/relationships" ref="O177" display="https://humanoid.guide/product/robotera-m7/" r:id="rId167"/>
    <hyperlink xmlns:r="http://schemas.openxmlformats.org/officeDocument/2006/relationships" ref="O178" display="https://humanoid.guide/product/robotera-q5/" r:id="rId168"/>
    <hyperlink xmlns:r="http://schemas.openxmlformats.org/officeDocument/2006/relationships" ref="O179" display="https://humanoid.guide/product/star1/" r:id="rId169"/>
    <hyperlink xmlns:r="http://schemas.openxmlformats.org/officeDocument/2006/relationships" ref="O180" display="https://humanoid.guide/product/ai-sapiens-k1/" r:id="rId170"/>
    <hyperlink xmlns:r="http://schemas.openxmlformats.org/officeDocument/2006/relationships" ref="O181" display="https://humanoid.guide/product/ai-worker/" r:id="rId171"/>
    <hyperlink xmlns:r="http://schemas.openxmlformats.org/officeDocument/2006/relationships" ref="O182" display="https://humanoid.guide/product/k0-by-robotis/" r:id="rId172"/>
    <hyperlink xmlns:r="http://schemas.openxmlformats.org/officeDocument/2006/relationships" ref="O183" display="https://humanoid.guide/product/igris-c/" r:id="rId173"/>
    <hyperlink xmlns:r="http://schemas.openxmlformats.org/officeDocument/2006/relationships" ref="O184" display="https://humanoid.guide/product/phoenix/" r:id="rId174"/>
    <hyperlink xmlns:r="http://schemas.openxmlformats.org/officeDocument/2006/relationships" ref="O185" display="https://humanoid.guide/product/roboto-origin/" r:id="rId175"/>
    <hyperlink xmlns:r="http://schemas.openxmlformats.org/officeDocument/2006/relationships" ref="O186" display="https://humanoid.guide/product/duco/" r:id="rId176"/>
    <hyperlink xmlns:r="http://schemas.openxmlformats.org/officeDocument/2006/relationships" ref="O187" display="https://humanoid.guide/product/songxing/" r:id="rId177"/>
    <hyperlink xmlns:r="http://schemas.openxmlformats.org/officeDocument/2006/relationships" ref="O188" display="https://humanoid.guide/product/simplexity-robotics-i-series/" r:id="rId178"/>
    <hyperlink xmlns:r="http://schemas.openxmlformats.org/officeDocument/2006/relationships" ref="O189" display="https://humanoid.guide/product/moz1/" r:id="rId179"/>
    <hyperlink xmlns:r="http://schemas.openxmlformats.org/officeDocument/2006/relationships" ref="O190" display="https://humanoid.guide/product/steve/" r:id="rId180"/>
    <hyperlink xmlns:r="http://schemas.openxmlformats.org/officeDocument/2006/relationships" ref="O191" display="https://humanoid.guide/product/memo/" r:id="rId181"/>
    <hyperlink xmlns:r="http://schemas.openxmlformats.org/officeDocument/2006/relationships" ref="O192" display="https://humanoid.guide/product/bimanual/" r:id="rId182"/>
    <hyperlink xmlns:r="http://schemas.openxmlformats.org/officeDocument/2006/relationships" ref="O193" display="https://humanoid.guide/product/onero-h1/" r:id="rId183"/>
    <hyperlink xmlns:r="http://schemas.openxmlformats.org/officeDocument/2006/relationships" ref="O194" display="https://humanoid.guide/product/eggie/" r:id="rId184"/>
    <hyperlink xmlns:r="http://schemas.openxmlformats.org/officeDocument/2006/relationships" ref="O195" display="https://humanoid.guide/product/tars/" r:id="rId185"/>
    <hyperlink xmlns:r="http://schemas.openxmlformats.org/officeDocument/2006/relationships" ref="O196" display="https://humanoid.guide/product/tm-xplore-1/" r:id="rId186"/>
    <hyperlink xmlns:r="http://schemas.openxmlformats.org/officeDocument/2006/relationships" ref="O197" display="https://humanoid.guide/product/alpha/" r:id="rId187"/>
    <hyperlink xmlns:r="http://schemas.openxmlformats.org/officeDocument/2006/relationships" ref="O198" display="https://humanoid.guide/product/xiao-liu/" r:id="rId188"/>
    <hyperlink xmlns:r="http://schemas.openxmlformats.org/officeDocument/2006/relationships" ref="O199" display="https://humanoid.guide/product/optimus/" r:id="rId189"/>
    <hyperlink xmlns:r="http://schemas.openxmlformats.org/officeDocument/2006/relationships" ref="O200" display="https://humanoid.guide/product/optimus-gen-3/" r:id="rId190"/>
    <hyperlink xmlns:r="http://schemas.openxmlformats.org/officeDocument/2006/relationships" ref="O201" display="https://humanoid.guide/product/optimus-gen2/" r:id="rId191"/>
    <hyperlink xmlns:r="http://schemas.openxmlformats.org/officeDocument/2006/relationships" ref="O202" display="https://humanoid.guide/product/tesla-optimus-v2-5/" r:id="rId192"/>
    <hyperlink xmlns:r="http://schemas.openxmlformats.org/officeDocument/2006/relationships" ref="O203" display="https://humanoid.guide/product/toraone/" r:id="rId193"/>
    <hyperlink xmlns:r="http://schemas.openxmlformats.org/officeDocument/2006/relationships" ref="O204" display="https://humanoid.guide/product/torobo/" r:id="rId194"/>
    <hyperlink xmlns:r="http://schemas.openxmlformats.org/officeDocument/2006/relationships" ref="O205" display="https://humanoid.guide/product/xiao-tuo/" r:id="rId195"/>
    <hyperlink xmlns:r="http://schemas.openxmlformats.org/officeDocument/2006/relationships" ref="O206" display="https://humanoid.guide/product/cue7/" r:id="rId196"/>
    <hyperlink xmlns:r="http://schemas.openxmlformats.org/officeDocument/2006/relationships" ref="O207" display="https://humanoid.guide/product/tobi/" r:id="rId197"/>
    <hyperlink xmlns:r="http://schemas.openxmlformats.org/officeDocument/2006/relationships" ref="O208" display="https://humanoid.guide/product/walker-s2/" r:id="rId198"/>
    <hyperlink xmlns:r="http://schemas.openxmlformats.org/officeDocument/2006/relationships" ref="O209" display="https://humanoid.guide/product/cruzr-s2/" r:id="rId199"/>
    <hyperlink xmlns:r="http://schemas.openxmlformats.org/officeDocument/2006/relationships" ref="O210" display="https://humanoid.guide/product/cruzr-y1/" r:id="rId200"/>
    <hyperlink xmlns:r="http://schemas.openxmlformats.org/officeDocument/2006/relationships" ref="O211" display="https://humanoid.guide/product/u1-pro/" r:id="rId201"/>
    <hyperlink xmlns:r="http://schemas.openxmlformats.org/officeDocument/2006/relationships" ref="O212" display="https://humanoid.guide/product/walker-c/" r:id="rId202"/>
    <hyperlink xmlns:r="http://schemas.openxmlformats.org/officeDocument/2006/relationships" ref="O213" display="https://humanoid.guide/product/walker-c1/" r:id="rId203"/>
    <hyperlink xmlns:r="http://schemas.openxmlformats.org/officeDocument/2006/relationships" ref="O214" display="https://humanoid.guide/product/walker-s1/" r:id="rId204"/>
    <hyperlink xmlns:r="http://schemas.openxmlformats.org/officeDocument/2006/relationships" ref="O215" display="https://humanoid.guide/product/operator-op1/" r:id="rId205"/>
    <hyperlink xmlns:r="http://schemas.openxmlformats.org/officeDocument/2006/relationships" ref="O216" display="https://humanoid.guide/product/northstar/" r:id="rId206"/>
    <hyperlink xmlns:r="http://schemas.openxmlformats.org/officeDocument/2006/relationships" ref="O217" display="https://humanoid.guide/product/moby-old/" r:id="rId207"/>
    <hyperlink xmlns:r="http://schemas.openxmlformats.org/officeDocument/2006/relationships" ref="O218" display="https://humanoid.guide/product/g1/" r:id="rId208"/>
    <hyperlink xmlns:r="http://schemas.openxmlformats.org/officeDocument/2006/relationships" ref="O219" display="https://humanoid.guide/product/h1-2/" r:id="rId209"/>
    <hyperlink xmlns:r="http://schemas.openxmlformats.org/officeDocument/2006/relationships" ref="O220" display="https://humanoid.guide/product/h2/" r:id="rId210"/>
    <hyperlink xmlns:r="http://schemas.openxmlformats.org/officeDocument/2006/relationships" ref="O221" display="https://humanoid.guide/product/unitree-r1/" r:id="rId211"/>
    <hyperlink xmlns:r="http://schemas.openxmlformats.org/officeDocument/2006/relationships" ref="O222" display="https://humanoid.guide/product/h2-plus/" r:id="rId212"/>
    <hyperlink xmlns:r="http://schemas.openxmlformats.org/officeDocument/2006/relationships" ref="O223" display="https://humanoid.guide/product/superman/" r:id="rId213"/>
    <hyperlink xmlns:r="http://schemas.openxmlformats.org/officeDocument/2006/relationships" ref="O224" display="https://humanoid.guide/product/martian/" r:id="rId214"/>
    <hyperlink xmlns:r="http://schemas.openxmlformats.org/officeDocument/2006/relationships" ref="O225" display="https://humanoid.guide/product/panther/" r:id="rId215"/>
    <hyperlink xmlns:r="http://schemas.openxmlformats.org/officeDocument/2006/relationships" ref="O226" display="https://humanoid.guide/product/wanda-2-0/" r:id="rId216"/>
    <hyperlink xmlns:r="http://schemas.openxmlformats.org/officeDocument/2006/relationships" ref="O228" display="https://humanoid.guide/product/motion-2/" r:id="rId217"/>
    <hyperlink xmlns:r="http://schemas.openxmlformats.org/officeDocument/2006/relationships" ref="O230" display="https://humanoid.guide/product/calvin-40/" r:id="rId218"/>
    <hyperlink xmlns:r="http://schemas.openxmlformats.org/officeDocument/2006/relationships" ref="O231" display="https://humanoid.guide/product/isaac-0/" r:id="rId219"/>
    <hyperlink xmlns:r="http://schemas.openxmlformats.org/officeDocument/2006/relationships" ref="O232" display="https://humanoid.guide/product/isaac-1/" r:id="rId220"/>
    <hyperlink xmlns:r="http://schemas.openxmlformats.org/officeDocument/2006/relationships" ref="O233" display="https://humanoid.guide/product/themis-v2/" r:id="rId221"/>
    <hyperlink xmlns:r="http://schemas.openxmlformats.org/officeDocument/2006/relationships" ref="O234" display="https://humanoid.guide/product/allex/" r:id="rId222"/>
    <hyperlink xmlns:r="http://schemas.openxmlformats.org/officeDocument/2006/relationships" ref="O235" display="https://humanoid.guide/product/totan-o1/" r:id="rId223"/>
    <hyperlink xmlns:r="http://schemas.openxmlformats.org/officeDocument/2006/relationships" ref="O236" display="https://humanoid.guide/product/syntro/" r:id="rId224"/>
    <hyperlink xmlns:r="http://schemas.openxmlformats.org/officeDocument/2006/relationships" ref="O237" display="https://humanoid.guide/product/omni/" r:id="rId225"/>
    <hyperlink xmlns:r="http://schemas.openxmlformats.org/officeDocument/2006/relationships" ref="O238" display="https://humanoid.guide/product/tian-yi-2-0/" r:id="rId226"/>
    <hyperlink xmlns:r="http://schemas.openxmlformats.org/officeDocument/2006/relationships" ref="O239" display="https://humanoid.guide/product/tien-kung-2-0/" r:id="rId227"/>
    <hyperlink xmlns:r="http://schemas.openxmlformats.org/officeDocument/2006/relationships" ref="O240" display="https://humanoid.guide/product/tien-kung-3-0/" r:id="rId228"/>
    <hyperlink xmlns:r="http://schemas.openxmlformats.org/officeDocument/2006/relationships" ref="O241" display="https://humanoid.guide/product/quanta-x2/" r:id="rId229"/>
    <hyperlink xmlns:r="http://schemas.openxmlformats.org/officeDocument/2006/relationships" ref="O242" display="https://humanoid.guide/product/cyberone/" r:id="rId230"/>
    <hyperlink xmlns:r="http://schemas.openxmlformats.org/officeDocument/2006/relationships" ref="O243" display="https://humanoid.guide/product/cyberone-v2/" r:id="rId231"/>
    <hyperlink xmlns:r="http://schemas.openxmlformats.org/officeDocument/2006/relationships" ref="O244" display="https://humanoid.guide/product/iron_prototype/" r:id="rId232"/>
    <hyperlink xmlns:r="http://schemas.openxmlformats.org/officeDocument/2006/relationships" ref="O245" display="https://humanoid.guide/product/px5/" r:id="rId233"/>
    <hyperlink xmlns:r="http://schemas.openxmlformats.org/officeDocument/2006/relationships" ref="O246" display="https://humanoid.guide/product/iron/" r:id="rId234"/>
    <hyperlink xmlns:r="http://schemas.openxmlformats.org/officeDocument/2006/relationships" ref="O247" display="https://humanoid.guide/product/deux/" r:id="rId235"/>
    <hyperlink xmlns:r="http://schemas.openxmlformats.org/officeDocument/2006/relationships" ref="O248" display="https://humanoid.guide/product/zerith-h1/" r:id="rId236"/>
    <hyperlink xmlns:r="http://schemas.openxmlformats.org/officeDocument/2006/relationships" ref="O249" display="https://humanoid.guide/product/zerith-z1/" r:id="rId237"/>
    <hyperlink xmlns:r="http://schemas.openxmlformats.org/officeDocument/2006/relationships" ref="O250" display="https://humanoid.guide/product/sean/" r:id="rId238"/>
    <hyperlink xmlns:r="http://schemas.openxmlformats.org/officeDocument/2006/relationships" ref="O251" display="https://humanoid.guide/product/navai-i3/" r:id="rId239"/>
    <hyperlink xmlns:r="http://schemas.openxmlformats.org/officeDocument/2006/relationships" ref="O252" display="https://humanoid.guide/product/navigator-2/" r:id="rId240"/>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tabColor rgb="FF7C3AED"/>
    <outlinePr summaryBelow="1" summaryRight="1"/>
    <pageSetUpPr fitToPage="0"/>
  </sheetPr>
  <dimension ref="A1:AS85"/>
  <sheetViews>
    <sheetView showFormulas="0" showGridLines="0" showRowColHeaders="1" showZeros="1" rightToLeft="0" tabSelected="0" showOutlineSymbols="1" defaultGridColor="1" view="normal" topLeftCell="A1" colorId="64" zoomScale="90" zoomScaleNormal="9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baseColWidth="8" defaultColWidth="8.6796875" defaultRowHeight="15" zeroHeight="0" outlineLevelRow="0"/>
  <cols>
    <col width="28" customWidth="1" style="101" min="1" max="1"/>
    <col width="16" customWidth="1" style="101" min="2" max="2"/>
    <col width="34" customWidth="1" style="101" min="3" max="3"/>
    <col width="26" customWidth="1" style="101" min="4" max="4"/>
    <col width="10" customWidth="1" style="101" min="5" max="5"/>
    <col width="16" customWidth="1" style="101" min="6" max="6"/>
    <col width="12" customWidth="1" style="101" min="7" max="7"/>
    <col width="16" customWidth="1" style="101" min="8" max="8"/>
    <col width="20" customWidth="1" style="101" min="9" max="9"/>
    <col width="56" customWidth="1" style="101" min="10" max="10"/>
    <col width="48" customWidth="1" style="101" min="11" max="11"/>
    <col width="48" customWidth="1" style="101" min="12" max="12"/>
    <col width="12" customWidth="1" style="101" min="13" max="14"/>
    <col width="28" customWidth="1" style="101" min="15" max="15"/>
    <col width="22" customWidth="1" style="101" min="16" max="17"/>
    <col width="18" customWidth="1" style="101" min="18" max="18"/>
    <col width="12" customWidth="1" style="101" min="19" max="19"/>
    <col width="13" customWidth="1" style="101" min="20" max="20"/>
    <col width="18" customWidth="1" style="101" min="21" max="21"/>
    <col width="28" customWidth="1" style="101" min="22" max="22"/>
    <col width="40" customWidth="1" style="101" min="23" max="23"/>
    <col width="36" customWidth="1" style="101" min="24" max="24"/>
    <col width="56" customWidth="1" style="101" min="25" max="25"/>
    <col width="32" customWidth="1" style="101" min="26" max="26"/>
    <col width="18" customWidth="1" style="101" min="27" max="27"/>
    <col width="16" customWidth="1" style="101" min="28" max="28"/>
    <col width="36" customWidth="1" style="101" min="29" max="29"/>
    <col width="40" customWidth="1" style="101" min="30" max="30"/>
    <col width="16" customWidth="1" style="101" min="31" max="31"/>
    <col width="40" customWidth="1" style="101" min="32" max="32"/>
    <col width="28" customWidth="1" style="101" min="33" max="33"/>
    <col width="16" customWidth="1" style="101" min="34" max="34"/>
    <col width="36" customWidth="1" style="101" min="35" max="35"/>
    <col width="16" customWidth="1" style="101" min="36" max="38"/>
    <col width="40" customWidth="1" style="101" min="39" max="39"/>
    <col width="44" customWidth="1" style="101" min="40" max="40"/>
    <col width="42" customWidth="1" style="102" min="41" max="41"/>
    <col width="42" customWidth="1" style="102" min="42" max="42"/>
  </cols>
  <sheetData>
    <row r="1" ht="27.75" customHeight="1" s="102">
      <c r="A1" s="128" t="inlineStr">
        <is>
          <t>DEXTEROUS HANDS / END-EFFECTORS</t>
        </is>
      </c>
      <c r="P1" s="129" t="n"/>
      <c r="Q1" s="129" t="n"/>
      <c r="R1" s="129" t="n"/>
      <c r="S1" s="129" t="n"/>
      <c r="T1" s="129" t="n"/>
      <c r="U1" s="129" t="n"/>
      <c r="V1" s="129" t="n"/>
      <c r="W1" s="129" t="n"/>
      <c r="X1" s="129" t="n"/>
      <c r="Y1" s="129" t="n"/>
      <c r="Z1" s="129" t="n"/>
      <c r="AA1" s="129" t="n"/>
      <c r="AB1" s="129" t="n"/>
      <c r="AC1" s="129" t="n"/>
      <c r="AD1" s="129" t="n"/>
      <c r="AE1" s="129" t="n"/>
      <c r="AF1" s="129" t="n"/>
      <c r="AG1" s="129" t="n"/>
      <c r="AH1" s="129" t="n"/>
      <c r="AI1" s="129" t="n"/>
      <c r="AJ1" s="129" t="n"/>
      <c r="AK1" s="129" t="n"/>
      <c r="AL1" s="129" t="n"/>
      <c r="AM1" s="129" t="n"/>
      <c r="AN1" s="129" t="n"/>
      <c r="AO1" s="129" t="n"/>
      <c r="AP1" s="129" t="n"/>
      <c r="AQ1" s="129" t="n"/>
    </row>
    <row r="2" ht="18" customHeight="1" s="102">
      <c r="A2" s="130" t="inlineStr">
        <is>
          <t>81 hands extracted from humanoid.guide/hands/  ·  26 Aug 2026  ·  Sorted Manufacturer → Model  ·  Parts &amp; accessories catalog for theofficialrobot.com  ·  AIXZD/TAAFT pass 28 Aug 2026 (platform sheet columns 90–92)</t>
        </is>
      </c>
      <c r="P2" s="131" t="n"/>
      <c r="Q2" s="131" t="n"/>
      <c r="R2" s="131" t="n"/>
      <c r="S2" s="131" t="n"/>
      <c r="T2" s="131" t="n"/>
      <c r="U2" s="131" t="n"/>
      <c r="V2" s="131" t="n"/>
      <c r="W2" s="131" t="n"/>
      <c r="X2" s="131" t="n"/>
      <c r="Y2" s="131" t="n"/>
      <c r="Z2" s="131" t="n"/>
      <c r="AA2" s="131" t="n"/>
      <c r="AB2" s="131" t="n"/>
      <c r="AC2" s="131" t="n"/>
      <c r="AD2" s="131" t="n"/>
      <c r="AE2" s="131" t="n"/>
      <c r="AF2" s="131" t="n"/>
      <c r="AG2" s="131" t="n"/>
      <c r="AH2" s="131" t="n"/>
      <c r="AI2" s="131" t="n"/>
      <c r="AJ2" s="131" t="n"/>
      <c r="AK2" s="131" t="n"/>
      <c r="AL2" s="131" t="n"/>
      <c r="AM2" s="131" t="n"/>
      <c r="AN2" s="131" t="n"/>
      <c r="AO2" s="131" t="n"/>
      <c r="AP2" s="131" t="n"/>
      <c r="AQ2" s="131" t="n"/>
    </row>
    <row r="3" ht="18" customHeight="1" s="102">
      <c r="A3" s="132" t="inlineStr">
        <is>
          <t>IDENTITY</t>
        </is>
      </c>
    </row>
    <row r="4" ht="36" customHeight="1" s="102">
      <c r="A4" s="193" t="inlineStr">
        <is>
          <t>Website ID</t>
        </is>
      </c>
      <c r="B4" s="193" t="inlineStr">
        <is>
          <t>Catalog Source</t>
        </is>
      </c>
      <c r="C4" s="193" t="inlineStr">
        <is>
          <t>Manufacturer</t>
        </is>
      </c>
      <c r="D4" s="193" t="inlineStr">
        <is>
          <t>Model Name</t>
        </is>
      </c>
      <c r="E4" s="193" t="inlineStr">
        <is>
          <t>Type</t>
        </is>
      </c>
      <c r="F4" s="193" t="inlineStr">
        <is>
          <t>Country of Origin</t>
        </is>
      </c>
      <c r="G4" s="193" t="inlineStr">
        <is>
          <t>First Year (YYYY)</t>
        </is>
      </c>
      <c r="H4" s="193" t="inlineStr">
        <is>
          <t>Approx. Cost (USD)</t>
        </is>
      </c>
      <c r="I4" s="193" t="inlineStr">
        <is>
          <t>Price Source</t>
        </is>
      </c>
      <c r="J4" s="193" t="inlineStr">
        <is>
          <t>Description (1 sentence)</t>
        </is>
      </c>
      <c r="K4" s="193" t="inlineStr">
        <is>
          <t>Unique Summary</t>
        </is>
      </c>
      <c r="L4" s="193" t="inlineStr">
        <is>
          <t>Bio / History</t>
        </is>
      </c>
      <c r="M4" s="193" t="inlineStr">
        <is>
          <t>Bullet Highlights</t>
        </is>
      </c>
      <c r="N4" s="193" t="inlineStr">
        <is>
          <t>Humanoid.guide URL</t>
        </is>
      </c>
      <c r="O4" s="193" t="inlineStr">
        <is>
          <t>OEM Website</t>
        </is>
      </c>
      <c r="P4" s="193" t="inlineStr">
        <is>
          <t>Weight (lb)</t>
        </is>
      </c>
      <c r="Q4" s="193" t="inlineStr">
        <is>
          <t>Weight (kg)</t>
        </is>
      </c>
      <c r="R4" s="193" t="inlineStr">
        <is>
          <t>Size (published)</t>
        </is>
      </c>
      <c r="S4" s="193" t="inlineStr">
        <is>
          <t>Size / Envelope (in)</t>
        </is>
      </c>
      <c r="T4" s="193" t="inlineStr">
        <is>
          <t>Degrees of Freedom (hands)</t>
        </is>
      </c>
      <c r="U4" s="193" t="inlineStr">
        <is>
          <t>Number of Fingers</t>
        </is>
      </c>
      <c r="V4" s="193" t="inlineStr">
        <is>
          <t>Payload (lb)</t>
        </is>
      </c>
      <c r="W4" s="193" t="inlineStr">
        <is>
          <t>Strength (kg)</t>
        </is>
      </c>
      <c r="X4" s="193" t="inlineStr">
        <is>
          <t>Tactile / Force Sensors</t>
        </is>
      </c>
      <c r="Y4" s="193" t="inlineStr">
        <is>
          <t>Tactile Detail</t>
        </is>
      </c>
      <c r="Z4" s="193" t="inlineStr">
        <is>
          <t>Motor Tech</t>
        </is>
      </c>
      <c r="AA4" s="193" t="inlineStr">
        <is>
          <t>Main Structural Material</t>
        </is>
      </c>
      <c r="AB4" s="193" t="inlineStr">
        <is>
          <t>Capabilities / Skills Summary</t>
        </is>
      </c>
      <c r="AC4" s="193" t="inlineStr">
        <is>
          <t>Primary Use / Main Market</t>
        </is>
      </c>
      <c r="AD4" s="193" t="inlineStr">
        <is>
          <t>Availability (HG)</t>
        </is>
      </c>
      <c r="AE4" s="193" t="inlineStr">
        <is>
          <t>Commercial Status</t>
        </is>
      </c>
      <c r="AF4" s="193" t="inlineStr">
        <is>
          <t>Notes</t>
        </is>
      </c>
      <c r="AG4" s="193" t="inlineStr">
        <is>
          <t>Manufacturer Warranty (label)</t>
        </is>
      </c>
      <c r="AH4" s="193" t="inlineStr">
        <is>
          <t>Manufacturer Warranty (months)</t>
        </is>
      </c>
      <c r="AI4" s="193" t="inlineStr">
        <is>
          <t>Default Extended Warranty</t>
        </is>
      </c>
      <c r="AJ4" s="193" t="inlineStr">
        <is>
          <t>Warranty Source</t>
        </is>
      </c>
      <c r="AK4" s="193" t="inlineStr">
        <is>
          <t>Warranty Confidence</t>
        </is>
      </c>
      <c r="AL4" s="193" t="inlineStr">
        <is>
          <t>Warranty Notes</t>
        </is>
      </c>
      <c r="AM4" s="193" t="inlineStr">
        <is>
          <t>Extended Warranty +1yr (% of config)</t>
        </is>
      </c>
      <c r="AN4" s="193" t="inlineStr">
        <is>
          <t>Extended Warranty +2yr (% of config)</t>
        </is>
      </c>
      <c r="AO4" s="193" t="inlineStr">
        <is>
          <t>Extended Warranty +3yr (% of config)</t>
        </is>
      </c>
      <c r="AP4" s="193" t="inlineStr">
        <is>
          <t>Extended Warranty Options</t>
        </is>
      </c>
      <c r="AQ4" s="193" t="inlineStr">
        <is>
          <t>Extended Warranty Pricing Rationale</t>
        </is>
      </c>
      <c r="AR4" s="193" t="inlineStr">
        <is>
          <t>Model Name (Website)</t>
        </is>
      </c>
      <c r="AS4" s="207" t="inlineStr">
        <is>
          <t>AIXZD URL</t>
        </is>
      </c>
    </row>
    <row r="5" ht="33.75" customHeight="1" s="102">
      <c r="A5" s="143" t="inlineStr">
        <is>
          <t>hand_omnihand</t>
        </is>
      </c>
      <c r="B5" s="153" t="inlineStr">
        <is>
          <t>Humanoid.guide</t>
        </is>
      </c>
      <c r="C5" s="145" t="inlineStr">
        <is>
          <t>AgiBot</t>
        </is>
      </c>
      <c r="D5" s="145" t="inlineStr">
        <is>
          <t>OmniHand</t>
        </is>
      </c>
      <c r="E5" s="163" t="inlineStr">
        <is>
          <t>hand</t>
        </is>
      </c>
      <c r="F5" s="145" t="inlineStr">
        <is>
          <t>China</t>
        </is>
      </c>
      <c r="G5" s="145" t="n">
        <v>2026</v>
      </c>
      <c r="H5" s="148" t="n">
        <v>3775</v>
      </c>
      <c r="I5" s="145" t="inlineStr">
        <is>
          <t>Humanoid.guide list</t>
        </is>
      </c>
      <c r="J5" s="149" t="inlineStr">
        <is>
          <t>OmniHand is a lightweight, human-like robotic hand with advanced sensing and gesture capabilities, designed to enhance manipulation on humanoid and robotic platforms.</t>
        </is>
      </c>
      <c r="K5" s="101" t="inlineStr">
        <is>
          <t>OmniHand is a lightweight, human-like robotic hand with advanced sensing and gesture capabilities, designed to enhance manipulation on humanoid and robotic platforms.</t>
        </is>
      </c>
      <c r="L5" s="101" t="inlineStr">
        <is>
          <t>OmniHand is AgiBot’s lightweight five-finger end-effector, designed so humanoid and manipulator platforms can share a common, sensorized hand instead of a parallel gripper.</t>
        </is>
      </c>
      <c r="M5" s="101" t="inlineStr">
        <is>
          <t>Origin &amp; status — China · In production · 2026 | Performance — 16 DOF · 5 fingers · Payload 4.41 lb · Strength 2 kg | Sensing — Yes | Buying notes — $3,775 · 12 months manufacturer standard (typical dexterous-hand component) · Best fit: Humanoid OEM</t>
        </is>
      </c>
      <c r="N5" s="150" t="inlineStr">
        <is>
          <t>https://humanoid.guide/product/omnihand/</t>
        </is>
      </c>
      <c r="O5" s="150" t="inlineStr">
        <is>
          <t>https://www.agibot.com</t>
        </is>
      </c>
      <c r="P5" s="194" t="n">
        <v>1.1</v>
      </c>
      <c r="Q5" s="194" t="n">
        <v>0.5</v>
      </c>
      <c r="R5" s="149" t="inlineStr">
        <is>
          <t>180x85x38.5mm</t>
        </is>
      </c>
      <c r="S5" s="145" t="inlineStr">
        <is>
          <t>7.09 × 3.35 × 1.52 in</t>
        </is>
      </c>
      <c r="T5" s="145" t="inlineStr">
        <is>
          <t>16</t>
        </is>
      </c>
      <c r="U5" s="149" t="inlineStr">
        <is>
          <t>5</t>
        </is>
      </c>
      <c r="V5" s="194" t="n">
        <v>4.41</v>
      </c>
      <c r="W5" s="194" t="n">
        <v>2</v>
      </c>
      <c r="X5" s="161" t="inlineStr">
        <is>
          <t>Yes</t>
        </is>
      </c>
      <c r="Y5" s="149" t="inlineStr">
        <is>
          <t>Yes</t>
        </is>
      </c>
      <c r="Z5" s="149" t="inlineStr">
        <is>
          <t>Motor + gear driving linkage mechanism</t>
        </is>
      </c>
      <c r="AA5" s="149" t="inlineStr">
        <is>
          <t>PA (polyamide) + silicone coverings</t>
        </is>
      </c>
      <c r="AB5" s="149" t="inlineStr">
        <is>
          <t>16 DOF · 5 fingers · 2 kg class strength · Tactile/force sensing · Motor + gear driving linkage mechanism · 0.5 kg</t>
        </is>
      </c>
      <c r="AC5" s="149" t="inlineStr">
        <is>
          <t>Humanoid OEM</t>
        </is>
      </c>
      <c r="AD5" s="195" t="inlineStr">
        <is>
          <t>In production</t>
        </is>
      </c>
      <c r="AE5" s="145" t="inlineStr">
        <is>
          <t>In production</t>
        </is>
      </c>
      <c r="AF5" s="149" t="n"/>
      <c r="AG5" s="149" t="inlineStr">
        <is>
          <t>12 months manufacturer standard (typical dexterous-hand component)</t>
        </is>
      </c>
      <c r="AH5" s="145" t="n">
        <v>12</v>
      </c>
      <c r="AI5" s="149" t="inlineStr">
        <is>
          <t>+3 Year Extended ≈24% of configuration (default in configurator)</t>
        </is>
      </c>
      <c r="AJ5" s="145" t="inlineStr">
        <is>
          <t>End-effector category norm 2025–2026</t>
        </is>
      </c>
      <c r="AK5" s="145" t="inlineStr">
        <is>
          <t>Estimated</t>
        </is>
      </c>
      <c r="AL5" s="149" t="inlineStr">
        <is>
          <t>Skins, tendons, and tactile covers often wear items — confirm on OEM quote.</t>
        </is>
      </c>
      <c r="AM5" s="145" t="inlineStr">
        <is>
          <t>10%</t>
        </is>
      </c>
      <c r="AN5" s="145" t="inlineStr">
        <is>
          <t>17%</t>
        </is>
      </c>
      <c r="AO5" s="145" t="inlineStr">
        <is>
          <t>24%</t>
        </is>
      </c>
      <c r="AP5" s="149" t="inlineStr">
        <is>
          <t>+1yr ≈10% | +2yr ≈17% | +3yr ≈24% of selected configuration price.</t>
        </is>
      </c>
      <c r="AQ5" s="149" t="inlineStr">
        <is>
          <t>Profitable schedule (Aug 2026): +1yr ≈10% / +2yr ≈17% / +3yr ≈24% of configuration price. Calibrated for ~45–55% gross margin after expected robotics claim incidence (~10–14%/yr of covered units), avg claim cost ~25–30% of config, and admin 10–15% of premium.</t>
        </is>
      </c>
      <c r="AR5" s="101" t="inlineStr">
        <is>
          <t>[AgiBot] OmniHand (2026)</t>
        </is>
      </c>
    </row>
    <row r="6" ht="33.75" customHeight="1" s="102">
      <c r="A6" s="159" t="inlineStr">
        <is>
          <t>hand_omnihand_pro</t>
        </is>
      </c>
      <c r="B6" s="153" t="inlineStr">
        <is>
          <t>Humanoid.guide</t>
        </is>
      </c>
      <c r="C6" s="152" t="inlineStr">
        <is>
          <t>AgiBot</t>
        </is>
      </c>
      <c r="D6" s="152" t="inlineStr">
        <is>
          <t>OmniHand Pro</t>
        </is>
      </c>
      <c r="E6" s="163" t="inlineStr">
        <is>
          <t>hand</t>
        </is>
      </c>
      <c r="F6" s="152" t="inlineStr">
        <is>
          <t>China</t>
        </is>
      </c>
      <c r="G6" s="152" t="n">
        <v>2026</v>
      </c>
      <c r="H6" s="155" t="n">
        <v>12700</v>
      </c>
      <c r="I6" s="152" t="inlineStr">
        <is>
          <t>Humanoid.guide list</t>
        </is>
      </c>
      <c r="J6" s="156" t="inlineStr">
        <is>
          <t>OmniHand Pro is an advanced robotic hand with 19 degrees of freedom, multi-modal tactile sensing, and human-like dexterity for structured manipulation and industrial tasks.</t>
        </is>
      </c>
      <c r="K6" s="101" t="inlineStr">
        <is>
          <t>OmniHand Pro is an advanced robotic hand with 19 degrees of freedom, multi-modal tactile sensing, and human-like dexterity for structured manipulation and industrial tasks.</t>
        </is>
      </c>
      <c r="L6" s="101" t="inlineStr">
        <is>
          <t>OmniHand Pro is an advanced robotic hand with 19 degrees of freedom, multi-modal tactile sensing, and human-like dexterity for structured manipulation and industrial tasks. Public status is listed as in production, and it is positioned for industrial manipulation.</t>
        </is>
      </c>
      <c r="M6" s="101" t="inlineStr">
        <is>
          <t>Origin &amp; status — China · In production · 2026 | Performance — 19 DOF · 5 fingers · Payload 77.16 lb · Strength 35 kg | Sensing — Yes | Buying notes — $12,700 · 12 months manufacturer standard (typical dexterous-hand component) · Best fit: Industrial manipulation</t>
        </is>
      </c>
      <c r="N6" s="157" t="inlineStr">
        <is>
          <t>https://humanoid.guide/product/omnihand-pro/</t>
        </is>
      </c>
      <c r="O6" s="157" t="inlineStr">
        <is>
          <t>https://www.agibot.com</t>
        </is>
      </c>
      <c r="P6" s="196" t="n">
        <v>1.65</v>
      </c>
      <c r="Q6" s="196" t="n">
        <v>0.75</v>
      </c>
      <c r="R6" s="156" t="inlineStr">
        <is>
          <t>207 × 98 × 56 mm</t>
        </is>
      </c>
      <c r="S6" s="152" t="inlineStr">
        <is>
          <t>8.15 × 3.86 × 2.2 in</t>
        </is>
      </c>
      <c r="T6" s="152" t="inlineStr">
        <is>
          <t>19</t>
        </is>
      </c>
      <c r="U6" s="156" t="inlineStr">
        <is>
          <t>5</t>
        </is>
      </c>
      <c r="V6" s="196" t="n">
        <v>77.16</v>
      </c>
      <c r="W6" s="196" t="n">
        <v>35</v>
      </c>
      <c r="X6" s="161" t="inlineStr">
        <is>
          <t>Yes</t>
        </is>
      </c>
      <c r="Y6" s="156" t="inlineStr">
        <is>
          <t>Yes</t>
        </is>
      </c>
      <c r="Z6" s="156" t="inlineStr">
        <is>
          <t>Motor + screw rod linkage transmission</t>
        </is>
      </c>
      <c r="AA6" s="156" t="inlineStr">
        <is>
          <t>PA (polyamide) + silicone</t>
        </is>
      </c>
      <c r="AB6" s="156" t="inlineStr">
        <is>
          <t>19 DOF · 5 fingers · 35 kg class strength · Tactile/force sensing · Motor + screw rod linkage transmission · 0.75 kg</t>
        </is>
      </c>
      <c r="AC6" s="156" t="inlineStr">
        <is>
          <t>Industrial manipulation</t>
        </is>
      </c>
      <c r="AD6" s="195" t="inlineStr">
        <is>
          <t>In production</t>
        </is>
      </c>
      <c r="AE6" s="152" t="inlineStr">
        <is>
          <t>In production</t>
        </is>
      </c>
      <c r="AF6" s="156" t="n"/>
      <c r="AG6" s="156" t="inlineStr">
        <is>
          <t>12 months manufacturer standard (typical dexterous-hand component)</t>
        </is>
      </c>
      <c r="AH6" s="152" t="n">
        <v>12</v>
      </c>
      <c r="AI6" s="156" t="inlineStr">
        <is>
          <t>+3 Year Extended ≈24% of configuration (default in configurator)</t>
        </is>
      </c>
      <c r="AJ6" s="152" t="inlineStr">
        <is>
          <t>End-effector category norm 2025–2026</t>
        </is>
      </c>
      <c r="AK6" s="152" t="inlineStr">
        <is>
          <t>Estimated</t>
        </is>
      </c>
      <c r="AL6" s="156" t="inlineStr">
        <is>
          <t>Skins, tendons, and tactile covers often wear items — confirm on OEM quote.</t>
        </is>
      </c>
      <c r="AM6" s="152" t="inlineStr">
        <is>
          <t>10%</t>
        </is>
      </c>
      <c r="AN6" s="152" t="inlineStr">
        <is>
          <t>17%</t>
        </is>
      </c>
      <c r="AO6" s="152" t="inlineStr">
        <is>
          <t>24%</t>
        </is>
      </c>
      <c r="AP6" s="156" t="inlineStr">
        <is>
          <t>+1yr ≈10% | +2yr ≈17% | +3yr ≈24% of selected configuration price.</t>
        </is>
      </c>
      <c r="AQ6" s="156" t="inlineStr">
        <is>
          <t>Profitable schedule (Aug 2026): +1yr ≈10% / +2yr ≈17% / +3yr ≈24% of configuration price. Calibrated for ~45–55% gross margin after expected robotics claim incidence (~10–14%/yr of covered units), avg claim cost ~25–30% of config, and admin 10–15% of premium.</t>
        </is>
      </c>
      <c r="AR6" s="101" t="inlineStr">
        <is>
          <t>[AgiBot] OmniHand Pro (2026)</t>
        </is>
      </c>
    </row>
    <row r="7" ht="33.75" customHeight="1" s="102">
      <c r="A7" s="143" t="inlineStr">
        <is>
          <t>hand_agile</t>
        </is>
      </c>
      <c r="B7" s="153" t="inlineStr">
        <is>
          <t>Humanoid.guide</t>
        </is>
      </c>
      <c r="C7" s="145" t="inlineStr">
        <is>
          <t>Agile Robots SE</t>
        </is>
      </c>
      <c r="D7" s="145" t="inlineStr">
        <is>
          <t>Agile</t>
        </is>
      </c>
      <c r="E7" s="163" t="inlineStr">
        <is>
          <t>hand</t>
        </is>
      </c>
      <c r="F7" s="145" t="inlineStr">
        <is>
          <t>Germany</t>
        </is>
      </c>
      <c r="G7" s="145" t="n">
        <v>2025</v>
      </c>
      <c r="H7" s="148" t="n">
        <v>14000</v>
      </c>
      <c r="I7" s="145" t="inlineStr">
        <is>
          <t>Humanoid.guide list</t>
        </is>
      </c>
      <c r="J7" s="149" t="inlineStr">
        <is>
          <t>Agile Hand — a modular, five-fingered robotic hand from Agile Robots combining human-like dexterity, adaptive control and fast, reliable grasping for robots in automation, research, or humanoid applications.</t>
        </is>
      </c>
      <c r="K7" s="101" t="inlineStr">
        <is>
          <t>Agile Hand — a modular, five-fingered robotic hand from Agile Robots combining human-like dexterity, adaptive control and fast, reliable grasping for robots in automation, research, or humanoid applications.</t>
        </is>
      </c>
      <c r="L7" s="101" t="inlineStr">
        <is>
          <t>Agile Hand — a modular, five-fingered robotic hand from Agile Robots combining human-like dexterity, adaptive control and fast, reliable grasping for robots in automation, research, or humanoid applications. Public status is listed as in production, and it is positioned for humanoid OEM; Research / teleoperation.</t>
        </is>
      </c>
      <c r="M7" s="101" t="inlineStr">
        <is>
          <t>Origin &amp; status — Germany · In production · 2025 | Performance — 15 DOF · 5 (5 per hand) fingers · Payload 17.64 lb · Strength 8 kg | Sensing — No | Buying notes — $14,000 · 12 months manufacturer standard (typical dexterous-hand component) · Best fit: Humanoid OEM; Research / teleoperation</t>
        </is>
      </c>
      <c r="N7" s="150" t="inlineStr">
        <is>
          <t>https://humanoid.guide/product/agile/</t>
        </is>
      </c>
      <c r="O7" s="150" t="inlineStr">
        <is>
          <t>https://www.agile-robots.com</t>
        </is>
      </c>
      <c r="P7" s="194" t="n">
        <v>3.31</v>
      </c>
      <c r="Q7" s="194" t="n">
        <v>1.5</v>
      </c>
      <c r="R7" s="149" t="inlineStr">
        <is>
          <t>human-hand sized</t>
        </is>
      </c>
      <c r="S7" s="145" t="inlineStr">
        <is>
          <t>Not disclosed</t>
        </is>
      </c>
      <c r="T7" s="145" t="inlineStr">
        <is>
          <t>15</t>
        </is>
      </c>
      <c r="U7" s="149" t="inlineStr">
        <is>
          <t>5 (5 per hand)</t>
        </is>
      </c>
      <c r="V7" s="194" t="n">
        <v>17.64</v>
      </c>
      <c r="W7" s="194" t="n">
        <v>8</v>
      </c>
      <c r="X7" s="162" t="inlineStr">
        <is>
          <t>No</t>
        </is>
      </c>
      <c r="Y7" s="149" t="inlineStr">
        <is>
          <t>No</t>
        </is>
      </c>
      <c r="Z7" s="149" t="inlineStr">
        <is>
          <t>Integrated actuators per finger, electronics and mechanical transmission in each modular finger</t>
        </is>
      </c>
      <c r="AA7" s="149" t="inlineStr">
        <is>
          <t>Integrated actuators per finger, electronics and mechanical transmission in each modular finger</t>
        </is>
      </c>
      <c r="AB7" s="149" t="inlineStr">
        <is>
          <t>15 DOF · 5 fingers · 8 kg class strength · No tactile array published · Integrated actuators per finger, electronics and mechanical transmission in each modula… · 1.5 kg</t>
        </is>
      </c>
      <c r="AC7" s="149" t="inlineStr">
        <is>
          <t>Humanoid OEM; Research / teleoperation</t>
        </is>
      </c>
      <c r="AD7" s="195" t="inlineStr">
        <is>
          <t>In production</t>
        </is>
      </c>
      <c r="AE7" s="145" t="inlineStr">
        <is>
          <t>In production</t>
        </is>
      </c>
      <c r="AF7" s="149" t="n"/>
      <c r="AG7" s="149" t="inlineStr">
        <is>
          <t>12 months manufacturer standard (typical dexterous-hand component)</t>
        </is>
      </c>
      <c r="AH7" s="145" t="n">
        <v>12</v>
      </c>
      <c r="AI7" s="149" t="inlineStr">
        <is>
          <t>+3 Year Extended ≈24% of configuration (default in configurator)</t>
        </is>
      </c>
      <c r="AJ7" s="145" t="inlineStr">
        <is>
          <t>End-effector category norm 2025–2026</t>
        </is>
      </c>
      <c r="AK7" s="145" t="inlineStr">
        <is>
          <t>Estimated</t>
        </is>
      </c>
      <c r="AL7" s="149" t="inlineStr">
        <is>
          <t>Skins, tendons, and tactile covers often wear items — confirm on OEM quote.</t>
        </is>
      </c>
      <c r="AM7" s="145" t="inlineStr">
        <is>
          <t>10%</t>
        </is>
      </c>
      <c r="AN7" s="145" t="inlineStr">
        <is>
          <t>17%</t>
        </is>
      </c>
      <c r="AO7" s="145" t="inlineStr">
        <is>
          <t>24%</t>
        </is>
      </c>
      <c r="AP7" s="149" t="inlineStr">
        <is>
          <t>+1yr ≈10% | +2yr ≈17% | +3yr ≈24% of selected configuration price.</t>
        </is>
      </c>
      <c r="AQ7" s="149" t="inlineStr">
        <is>
          <t>Profitable schedule (Aug 2026): +1yr ≈10% / +2yr ≈17% / +3yr ≈24% of configuration price. Calibrated for ~45–55% gross margin after expected robotics claim incidence (~10–14%/yr of covered units), avg claim cost ~25–30% of config, and admin 10–15% of premium.</t>
        </is>
      </c>
      <c r="AR7" s="101" t="inlineStr">
        <is>
          <t>[Agile Robots SE] Agile (2025)</t>
        </is>
      </c>
    </row>
    <row r="8" ht="33.75" customHeight="1" s="102">
      <c r="A8" s="159" t="inlineStr">
        <is>
          <t>hand_aidin_hand_gen1</t>
        </is>
      </c>
      <c r="B8" s="153" t="inlineStr">
        <is>
          <t>Humanoid.guide</t>
        </is>
      </c>
      <c r="C8" s="152" t="inlineStr">
        <is>
          <t>AIDIN ROBOTICS Inc.</t>
        </is>
      </c>
      <c r="D8" s="152" t="inlineStr">
        <is>
          <t>AIDIN-Hand Gen1</t>
        </is>
      </c>
      <c r="E8" s="163" t="inlineStr">
        <is>
          <t>hand</t>
        </is>
      </c>
      <c r="F8" s="152" t="inlineStr">
        <is>
          <t>South Korea</t>
        </is>
      </c>
      <c r="G8" s="152" t="n">
        <v>2026</v>
      </c>
      <c r="H8" s="155" t="n">
        <v>65000</v>
      </c>
      <c r="I8" s="152" t="inlineStr">
        <is>
          <t>Humanoid.guide list</t>
        </is>
      </c>
      <c r="J8" s="156" t="inlineStr">
        <is>
          <t>AIDIN-Hand Gen1 is a high-precision robotic hand designed for research and advanced manipulation.</t>
        </is>
      </c>
      <c r="K8" s="101" t="inlineStr">
        <is>
          <t>AIDIN-Hand Gen1 is a high-precision robotic hand designed for research and advanced manipulation.</t>
        </is>
      </c>
      <c r="L8" s="101" t="inlineStr">
        <is>
          <t>AIDIN-Hand Gen1 is a high-precision robotic hand designed for research and advanced manipulation. Public status is listed as prototype, and it is positioned for research / teleoperation.</t>
        </is>
      </c>
      <c r="M8" s="101" t="inlineStr">
        <is>
          <t>Origin &amp; status — South Korea · Prototype · 2026 | Performance — 15 DOF · 5 fingers · Payload 33.07 lb · Strength 15 kg | Sensing — Yes | Buying notes — $65,000 · 12 months manufacturer standard (typical dexterous-hand component) · Best fit: Research / teleoperation</t>
        </is>
      </c>
      <c r="N8" s="157" t="inlineStr">
        <is>
          <t>https://humanoid.guide/product/aidin-hand-gen1/</t>
        </is>
      </c>
      <c r="O8" s="157" t="inlineStr">
        <is>
          <t>https://www.aidinrobotics.co.kr</t>
        </is>
      </c>
      <c r="P8" s="196" t="n">
        <v>2.87</v>
      </c>
      <c r="Q8" s="196" t="n">
        <v>1.3</v>
      </c>
      <c r="R8" s="156" t="inlineStr">
        <is>
          <t>Not disclosed</t>
        </is>
      </c>
      <c r="S8" s="152" t="inlineStr">
        <is>
          <t>Not disclosed</t>
        </is>
      </c>
      <c r="T8" s="152" t="inlineStr">
        <is>
          <t>15</t>
        </is>
      </c>
      <c r="U8" s="156" t="inlineStr">
        <is>
          <t>5</t>
        </is>
      </c>
      <c r="V8" s="196" t="n">
        <v>33.07</v>
      </c>
      <c r="W8" s="196" t="n">
        <v>15</v>
      </c>
      <c r="X8" s="161" t="inlineStr">
        <is>
          <t>Yes</t>
        </is>
      </c>
      <c r="Y8" s="156" t="inlineStr">
        <is>
          <t>Yes</t>
        </is>
      </c>
      <c r="Z8" s="156" t="inlineStr">
        <is>
          <t>Lin</t>
        </is>
      </c>
      <c r="AA8" s="156" t="inlineStr">
        <is>
          <t>Not disclosed</t>
        </is>
      </c>
      <c r="AB8" s="156" t="inlineStr">
        <is>
          <t>15 DOF · 5 fingers · 15 kg class strength · Tactile/force sensing · Lin · 1.3 kg</t>
        </is>
      </c>
      <c r="AC8" s="156" t="inlineStr">
        <is>
          <t>Research / teleoperation</t>
        </is>
      </c>
      <c r="AD8" s="197" t="inlineStr">
        <is>
          <t>Prototype</t>
        </is>
      </c>
      <c r="AE8" s="152" t="inlineStr">
        <is>
          <t>Prototype</t>
        </is>
      </c>
      <c r="AF8" s="156" t="n"/>
      <c r="AG8" s="156" t="inlineStr">
        <is>
          <t>12 months manufacturer standard (typical dexterous-hand component)</t>
        </is>
      </c>
      <c r="AH8" s="152" t="n">
        <v>12</v>
      </c>
      <c r="AI8" s="156" t="inlineStr">
        <is>
          <t>+3 Year Extended ≈24% of configuration (default in configurator)</t>
        </is>
      </c>
      <c r="AJ8" s="152" t="inlineStr">
        <is>
          <t>End-effector category norm 2025–2026</t>
        </is>
      </c>
      <c r="AK8" s="152" t="inlineStr">
        <is>
          <t>Estimated</t>
        </is>
      </c>
      <c r="AL8" s="156" t="inlineStr">
        <is>
          <t>Skins, tendons, and tactile covers often wear items — confirm on OEM quote.</t>
        </is>
      </c>
      <c r="AM8" s="152" t="inlineStr">
        <is>
          <t>10%</t>
        </is>
      </c>
      <c r="AN8" s="152" t="inlineStr">
        <is>
          <t>17%</t>
        </is>
      </c>
      <c r="AO8" s="152" t="inlineStr">
        <is>
          <t>24%</t>
        </is>
      </c>
      <c r="AP8" s="156" t="inlineStr">
        <is>
          <t>+1yr ≈10% | +2yr ≈17% | +3yr ≈24% of selected configuration price.</t>
        </is>
      </c>
      <c r="AQ8" s="156" t="inlineStr">
        <is>
          <t>Profitable schedule (Aug 2026): +1yr ≈10% / +2yr ≈17% / +3yr ≈24% of configuration price. Calibrated for ~45–55% gross margin after expected robotics claim incidence (~10–14%/yr of covered units), avg claim cost ~25–30% of config, and admin 10–15% of premium.</t>
        </is>
      </c>
      <c r="AR8" s="101" t="inlineStr">
        <is>
          <t>[AIDIN ROBOTICS Inc.] AIDIN-Hand Gen1 (2026)</t>
        </is>
      </c>
    </row>
    <row r="9" ht="33.75" customHeight="1" s="102">
      <c r="A9" s="143" t="inlineStr">
        <is>
          <t>hand_allonic_hand_mk2</t>
        </is>
      </c>
      <c r="B9" s="153" t="inlineStr">
        <is>
          <t>Humanoid.guide</t>
        </is>
      </c>
      <c r="C9" s="145" t="inlineStr">
        <is>
          <t>Allonic Inc.</t>
        </is>
      </c>
      <c r="D9" s="145" t="inlineStr">
        <is>
          <t>Allonic Hand MK2</t>
        </is>
      </c>
      <c r="E9" s="163" t="inlineStr">
        <is>
          <t>hand</t>
        </is>
      </c>
      <c r="F9" s="145" t="inlineStr">
        <is>
          <t>Hungary</t>
        </is>
      </c>
      <c r="G9" s="145" t="n">
        <v>2026</v>
      </c>
      <c r="H9" s="148" t="n">
        <v>2799</v>
      </c>
      <c r="I9" s="145" t="inlineStr">
        <is>
          <t>Humanoid.guide list</t>
        </is>
      </c>
      <c r="J9" s="149" t="inlineStr">
        <is>
          <t>Allonic Hand MK2 is Allonic Inc.'s dexterous hand — 15, 5 fingers, 6.61 lb payload. No; Tendon-driven via braided tendons.</t>
        </is>
      </c>
      <c r="K9" s="101" t="inlineStr">
        <is>
          <t>Allonic Hand MK2 is Allonic Inc.'s dexterous hand — 15, 5 fingers, 6.61 lb payload. No; Tendon-driven via braided tendons.</t>
        </is>
      </c>
      <c r="L9" s="101" t="inlineStr">
        <is>
          <t>Allonic Hand MK2 is Allonic Inc.'s dexterous hand — 15, 5 fingers, 6.61 lb payload. No; Tendon-driven via braided tendons. Public status is listed as prototype, and it is positioned for dexterous manipulation.</t>
        </is>
      </c>
      <c r="M9" s="101" t="inlineStr">
        <is>
          <t>Origin &amp; status — Hungary · Prototype · 2026 | Performance — 15 DOF · 5 fingers · Payload 6.61 lb · Strength 3 kg | Sensing — No | Buying notes — $2,799 · 12 months manufacturer standard (typical dexterous-hand component) · Best fit: Dexterous manipulation</t>
        </is>
      </c>
      <c r="N9" s="150" t="inlineStr">
        <is>
          <t>https://humanoid.guide/product/allonic-hand-mk2/</t>
        </is>
      </c>
      <c r="O9" s="150" t="inlineStr">
        <is>
          <t>https://allonic.co</t>
        </is>
      </c>
      <c r="P9" s="194" t="n">
        <v>0.99</v>
      </c>
      <c r="Q9" s="194" t="n">
        <v>0.45</v>
      </c>
      <c r="R9" s="149" t="inlineStr">
        <is>
          <t>Not disclosed</t>
        </is>
      </c>
      <c r="S9" s="145" t="inlineStr">
        <is>
          <t>Not disclosed</t>
        </is>
      </c>
      <c r="T9" s="145" t="inlineStr">
        <is>
          <t>15</t>
        </is>
      </c>
      <c r="U9" s="149" t="inlineStr">
        <is>
          <t>5</t>
        </is>
      </c>
      <c r="V9" s="194" t="n">
        <v>6.61</v>
      </c>
      <c r="W9" s="194" t="n">
        <v>3</v>
      </c>
      <c r="X9" s="162" t="inlineStr">
        <is>
          <t>No</t>
        </is>
      </c>
      <c r="Y9" s="149" t="inlineStr">
        <is>
          <t>No</t>
        </is>
      </c>
      <c r="Z9" s="149" t="inlineStr">
        <is>
          <t>Tendon-driven via braided tendons</t>
        </is>
      </c>
      <c r="AA9" s="149" t="inlineStr">
        <is>
          <t>Composite monolithic structure</t>
        </is>
      </c>
      <c r="AB9" s="149" t="inlineStr">
        <is>
          <t>15 DOF · 5 fingers · 3 kg class strength · No tactile array published · Tendon-driven via braided tendons · 0.45 kg</t>
        </is>
      </c>
      <c r="AC9" s="149" t="inlineStr">
        <is>
          <t>Dexterous manipulation</t>
        </is>
      </c>
      <c r="AD9" s="197" t="inlineStr">
        <is>
          <t>Prototype</t>
        </is>
      </c>
      <c r="AE9" s="145" t="inlineStr">
        <is>
          <t>Prototype</t>
        </is>
      </c>
      <c r="AF9" s="149" t="n"/>
      <c r="AG9" s="149" t="inlineStr">
        <is>
          <t>12 months manufacturer standard (typical dexterous-hand component)</t>
        </is>
      </c>
      <c r="AH9" s="145" t="n">
        <v>12</v>
      </c>
      <c r="AI9" s="149" t="inlineStr">
        <is>
          <t>+3 Year Extended ≈24% of configuration (default in configurator)</t>
        </is>
      </c>
      <c r="AJ9" s="145" t="inlineStr">
        <is>
          <t>End-effector category norm 2025–2026</t>
        </is>
      </c>
      <c r="AK9" s="145" t="inlineStr">
        <is>
          <t>Estimated</t>
        </is>
      </c>
      <c r="AL9" s="149" t="inlineStr">
        <is>
          <t>Skins, tendons, and tactile covers often wear items — confirm on OEM quote.</t>
        </is>
      </c>
      <c r="AM9" s="145" t="inlineStr">
        <is>
          <t>10%</t>
        </is>
      </c>
      <c r="AN9" s="145" t="inlineStr">
        <is>
          <t>17%</t>
        </is>
      </c>
      <c r="AO9" s="145" t="inlineStr">
        <is>
          <t>24%</t>
        </is>
      </c>
      <c r="AP9" s="149" t="inlineStr">
        <is>
          <t>+1yr ≈10% | +2yr ≈17% | +3yr ≈24% of selected configuration price.</t>
        </is>
      </c>
      <c r="AQ9" s="149" t="inlineStr">
        <is>
          <t>Profitable schedule (Aug 2026): +1yr ≈10% / +2yr ≈17% / +3yr ≈24% of configuration price. Calibrated for ~45–55% gross margin after expected robotics claim incidence (~10–14%/yr of covered units), avg claim cost ~25–30% of config, and admin 10–15% of premium.</t>
        </is>
      </c>
      <c r="AR9" s="101" t="inlineStr">
        <is>
          <t>[Allonic Inc.] Allonic Hand MK2 (2026)</t>
        </is>
      </c>
    </row>
    <row r="10" ht="33.75" customHeight="1" s="102">
      <c r="A10" s="159" t="inlineStr">
        <is>
          <t>hand_surge</t>
        </is>
      </c>
      <c r="B10" s="153" t="inlineStr">
        <is>
          <t>Humanoid.guide</t>
        </is>
      </c>
      <c r="C10" s="152" t="inlineStr">
        <is>
          <t>Alt-Bionics</t>
        </is>
      </c>
      <c r="D10" s="152" t="inlineStr">
        <is>
          <t>Surge</t>
        </is>
      </c>
      <c r="E10" s="163" t="inlineStr">
        <is>
          <t>hand</t>
        </is>
      </c>
      <c r="F10" s="152" t="inlineStr">
        <is>
          <t>USA</t>
        </is>
      </c>
      <c r="G10" s="152" t="n">
        <v>2026</v>
      </c>
      <c r="H10" s="155" t="n">
        <v>7000</v>
      </c>
      <c r="I10" s="152" t="inlineStr">
        <is>
          <t>Humanoid.guide list</t>
        </is>
      </c>
      <c r="J10" s="156" t="inlineStr">
        <is>
          <t>Surge is a humanoid robotic hand designed to maximize dexterity, and real-world usability, with 20 kg grip strength and smooth direct drive actuation.</t>
        </is>
      </c>
      <c r="K10" s="101" t="inlineStr">
        <is>
          <t>Surge is a humanoid robotic hand designed to maximize dexterity, and real-world usability, with 20 kg grip strength and smooth direct drive actuation.</t>
        </is>
      </c>
      <c r="L10" s="101" t="inlineStr">
        <is>
          <t>Surge is a humanoid robotic hand designed to maximize dexterity, and real-world usability, with 20 kg grip strength and smooth direct drive actuation. It is positioned for humanoid OEM.</t>
        </is>
      </c>
      <c r="M10" s="101" t="inlineStr">
        <is>
          <t>Origin &amp; status — USA · 2026 | Performance — 6 DOF · 5 fingers · Payload 44.09 lb · Strength 20 kg | Sensing — Yes | Buying notes — $7,000 · 12 months manufacturer standard (typical dexterous-hand component) · Best fit: Humanoid OEM</t>
        </is>
      </c>
      <c r="N10" s="157" t="inlineStr">
        <is>
          <t>https://humanoid.guide/product/surge/</t>
        </is>
      </c>
      <c r="O10" s="157" t="inlineStr">
        <is>
          <t>https://altbionics.com</t>
        </is>
      </c>
      <c r="P10" s="196" t="n">
        <v>1.19</v>
      </c>
      <c r="Q10" s="196" t="n">
        <v>0.54</v>
      </c>
      <c r="R10" s="156" t="inlineStr">
        <is>
          <t>Length (18.78cm) x Width (9.14cm) x Height (3.81cm)</t>
        </is>
      </c>
      <c r="S10" s="152" t="inlineStr">
        <is>
          <t>7.39 × 3.6 × 1.5 in</t>
        </is>
      </c>
      <c r="T10" s="152" t="inlineStr">
        <is>
          <t>6</t>
        </is>
      </c>
      <c r="U10" s="156" t="inlineStr">
        <is>
          <t>5</t>
        </is>
      </c>
      <c r="V10" s="196" t="n">
        <v>44.09</v>
      </c>
      <c r="W10" s="196" t="n">
        <v>20</v>
      </c>
      <c r="X10" s="161" t="inlineStr">
        <is>
          <t>Yes</t>
        </is>
      </c>
      <c r="Y10" s="156" t="inlineStr">
        <is>
          <t>Yes</t>
        </is>
      </c>
      <c r="Z10" s="156" t="inlineStr">
        <is>
          <t>Direct Drive</t>
        </is>
      </c>
      <c r="AA10" s="156" t="inlineStr">
        <is>
          <t>PA12</t>
        </is>
      </c>
      <c r="AB10" s="156" t="inlineStr">
        <is>
          <t>6 DOF · 5 fingers · 20 kg class strength · Tactile/force sensing · Direct Drive · 0.54 kg</t>
        </is>
      </c>
      <c r="AC10" s="156" t="inlineStr">
        <is>
          <t>Humanoid OEM</t>
        </is>
      </c>
      <c r="AD10" s="152" t="n"/>
      <c r="AE10" s="152" t="inlineStr">
        <is>
          <t>Not disclosed</t>
        </is>
      </c>
      <c r="AF10" s="156" t="n"/>
      <c r="AG10" s="156" t="inlineStr">
        <is>
          <t>12 months manufacturer standard (typical dexterous-hand component)</t>
        </is>
      </c>
      <c r="AH10" s="152" t="n">
        <v>12</v>
      </c>
      <c r="AI10" s="156" t="inlineStr">
        <is>
          <t>+3 Year Extended ≈24% of configuration (default in configurator)</t>
        </is>
      </c>
      <c r="AJ10" s="152" t="inlineStr">
        <is>
          <t>End-effector category norm 2025–2026</t>
        </is>
      </c>
      <c r="AK10" s="152" t="inlineStr">
        <is>
          <t>Estimated</t>
        </is>
      </c>
      <c r="AL10" s="156" t="inlineStr">
        <is>
          <t>Skins, tendons, and tactile covers often wear items — confirm on OEM quote.</t>
        </is>
      </c>
      <c r="AM10" s="152" t="inlineStr">
        <is>
          <t>10%</t>
        </is>
      </c>
      <c r="AN10" s="152" t="inlineStr">
        <is>
          <t>17%</t>
        </is>
      </c>
      <c r="AO10" s="152" t="inlineStr">
        <is>
          <t>24%</t>
        </is>
      </c>
      <c r="AP10" s="156" t="inlineStr">
        <is>
          <t>+1yr ≈10% | +2yr ≈17% | +3yr ≈24% of selected configuration price.</t>
        </is>
      </c>
      <c r="AQ10" s="156" t="inlineStr">
        <is>
          <t>Profitable schedule (Aug 2026): +1yr ≈10% / +2yr ≈17% / +3yr ≈24% of configuration price. Calibrated for ~45–55% gross margin after expected robotics claim incidence (~10–14%/yr of covered units), avg claim cost ~25–30% of config, and admin 10–15% of premium.</t>
        </is>
      </c>
      <c r="AR10" s="101" t="inlineStr">
        <is>
          <t>[Alt-Bionics] Surge (2026)</t>
        </is>
      </c>
    </row>
    <row r="11" ht="33.75" customHeight="1" s="102">
      <c r="A11" s="143" t="inlineStr">
        <is>
          <t>hand_atarobot</t>
        </is>
      </c>
      <c r="B11" s="153" t="inlineStr">
        <is>
          <t>Humanoid.guide</t>
        </is>
      </c>
      <c r="C11" s="145" t="inlineStr">
        <is>
          <t>AtaroBot</t>
        </is>
      </c>
      <c r="D11" s="145" t="inlineStr">
        <is>
          <t>AtaroBot</t>
        </is>
      </c>
      <c r="E11" s="163" t="inlineStr">
        <is>
          <t>hand</t>
        </is>
      </c>
      <c r="F11" s="145" t="inlineStr">
        <is>
          <t>China</t>
        </is>
      </c>
      <c r="G11" s="145" t="n">
        <v>2025</v>
      </c>
      <c r="H11" s="148" t="n">
        <v>2100</v>
      </c>
      <c r="I11" s="145" t="inlineStr">
        <is>
          <t>Humanoid.guide list</t>
        </is>
      </c>
      <c r="J11" s="149" t="inlineStr">
        <is>
          <t>AtaroBot robotic hand — a lightweight, five-fingered bionic hand with independent finger motion and standard robotics control.</t>
        </is>
      </c>
      <c r="K11" s="101" t="inlineStr">
        <is>
          <t>AtaroBot robotic hand — a lightweight, five-fingered bionic hand with independent finger motion and standard robotics control.</t>
        </is>
      </c>
      <c r="L11" s="101" t="inlineStr">
        <is>
          <t>AtaroBot robotic hand — a lightweight, five-fingered bionic hand with independent finger motion and standard robotics control. Public status is listed as in production, and it is positioned for prosthetic / bionic.</t>
        </is>
      </c>
      <c r="M11" s="101" t="inlineStr">
        <is>
          <t>Origin &amp; status — China · In production · 2025 | Performance — 6 DOF · 5 (5 per hand) fingers · Payload 17.64 lb · Strength 8 kg | Sensing — No | Buying notes — $2,100 · 12 months manufacturer standard (typical dexterous-hand component) · Best fit: Prosthetic / bionic</t>
        </is>
      </c>
      <c r="N11" s="150" t="inlineStr">
        <is>
          <t>https://humanoid.guide/product/atarobot/</t>
        </is>
      </c>
      <c r="O11" s="150" t="inlineStr">
        <is>
          <t>https://www.atarrobot.com/</t>
        </is>
      </c>
      <c r="P11" s="194" t="n">
        <v>1.06</v>
      </c>
      <c r="Q11" s="194" t="n">
        <v>0.48</v>
      </c>
      <c r="R11" s="149" t="inlineStr">
        <is>
          <t>Hand length (including fingers): 205 mm; Max hand width: 132 mm; Palm width: 80 mm.</t>
        </is>
      </c>
      <c r="S11" s="145" t="inlineStr">
        <is>
          <t>205 × 132 × 80 in</t>
        </is>
      </c>
      <c r="T11" s="145" t="inlineStr">
        <is>
          <t>6</t>
        </is>
      </c>
      <c r="U11" s="149" t="inlineStr">
        <is>
          <t>5 (5 per hand)</t>
        </is>
      </c>
      <c r="V11" s="194" t="n">
        <v>17.64</v>
      </c>
      <c r="W11" s="194" t="n">
        <v>8</v>
      </c>
      <c r="X11" s="162" t="inlineStr">
        <is>
          <t>No</t>
        </is>
      </c>
      <c r="Y11" s="149" t="inlineStr">
        <is>
          <t>No</t>
        </is>
      </c>
      <c r="Z11" s="149" t="inlineStr">
        <is>
          <t>Built-in brushless (FOC) motors, tendon/servo-driven actuation</t>
        </is>
      </c>
      <c r="AA11" s="149" t="inlineStr">
        <is>
          <t>Standard robotics-grade materials for housing and finger linkage (metal + plastics/composites) — vendor does not specify exotic materials</t>
        </is>
      </c>
      <c r="AB11" s="149" t="inlineStr">
        <is>
          <t>6 DOF · 5 fingers · 8 kg class strength · No tactile array published · Built-in brushless (FOC) motors, tendon/servo-driven actuation · 0.48 kg</t>
        </is>
      </c>
      <c r="AC11" s="149" t="inlineStr">
        <is>
          <t>Prosthetic / bionic</t>
        </is>
      </c>
      <c r="AD11" s="195" t="inlineStr">
        <is>
          <t>In production</t>
        </is>
      </c>
      <c r="AE11" s="145" t="inlineStr">
        <is>
          <t>In production</t>
        </is>
      </c>
      <c r="AF11" s="149" t="n"/>
      <c r="AG11" s="149" t="inlineStr">
        <is>
          <t>12 months manufacturer standard (typical dexterous-hand component)</t>
        </is>
      </c>
      <c r="AH11" s="145" t="n">
        <v>12</v>
      </c>
      <c r="AI11" s="149" t="inlineStr">
        <is>
          <t>+3 Year Extended ≈24% of configuration (default in configurator)</t>
        </is>
      </c>
      <c r="AJ11" s="145" t="inlineStr">
        <is>
          <t>End-effector category norm 2025–2026</t>
        </is>
      </c>
      <c r="AK11" s="145" t="inlineStr">
        <is>
          <t>Estimated</t>
        </is>
      </c>
      <c r="AL11" s="149" t="inlineStr">
        <is>
          <t>Skins, tendons, and tactile covers often wear items — confirm on OEM quote.</t>
        </is>
      </c>
      <c r="AM11" s="145" t="inlineStr">
        <is>
          <t>10%</t>
        </is>
      </c>
      <c r="AN11" s="145" t="inlineStr">
        <is>
          <t>17%</t>
        </is>
      </c>
      <c r="AO11" s="145" t="inlineStr">
        <is>
          <t>24%</t>
        </is>
      </c>
      <c r="AP11" s="149" t="inlineStr">
        <is>
          <t>+1yr ≈10% | +2yr ≈17% | +3yr ≈24% of selected configuration price.</t>
        </is>
      </c>
      <c r="AQ11" s="149" t="inlineStr">
        <is>
          <t>Profitable schedule (Aug 2026): +1yr ≈10% / +2yr ≈17% / +3yr ≈24% of configuration price. Calibrated for ~45–55% gross margin after expected robotics claim incidence (~10–14%/yr of covered units), avg claim cost ~25–30% of config, and admin 10–15% of premium.</t>
        </is>
      </c>
      <c r="AR11" s="101" t="inlineStr">
        <is>
          <t>[AtaroBot] AtaroBot (2025)</t>
        </is>
      </c>
    </row>
    <row r="12" ht="33.75" customHeight="1" s="102">
      <c r="A12" s="159" t="inlineStr">
        <is>
          <t>hand_revo_2</t>
        </is>
      </c>
      <c r="B12" s="153" t="inlineStr">
        <is>
          <t>Humanoid.guide</t>
        </is>
      </c>
      <c r="C12" s="152" t="inlineStr">
        <is>
          <t>Autodiscovery</t>
        </is>
      </c>
      <c r="D12" s="152" t="inlineStr">
        <is>
          <t>Revo 2</t>
        </is>
      </c>
      <c r="E12" s="163" t="inlineStr">
        <is>
          <t>hand</t>
        </is>
      </c>
      <c r="F12" s="152" t="inlineStr">
        <is>
          <t>UK</t>
        </is>
      </c>
      <c r="G12" s="152" t="n">
        <v>2025</v>
      </c>
      <c r="H12" s="155" t="n">
        <v>7000</v>
      </c>
      <c r="I12" s="152" t="inlineStr">
        <is>
          <t>Humanoid.guide list</t>
        </is>
      </c>
      <c r="J12" s="156" t="inlineStr">
        <is>
          <t>The Revo 2 by Autodiscovery is a lightweight, compact robotic hand that delivers precise motion, strong grip force, and flexible communication options, making it ideal for humanoid robots and advanced research applications.</t>
        </is>
      </c>
      <c r="K12" s="101" t="inlineStr">
        <is>
          <t>The Revo 2 by Autodiscovery is a lightweight, compact robotic hand that delivers precise motion, strong grip force, and flexible communication options, making it ideal for humanoid robots and advanced research applications.</t>
        </is>
      </c>
      <c r="L12" s="101" t="inlineStr">
        <is>
          <t>The Revo 2 by Autodiscovery is a lightweight, compact robotic hand that delivers precise motion, strong grip force, and flexible communication options, making it ideal for humanoid robots and advanced research applications. Public status is listed as in production, and it is positioned for humanoid OEM; Research / teleoperation.</t>
        </is>
      </c>
      <c r="M12" s="101" t="inlineStr">
        <is>
          <t>Origin &amp; status — UK · In production · 2025 | Performance — 11 DOF · 5 fingers · Payload 44.09 lb · Strength 20 kg | Sensing — Yes | Buying notes — $7,000 · 12 months manufacturer standard (typical dexterous-hand component) · Best fit: Humanoid OEM; Research / teleoperation</t>
        </is>
      </c>
      <c r="N12" s="157" t="inlineStr">
        <is>
          <t>https://humanoid.guide/product/revo-2/</t>
        </is>
      </c>
      <c r="O12" s="157" t="inlineStr">
        <is>
          <t>https://autodiscovery.co.uk/</t>
        </is>
      </c>
      <c r="P12" s="196" t="n">
        <v>0.84</v>
      </c>
      <c r="Q12" s="196" t="n">
        <v>0.38</v>
      </c>
      <c r="R12" s="156" t="inlineStr">
        <is>
          <t>160 mm height, 76 mm width</t>
        </is>
      </c>
      <c r="S12" s="152" t="inlineStr">
        <is>
          <t>6.3 × 2.99 in</t>
        </is>
      </c>
      <c r="T12" s="152" t="inlineStr">
        <is>
          <t>11</t>
        </is>
      </c>
      <c r="U12" s="156" t="inlineStr">
        <is>
          <t>5</t>
        </is>
      </c>
      <c r="V12" s="196" t="n">
        <v>44.09</v>
      </c>
      <c r="W12" s="196" t="n">
        <v>20</v>
      </c>
      <c r="X12" s="161" t="inlineStr">
        <is>
          <t>Yes</t>
        </is>
      </c>
      <c r="Y12" s="156" t="inlineStr">
        <is>
          <t>Yes</t>
        </is>
      </c>
      <c r="Z12" s="156" t="inlineStr">
        <is>
          <t>Likely miniature high-torque actuators</t>
        </is>
      </c>
      <c r="AA12" s="156" t="inlineStr">
        <is>
          <t>Aluminum alloy + engineered polymers</t>
        </is>
      </c>
      <c r="AB12" s="156" t="inlineStr">
        <is>
          <t>11 DOF · 5 fingers · 20 kg class strength · Tactile/force sensing · Likely miniature high-torque actuators · 0.38 kg</t>
        </is>
      </c>
      <c r="AC12" s="156" t="inlineStr">
        <is>
          <t>Humanoid OEM; Research / teleoperation</t>
        </is>
      </c>
      <c r="AD12" s="195" t="inlineStr">
        <is>
          <t>In production</t>
        </is>
      </c>
      <c r="AE12" s="152" t="inlineStr">
        <is>
          <t>In production</t>
        </is>
      </c>
      <c r="AF12" s="156" t="n"/>
      <c r="AG12" s="156" t="inlineStr">
        <is>
          <t>12 months manufacturer standard (typical dexterous-hand component)</t>
        </is>
      </c>
      <c r="AH12" s="152" t="n">
        <v>12</v>
      </c>
      <c r="AI12" s="156" t="inlineStr">
        <is>
          <t>+3 Year Extended ≈24% of configuration (default in configurator)</t>
        </is>
      </c>
      <c r="AJ12" s="152" t="inlineStr">
        <is>
          <t>End-effector category norm 2025–2026</t>
        </is>
      </c>
      <c r="AK12" s="152" t="inlineStr">
        <is>
          <t>Estimated</t>
        </is>
      </c>
      <c r="AL12" s="156" t="inlineStr">
        <is>
          <t>Skins, tendons, and tactile covers often wear items — confirm on OEM quote.</t>
        </is>
      </c>
      <c r="AM12" s="152" t="inlineStr">
        <is>
          <t>10%</t>
        </is>
      </c>
      <c r="AN12" s="152" t="inlineStr">
        <is>
          <t>17%</t>
        </is>
      </c>
      <c r="AO12" s="152" t="inlineStr">
        <is>
          <t>24%</t>
        </is>
      </c>
      <c r="AP12" s="156" t="inlineStr">
        <is>
          <t>+1yr ≈10% | +2yr ≈17% | +3yr ≈24% of selected configuration price.</t>
        </is>
      </c>
      <c r="AQ12" s="156" t="inlineStr">
        <is>
          <t>Profitable schedule (Aug 2026): +1yr ≈10% / +2yr ≈17% / +3yr ≈24% of configuration price. Calibrated for ~45–55% gross margin after expected robotics claim incidence (~10–14%/yr of covered units), avg claim cost ~25–30% of config, and admin 10–15% of premium.</t>
        </is>
      </c>
      <c r="AR12" s="101" t="inlineStr">
        <is>
          <t>[Autodiscovery] Revo 2 (2025)</t>
        </is>
      </c>
    </row>
    <row r="13" ht="33.75" customHeight="1" s="102">
      <c r="A13" s="143" t="inlineStr">
        <is>
          <t>hand_rh56_series</t>
        </is>
      </c>
      <c r="B13" s="153" t="inlineStr">
        <is>
          <t>Humanoid.guide</t>
        </is>
      </c>
      <c r="C13" s="145" t="inlineStr">
        <is>
          <t>Beijing Inspire-Robots Technology Co., Ltd.</t>
        </is>
      </c>
      <c r="D13" s="145" t="inlineStr">
        <is>
          <t>RH56 series</t>
        </is>
      </c>
      <c r="E13" s="163" t="inlineStr">
        <is>
          <t>hand</t>
        </is>
      </c>
      <c r="F13" s="145" t="inlineStr">
        <is>
          <t>China</t>
        </is>
      </c>
      <c r="G13" s="145" t="n">
        <v>2025</v>
      </c>
      <c r="H13" s="148" t="n">
        <v>10500</v>
      </c>
      <c r="I13" s="145" t="inlineStr">
        <is>
          <t>Humanoid.guide list</t>
        </is>
      </c>
      <c r="J13" s="149" t="inlineStr">
        <is>
          <t>The RH56 series from Beijing Inspire-Robots Technology Co., Ltd. is a 6-DOF, 5-digit dexterous robotic hand listed on Humanoid.guide for humanoid and manipulation applications.</t>
        </is>
      </c>
      <c r="K13" s="101" t="inlineStr">
        <is>
          <t>The RH56 series from Beijing Inspire-Robots Technology Co., Ltd. is a 6-DOF, 5-digit dexterous robotic hand listed on Humanoid.guide for humanoid and manipulation applications.</t>
        </is>
      </c>
      <c r="L13" s="101" t="inlineStr">
        <is>
          <t>The RH56 series from Beijing Inspire-Robots Technology Co., Ltd. is a 6-DOF, 5-digit dexterous robotic hand listed on Humanoid.guide for humanoid and manipulation applications. Public status is listed as in production, and it is positioned for humanoid OEM.</t>
        </is>
      </c>
      <c r="M13" s="101" t="inlineStr">
        <is>
          <t>Origin &amp; status — China · In production · 2025 | Performance — 6 DOF · 5 fingers · Payload 17.64 lb · Strength 8 kg | Sensing — No | Buying notes — $10,500 · 12 months manufacturer standard (typical dexterous-hand component) · Best fit: Humanoid OEM</t>
        </is>
      </c>
      <c r="N13" s="150" t="inlineStr">
        <is>
          <t>https://humanoid.guide/product/rh56-series/</t>
        </is>
      </c>
      <c r="O13" s="150" t="inlineStr">
        <is>
          <t>https://inspire-robots.com</t>
        </is>
      </c>
      <c r="P13" s="145" t="inlineStr">
        <is>
          <t>Not disclosed</t>
        </is>
      </c>
      <c r="Q13" s="145" t="n"/>
      <c r="R13" s="149" t="inlineStr">
        <is>
          <t>Not disclosed</t>
        </is>
      </c>
      <c r="S13" s="145" t="inlineStr">
        <is>
          <t>Not disclosed</t>
        </is>
      </c>
      <c r="T13" s="145" t="inlineStr">
        <is>
          <t>6</t>
        </is>
      </c>
      <c r="U13" s="149" t="inlineStr">
        <is>
          <t>5</t>
        </is>
      </c>
      <c r="V13" s="194" t="n">
        <v>17.64</v>
      </c>
      <c r="W13" s="194" t="n">
        <v>8</v>
      </c>
      <c r="X13" s="162" t="inlineStr">
        <is>
          <t>No</t>
        </is>
      </c>
      <c r="Y13" s="149" t="inlineStr">
        <is>
          <t>No</t>
        </is>
      </c>
      <c r="Z13" s="149" t="inlineStr">
        <is>
          <t>6 micro linear servo actuators in-hand; 6 pressure sensors</t>
        </is>
      </c>
      <c r="AA13" s="149" t="inlineStr">
        <is>
          <t>Not disclosed</t>
        </is>
      </c>
      <c r="AB13" s="149" t="inlineStr">
        <is>
          <t>6 DOF · 5 fingers · 8 kg class strength · No tactile array published · 6 micro linear servo actuators in-hand; 6 pressure sensors</t>
        </is>
      </c>
      <c r="AC13" s="149" t="inlineStr">
        <is>
          <t>Humanoid OEM</t>
        </is>
      </c>
      <c r="AD13" s="195" t="inlineStr">
        <is>
          <t>In production</t>
        </is>
      </c>
      <c r="AE13" s="145" t="inlineStr">
        <is>
          <t>In production</t>
        </is>
      </c>
      <c r="AF13" s="149" t="n"/>
      <c r="AG13" s="149" t="inlineStr">
        <is>
          <t>12 months manufacturer standard (typical dexterous-hand component)</t>
        </is>
      </c>
      <c r="AH13" s="145" t="n">
        <v>12</v>
      </c>
      <c r="AI13" s="149" t="inlineStr">
        <is>
          <t>+3 Year Extended ≈24% of configuration (default in configurator)</t>
        </is>
      </c>
      <c r="AJ13" s="145" t="inlineStr">
        <is>
          <t>End-effector category norm 2025–2026</t>
        </is>
      </c>
      <c r="AK13" s="145" t="inlineStr">
        <is>
          <t>Estimated</t>
        </is>
      </c>
      <c r="AL13" s="149" t="inlineStr">
        <is>
          <t>Skins, tendons, and tactile covers often wear items — confirm on OEM quote.</t>
        </is>
      </c>
      <c r="AM13" s="145" t="inlineStr">
        <is>
          <t>10%</t>
        </is>
      </c>
      <c r="AN13" s="145" t="inlineStr">
        <is>
          <t>17%</t>
        </is>
      </c>
      <c r="AO13" s="145" t="inlineStr">
        <is>
          <t>24%</t>
        </is>
      </c>
      <c r="AP13" s="149" t="inlineStr">
        <is>
          <t>+1yr ≈10% | +2yr ≈17% | +3yr ≈24% of selected configuration price.</t>
        </is>
      </c>
      <c r="AQ13" s="149" t="inlineStr">
        <is>
          <t>Profitable schedule (Aug 2026): +1yr ≈10% / +2yr ≈17% / +3yr ≈24% of configuration price. Calibrated for ~45–55% gross margin after expected robotics claim incidence (~10–14%/yr of covered units), avg claim cost ~25–30% of config, and admin 10–15% of premium.</t>
        </is>
      </c>
      <c r="AR13" s="101" t="inlineStr">
        <is>
          <t>[Beijing Inspire-Robots Technology Co., Ltd.] RH56 series (2025)</t>
        </is>
      </c>
    </row>
    <row r="14" ht="33.75" customHeight="1" s="102">
      <c r="A14" s="159" t="inlineStr">
        <is>
          <t>hand_rh56e2</t>
        </is>
      </c>
      <c r="B14" s="153" t="inlineStr">
        <is>
          <t>Humanoid.guide</t>
        </is>
      </c>
      <c r="C14" s="152" t="inlineStr">
        <is>
          <t>Beijing Inspire-Robots Technology Co., Ltd.</t>
        </is>
      </c>
      <c r="D14" s="152" t="inlineStr">
        <is>
          <t>RH56E2 Series</t>
        </is>
      </c>
      <c r="E14" s="163" t="inlineStr">
        <is>
          <t>hand</t>
        </is>
      </c>
      <c r="F14" s="152" t="inlineStr">
        <is>
          <t>China</t>
        </is>
      </c>
      <c r="G14" s="152" t="n">
        <v>2025</v>
      </c>
      <c r="H14" s="155" t="n">
        <v>4500</v>
      </c>
      <c r="I14" s="152" t="inlineStr">
        <is>
          <t>Humanoid.guide list</t>
        </is>
      </c>
      <c r="J14" s="156" t="inlineStr">
        <is>
          <t>RH56E2 Series — a 6-DoF robotic hand by Inspire Robots with tactile sensing and strong manipulation ability (up to 15 kg), designed for humanoid, service, and automation robotics.</t>
        </is>
      </c>
      <c r="K14" s="101" t="inlineStr">
        <is>
          <t>RH56E2 Series — a 6-DoF robotic hand by Inspire Robots with tactile sensing and strong manipulation ability (up to 15 kg), designed for humanoid, service, and automation robotics.</t>
        </is>
      </c>
      <c r="L14" s="101" t="inlineStr">
        <is>
          <t>RH56E2 Series — a 6-DoF robotic hand by Inspire Robots with tactile sensing and strong manipulation ability (up to 15 kg), designed for humanoid, service, and automation robotics. Public status is listed as in production, and it is positioned for humanoid OEM; Service / home.</t>
        </is>
      </c>
      <c r="M14" s="101" t="inlineStr">
        <is>
          <t>Origin &amp; status — China · In production · 2025 | Performance — 6 DOF · 5 fingers · Payload 33.07 lb · Strength 15 kg | Sensing — No | Buying notes — $4,500 · 12 months manufacturer standard (typical dexterous-hand component) · Best fit: Humanoid OEM; Service / home</t>
        </is>
      </c>
      <c r="N14" s="157" t="inlineStr">
        <is>
          <t>https://humanoid.guide/product/rh56e2/</t>
        </is>
      </c>
      <c r="O14" s="157" t="inlineStr">
        <is>
          <t>https://inspire-robots.com</t>
        </is>
      </c>
      <c r="P14" s="196" t="n">
        <v>2.2</v>
      </c>
      <c r="Q14" s="196" t="n">
        <v>1</v>
      </c>
      <c r="R14" s="156" t="inlineStr">
        <is>
          <t>Assumed human-hand scale: roughly 18–22 cm length</t>
        </is>
      </c>
      <c r="S14" s="152" t="inlineStr">
        <is>
          <t>7.09 × 8.66 in</t>
        </is>
      </c>
      <c r="T14" s="152" t="inlineStr">
        <is>
          <t>6</t>
        </is>
      </c>
      <c r="U14" s="156" t="inlineStr">
        <is>
          <t>5</t>
        </is>
      </c>
      <c r="V14" s="196" t="n">
        <v>33.07</v>
      </c>
      <c r="W14" s="196" t="n">
        <v>15</v>
      </c>
      <c r="X14" s="162" t="inlineStr">
        <is>
          <t>No</t>
        </is>
      </c>
      <c r="Y14" s="156" t="inlineStr">
        <is>
          <t>No</t>
        </is>
      </c>
      <c r="Z14" s="156" t="inlineStr">
        <is>
          <t>Electric actuators with geared joints</t>
        </is>
      </c>
      <c r="AA14" s="156" t="inlineStr">
        <is>
          <t>Lightweight alloy + engineered polymers</t>
        </is>
      </c>
      <c r="AB14" s="156" t="inlineStr">
        <is>
          <t>6 DOF · 5 fingers · 15 kg class strength · No tactile array published · Electric actuators with geared joints · 1 kg</t>
        </is>
      </c>
      <c r="AC14" s="156" t="inlineStr">
        <is>
          <t>Humanoid OEM; Service / home</t>
        </is>
      </c>
      <c r="AD14" s="195" t="inlineStr">
        <is>
          <t>In production</t>
        </is>
      </c>
      <c r="AE14" s="152" t="inlineStr">
        <is>
          <t>In production</t>
        </is>
      </c>
      <c r="AF14" s="156" t="inlineStr">
        <is>
          <t>Weight published as ~700–1,000 g; midpoint used.</t>
        </is>
      </c>
      <c r="AG14" s="156" t="inlineStr">
        <is>
          <t>12 months manufacturer standard (typical dexterous-hand component)</t>
        </is>
      </c>
      <c r="AH14" s="152" t="n">
        <v>12</v>
      </c>
      <c r="AI14" s="156" t="inlineStr">
        <is>
          <t>+3 Year Extended ≈24% of configuration (default in configurator)</t>
        </is>
      </c>
      <c r="AJ14" s="152" t="inlineStr">
        <is>
          <t>End-effector category norm 2025–2026</t>
        </is>
      </c>
      <c r="AK14" s="152" t="inlineStr">
        <is>
          <t>Estimated</t>
        </is>
      </c>
      <c r="AL14" s="156" t="inlineStr">
        <is>
          <t>Skins, tendons, and tactile covers often wear items — confirm on OEM quote.</t>
        </is>
      </c>
      <c r="AM14" s="152" t="inlineStr">
        <is>
          <t>10%</t>
        </is>
      </c>
      <c r="AN14" s="152" t="inlineStr">
        <is>
          <t>17%</t>
        </is>
      </c>
      <c r="AO14" s="152" t="inlineStr">
        <is>
          <t>24%</t>
        </is>
      </c>
      <c r="AP14" s="156" t="inlineStr">
        <is>
          <t>+1yr ≈10% | +2yr ≈17% | +3yr ≈24% of selected configuration price.</t>
        </is>
      </c>
      <c r="AQ14" s="156" t="inlineStr">
        <is>
          <t>Profitable schedule (Aug 2026): +1yr ≈10% / +2yr ≈17% / +3yr ≈24% of configuration price. Calibrated for ~45–55% gross margin after expected robotics claim incidence (~10–14%/yr of covered units), avg claim cost ~25–30% of config, and admin 10–15% of premium.</t>
        </is>
      </c>
      <c r="AR14" s="101" t="inlineStr">
        <is>
          <t>[Beijing Inspire-Robots Technology Co., Ltd.] RH56E2 Series (2025)</t>
        </is>
      </c>
    </row>
    <row r="15" ht="33.75" customHeight="1" s="102">
      <c r="A15" s="143" t="inlineStr">
        <is>
          <t>hand_rh5dg2</t>
        </is>
      </c>
      <c r="B15" s="153" t="inlineStr">
        <is>
          <t>Humanoid.guide</t>
        </is>
      </c>
      <c r="C15" s="145" t="inlineStr">
        <is>
          <t>Beijing Inspire-Robots Technology Co., Ltd.</t>
        </is>
      </c>
      <c r="D15" s="145" t="inlineStr">
        <is>
          <t>RH5DG2</t>
        </is>
      </c>
      <c r="E15" s="163" t="inlineStr">
        <is>
          <t>hand</t>
        </is>
      </c>
      <c r="F15" s="145" t="inlineStr">
        <is>
          <t>China</t>
        </is>
      </c>
      <c r="G15" s="145" t="n">
        <v>2026</v>
      </c>
      <c r="H15" s="148" t="n">
        <v>5500</v>
      </c>
      <c r="I15" s="145" t="inlineStr">
        <is>
          <t>Humanoid.guide list</t>
        </is>
      </c>
      <c r="J15" s="149" t="inlineStr">
        <is>
          <t>RH5DG2 is a compact and dexterous robotic hand designed to bring human-like manipulation to advanced robots.</t>
        </is>
      </c>
      <c r="K15" s="101" t="inlineStr">
        <is>
          <t>RH5DG2 is a compact and dexterous robotic hand designed to bring human-like manipulation to advanced robots.</t>
        </is>
      </c>
      <c r="L15" s="101" t="inlineStr">
        <is>
          <t>RH5DG2 is a compact and dexterous robotic hand designed to bring human-like manipulation to advanced robots. Public status is listed as in production, and it is positioned for dexterous manipulation.</t>
        </is>
      </c>
      <c r="M15" s="101" t="inlineStr">
        <is>
          <t>Origin &amp; status — China · In production · 2026 | Performance — 13 DOF · 5 fingers · Payload 13.23 lb · Strength 6 kg | Sensing — Yes | Buying notes — $5,500 · 12 months manufacturer standard (typical dexterous-hand component) · Best fit: Dexterous manipulation</t>
        </is>
      </c>
      <c r="N15" s="150" t="inlineStr">
        <is>
          <t>https://humanoid.guide/product/rh5dg2/</t>
        </is>
      </c>
      <c r="O15" s="150" t="inlineStr">
        <is>
          <t>https://inspire-robots.com</t>
        </is>
      </c>
      <c r="P15" s="194" t="n">
        <v>0.77</v>
      </c>
      <c r="Q15" s="194" t="n">
        <v>0.35</v>
      </c>
      <c r="R15" s="149" t="inlineStr">
        <is>
          <t>95 mm × 216 mm</t>
        </is>
      </c>
      <c r="S15" s="145" t="inlineStr">
        <is>
          <t>3.74 × 8.5 in</t>
        </is>
      </c>
      <c r="T15" s="145" t="inlineStr">
        <is>
          <t>13</t>
        </is>
      </c>
      <c r="U15" s="149" t="inlineStr">
        <is>
          <t>5</t>
        </is>
      </c>
      <c r="V15" s="194" t="n">
        <v>13.23</v>
      </c>
      <c r="W15" s="194" t="n">
        <v>6</v>
      </c>
      <c r="X15" s="161" t="inlineStr">
        <is>
          <t>Yes</t>
        </is>
      </c>
      <c r="Y15" s="149" t="inlineStr">
        <is>
          <t>Yes</t>
        </is>
      </c>
      <c r="Z15" s="149" t="inlineStr">
        <is>
          <t>Precision small-form actuators (assumed brushless/servo)</t>
        </is>
      </c>
      <c r="AA15" s="149" t="inlineStr">
        <is>
          <t>High-strength lightweight alloys &amp; composites</t>
        </is>
      </c>
      <c r="AB15" s="149" t="inlineStr">
        <is>
          <t>13 DOF · 5 fingers · 6 kg class strength · Tactile/force sensing · Precision small-form actuators (assumed brushless/servo) · 0.35 kg</t>
        </is>
      </c>
      <c r="AC15" s="149" t="inlineStr">
        <is>
          <t>Dexterous manipulation</t>
        </is>
      </c>
      <c r="AD15" s="195" t="inlineStr">
        <is>
          <t>In production</t>
        </is>
      </c>
      <c r="AE15" s="145" t="inlineStr">
        <is>
          <t>In production</t>
        </is>
      </c>
      <c r="AF15" s="149" t="n"/>
      <c r="AG15" s="149" t="inlineStr">
        <is>
          <t>12 months manufacturer standard (typical dexterous-hand component)</t>
        </is>
      </c>
      <c r="AH15" s="145" t="n">
        <v>12</v>
      </c>
      <c r="AI15" s="149" t="inlineStr">
        <is>
          <t>+3 Year Extended ≈24% of configuration (default in configurator)</t>
        </is>
      </c>
      <c r="AJ15" s="145" t="inlineStr">
        <is>
          <t>End-effector category norm 2025–2026</t>
        </is>
      </c>
      <c r="AK15" s="145" t="inlineStr">
        <is>
          <t>Estimated</t>
        </is>
      </c>
      <c r="AL15" s="149" t="inlineStr">
        <is>
          <t>Skins, tendons, and tactile covers often wear items — confirm on OEM quote.</t>
        </is>
      </c>
      <c r="AM15" s="145" t="inlineStr">
        <is>
          <t>10%</t>
        </is>
      </c>
      <c r="AN15" s="145" t="inlineStr">
        <is>
          <t>17%</t>
        </is>
      </c>
      <c r="AO15" s="145" t="inlineStr">
        <is>
          <t>24%</t>
        </is>
      </c>
      <c r="AP15" s="149" t="inlineStr">
        <is>
          <t>+1yr ≈10% | +2yr ≈17% | +3yr ≈24% of selected configuration price.</t>
        </is>
      </c>
      <c r="AQ15" s="149" t="inlineStr">
        <is>
          <t>Profitable schedule (Aug 2026): +1yr ≈10% / +2yr ≈17% / +3yr ≈24% of configuration price. Calibrated for ~45–55% gross margin after expected robotics claim incidence (~10–14%/yr of covered units), avg claim cost ~25–30% of config, and admin 10–15% of premium.</t>
        </is>
      </c>
      <c r="AR15" s="101" t="inlineStr">
        <is>
          <t>[Beijing Inspire-Robots Technology Co., Ltd.] RH5DG2 (2026)</t>
        </is>
      </c>
    </row>
    <row r="16" ht="33.75" customHeight="1" s="102">
      <c r="A16" s="159" t="inlineStr">
        <is>
          <t>hand_adams_hand_plus</t>
        </is>
      </c>
      <c r="B16" s="153" t="inlineStr">
        <is>
          <t>Humanoid.guide</t>
        </is>
      </c>
      <c r="C16" s="152" t="inlineStr">
        <is>
          <t>BionIT Labs</t>
        </is>
      </c>
      <c r="D16" s="152" t="inlineStr">
        <is>
          <t>Adam’s Hand Plus</t>
        </is>
      </c>
      <c r="E16" s="163" t="inlineStr">
        <is>
          <t>hand</t>
        </is>
      </c>
      <c r="F16" s="152" t="inlineStr">
        <is>
          <t>Italy</t>
        </is>
      </c>
      <c r="G16" s="152" t="n">
        <v>2026</v>
      </c>
      <c r="H16" s="155" t="n">
        <v>12000</v>
      </c>
      <c r="I16" s="152" t="inlineStr">
        <is>
          <t>Humanoid.guide list</t>
        </is>
      </c>
      <c r="J16" s="156" t="inlineStr">
        <is>
          <t>Adam’s Hand Plus is a highly adaptive robotic hand from BionIT Labs that brings human-like grasping capabilities to robotic systems.</t>
        </is>
      </c>
      <c r="K16" s="101" t="inlineStr">
        <is>
          <t>Adam’s Hand Plus is a highly adaptive robotic hand from BionIT Labs that brings human-like grasping capabilities to robotic systems.</t>
        </is>
      </c>
      <c r="L16" s="101" t="inlineStr">
        <is>
          <t>Adam’s Hand Plus is a highly adaptive robotic hand from BionIT Labs that brings human-like grasping capabilities to robotic systems. Public status is listed as prototype, and it is positioned for research / teleoperation.</t>
        </is>
      </c>
      <c r="M16" s="101" t="inlineStr">
        <is>
          <t>Origin &amp; status — Italy · Prototype · 2026 | Performance — 10 DOF · 5 fingers · Payload 99.21 lb · Strength 45 kg | Sensing — No | Buying notes — $12,000 · 12 months manufacturer standard (typical dexterous-hand component) · Best fit: Research / teleoperation</t>
        </is>
      </c>
      <c r="N16" s="157" t="inlineStr">
        <is>
          <t>https://humanoid.guide/product/adams-hand-plus/</t>
        </is>
      </c>
      <c r="O16" s="157" t="inlineStr">
        <is>
          <t>https://bionitlabs.com/robotics/</t>
        </is>
      </c>
      <c r="P16" s="196" t="n">
        <v>1.17</v>
      </c>
      <c r="Q16" s="196" t="n">
        <v>0.53</v>
      </c>
      <c r="R16" s="156" t="inlineStr">
        <is>
          <t>Not disclosed</t>
        </is>
      </c>
      <c r="S16" s="152" t="inlineStr">
        <is>
          <t>Not disclosed</t>
        </is>
      </c>
      <c r="T16" s="152" t="inlineStr">
        <is>
          <t>10</t>
        </is>
      </c>
      <c r="U16" s="156" t="inlineStr">
        <is>
          <t>5</t>
        </is>
      </c>
      <c r="V16" s="196" t="n">
        <v>99.20999999999999</v>
      </c>
      <c r="W16" s="196" t="n">
        <v>45</v>
      </c>
      <c r="X16" s="162" t="inlineStr">
        <is>
          <t>No</t>
        </is>
      </c>
      <c r="Y16" s="156" t="inlineStr">
        <is>
          <t>No</t>
        </is>
      </c>
      <c r="Z16" s="156" t="inlineStr">
        <is>
          <t>Brushed DC motors</t>
        </is>
      </c>
      <c r="AA16" s="156" t="inlineStr">
        <is>
          <t>Aerospace-grade aluminum and high-strength steel</t>
        </is>
      </c>
      <c r="AB16" s="156" t="inlineStr">
        <is>
          <t>10 DOF · 5 fingers · 45 kg class strength · No tactile array published · Brushed DC motors · 0.53 kg</t>
        </is>
      </c>
      <c r="AC16" s="156" t="inlineStr">
        <is>
          <t>Research / teleoperation</t>
        </is>
      </c>
      <c r="AD16" s="197" t="inlineStr">
        <is>
          <t>Prototype</t>
        </is>
      </c>
      <c r="AE16" s="152" t="inlineStr">
        <is>
          <t>Prototype</t>
        </is>
      </c>
      <c r="AF16" s="156" t="n"/>
      <c r="AG16" s="156" t="inlineStr">
        <is>
          <t>12 months manufacturer standard (typical dexterous-hand component)</t>
        </is>
      </c>
      <c r="AH16" s="152" t="n">
        <v>12</v>
      </c>
      <c r="AI16" s="156" t="inlineStr">
        <is>
          <t>+3 Year Extended ≈24% of configuration (default in configurator)</t>
        </is>
      </c>
      <c r="AJ16" s="152" t="inlineStr">
        <is>
          <t>End-effector category norm 2025–2026</t>
        </is>
      </c>
      <c r="AK16" s="152" t="inlineStr">
        <is>
          <t>Estimated</t>
        </is>
      </c>
      <c r="AL16" s="156" t="inlineStr">
        <is>
          <t>Skins, tendons, and tactile covers often wear items — confirm on OEM quote.</t>
        </is>
      </c>
      <c r="AM16" s="152" t="inlineStr">
        <is>
          <t>10%</t>
        </is>
      </c>
      <c r="AN16" s="152" t="inlineStr">
        <is>
          <t>17%</t>
        </is>
      </c>
      <c r="AO16" s="152" t="inlineStr">
        <is>
          <t>24%</t>
        </is>
      </c>
      <c r="AP16" s="156" t="inlineStr">
        <is>
          <t>+1yr ≈10% | +2yr ≈17% | +3yr ≈24% of selected configuration price.</t>
        </is>
      </c>
      <c r="AQ16" s="156" t="inlineStr">
        <is>
          <t>Profitable schedule (Aug 2026): +1yr ≈10% / +2yr ≈17% / +3yr ≈24% of configuration price. Calibrated for ~45–55% gross margin after expected robotics claim incidence (~10–14%/yr of covered units), avg claim cost ~25–30% of config, and admin 10–15% of premium.</t>
        </is>
      </c>
      <c r="AR16" s="101" t="inlineStr">
        <is>
          <t>[BionIT Labs] Adam’s Hand Plus (2026)</t>
        </is>
      </c>
    </row>
    <row r="17" ht="33.75" customHeight="1" s="102">
      <c r="A17" s="143" t="inlineStr">
        <is>
          <t>hand_dexmano_d22_pro</t>
        </is>
      </c>
      <c r="B17" s="153" t="inlineStr">
        <is>
          <t>Humanoid.guide</t>
        </is>
      </c>
      <c r="C17" s="145" t="inlineStr">
        <is>
          <t>Botyard Intelligence</t>
        </is>
      </c>
      <c r="D17" s="145" t="inlineStr">
        <is>
          <t>DexMano D22-PRO</t>
        </is>
      </c>
      <c r="E17" s="163" t="inlineStr">
        <is>
          <t>hand</t>
        </is>
      </c>
      <c r="F17" s="145" t="inlineStr">
        <is>
          <t>China</t>
        </is>
      </c>
      <c r="G17" s="145" t="n">
        <v>2026</v>
      </c>
      <c r="H17" s="148" t="n">
        <v>30000</v>
      </c>
      <c r="I17" s="145" t="inlineStr">
        <is>
          <t>Humanoid.guide list</t>
        </is>
      </c>
      <c r="J17" s="149" t="inlineStr">
        <is>
          <t>The DexMano D22-PRO is a cutting-edge humanoid robotic hand engineered for precise, human-inspired manipulation.</t>
        </is>
      </c>
      <c r="K17" s="101" t="inlineStr">
        <is>
          <t>The DexMano D22-PRO is a cutting-edge humanoid robotic hand engineered for precise, human-inspired manipulation.</t>
        </is>
      </c>
      <c r="L17" s="101" t="inlineStr">
        <is>
          <t>The DexMano D22-PRO is a cutting-edge humanoid robotic hand engineered for precise, human-inspired manipulation. Public status is listed as in production, and it is positioned for humanoid OEM.</t>
        </is>
      </c>
      <c r="M17" s="101" t="inlineStr">
        <is>
          <t>Origin &amp; status — China · In production · 2026 | Performance — 22 DOF · 5 fingers · Payload 17.64 lb · Strength 8 kg | Sensing — Yes | Buying notes — $30,000 · 12 months manufacturer standard (typical dexterous-hand component) · Best fit: Humanoid OEM</t>
        </is>
      </c>
      <c r="N17" s="150" t="inlineStr">
        <is>
          <t>https://humanoid.guide/product/dexmano-d22-pro/</t>
        </is>
      </c>
      <c r="O17" s="150" t="inlineStr">
        <is>
          <t>https://botyard.ai/</t>
        </is>
      </c>
      <c r="P17" s="194" t="n">
        <v>3.97</v>
      </c>
      <c r="Q17" s="194" t="n">
        <v>1.8</v>
      </c>
      <c r="R17" s="149" t="inlineStr">
        <is>
          <t>Assumed human-hand scale: roughly 18–22 cm length</t>
        </is>
      </c>
      <c r="S17" s="145" t="inlineStr">
        <is>
          <t>7.09 × 8.66 in</t>
        </is>
      </c>
      <c r="T17" s="145" t="inlineStr">
        <is>
          <t>22</t>
        </is>
      </c>
      <c r="U17" s="149" t="inlineStr">
        <is>
          <t>5</t>
        </is>
      </c>
      <c r="V17" s="194" t="n">
        <v>17.64</v>
      </c>
      <c r="W17" s="194" t="n">
        <v>8</v>
      </c>
      <c r="X17" s="161" t="inlineStr">
        <is>
          <t>Yes</t>
        </is>
      </c>
      <c r="Y17" s="149" t="inlineStr">
        <is>
          <t>Yes</t>
        </is>
      </c>
      <c r="Z17" s="149" t="inlineStr">
        <is>
          <t>Tendon-Driven</t>
        </is>
      </c>
      <c r="AA17" s="149" t="inlineStr">
        <is>
          <t>Not disclosed</t>
        </is>
      </c>
      <c r="AB17" s="149" t="inlineStr">
        <is>
          <t>22 DOF · 5 fingers · 8 kg class strength · Tactile/force sensing · Tendon-Driven · 1.8 kg</t>
        </is>
      </c>
      <c r="AC17" s="149" t="inlineStr">
        <is>
          <t>Humanoid OEM</t>
        </is>
      </c>
      <c r="AD17" s="195" t="inlineStr">
        <is>
          <t>In production</t>
        </is>
      </c>
      <c r="AE17" s="145" t="inlineStr">
        <is>
          <t>In production</t>
        </is>
      </c>
      <c r="AF17" s="149" t="n"/>
      <c r="AG17" s="149" t="inlineStr">
        <is>
          <t>12 months manufacturer standard (typical dexterous-hand component)</t>
        </is>
      </c>
      <c r="AH17" s="145" t="n">
        <v>12</v>
      </c>
      <c r="AI17" s="149" t="inlineStr">
        <is>
          <t>+3 Year Extended ≈24% of configuration (default in configurator)</t>
        </is>
      </c>
      <c r="AJ17" s="145" t="inlineStr">
        <is>
          <t>End-effector category norm 2025–2026</t>
        </is>
      </c>
      <c r="AK17" s="145" t="inlineStr">
        <is>
          <t>Estimated</t>
        </is>
      </c>
      <c r="AL17" s="149" t="inlineStr">
        <is>
          <t>Skins, tendons, and tactile covers often wear items — confirm on OEM quote.</t>
        </is>
      </c>
      <c r="AM17" s="145" t="inlineStr">
        <is>
          <t>10%</t>
        </is>
      </c>
      <c r="AN17" s="145" t="inlineStr">
        <is>
          <t>17%</t>
        </is>
      </c>
      <c r="AO17" s="145" t="inlineStr">
        <is>
          <t>24%</t>
        </is>
      </c>
      <c r="AP17" s="149" t="inlineStr">
        <is>
          <t>+1yr ≈10% | +2yr ≈17% | +3yr ≈24% of selected configuration price.</t>
        </is>
      </c>
      <c r="AQ17" s="149" t="inlineStr">
        <is>
          <t>Profitable schedule (Aug 2026): +1yr ≈10% / +2yr ≈17% / +3yr ≈24% of configuration price. Calibrated for ~45–55% gross margin after expected robotics claim incidence (~10–14%/yr of covered units), avg claim cost ~25–30% of config, and admin 10–15% of premium.</t>
        </is>
      </c>
      <c r="AR17" s="101" t="inlineStr">
        <is>
          <t>[Botyard Intelligence] DexMano D22-PRO (2026)</t>
        </is>
      </c>
    </row>
    <row r="18" ht="33.75" customHeight="1" s="102">
      <c r="A18" s="159" t="inlineStr">
        <is>
          <t>hand_revo_3</t>
        </is>
      </c>
      <c r="B18" s="153" t="inlineStr">
        <is>
          <t>Humanoid.guide</t>
        </is>
      </c>
      <c r="C18" s="152" t="inlineStr">
        <is>
          <t>BrainCo</t>
        </is>
      </c>
      <c r="D18" s="152" t="inlineStr">
        <is>
          <t>Revo3</t>
        </is>
      </c>
      <c r="E18" s="163" t="inlineStr">
        <is>
          <t>hand</t>
        </is>
      </c>
      <c r="F18" s="152" t="inlineStr">
        <is>
          <t>China</t>
        </is>
      </c>
      <c r="G18" s="152" t="n">
        <v>2026</v>
      </c>
      <c r="H18" s="155" t="n">
        <v>8000</v>
      </c>
      <c r="I18" s="152" t="inlineStr">
        <is>
          <t>Humanoid.guide list</t>
        </is>
      </c>
      <c r="J18" s="156" t="inlineStr">
        <is>
          <t>Revo3 is a lightweight, high-precision robotic hand with advanced tactile sensing and human-like dexterity for research and automation.</t>
        </is>
      </c>
      <c r="K18" s="101" t="inlineStr">
        <is>
          <t>Revo3 is a lightweight, high-precision robotic hand with advanced tactile sensing and human-like dexterity for research and automation.</t>
        </is>
      </c>
      <c r="L18" s="101" t="inlineStr">
        <is>
          <t>Revo3 is a lightweight, high-precision robotic hand with advanced tactile sensing and human-like dexterity for research and automation. Public status is listed as in production, and it is positioned for research / teleoperation.</t>
        </is>
      </c>
      <c r="M18" s="101" t="inlineStr">
        <is>
          <t>Origin &amp; status — China · In production · 2026 | Performance — 21 DOF · 5 fingers · Payload 11.02 lb · Strength 5 kg | Sensing — Yes | Buying notes — $8,000 · 12 months manufacturer standard (typical dexterous-hand component) · Best fit: Research / teleoperation</t>
        </is>
      </c>
      <c r="N18" s="157" t="inlineStr">
        <is>
          <t>https://humanoid.guide/product/revo-3/</t>
        </is>
      </c>
      <c r="O18" s="157" t="inlineStr">
        <is>
          <t>https://www.brainco.tech</t>
        </is>
      </c>
      <c r="P18" s="196" t="n">
        <v>0.95</v>
      </c>
      <c r="Q18" s="196" t="n">
        <v>0.43</v>
      </c>
      <c r="R18" s="156" t="inlineStr">
        <is>
          <t>Not disclosed</t>
        </is>
      </c>
      <c r="S18" s="152" t="inlineStr">
        <is>
          <t>Not disclosed</t>
        </is>
      </c>
      <c r="T18" s="152" t="inlineStr">
        <is>
          <t>21</t>
        </is>
      </c>
      <c r="U18" s="156" t="inlineStr">
        <is>
          <t>5</t>
        </is>
      </c>
      <c r="V18" s="196" t="n">
        <v>11.02</v>
      </c>
      <c r="W18" s="196" t="n">
        <v>5</v>
      </c>
      <c r="X18" s="161" t="inlineStr">
        <is>
          <t>Yes</t>
        </is>
      </c>
      <c r="Y18" s="156" t="inlineStr">
        <is>
          <t>Yes</t>
        </is>
      </c>
      <c r="Z18" s="156" t="inlineStr">
        <is>
          <t>Direct-drive, back-drivable micro-actuators</t>
        </is>
      </c>
      <c r="AA18" s="156" t="inlineStr">
        <is>
          <t>Composite + lightweight alloy structure</t>
        </is>
      </c>
      <c r="AB18" s="156" t="inlineStr">
        <is>
          <t>21 DOF · 5 fingers · 5 kg class strength · Tactile/force sensing · Direct-drive, back-drivable micro-actuators · 0.43 kg</t>
        </is>
      </c>
      <c r="AC18" s="156" t="inlineStr">
        <is>
          <t>Research / teleoperation</t>
        </is>
      </c>
      <c r="AD18" s="195" t="inlineStr">
        <is>
          <t>In production</t>
        </is>
      </c>
      <c r="AE18" s="152" t="inlineStr">
        <is>
          <t>In production</t>
        </is>
      </c>
      <c r="AF18" s="156" t="n"/>
      <c r="AG18" s="156" t="inlineStr">
        <is>
          <t>12 months manufacturer standard (typical dexterous-hand component)</t>
        </is>
      </c>
      <c r="AH18" s="152" t="n">
        <v>12</v>
      </c>
      <c r="AI18" s="156" t="inlineStr">
        <is>
          <t>+3 Year Extended ≈24% of configuration (default in configurator)</t>
        </is>
      </c>
      <c r="AJ18" s="152" t="inlineStr">
        <is>
          <t>End-effector category norm 2025–2026</t>
        </is>
      </c>
      <c r="AK18" s="152" t="inlineStr">
        <is>
          <t>Estimated</t>
        </is>
      </c>
      <c r="AL18" s="156" t="inlineStr">
        <is>
          <t>Skins, tendons, and tactile covers often wear items — confirm on OEM quote.</t>
        </is>
      </c>
      <c r="AM18" s="152" t="inlineStr">
        <is>
          <t>10%</t>
        </is>
      </c>
      <c r="AN18" s="152" t="inlineStr">
        <is>
          <t>17%</t>
        </is>
      </c>
      <c r="AO18" s="152" t="inlineStr">
        <is>
          <t>24%</t>
        </is>
      </c>
      <c r="AP18" s="156" t="inlineStr">
        <is>
          <t>+1yr ≈10% | +2yr ≈17% | +3yr ≈24% of selected configuration price.</t>
        </is>
      </c>
      <c r="AQ18" s="156" t="inlineStr">
        <is>
          <t>Profitable schedule (Aug 2026): +1yr ≈10% / +2yr ≈17% / +3yr ≈24% of configuration price. Calibrated for ~45–55% gross margin after expected robotics claim incidence (~10–14%/yr of covered units), avg claim cost ~25–30% of config, and admin 10–15% of premium.</t>
        </is>
      </c>
      <c r="AR18" s="101" t="inlineStr">
        <is>
          <t>[BrainCo] Revo3 (2026)</t>
        </is>
      </c>
    </row>
    <row r="19" ht="33.75" customHeight="1" s="102">
      <c r="A19" s="143" t="inlineStr">
        <is>
          <t>hand_leap_hand</t>
        </is>
      </c>
      <c r="B19" s="153" t="inlineStr">
        <is>
          <t>Humanoid.guide</t>
        </is>
      </c>
      <c r="C19" s="145" t="inlineStr">
        <is>
          <t>Carnegie Mellon University</t>
        </is>
      </c>
      <c r="D19" s="145" t="inlineStr">
        <is>
          <t>LEAP Hand</t>
        </is>
      </c>
      <c r="E19" s="163" t="inlineStr">
        <is>
          <t>hand</t>
        </is>
      </c>
      <c r="F19" s="145" t="inlineStr">
        <is>
          <t>USA</t>
        </is>
      </c>
      <c r="G19" s="145" t="n">
        <v>2026</v>
      </c>
      <c r="H19" s="148" t="n">
        <v>2000</v>
      </c>
      <c r="I19" s="145" t="inlineStr">
        <is>
          <t>Humanoid.guide list</t>
        </is>
      </c>
      <c r="J19" s="149" t="inlineStr">
        <is>
          <t>An affordable, research-focused robotic hand that combines dexterity, tactile sensing, and accessibility for advanced manipulation tasks.</t>
        </is>
      </c>
      <c r="K19" s="101" t="inlineStr">
        <is>
          <t>An affordable, research-focused robotic hand that combines dexterity, tactile sensing, and accessibility for advanced manipulation tasks.</t>
        </is>
      </c>
      <c r="L19" s="101" t="inlineStr">
        <is>
          <t>LEAP Hand is Carnegie Mellon University's dexterous hand, introduced around 2026 in USA. An affordable, research-focused robotic hand that combines dexterity, tactile sensing, and accessibility for advanced manipulation tasks. Public status is listed as in production, and it is positioned for research / teleoperation.</t>
        </is>
      </c>
      <c r="M19" s="101" t="inlineStr">
        <is>
          <t>Origin &amp; status — USA · In production · 2026 | Performance — 16 DOF · 5 fingers · Payload 4.41 lb · Strength 2 kg | Sensing — Yes | Buying notes — $2,000 · 12 months manufacturer standard (typical dexterous-hand component) · Best fit: Research / teleoperation</t>
        </is>
      </c>
      <c r="N19" s="150" t="inlineStr">
        <is>
          <t>https://humanoid.guide/product/leap-hand/</t>
        </is>
      </c>
      <c r="O19" s="150" t="inlineStr">
        <is>
          <t>https://www.cmu.edu</t>
        </is>
      </c>
      <c r="P19" s="194" t="n">
        <v>2.07</v>
      </c>
      <c r="Q19" s="194" t="n">
        <v>0.9399999999999999</v>
      </c>
      <c r="R19" s="149" t="inlineStr">
        <is>
          <t>Not disclosed</t>
        </is>
      </c>
      <c r="S19" s="145" t="inlineStr">
        <is>
          <t>Not disclosed</t>
        </is>
      </c>
      <c r="T19" s="145" t="inlineStr">
        <is>
          <t>16</t>
        </is>
      </c>
      <c r="U19" s="149" t="inlineStr">
        <is>
          <t>5</t>
        </is>
      </c>
      <c r="V19" s="194" t="n">
        <v>4.41</v>
      </c>
      <c r="W19" s="194" t="n">
        <v>2</v>
      </c>
      <c r="X19" s="161" t="inlineStr">
        <is>
          <t>Yes</t>
        </is>
      </c>
      <c r="Y19" s="149" t="inlineStr">
        <is>
          <t>Yes</t>
        </is>
      </c>
      <c r="Z19" s="149" t="inlineStr">
        <is>
          <t>Servo motors</t>
        </is>
      </c>
      <c r="AA19" s="149" t="inlineStr">
        <is>
          <t>3D-printed polymers + metal components</t>
        </is>
      </c>
      <c r="AB19" s="149" t="inlineStr">
        <is>
          <t>16 DOF · 5 fingers · 2 kg class strength · Tactile/force sensing · Servo motors · 0.94 kg</t>
        </is>
      </c>
      <c r="AC19" s="149" t="inlineStr">
        <is>
          <t>Research / teleoperation</t>
        </is>
      </c>
      <c r="AD19" s="195" t="inlineStr">
        <is>
          <t>In production</t>
        </is>
      </c>
      <c r="AE19" s="145" t="inlineStr">
        <is>
          <t>In production</t>
        </is>
      </c>
      <c r="AF19" s="149" t="n"/>
      <c r="AG19" s="149" t="inlineStr">
        <is>
          <t>12 months manufacturer standard (typical dexterous-hand component)</t>
        </is>
      </c>
      <c r="AH19" s="145" t="n">
        <v>12</v>
      </c>
      <c r="AI19" s="149" t="inlineStr">
        <is>
          <t>+3 Year Extended ≈24% of configuration (default in configurator)</t>
        </is>
      </c>
      <c r="AJ19" s="145" t="inlineStr">
        <is>
          <t>End-effector category norm 2025–2026</t>
        </is>
      </c>
      <c r="AK19" s="145" t="inlineStr">
        <is>
          <t>Estimated</t>
        </is>
      </c>
      <c r="AL19" s="149" t="inlineStr">
        <is>
          <t>Skins, tendons, and tactile covers often wear items — confirm on OEM quote.</t>
        </is>
      </c>
      <c r="AM19" s="145" t="inlineStr">
        <is>
          <t>10%</t>
        </is>
      </c>
      <c r="AN19" s="145" t="inlineStr">
        <is>
          <t>17%</t>
        </is>
      </c>
      <c r="AO19" s="145" t="inlineStr">
        <is>
          <t>24%</t>
        </is>
      </c>
      <c r="AP19" s="149" t="inlineStr">
        <is>
          <t>+1yr ≈10% | +2yr ≈17% | +3yr ≈24% of selected configuration price.</t>
        </is>
      </c>
      <c r="AQ19" s="149" t="inlineStr">
        <is>
          <t>Profitable schedule (Aug 2026): +1yr ≈10% / +2yr ≈17% / +3yr ≈24% of configuration price. Calibrated for ~45–55% gross margin after expected robotics claim incidence (~10–14%/yr of covered units), avg claim cost ~25–30% of config, and admin 10–15% of premium.</t>
        </is>
      </c>
      <c r="AR19" s="101" t="inlineStr">
        <is>
          <t>[Carnegie Mellon University] LEAP Hand (2026)</t>
        </is>
      </c>
    </row>
    <row r="20" ht="33.75" customHeight="1" s="102">
      <c r="A20" s="159" t="inlineStr">
        <is>
          <t>hand_x2_robotic_hand</t>
        </is>
      </c>
      <c r="B20" s="153" t="inlineStr">
        <is>
          <t>Humanoid.guide</t>
        </is>
      </c>
      <c r="C20" s="152" t="inlineStr">
        <is>
          <t>Changingtek Robotics Technology (Suzhou) Co., Ltd.</t>
        </is>
      </c>
      <c r="D20" s="152" t="inlineStr">
        <is>
          <t>X2</t>
        </is>
      </c>
      <c r="E20" s="163" t="inlineStr">
        <is>
          <t>hand</t>
        </is>
      </c>
      <c r="F20" s="152" t="inlineStr">
        <is>
          <t>China</t>
        </is>
      </c>
      <c r="G20" s="152" t="n">
        <v>2026</v>
      </c>
      <c r="H20" s="155" t="n">
        <v>14000</v>
      </c>
      <c r="I20" s="152" t="inlineStr">
        <is>
          <t>Humanoid.guide list</t>
        </is>
      </c>
      <c r="J20" s="156" t="inlineStr">
        <is>
          <t>The X2 is an adaptive dexterous robotic hand designed for humanoid robots and industrial automation.</t>
        </is>
      </c>
      <c r="K20" s="101" t="inlineStr">
        <is>
          <t>The X2 is an adaptive dexterous robotic hand designed for humanoid robots and industrial automation.</t>
        </is>
      </c>
      <c r="L20" s="101" t="inlineStr">
        <is>
          <t>The X2 is an adaptive dexterous robotic hand designed for humanoid robots and industrial automation. Public status is listed as in production, and it is positioned for humanoid OEM; Industrial manipulation.</t>
        </is>
      </c>
      <c r="M20" s="101" t="inlineStr">
        <is>
          <t>Origin &amp; status — China · In production · 2026 | Performance — 16 DOF · 5 (5 per hand) fingers · Payload 11.02 lb · Strength 5 kg | Sensing — Yes | Buying notes — $14,000 · 12 months manufacturer standard (typical dexterous-hand component) · Best fit: Humanoid OEM; Industrial manipulation</t>
        </is>
      </c>
      <c r="N20" s="157" t="inlineStr">
        <is>
          <t>https://humanoid.guide/product/x2-robotic-hand/</t>
        </is>
      </c>
      <c r="O20" s="157" t="inlineStr">
        <is>
          <t>https://www.changingtek.com/</t>
        </is>
      </c>
      <c r="P20" s="196" t="n">
        <v>2.65</v>
      </c>
      <c r="Q20" s="196" t="n">
        <v>1.2</v>
      </c>
      <c r="R20" s="156" t="inlineStr">
        <is>
          <t>200 × 110 × 60 mm</t>
        </is>
      </c>
      <c r="S20" s="152" t="inlineStr">
        <is>
          <t>7.87 × 4.33 × 2.36 in</t>
        </is>
      </c>
      <c r="T20" s="152" t="inlineStr">
        <is>
          <t>16</t>
        </is>
      </c>
      <c r="U20" s="156" t="inlineStr">
        <is>
          <t>5 (5 per hand)</t>
        </is>
      </c>
      <c r="V20" s="196" t="n">
        <v>11.02</v>
      </c>
      <c r="W20" s="196" t="n">
        <v>5</v>
      </c>
      <c r="X20" s="161" t="inlineStr">
        <is>
          <t>Yes</t>
        </is>
      </c>
      <c r="Y20" s="156" t="inlineStr">
        <is>
          <t>Yes</t>
        </is>
      </c>
      <c r="Z20" s="156" t="inlineStr">
        <is>
          <t>Tendon-driven actuation system</t>
        </is>
      </c>
      <c r="AA20" s="156" t="inlineStr">
        <is>
          <t>Aluminum alloy and high-strength engineering polymers</t>
        </is>
      </c>
      <c r="AB20" s="156" t="inlineStr">
        <is>
          <t>16 DOF · 5 fingers · 5 kg class strength · Tactile/force sensing · Tendon-driven actuation system · 1.2 kg</t>
        </is>
      </c>
      <c r="AC20" s="156" t="inlineStr">
        <is>
          <t>Humanoid OEM; Industrial manipulation</t>
        </is>
      </c>
      <c r="AD20" s="195" t="inlineStr">
        <is>
          <t>In production</t>
        </is>
      </c>
      <c r="AE20" s="152" t="inlineStr">
        <is>
          <t>In production</t>
        </is>
      </c>
      <c r="AF20" s="156" t="n"/>
      <c r="AG20" s="156" t="inlineStr">
        <is>
          <t>12 months manufacturer standard (typical dexterous-hand component)</t>
        </is>
      </c>
      <c r="AH20" s="152" t="n">
        <v>12</v>
      </c>
      <c r="AI20" s="156" t="inlineStr">
        <is>
          <t>+3 Year Extended ≈24% of configuration (default in configurator)</t>
        </is>
      </c>
      <c r="AJ20" s="152" t="inlineStr">
        <is>
          <t>End-effector category norm 2025–2026</t>
        </is>
      </c>
      <c r="AK20" s="152" t="inlineStr">
        <is>
          <t>Estimated</t>
        </is>
      </c>
      <c r="AL20" s="156" t="inlineStr">
        <is>
          <t>Skins, tendons, and tactile covers often wear items — confirm on OEM quote.</t>
        </is>
      </c>
      <c r="AM20" s="152" t="inlineStr">
        <is>
          <t>10%</t>
        </is>
      </c>
      <c r="AN20" s="152" t="inlineStr">
        <is>
          <t>17%</t>
        </is>
      </c>
      <c r="AO20" s="152" t="inlineStr">
        <is>
          <t>24%</t>
        </is>
      </c>
      <c r="AP20" s="156" t="inlineStr">
        <is>
          <t>+1yr ≈10% | +2yr ≈17% | +3yr ≈24% of selected configuration price.</t>
        </is>
      </c>
      <c r="AQ20" s="156" t="inlineStr">
        <is>
          <t>Profitable schedule (Aug 2026): +1yr ≈10% / +2yr ≈17% / +3yr ≈24% of configuration price. Calibrated for ~45–55% gross margin after expected robotics claim incidence (~10–14%/yr of covered units), avg claim cost ~25–30% of config, and admin 10–15% of premium.</t>
        </is>
      </c>
      <c r="AR20" s="101" t="inlineStr">
        <is>
          <t>[Changingtek Robotics Technology (Suzhou) Co., Ltd.] X2 (2026)</t>
        </is>
      </c>
    </row>
    <row r="21" ht="33.75" customHeight="1" s="102">
      <c r="A21" s="143" t="inlineStr">
        <is>
          <t>hand_covvi</t>
        </is>
      </c>
      <c r="B21" s="153" t="inlineStr">
        <is>
          <t>Humanoid.guide</t>
        </is>
      </c>
      <c r="C21" s="145" t="inlineStr">
        <is>
          <t>COVVI Robotics</t>
        </is>
      </c>
      <c r="D21" s="145" t="inlineStr">
        <is>
          <t>COVVI</t>
        </is>
      </c>
      <c r="E21" s="163" t="inlineStr">
        <is>
          <t>hand</t>
        </is>
      </c>
      <c r="F21" s="145" t="inlineStr">
        <is>
          <t>UK</t>
        </is>
      </c>
      <c r="G21" s="145" t="n">
        <v>2025</v>
      </c>
      <c r="H21" s="148" t="n">
        <v>5200</v>
      </c>
      <c r="I21" s="145" t="inlineStr">
        <is>
          <t>Humanoid.guide list</t>
        </is>
      </c>
      <c r="J21" s="149" t="inlineStr">
        <is>
          <t>COVVI is COVVI Robotics's dexterous hand — 16, 5 (5 per hand) fingers, 22.05 lb payload. Yes; Electric actuators, designed for individual digit and grip control.</t>
        </is>
      </c>
      <c r="K21" s="101" t="inlineStr">
        <is>
          <t>COVVI is COVVI Robotics's dexterous hand — 16, 5 (5 per hand) fingers, 22.05 lb payload. Yes; Electric actuators, designed for individual digit and grip control.</t>
        </is>
      </c>
      <c r="L21" s="101" t="inlineStr">
        <is>
          <t>COVVI is COVVI Robotics's dexterous hand — 16, 5 (5 per hand) fingers, 22.05 lb payload. Yes; Electric actuators, designed for individual digit and grip control. Public status is listed as in production, and it is positioned for dexterous manipulation.</t>
        </is>
      </c>
      <c r="M21" s="101" t="inlineStr">
        <is>
          <t>Origin &amp; status — UK · In production · 2025 | Performance — 16 DOF · 5 (5 per hand) fingers · Payload 22.05 lb · Strength 10 kg | Sensing — Yes | Buying notes — $5,200 · 12 months manufacturer standard (typical dexterous-hand component) · Best fit: Dexterous manipulation</t>
        </is>
      </c>
      <c r="N21" s="150" t="inlineStr">
        <is>
          <t>https://humanoid.guide/product/covvi/</t>
        </is>
      </c>
      <c r="O21" s="150" t="inlineStr">
        <is>
          <t>https://www.covvi-robotics.com/</t>
        </is>
      </c>
      <c r="P21" s="194" t="n">
        <v>2.27</v>
      </c>
      <c r="Q21" s="194" t="n">
        <v>1.03</v>
      </c>
      <c r="R21" s="149" t="inlineStr">
        <is>
          <t>179 mm from wrist to fingertip</t>
        </is>
      </c>
      <c r="S21" s="145" t="inlineStr">
        <is>
          <t>Not disclosed</t>
        </is>
      </c>
      <c r="T21" s="145" t="inlineStr">
        <is>
          <t>16</t>
        </is>
      </c>
      <c r="U21" s="149" t="inlineStr">
        <is>
          <t>5 (5 per hand)</t>
        </is>
      </c>
      <c r="V21" s="194" t="n">
        <v>22.05</v>
      </c>
      <c r="W21" s="194" t="n">
        <v>10</v>
      </c>
      <c r="X21" s="161" t="inlineStr">
        <is>
          <t>Yes</t>
        </is>
      </c>
      <c r="Y21" s="149" t="inlineStr">
        <is>
          <t>Yes</t>
        </is>
      </c>
      <c r="Z21" s="149" t="inlineStr">
        <is>
          <t>Electric actuators, designed for individual digit and grip control</t>
        </is>
      </c>
      <c r="AA21" s="149" t="inlineStr">
        <is>
          <t>Fingers and internal links: stainless steel; digits/aluminium chassis; wrist/adaptor aluminium; outer protective glove: silicone with soft-touch coating</t>
        </is>
      </c>
      <c r="AB21" s="149" t="inlineStr">
        <is>
          <t>16 DOF · 5 fingers · 10 kg class strength · Tactile/force sensing · Electric actuators, designed for individual digit and grip control · 1.03 kg</t>
        </is>
      </c>
      <c r="AC21" s="149" t="inlineStr">
        <is>
          <t>Dexterous manipulation</t>
        </is>
      </c>
      <c r="AD21" s="195" t="inlineStr">
        <is>
          <t>In production</t>
        </is>
      </c>
      <c r="AE21" s="145" t="inlineStr">
        <is>
          <t>In production</t>
        </is>
      </c>
      <c r="AF21" s="149" t="n"/>
      <c r="AG21" s="149" t="inlineStr">
        <is>
          <t>12 months manufacturer standard (typical dexterous-hand component)</t>
        </is>
      </c>
      <c r="AH21" s="145" t="n">
        <v>12</v>
      </c>
      <c r="AI21" s="149" t="inlineStr">
        <is>
          <t>+3 Year Extended ≈24% of configuration (default in configurator)</t>
        </is>
      </c>
      <c r="AJ21" s="145" t="inlineStr">
        <is>
          <t>End-effector category norm 2025–2026</t>
        </is>
      </c>
      <c r="AK21" s="145" t="inlineStr">
        <is>
          <t>Estimated</t>
        </is>
      </c>
      <c r="AL21" s="149" t="inlineStr">
        <is>
          <t>Skins, tendons, and tactile covers often wear items — confirm on OEM quote.</t>
        </is>
      </c>
      <c r="AM21" s="145" t="inlineStr">
        <is>
          <t>10%</t>
        </is>
      </c>
      <c r="AN21" s="145" t="inlineStr">
        <is>
          <t>17%</t>
        </is>
      </c>
      <c r="AO21" s="145" t="inlineStr">
        <is>
          <t>24%</t>
        </is>
      </c>
      <c r="AP21" s="149" t="inlineStr">
        <is>
          <t>+1yr ≈10% | +2yr ≈17% | +3yr ≈24% of selected configuration price.</t>
        </is>
      </c>
      <c r="AQ21" s="149" t="inlineStr">
        <is>
          <t>Profitable schedule (Aug 2026): +1yr ≈10% / +2yr ≈17% / +3yr ≈24% of configuration price. Calibrated for ~45–55% gross margin after expected robotics claim incidence (~10–14%/yr of covered units), avg claim cost ~25–30% of config, and admin 10–15% of premium.</t>
        </is>
      </c>
      <c r="AR21" s="101" t="inlineStr">
        <is>
          <t>[COVVI Robotics] COVVI (2025)</t>
        </is>
      </c>
    </row>
    <row r="22" ht="33.75" customHeight="1" s="102">
      <c r="A22" s="159" t="inlineStr">
        <is>
          <t>hand_apex_hand</t>
        </is>
      </c>
      <c r="B22" s="153" t="inlineStr">
        <is>
          <t>Humanoid.guide</t>
        </is>
      </c>
      <c r="C22" s="152" t="inlineStr">
        <is>
          <t>DexcelRobotics</t>
        </is>
      </c>
      <c r="D22" s="152" t="inlineStr">
        <is>
          <t>Apex Hand</t>
        </is>
      </c>
      <c r="E22" s="163" t="inlineStr">
        <is>
          <t>hand</t>
        </is>
      </c>
      <c r="F22" s="152" t="inlineStr">
        <is>
          <t>China</t>
        </is>
      </c>
      <c r="G22" s="152" t="n">
        <v>2025</v>
      </c>
      <c r="H22" s="155" t="n">
        <v>20000</v>
      </c>
      <c r="I22" s="152" t="inlineStr">
        <is>
          <t>Humanoid.guide list</t>
        </is>
      </c>
      <c r="J22" s="156" t="inlineStr">
        <is>
          <t>Advanced robotic hand with 20+ degrees of freedom and 30 kg payload capacity — engineered for precision, adaptability, and humanoid integration.</t>
        </is>
      </c>
      <c r="K22" s="101" t="inlineStr">
        <is>
          <t>Advanced robotic hand with 20+ degrees of freedom and 30 kg payload capacity — engineered for precision, adaptability, and humanoid integration.</t>
        </is>
      </c>
      <c r="L22" s="101" t="inlineStr">
        <is>
          <t>Apex Hand is DexcelRobotics's dexterous hand, introduced around 2025 in China. Advanced robotic hand with 20+ degrees of freedom and 30 kg payload capacity — engineered for precision, adaptability, and humanoid integration. Public status is listed as in production, and it is positioned for humanoid OEM.</t>
        </is>
      </c>
      <c r="M22" s="101" t="inlineStr">
        <is>
          <t>Origin &amp; status — China · In production · 2025 | Performance — 21 DOF · 5 fingers · Payload 66.14 lb · Strength 30 kg | Sensing — Yes | Buying notes — $20,000 · 12 months manufacturer standard (typical dexterous-hand component) · Best fit: Humanoid OEM</t>
        </is>
      </c>
      <c r="N22" s="157" t="inlineStr">
        <is>
          <t>https://humanoid.guide/product/apex-hand/</t>
        </is>
      </c>
      <c r="O22" s="157" t="inlineStr">
        <is>
          <t>https://www.dexcelrobotics.com</t>
        </is>
      </c>
      <c r="P22" s="152" t="inlineStr">
        <is>
          <t>Not disclosed</t>
        </is>
      </c>
      <c r="Q22" s="152" t="n"/>
      <c r="R22" s="156" t="inlineStr">
        <is>
          <t>Not disclosed</t>
        </is>
      </c>
      <c r="S22" s="152" t="inlineStr">
        <is>
          <t>Not disclosed</t>
        </is>
      </c>
      <c r="T22" s="152" t="inlineStr">
        <is>
          <t>21</t>
        </is>
      </c>
      <c r="U22" s="156" t="inlineStr">
        <is>
          <t>5</t>
        </is>
      </c>
      <c r="V22" s="196" t="n">
        <v>66.14</v>
      </c>
      <c r="W22" s="196" t="n">
        <v>30</v>
      </c>
      <c r="X22" s="161" t="inlineStr">
        <is>
          <t>Yes</t>
        </is>
      </c>
      <c r="Y22" s="156" t="inlineStr">
        <is>
          <t>Yes</t>
        </is>
      </c>
      <c r="Z22" s="156" t="inlineStr">
        <is>
          <t>Not disclosed</t>
        </is>
      </c>
      <c r="AA22" s="156" t="inlineStr">
        <is>
          <t>Not disclosed</t>
        </is>
      </c>
      <c r="AB22" s="156" t="inlineStr">
        <is>
          <t>21 DOF · 5 fingers · 30 kg class strength · Tactile/force sensing · Not specified</t>
        </is>
      </c>
      <c r="AC22" s="156" t="inlineStr">
        <is>
          <t>Humanoid OEM</t>
        </is>
      </c>
      <c r="AD22" s="195" t="inlineStr">
        <is>
          <t>In production</t>
        </is>
      </c>
      <c r="AE22" s="152" t="inlineStr">
        <is>
          <t>In production</t>
        </is>
      </c>
      <c r="AF22" s="156" t="n"/>
      <c r="AG22" s="156" t="inlineStr">
        <is>
          <t>12 months manufacturer standard (typical dexterous-hand component)</t>
        </is>
      </c>
      <c r="AH22" s="152" t="n">
        <v>12</v>
      </c>
      <c r="AI22" s="156" t="inlineStr">
        <is>
          <t>+3 Year Extended ≈24% of configuration (default in configurator)</t>
        </is>
      </c>
      <c r="AJ22" s="152" t="inlineStr">
        <is>
          <t>End-effector category norm 2025–2026</t>
        </is>
      </c>
      <c r="AK22" s="152" t="inlineStr">
        <is>
          <t>Estimated</t>
        </is>
      </c>
      <c r="AL22" s="156" t="inlineStr">
        <is>
          <t>Skins, tendons, and tactile covers often wear items — confirm on OEM quote.</t>
        </is>
      </c>
      <c r="AM22" s="152" t="inlineStr">
        <is>
          <t>10%</t>
        </is>
      </c>
      <c r="AN22" s="152" t="inlineStr">
        <is>
          <t>17%</t>
        </is>
      </c>
      <c r="AO22" s="152" t="inlineStr">
        <is>
          <t>24%</t>
        </is>
      </c>
      <c r="AP22" s="156" t="inlineStr">
        <is>
          <t>+1yr ≈10% | +2yr ≈17% | +3yr ≈24% of selected configuration price.</t>
        </is>
      </c>
      <c r="AQ22" s="156" t="inlineStr">
        <is>
          <t>Profitable schedule (Aug 2026): +1yr ≈10% / +2yr ≈17% / +3yr ≈24% of configuration price. Calibrated for ~45–55% gross margin after expected robotics claim incidence (~10–14%/yr of covered units), avg claim cost ~25–30% of config, and admin 10–15% of premium.</t>
        </is>
      </c>
      <c r="AR22" s="101" t="inlineStr">
        <is>
          <t>[DexcelRobotics] Apex Hand (2025)</t>
        </is>
      </c>
    </row>
    <row r="23" ht="33.75" customHeight="1" s="102">
      <c r="A23" s="143" t="inlineStr">
        <is>
          <t>hand_dexhand021</t>
        </is>
      </c>
      <c r="B23" s="153" t="inlineStr">
        <is>
          <t>Humanoid.guide</t>
        </is>
      </c>
      <c r="C23" s="145" t="inlineStr">
        <is>
          <t>DexRobot</t>
        </is>
      </c>
      <c r="D23" s="145" t="inlineStr">
        <is>
          <t>DexHand021</t>
        </is>
      </c>
      <c r="E23" s="163" t="inlineStr">
        <is>
          <t>hand</t>
        </is>
      </c>
      <c r="F23" s="145" t="inlineStr">
        <is>
          <t>China</t>
        </is>
      </c>
      <c r="G23" s="145" t="n">
        <v>2025</v>
      </c>
      <c r="H23" s="148" t="n">
        <v>9500</v>
      </c>
      <c r="I23" s="145" t="inlineStr">
        <is>
          <t>Humanoid.guide list</t>
        </is>
      </c>
      <c r="J23" s="149" t="inlineStr">
        <is>
          <t>DexHand021 dexterous robotic hand dexterous robotic hand is DexRobot’s commercial, high-DOF robotic hand: 19 DOF, multimodal sensing (position, force, slip, proximity), modular architecture, and ROS support for integration.</t>
        </is>
      </c>
      <c r="K23" s="101" t="inlineStr">
        <is>
          <t>DexHand021 dexterous robotic hand dexterous robotic hand is DexRobot’s commercial, high-DOF robotic hand: 19 DOF, multimodal sensing (position, force, slip, proximity), modular architecture, and ROS support for integration.</t>
        </is>
      </c>
      <c r="L23" s="101" t="inlineStr">
        <is>
          <t>DexHand021 dexterous robotic hand dexterous robotic hand is DexRobot’s commercial, high-DOF robotic hand: 19 DOF, multimodal sensing (position, force, slip, proximity), modular architecture, and ROS support for integration. Public status is listed as in production, and it is positioned for dexterous manipulation.</t>
        </is>
      </c>
      <c r="M23" s="101" t="inlineStr">
        <is>
          <t>Origin &amp; status — China · In production · 2025 | Performance — 19 DOF · 5 fingers · Payload 11.02 lb · Strength 5 kg | Sensing — Yes | Buying notes — $9,500 · 12 months manufacturer standard (typical dexterous-hand component) · Best fit: Dexterous manipulation</t>
        </is>
      </c>
      <c r="N23" s="150" t="inlineStr">
        <is>
          <t>https://humanoid.guide/product/dexhand021/</t>
        </is>
      </c>
      <c r="O23" s="150" t="inlineStr">
        <is>
          <t>https://www.dex-robot.com</t>
        </is>
      </c>
      <c r="P23" s="145" t="inlineStr">
        <is>
          <t>Not disclosed</t>
        </is>
      </c>
      <c r="Q23" s="145" t="n"/>
      <c r="R23" s="149" t="inlineStr">
        <is>
          <t>Not disclosed</t>
        </is>
      </c>
      <c r="S23" s="145" t="inlineStr">
        <is>
          <t>Not disclosed</t>
        </is>
      </c>
      <c r="T23" s="145" t="inlineStr">
        <is>
          <t>19</t>
        </is>
      </c>
      <c r="U23" s="149" t="inlineStr">
        <is>
          <t>5</t>
        </is>
      </c>
      <c r="V23" s="194" t="n">
        <v>11.02</v>
      </c>
      <c r="W23" s="194" t="n">
        <v>5</v>
      </c>
      <c r="X23" s="161" t="inlineStr">
        <is>
          <t>Yes</t>
        </is>
      </c>
      <c r="Y23" s="149" t="inlineStr">
        <is>
          <t>Yes</t>
        </is>
      </c>
      <c r="Z23" s="149" t="inlineStr">
        <is>
          <t>Motor drive + tendon transmission</t>
        </is>
      </c>
      <c r="AA23" s="149" t="inlineStr">
        <is>
          <t>Not disclosed</t>
        </is>
      </c>
      <c r="AB23" s="149" t="inlineStr">
        <is>
          <t>19 DOF · 5 fingers · 5 kg class strength · Tactile/force sensing · Motor drive + tendon transmission</t>
        </is>
      </c>
      <c r="AC23" s="149" t="inlineStr">
        <is>
          <t>Dexterous manipulation</t>
        </is>
      </c>
      <c r="AD23" s="195" t="inlineStr">
        <is>
          <t>In production</t>
        </is>
      </c>
      <c r="AE23" s="145" t="inlineStr">
        <is>
          <t>In production</t>
        </is>
      </c>
      <c r="AF23" s="149" t="n"/>
      <c r="AG23" s="149" t="inlineStr">
        <is>
          <t>12 months manufacturer standard (typical dexterous-hand component)</t>
        </is>
      </c>
      <c r="AH23" s="145" t="n">
        <v>12</v>
      </c>
      <c r="AI23" s="149" t="inlineStr">
        <is>
          <t>+3 Year Extended ≈24% of configuration (default in configurator)</t>
        </is>
      </c>
      <c r="AJ23" s="145" t="inlineStr">
        <is>
          <t>End-effector category norm 2025–2026</t>
        </is>
      </c>
      <c r="AK23" s="145" t="inlineStr">
        <is>
          <t>Estimated</t>
        </is>
      </c>
      <c r="AL23" s="149" t="inlineStr">
        <is>
          <t>Skins, tendons, and tactile covers often wear items — confirm on OEM quote.</t>
        </is>
      </c>
      <c r="AM23" s="145" t="inlineStr">
        <is>
          <t>10%</t>
        </is>
      </c>
      <c r="AN23" s="145" t="inlineStr">
        <is>
          <t>17%</t>
        </is>
      </c>
      <c r="AO23" s="145" t="inlineStr">
        <is>
          <t>24%</t>
        </is>
      </c>
      <c r="AP23" s="149" t="inlineStr">
        <is>
          <t>+1yr ≈10% | +2yr ≈17% | +3yr ≈24% of selected configuration price.</t>
        </is>
      </c>
      <c r="AQ23" s="149" t="inlineStr">
        <is>
          <t>Profitable schedule (Aug 2026): +1yr ≈10% / +2yr ≈17% / +3yr ≈24% of configuration price. Calibrated for ~45–55% gross margin after expected robotics claim incidence (~10–14%/yr of covered units), avg claim cost ~25–30% of config, and admin 10–15% of premium.</t>
        </is>
      </c>
      <c r="AR23" s="101" t="inlineStr">
        <is>
          <t>[DexRobot] DexHand021 (2025)</t>
        </is>
      </c>
    </row>
    <row r="24" ht="33.75" customHeight="1" s="102">
      <c r="A24" s="159" t="inlineStr">
        <is>
          <t>hand_bionicsofthand</t>
        </is>
      </c>
      <c r="B24" s="153" t="inlineStr">
        <is>
          <t>Humanoid.guide</t>
        </is>
      </c>
      <c r="C24" s="152" t="inlineStr">
        <is>
          <t>Festo SE &amp; Co. KG</t>
        </is>
      </c>
      <c r="D24" s="152" t="inlineStr">
        <is>
          <t>BionicSoftHand</t>
        </is>
      </c>
      <c r="E24" s="163" t="inlineStr">
        <is>
          <t>hand</t>
        </is>
      </c>
      <c r="F24" s="152" t="inlineStr">
        <is>
          <t>Germany</t>
        </is>
      </c>
      <c r="G24" s="152" t="n">
        <v>2025</v>
      </c>
      <c r="H24" s="155" t="n">
        <v>9800</v>
      </c>
      <c r="I24" s="152" t="inlineStr">
        <is>
          <t>Humanoid.guide list</t>
        </is>
      </c>
      <c r="J24" s="156" t="inlineStr">
        <is>
          <t>BionicSoftHand — a soft, pneumatic robotic hand by Festo that uses flexible bellows and intelligent control to deliver human-like, adaptive gripping and safe manipulation for robots in varied environments.</t>
        </is>
      </c>
      <c r="K24" s="101" t="inlineStr">
        <is>
          <t>BionicSoftHand — a soft, pneumatic robotic hand by Festo that uses flexible bellows and intelligent control to deliver human-like, adaptive gripping and safe manipulation for robots in varied environments.</t>
        </is>
      </c>
      <c r="L24" s="101" t="inlineStr">
        <is>
          <t>BionicSoftHand — a soft, pneumatic robotic hand by Festo that uses flexible bellows and intelligent control to deliver human-like, adaptive gripping and safe manipulation for robots in varied environments. Public status is listed as in production, and it is positioned for prosthetic / bionic.</t>
        </is>
      </c>
      <c r="M24" s="101" t="inlineStr">
        <is>
          <t>Origin &amp; status — Germany · In production · 2025 | Performance — 12 DOF · 5 (5 per hand) fingers · Payload 8.82 lb · Strength 4 kg | Sensing — Yes | Buying notes — $9,800 · 12 months manufacturer standard (typical dexterous-hand component) · Best fit: Prosthetic / bionic</t>
        </is>
      </c>
      <c r="N24" s="157" t="inlineStr">
        <is>
          <t>https://humanoid.guide/product/bionicsofthand/</t>
        </is>
      </c>
      <c r="O24" s="157" t="inlineStr">
        <is>
          <t>https://www.festo.com</t>
        </is>
      </c>
      <c r="P24" s="196" t="n">
        <v>2.85</v>
      </c>
      <c r="Q24" s="196" t="n">
        <v>1.295</v>
      </c>
      <c r="R24" s="156" t="inlineStr">
        <is>
          <t>human-hand sized</t>
        </is>
      </c>
      <c r="S24" s="152" t="inlineStr">
        <is>
          <t>Not disclosed</t>
        </is>
      </c>
      <c r="T24" s="152" t="inlineStr">
        <is>
          <t>12</t>
        </is>
      </c>
      <c r="U24" s="156" t="inlineStr">
        <is>
          <t>5 (5 per hand)</t>
        </is>
      </c>
      <c r="V24" s="196" t="n">
        <v>8.82</v>
      </c>
      <c r="W24" s="196" t="n">
        <v>4</v>
      </c>
      <c r="X24" s="161" t="inlineStr">
        <is>
          <t>Yes</t>
        </is>
      </c>
      <c r="Y24" s="156" t="inlineStr">
        <is>
          <t>Yes</t>
        </is>
      </c>
      <c r="Z24" s="156" t="inlineStr">
        <is>
          <t>Pneumatic actuation (air-chamber bellows in fingers + pneumatic swivel modules), controlled by compact valve terminal using proportional piezo valves</t>
        </is>
      </c>
      <c r="AA24" s="156" t="inlineStr">
        <is>
          <t>Flexible 3D-textile knit cover (elastic, high-strength synthetic fiber) for finger bellows; silicone/elastic outer “skin”; internal elastomer bellows; synthetic materials for wrist/control housing</t>
        </is>
      </c>
      <c r="AB24" s="156" t="inlineStr">
        <is>
          <t>12 DOF · 5 fingers · 4 kg class strength · Tactile/force sensing · Pneumatic actuation (air-chamber bellows in fingers + pneumatic swivel modules), contro… · 1.295 kg</t>
        </is>
      </c>
      <c r="AC24" s="156" t="inlineStr">
        <is>
          <t>Prosthetic / bionic</t>
        </is>
      </c>
      <c r="AD24" s="195" t="inlineStr">
        <is>
          <t>In production</t>
        </is>
      </c>
      <c r="AE24" s="152" t="inlineStr">
        <is>
          <t>In production</t>
        </is>
      </c>
      <c r="AF24" s="156" t="n"/>
      <c r="AG24" s="156" t="inlineStr">
        <is>
          <t>12 months manufacturer standard (typical dexterous-hand component)</t>
        </is>
      </c>
      <c r="AH24" s="152" t="n">
        <v>12</v>
      </c>
      <c r="AI24" s="156" t="inlineStr">
        <is>
          <t>+3 Year Extended ≈24% of configuration (default in configurator)</t>
        </is>
      </c>
      <c r="AJ24" s="152" t="inlineStr">
        <is>
          <t>End-effector category norm 2025–2026</t>
        </is>
      </c>
      <c r="AK24" s="152" t="inlineStr">
        <is>
          <t>Estimated</t>
        </is>
      </c>
      <c r="AL24" s="156" t="inlineStr">
        <is>
          <t>Skins, tendons, and tactile covers often wear items — confirm on OEM quote.</t>
        </is>
      </c>
      <c r="AM24" s="152" t="inlineStr">
        <is>
          <t>10%</t>
        </is>
      </c>
      <c r="AN24" s="152" t="inlineStr">
        <is>
          <t>17%</t>
        </is>
      </c>
      <c r="AO24" s="152" t="inlineStr">
        <is>
          <t>24%</t>
        </is>
      </c>
      <c r="AP24" s="156" t="inlineStr">
        <is>
          <t>+1yr ≈10% | +2yr ≈17% | +3yr ≈24% of selected configuration price.</t>
        </is>
      </c>
      <c r="AQ24" s="156" t="inlineStr">
        <is>
          <t>Profitable schedule (Aug 2026): +1yr ≈10% / +2yr ≈17% / +3yr ≈24% of configuration price. Calibrated for ~45–55% gross margin after expected robotics claim incidence (~10–14%/yr of covered units), avg claim cost ~25–30% of config, and admin 10–15% of premium.</t>
        </is>
      </c>
      <c r="AR24" s="101" t="inlineStr">
        <is>
          <t>[Festo SE &amp; Co. KG] BionicSoftHand (2025)</t>
        </is>
      </c>
    </row>
    <row r="25" ht="33.75" customHeight="1" s="102">
      <c r="A25" s="143" t="inlineStr">
        <is>
          <t>hand_hw1</t>
        </is>
      </c>
      <c r="B25" s="153" t="inlineStr">
        <is>
          <t>Humanoid.guide</t>
        </is>
      </c>
      <c r="C25" s="145" t="inlineStr">
        <is>
          <t>Gesture Platforms</t>
        </is>
      </c>
      <c r="D25" s="145" t="inlineStr">
        <is>
          <t>HW1</t>
        </is>
      </c>
      <c r="E25" s="163" t="inlineStr">
        <is>
          <t>hand</t>
        </is>
      </c>
      <c r="F25" s="145" t="inlineStr">
        <is>
          <t>Canada</t>
        </is>
      </c>
      <c r="G25" s="145" t="n">
        <v>2026</v>
      </c>
      <c r="H25" s="148" t="n">
        <v>1399</v>
      </c>
      <c r="I25" s="145" t="inlineStr">
        <is>
          <t>Humanoid.guide list</t>
        </is>
      </c>
      <c r="J25" s="149" t="inlineStr">
        <is>
          <t>The HW1 is a lightweight humanoid robotic hand and wrist designed for research, automation, teleoperation, and creative robotics projects.</t>
        </is>
      </c>
      <c r="K25" s="101" t="inlineStr">
        <is>
          <t>The HW1 is a lightweight humanoid robotic hand and wrist designed for research, automation, teleoperation, and creative robotics projects.</t>
        </is>
      </c>
      <c r="L25" s="101" t="inlineStr">
        <is>
          <t>The HW1 is a lightweight humanoid robotic hand and wrist designed for research, automation, teleoperation, and creative robotics projects. Public status is listed as prototype, and it is positioned for humanoid OEM; Research / teleoperation.</t>
        </is>
      </c>
      <c r="M25" s="101" t="inlineStr">
        <is>
          <t>Origin &amp; status — Canada · Prototype · 2026 | Performance — 10 DOF · 5 fingers · Payload 6.61 lb · Strength 3 kg | Sensing — Yes | Buying notes — $1,399 · 12 months manufacturer standard (typical dexterous-hand component) · Best fit: Humanoid OEM; Research / teleoperation</t>
        </is>
      </c>
      <c r="N25" s="150" t="inlineStr">
        <is>
          <t>https://humanoid.guide/product/hw1/</t>
        </is>
      </c>
      <c r="O25" s="150" t="inlineStr">
        <is>
          <t>https://gestureplatforms.com/</t>
        </is>
      </c>
      <c r="P25" s="194" t="n">
        <v>1.05</v>
      </c>
      <c r="Q25" s="194" t="n">
        <v>0.475</v>
      </c>
      <c r="R25" s="149" t="inlineStr">
        <is>
          <t>Not disclosed</t>
        </is>
      </c>
      <c r="S25" s="145" t="inlineStr">
        <is>
          <t>Not disclosed</t>
        </is>
      </c>
      <c r="T25" s="145" t="inlineStr">
        <is>
          <t>10</t>
        </is>
      </c>
      <c r="U25" s="149" t="inlineStr">
        <is>
          <t>5</t>
        </is>
      </c>
      <c r="V25" s="194" t="n">
        <v>6.61</v>
      </c>
      <c r="W25" s="194" t="n">
        <v>3</v>
      </c>
      <c r="X25" s="161" t="inlineStr">
        <is>
          <t>Yes</t>
        </is>
      </c>
      <c r="Y25" s="149" t="inlineStr">
        <is>
          <t>Yes</t>
        </is>
      </c>
      <c r="Z25" s="149" t="inlineStr">
        <is>
          <t>Direct-drive and tendon-driven actuation</t>
        </is>
      </c>
      <c r="AA25" s="149" t="inlineStr">
        <is>
          <t>3D-printed composite and metal hardware</t>
        </is>
      </c>
      <c r="AB25" s="149" t="inlineStr">
        <is>
          <t>10 DOF · 5 fingers · 3 kg class strength · Tactile/force sensing · Direct-drive and tendon-driven actuation · 0.475 kg</t>
        </is>
      </c>
      <c r="AC25" s="149" t="inlineStr">
        <is>
          <t>Humanoid OEM; Research / teleoperation</t>
        </is>
      </c>
      <c r="AD25" s="197" t="inlineStr">
        <is>
          <t>Prototype</t>
        </is>
      </c>
      <c r="AE25" s="145" t="inlineStr">
        <is>
          <t>Prototype</t>
        </is>
      </c>
      <c r="AF25" s="149" t="n"/>
      <c r="AG25" s="149" t="inlineStr">
        <is>
          <t>12 months manufacturer standard (typical dexterous-hand component)</t>
        </is>
      </c>
      <c r="AH25" s="145" t="n">
        <v>12</v>
      </c>
      <c r="AI25" s="149" t="inlineStr">
        <is>
          <t>+3 Year Extended ≈24% of configuration (default in configurator)</t>
        </is>
      </c>
      <c r="AJ25" s="145" t="inlineStr">
        <is>
          <t>End-effector category norm 2025–2026</t>
        </is>
      </c>
      <c r="AK25" s="145" t="inlineStr">
        <is>
          <t>Estimated</t>
        </is>
      </c>
      <c r="AL25" s="149" t="inlineStr">
        <is>
          <t>Skins, tendons, and tactile covers often wear items — confirm on OEM quote.</t>
        </is>
      </c>
      <c r="AM25" s="145" t="inlineStr">
        <is>
          <t>10%</t>
        </is>
      </c>
      <c r="AN25" s="145" t="inlineStr">
        <is>
          <t>17%</t>
        </is>
      </c>
      <c r="AO25" s="145" t="inlineStr">
        <is>
          <t>24%</t>
        </is>
      </c>
      <c r="AP25" s="149" t="inlineStr">
        <is>
          <t>+1yr ≈10% | +2yr ≈17% | +3yr ≈24% of selected configuration price.</t>
        </is>
      </c>
      <c r="AQ25" s="149" t="inlineStr">
        <is>
          <t>Profitable schedule (Aug 2026): +1yr ≈10% / +2yr ≈17% / +3yr ≈24% of configuration price. Calibrated for ~45–55% gross margin after expected robotics claim incidence (~10–14%/yr of covered units), avg claim cost ~25–30% of config, and admin 10–15% of premium.</t>
        </is>
      </c>
      <c r="AR25" s="101" t="inlineStr">
        <is>
          <t>[Gesture Platforms] HW1 (2026)</t>
        </is>
      </c>
    </row>
    <row r="26" ht="33.75" customHeight="1" s="102">
      <c r="A26" s="159" t="inlineStr">
        <is>
          <t>hand_fllex</t>
        </is>
      </c>
      <c r="B26" s="153" t="inlineStr">
        <is>
          <t>Humanoid.guide</t>
        </is>
      </c>
      <c r="C26" s="152" t="inlineStr">
        <is>
          <t>IRIM LAB KoreaTech</t>
        </is>
      </c>
      <c r="D26" s="152" t="inlineStr">
        <is>
          <t>FLLEX</t>
        </is>
      </c>
      <c r="E26" s="163" t="inlineStr">
        <is>
          <t>hand</t>
        </is>
      </c>
      <c r="F26" s="152" t="inlineStr">
        <is>
          <t>South Korea</t>
        </is>
      </c>
      <c r="G26" s="152" t="n">
        <v>2025</v>
      </c>
      <c r="H26" s="155" t="n">
        <v>33000</v>
      </c>
      <c r="I26" s="152" t="inlineStr">
        <is>
          <t>Humanoid.guide list</t>
        </is>
      </c>
      <c r="J26" s="156" t="inlineStr">
        <is>
          <t>FLLEX by IRIM LAB KoreaTech is a five-finger, 12-DOF humanoid hand with impact-absorbing actuators, BLDC motors, and precise finger control — built for research and industrial applications.</t>
        </is>
      </c>
      <c r="K26" s="101" t="inlineStr">
        <is>
          <t>FLLEX by IRIM LAB KoreaTech is a five-finger, 12-DOF humanoid hand with impact-absorbing actuators, BLDC motors, and precise finger control — built for research and industrial applications.</t>
        </is>
      </c>
      <c r="L26" s="101" t="inlineStr">
        <is>
          <t>FLLEX by IRIM LAB KoreaTech is a five-finger, 12-DOF humanoid hand with impact-absorbing actuators, BLDC motors, and precise finger control — built for research and industrial applications. Public status is listed as in production, and it is positioned for humanoid OEM; Research / teleoperation; Industrial manipulation.</t>
        </is>
      </c>
      <c r="M26" s="101" t="inlineStr">
        <is>
          <t>Origin &amp; status — South Korea · In production · 2025 | Performance — 12 DOF · 5 (5 per hand) fingers · Payload 3.31 lb · Strength 1.5 kg | Sensing — No | Buying notes — $33,000 · 12 months manufacturer standard (typical dexterous-hand component) · Best fit: Humanoid OEM; Research / teleoperation; Industrial manipulation</t>
        </is>
      </c>
      <c r="N26" s="157" t="inlineStr">
        <is>
          <t>https://humanoid.guide/product/fllex/</t>
        </is>
      </c>
      <c r="O26" s="157" t="inlineStr">
        <is>
          <t>https://www.koreatech.ac.kr/</t>
        </is>
      </c>
      <c r="P26" s="152" t="inlineStr">
        <is>
          <t>Not disclosed</t>
        </is>
      </c>
      <c r="Q26" s="152" t="n"/>
      <c r="R26" s="156" t="inlineStr">
        <is>
          <t>Not disclosed</t>
        </is>
      </c>
      <c r="S26" s="152" t="inlineStr">
        <is>
          <t>Not disclosed</t>
        </is>
      </c>
      <c r="T26" s="152" t="inlineStr">
        <is>
          <t>12</t>
        </is>
      </c>
      <c r="U26" s="156" t="inlineStr">
        <is>
          <t>5 (5 per hand)</t>
        </is>
      </c>
      <c r="V26" s="196" t="n">
        <v>3.31</v>
      </c>
      <c r="W26" s="196" t="n">
        <v>1.5</v>
      </c>
      <c r="X26" s="162" t="inlineStr">
        <is>
          <t>No</t>
        </is>
      </c>
      <c r="Y26" s="156" t="inlineStr">
        <is>
          <t>No</t>
        </is>
      </c>
      <c r="Z26" s="156" t="inlineStr">
        <is>
          <t>BLDC motors with ball-screw actuators</t>
        </is>
      </c>
      <c r="AA26" s="156" t="inlineStr">
        <is>
          <t>Lightweight engineering plastics and aluminum alloy</t>
        </is>
      </c>
      <c r="AB26" s="156" t="inlineStr">
        <is>
          <t>12 DOF · 5 fingers · 1.5 kg class strength · No tactile array published · BLDC motors with ball-screw actuators</t>
        </is>
      </c>
      <c r="AC26" s="156" t="inlineStr">
        <is>
          <t>Humanoid OEM; Research / teleoperation; Industrial manipulation</t>
        </is>
      </c>
      <c r="AD26" s="195" t="inlineStr">
        <is>
          <t>In production</t>
        </is>
      </c>
      <c r="AE26" s="152" t="inlineStr">
        <is>
          <t>In production</t>
        </is>
      </c>
      <c r="AF26" s="156" t="n"/>
      <c r="AG26" s="156" t="inlineStr">
        <is>
          <t>12 months manufacturer standard (typical dexterous-hand component)</t>
        </is>
      </c>
      <c r="AH26" s="152" t="n">
        <v>12</v>
      </c>
      <c r="AI26" s="156" t="inlineStr">
        <is>
          <t>+3 Year Extended ≈24% of configuration (default in configurator)</t>
        </is>
      </c>
      <c r="AJ26" s="152" t="inlineStr">
        <is>
          <t>End-effector category norm 2025–2026</t>
        </is>
      </c>
      <c r="AK26" s="152" t="inlineStr">
        <is>
          <t>Estimated</t>
        </is>
      </c>
      <c r="AL26" s="156" t="inlineStr">
        <is>
          <t>Skins, tendons, and tactile covers often wear items — confirm on OEM quote.</t>
        </is>
      </c>
      <c r="AM26" s="152" t="inlineStr">
        <is>
          <t>10%</t>
        </is>
      </c>
      <c r="AN26" s="152" t="inlineStr">
        <is>
          <t>17%</t>
        </is>
      </c>
      <c r="AO26" s="152" t="inlineStr">
        <is>
          <t>24%</t>
        </is>
      </c>
      <c r="AP26" s="156" t="inlineStr">
        <is>
          <t>+1yr ≈10% | +2yr ≈17% | +3yr ≈24% of selected configuration price.</t>
        </is>
      </c>
      <c r="AQ26" s="156" t="inlineStr">
        <is>
          <t>Profitable schedule (Aug 2026): +1yr ≈10% / +2yr ≈17% / +3yr ≈24% of configuration price. Calibrated for ~45–55% gross margin after expected robotics claim incidence (~10–14%/yr of covered units), avg claim cost ~25–30% of config, and admin 10–15% of premium.</t>
        </is>
      </c>
      <c r="AR26" s="101" t="inlineStr">
        <is>
          <t>[IRIM LAB KoreaTech] FLLEX (2025)</t>
        </is>
      </c>
    </row>
    <row r="27" ht="33.75" customHeight="1" s="102">
      <c r="A27" s="143" t="inlineStr">
        <is>
          <t>hand_kyber_labs_hand</t>
        </is>
      </c>
      <c r="B27" s="153" t="inlineStr">
        <is>
          <t>Humanoid.guide</t>
        </is>
      </c>
      <c r="C27" s="145" t="inlineStr">
        <is>
          <t>Kyber Labs</t>
        </is>
      </c>
      <c r="D27" s="145" t="inlineStr">
        <is>
          <t>Kyber Labs Hand</t>
        </is>
      </c>
      <c r="E27" s="163" t="inlineStr">
        <is>
          <t>hand</t>
        </is>
      </c>
      <c r="F27" s="145" t="inlineStr">
        <is>
          <t>USA</t>
        </is>
      </c>
      <c r="G27" s="145" t="n">
        <v>2025</v>
      </c>
      <c r="H27" s="148" t="n">
        <v>1000</v>
      </c>
      <c r="I27" s="145" t="inlineStr">
        <is>
          <t>Humanoid.guide list</t>
        </is>
      </c>
      <c r="J27" s="149" t="inlineStr">
        <is>
          <t>[Kyber Labs] Kyber Labs Hand (2025) is a dexterous hand from Kyber Labs (USA, 2025), positioned for research.</t>
        </is>
      </c>
      <c r="K27" s="101" t="inlineStr">
        <is>
          <t>[Kyber Labs] Kyber Labs Hand (2025) is a dexterous hand from Kyber Labs (USA, 2025), positioned for research.</t>
        </is>
      </c>
      <c r="L27" s="101" t="inlineStr">
        <is>
          <t>Kyber Labs Hand is Kyber Labs's dexterous hand, introduced around 2025 in USA. [Kyber Labs] Kyber Labs Hand (2025) is a dexterous hand from Kyber Labs (USA, 2025), positioned for research. Public status is listed as in production, and it is positioned for research / teleoperation.</t>
        </is>
      </c>
      <c r="M27" s="101" t="inlineStr">
        <is>
          <t>Origin &amp; status — USA · In production · 2025 | Performance — 20 DOF · 5 (5 per hand) fingers · Payload 13.23 lb · Strength 6 kg | Sensing — No | Buying notes — $1,000 · 12 months manufacturer standard (typical dexterous-hand component) · Best fit: Research / teleoperation</t>
        </is>
      </c>
      <c r="N27" s="150" t="inlineStr">
        <is>
          <t>https://humanoid.guide/product/kyber-labs-hand/</t>
        </is>
      </c>
      <c r="O27" s="150" t="inlineStr">
        <is>
          <t>https://kyberlabs.ai/</t>
        </is>
      </c>
      <c r="P27" s="145" t="inlineStr">
        <is>
          <t>Not disclosed</t>
        </is>
      </c>
      <c r="Q27" s="145" t="n"/>
      <c r="R27" s="149" t="inlineStr">
        <is>
          <t>human-hand sized</t>
        </is>
      </c>
      <c r="S27" s="145" t="inlineStr">
        <is>
          <t>Not disclosed</t>
        </is>
      </c>
      <c r="T27" s="145" t="inlineStr">
        <is>
          <t>20</t>
        </is>
      </c>
      <c r="U27" s="149" t="inlineStr">
        <is>
          <t>5 (5 per hand)</t>
        </is>
      </c>
      <c r="V27" s="194" t="n">
        <v>13.23</v>
      </c>
      <c r="W27" s="194" t="n">
        <v>6</v>
      </c>
      <c r="X27" s="162" t="inlineStr">
        <is>
          <t>No</t>
        </is>
      </c>
      <c r="Y27" s="149" t="inlineStr">
        <is>
          <t>No</t>
        </is>
      </c>
      <c r="Z27" s="149" t="inlineStr">
        <is>
          <t>Uses backdrivable actuators with tendon-driven joints; motors reside in the forearm for heat dissipation and robustness</t>
        </is>
      </c>
      <c r="AA27" s="149" t="inlineStr">
        <is>
          <t>Not disclosed</t>
        </is>
      </c>
      <c r="AB27" s="149" t="inlineStr">
        <is>
          <t>20 DOF · 5 fingers · 6 kg class strength · No tactile array published · Uses backdrivable actuators with tendon-driven joints; motors reside in the forearm for…</t>
        </is>
      </c>
      <c r="AC27" s="149" t="inlineStr">
        <is>
          <t>Research / teleoperation</t>
        </is>
      </c>
      <c r="AD27" s="195" t="inlineStr">
        <is>
          <t>In production</t>
        </is>
      </c>
      <c r="AE27" s="145" t="inlineStr">
        <is>
          <t>In production</t>
        </is>
      </c>
      <c r="AF27" s="149" t="n"/>
      <c r="AG27" s="149" t="inlineStr">
        <is>
          <t>12 months manufacturer standard (typical dexterous-hand component)</t>
        </is>
      </c>
      <c r="AH27" s="145" t="n">
        <v>12</v>
      </c>
      <c r="AI27" s="149" t="inlineStr">
        <is>
          <t>+3 Year Extended ≈24% of configuration (default in configurator)</t>
        </is>
      </c>
      <c r="AJ27" s="145" t="inlineStr">
        <is>
          <t>End-effector category norm 2025–2026</t>
        </is>
      </c>
      <c r="AK27" s="145" t="inlineStr">
        <is>
          <t>Estimated</t>
        </is>
      </c>
      <c r="AL27" s="149" t="inlineStr">
        <is>
          <t>Skins, tendons, and tactile covers often wear items — confirm on OEM quote.</t>
        </is>
      </c>
      <c r="AM27" s="145" t="inlineStr">
        <is>
          <t>10%</t>
        </is>
      </c>
      <c r="AN27" s="145" t="inlineStr">
        <is>
          <t>17%</t>
        </is>
      </c>
      <c r="AO27" s="145" t="inlineStr">
        <is>
          <t>24%</t>
        </is>
      </c>
      <c r="AP27" s="149" t="inlineStr">
        <is>
          <t>+1yr ≈10% | +2yr ≈17% | +3yr ≈24% of selected configuration price.</t>
        </is>
      </c>
      <c r="AQ27" s="149" t="inlineStr">
        <is>
          <t>Profitable schedule (Aug 2026): +1yr ≈10% / +2yr ≈17% / +3yr ≈24% of configuration price. Calibrated for ~45–55% gross margin after expected robotics claim incidence (~10–14%/yr of covered units), avg claim cost ~25–30% of config, and admin 10–15% of premium.</t>
        </is>
      </c>
      <c r="AR27" s="101" t="inlineStr">
        <is>
          <t>[Kyber Labs] Kyber Labs Hand (2025)</t>
        </is>
      </c>
    </row>
    <row r="28" ht="33.75" customHeight="1" s="102">
      <c r="A28" s="159" t="inlineStr">
        <is>
          <t>hand_dh2015</t>
        </is>
      </c>
      <c r="B28" s="153" t="inlineStr">
        <is>
          <t>Humanoid.guide</t>
        </is>
      </c>
      <c r="C28" s="152" t="inlineStr">
        <is>
          <t>Leadshine</t>
        </is>
      </c>
      <c r="D28" s="152" t="inlineStr">
        <is>
          <t>DH2015</t>
        </is>
      </c>
      <c r="E28" s="163" t="inlineStr">
        <is>
          <t>hand</t>
        </is>
      </c>
      <c r="F28" s="152" t="inlineStr">
        <is>
          <t>China</t>
        </is>
      </c>
      <c r="G28" s="152" t="n">
        <v>2015</v>
      </c>
      <c r="H28" s="155" t="n">
        <v>12500</v>
      </c>
      <c r="I28" s="152" t="inlineStr">
        <is>
          <t>Humanoid.guide list</t>
        </is>
      </c>
      <c r="J28" s="156" t="inlineStr">
        <is>
          <t>A lightweight and dexterous robotic hand with human-like motion, designed for precise manipulation and reliable performance in advanced robotics applications.</t>
        </is>
      </c>
      <c r="K28" s="101" t="inlineStr">
        <is>
          <t>A lightweight and dexterous robotic hand with human-like motion, designed for precise manipulation and reliable performance in advanced robotics applications.</t>
        </is>
      </c>
      <c r="L28" s="101" t="inlineStr">
        <is>
          <t>DH2015 is Leadshine's dexterous hand, introduced around 2015 in China. A lightweight and dexterous robotic hand with human-like motion, designed for precise manipulation and reliable performance in advanced robotics applications. Public status is listed as in production, and it is positioned for dexterous manipulation.</t>
        </is>
      </c>
      <c r="M28" s="101" t="inlineStr">
        <is>
          <t>Origin &amp; status — China · In production · 2015 | Performance — 15 DOF · 5 fingers · Payload 55.12 lb · Strength 25 kg | Sensing — Yes | Buying notes — $12,500 · 12 months manufacturer standard (typical dexterous-hand component) · Best fit: Dexterous manipulation</t>
        </is>
      </c>
      <c r="N28" s="157" t="inlineStr">
        <is>
          <t>https://humanoid.guide/product/dh2015/</t>
        </is>
      </c>
      <c r="O28" s="157" t="inlineStr">
        <is>
          <t>https://www.leadshine.com/</t>
        </is>
      </c>
      <c r="P28" s="196" t="n">
        <v>1.32</v>
      </c>
      <c r="Q28" s="196" t="n">
        <v>0.6</v>
      </c>
      <c r="R28" s="156" t="inlineStr">
        <is>
          <t>Not disclosed</t>
        </is>
      </c>
      <c r="S28" s="152" t="inlineStr">
        <is>
          <t>Not disclosed</t>
        </is>
      </c>
      <c r="T28" s="152" t="inlineStr">
        <is>
          <t>15</t>
        </is>
      </c>
      <c r="U28" s="156" t="inlineStr">
        <is>
          <t>5</t>
        </is>
      </c>
      <c r="V28" s="196" t="n">
        <v>55.12</v>
      </c>
      <c r="W28" s="196" t="n">
        <v>25</v>
      </c>
      <c r="X28" s="161" t="inlineStr">
        <is>
          <t>Yes</t>
        </is>
      </c>
      <c r="Y28" s="156" t="inlineStr">
        <is>
          <t>Yes</t>
        </is>
      </c>
      <c r="Z28" s="156" t="inlineStr">
        <is>
          <t>Coreless + Linkage</t>
        </is>
      </c>
      <c r="AA28" s="156" t="inlineStr">
        <is>
          <t>Not disclosed</t>
        </is>
      </c>
      <c r="AB28" s="156" t="inlineStr">
        <is>
          <t>15 DOF · 5 fingers · 25 kg class strength · Tactile/force sensing · Coreless + Linkage · 0.6 kg</t>
        </is>
      </c>
      <c r="AC28" s="156" t="inlineStr">
        <is>
          <t>Dexterous manipulation</t>
        </is>
      </c>
      <c r="AD28" s="195" t="inlineStr">
        <is>
          <t>In production</t>
        </is>
      </c>
      <c r="AE28" s="152" t="inlineStr">
        <is>
          <t>In production</t>
        </is>
      </c>
      <c r="AF28" s="156" t="n"/>
      <c r="AG28" s="156" t="inlineStr">
        <is>
          <t>12 months manufacturer standard (typical dexterous-hand component)</t>
        </is>
      </c>
      <c r="AH28" s="152" t="n">
        <v>12</v>
      </c>
      <c r="AI28" s="156" t="inlineStr">
        <is>
          <t>+3 Year Extended ≈24% of configuration (default in configurator)</t>
        </is>
      </c>
      <c r="AJ28" s="152" t="inlineStr">
        <is>
          <t>End-effector category norm 2025–2026</t>
        </is>
      </c>
      <c r="AK28" s="152" t="inlineStr">
        <is>
          <t>Estimated</t>
        </is>
      </c>
      <c r="AL28" s="156" t="inlineStr">
        <is>
          <t>Skins, tendons, and tactile covers often wear items — confirm on OEM quote.</t>
        </is>
      </c>
      <c r="AM28" s="152" t="inlineStr">
        <is>
          <t>10%</t>
        </is>
      </c>
      <c r="AN28" s="152" t="inlineStr">
        <is>
          <t>17%</t>
        </is>
      </c>
      <c r="AO28" s="152" t="inlineStr">
        <is>
          <t>24%</t>
        </is>
      </c>
      <c r="AP28" s="156" t="inlineStr">
        <is>
          <t>+1yr ≈10% | +2yr ≈17% | +3yr ≈24% of selected configuration price.</t>
        </is>
      </c>
      <c r="AQ28" s="156" t="inlineStr">
        <is>
          <t>Profitable schedule (Aug 2026): +1yr ≈10% / +2yr ≈17% / +3yr ≈24% of configuration price. Calibrated for ~45–55% gross margin after expected robotics claim incidence (~10–14%/yr of covered units), avg claim cost ~25–30% of config, and admin 10–15% of premium.</t>
        </is>
      </c>
      <c r="AR28" s="101" t="inlineStr">
        <is>
          <t>[Leadshine] DH2015 (2015)</t>
        </is>
      </c>
    </row>
    <row r="29" ht="33.75" customHeight="1" s="102">
      <c r="A29" s="143" t="inlineStr">
        <is>
          <t>hand_linker_l30</t>
        </is>
      </c>
      <c r="B29" s="153" t="inlineStr">
        <is>
          <t>Humanoid.guide</t>
        </is>
      </c>
      <c r="C29" s="145" t="inlineStr">
        <is>
          <t>LINKERBOT</t>
        </is>
      </c>
      <c r="D29" s="145" t="inlineStr">
        <is>
          <t>Linker L30</t>
        </is>
      </c>
      <c r="E29" s="163" t="inlineStr">
        <is>
          <t>hand</t>
        </is>
      </c>
      <c r="F29" s="145" t="inlineStr">
        <is>
          <t>China</t>
        </is>
      </c>
      <c r="G29" s="145" t="n">
        <v>2026</v>
      </c>
      <c r="H29" s="148" t="n">
        <v>14500</v>
      </c>
      <c r="I29" s="145" t="inlineStr">
        <is>
          <t>Humanoid.guide list</t>
        </is>
      </c>
      <c r="J29" s="149" t="inlineStr">
        <is>
          <t>The Linker L30 is a high-dexterity, tendon-driven robotic hand with human-like motion, built for precise manipulation, flexible integration, and advanced robotics applications.</t>
        </is>
      </c>
      <c r="K29" s="101" t="inlineStr">
        <is>
          <t>The Linker L30 is a high-dexterity, tendon-driven robotic hand with human-like motion, built for precise manipulation, flexible integration, and advanced robotics applications.</t>
        </is>
      </c>
      <c r="L29" s="101" t="inlineStr">
        <is>
          <t>The Linker L30 is a high-dexterity, tendon-driven robotic hand with human-like motion, built for precise manipulation, flexible integration, and advanced robotics applications. Public status is listed as in production, and it is positioned for dexterous manipulation.</t>
        </is>
      </c>
      <c r="M29" s="101" t="inlineStr">
        <is>
          <t>Origin &amp; status — China · In production · 2026 | Performance — 25 DOF · 5 fingers · Payload 17.64 lb · Strength 8 kg | Sensing — Yes | Buying notes — $14,500 · 12 months manufacturer standard (typical dexterous-hand component) · Best fit: Dexterous manipulation</t>
        </is>
      </c>
      <c r="N29" s="150" t="inlineStr">
        <is>
          <t>https://humanoid.guide/product/linker-l30/</t>
        </is>
      </c>
      <c r="O29" s="150" t="inlineStr">
        <is>
          <t>https://www.linkerbot.cn/</t>
        </is>
      </c>
      <c r="P29" s="194" t="n">
        <v>2.87</v>
      </c>
      <c r="Q29" s="194" t="n">
        <v>1.3</v>
      </c>
      <c r="R29" s="149" t="inlineStr">
        <is>
          <t>230 x 90 x 50 mm</t>
        </is>
      </c>
      <c r="S29" s="145" t="inlineStr">
        <is>
          <t>9.06 × 3.54 × 1.97 in</t>
        </is>
      </c>
      <c r="T29" s="145" t="inlineStr">
        <is>
          <t>25</t>
        </is>
      </c>
      <c r="U29" s="149" t="inlineStr">
        <is>
          <t>5</t>
        </is>
      </c>
      <c r="V29" s="194" t="n">
        <v>17.64</v>
      </c>
      <c r="W29" s="194" t="n">
        <v>8</v>
      </c>
      <c r="X29" s="161" t="inlineStr">
        <is>
          <t>Yes</t>
        </is>
      </c>
      <c r="Y29" s="149" t="inlineStr">
        <is>
          <t>Yes</t>
        </is>
      </c>
      <c r="Z29" s="149" t="inlineStr">
        <is>
          <t>Tendon-driven (bionic cable actuation system)</t>
        </is>
      </c>
      <c r="AA29" s="149" t="inlineStr">
        <is>
          <t>Aluminum alloy + high-performance engineering polymers</t>
        </is>
      </c>
      <c r="AB29" s="149" t="inlineStr">
        <is>
          <t>25 DOF · 5 fingers · 8 kg class strength · Tactile/force sensing · Tendon-driven (bionic cable actuation system) · 1.3 kg</t>
        </is>
      </c>
      <c r="AC29" s="149" t="inlineStr">
        <is>
          <t>Dexterous manipulation</t>
        </is>
      </c>
      <c r="AD29" s="195" t="inlineStr">
        <is>
          <t>In production</t>
        </is>
      </c>
      <c r="AE29" s="145" t="inlineStr">
        <is>
          <t>In production</t>
        </is>
      </c>
      <c r="AF29" s="149" t="n"/>
      <c r="AG29" s="149" t="inlineStr">
        <is>
          <t>12 months manufacturer standard (typical dexterous-hand component)</t>
        </is>
      </c>
      <c r="AH29" s="145" t="n">
        <v>12</v>
      </c>
      <c r="AI29" s="149" t="inlineStr">
        <is>
          <t>+3 Year Extended ≈24% of configuration (default in configurator)</t>
        </is>
      </c>
      <c r="AJ29" s="145" t="inlineStr">
        <is>
          <t>End-effector category norm 2025–2026</t>
        </is>
      </c>
      <c r="AK29" s="145" t="inlineStr">
        <is>
          <t>Estimated</t>
        </is>
      </c>
      <c r="AL29" s="149" t="inlineStr">
        <is>
          <t>Skins, tendons, and tactile covers often wear items — confirm on OEM quote.</t>
        </is>
      </c>
      <c r="AM29" s="145" t="inlineStr">
        <is>
          <t>10%</t>
        </is>
      </c>
      <c r="AN29" s="145" t="inlineStr">
        <is>
          <t>17%</t>
        </is>
      </c>
      <c r="AO29" s="145" t="inlineStr">
        <is>
          <t>24%</t>
        </is>
      </c>
      <c r="AP29" s="149" t="inlineStr">
        <is>
          <t>+1yr ≈10% | +2yr ≈17% | +3yr ≈24% of selected configuration price.</t>
        </is>
      </c>
      <c r="AQ29" s="149" t="inlineStr">
        <is>
          <t>Profitable schedule (Aug 2026): +1yr ≈10% / +2yr ≈17% / +3yr ≈24% of configuration price. Calibrated for ~45–55% gross margin after expected robotics claim incidence (~10–14%/yr of covered units), avg claim cost ~25–30% of config, and admin 10–15% of premium.</t>
        </is>
      </c>
      <c r="AR29" s="101" t="inlineStr">
        <is>
          <t>[LINKERBOT] Linker L30 (2026)</t>
        </is>
      </c>
    </row>
    <row r="30" ht="33.75" customHeight="1" s="102">
      <c r="A30" s="159" t="inlineStr">
        <is>
          <t>hand_linker_o6</t>
        </is>
      </c>
      <c r="B30" s="153" t="inlineStr">
        <is>
          <t>Humanoid.guide</t>
        </is>
      </c>
      <c r="C30" s="152" t="inlineStr">
        <is>
          <t>LINKERBOT</t>
        </is>
      </c>
      <c r="D30" s="152" t="inlineStr">
        <is>
          <t>Linker O6</t>
        </is>
      </c>
      <c r="E30" s="163" t="inlineStr">
        <is>
          <t>hand</t>
        </is>
      </c>
      <c r="F30" s="152" t="inlineStr">
        <is>
          <t>China</t>
        </is>
      </c>
      <c r="G30" s="152" t="n">
        <v>2026</v>
      </c>
      <c r="H30" s="155" t="n">
        <v>1800</v>
      </c>
      <c r="I30" s="152" t="inlineStr">
        <is>
          <t>Humanoid.guide list</t>
        </is>
      </c>
      <c r="J30" s="156" t="inlineStr">
        <is>
          <t>The Linker O6 is a lightweight, five-finger robotic hand built for precise, adaptive grasping.</t>
        </is>
      </c>
      <c r="K30" s="101" t="inlineStr">
        <is>
          <t>The Linker O6 is a lightweight, five-finger robotic hand built for precise, adaptive grasping.</t>
        </is>
      </c>
      <c r="L30" s="101" t="inlineStr">
        <is>
          <t>The Linker O6 is a lightweight, five-finger robotic hand built for precise, adaptive grasping. Public status is listed as in production, and it is positioned for dexterous manipulation.</t>
        </is>
      </c>
      <c r="M30" s="101" t="inlineStr">
        <is>
          <t>Origin &amp; status — China · In production · 2026 | Performance — 6 DOF · 5 fingers · Payload 110.23 lb · Strength 50 kg | Sensing — Yes | Buying notes — $1,800 · 12 months manufacturer standard (typical dexterous-hand component) · Best fit: Dexterous manipulation</t>
        </is>
      </c>
      <c r="N30" s="157" t="inlineStr">
        <is>
          <t>https://humanoid.guide/product/linker-o6/</t>
        </is>
      </c>
      <c r="O30" s="157" t="inlineStr">
        <is>
          <t>https://www.linkerbot.cn/</t>
        </is>
      </c>
      <c r="P30" s="196" t="n">
        <v>0.82</v>
      </c>
      <c r="Q30" s="196" t="n">
        <v>0.37</v>
      </c>
      <c r="R30" s="156" t="inlineStr">
        <is>
          <t>177 × 76.5 × 40 mm</t>
        </is>
      </c>
      <c r="S30" s="152" t="inlineStr">
        <is>
          <t>6.97 × 3.01 × 1.57 in</t>
        </is>
      </c>
      <c r="T30" s="152" t="inlineStr">
        <is>
          <t>6</t>
        </is>
      </c>
      <c r="U30" s="156" t="inlineStr">
        <is>
          <t>5</t>
        </is>
      </c>
      <c r="V30" s="196" t="n">
        <v>110.23</v>
      </c>
      <c r="W30" s="196" t="n">
        <v>50</v>
      </c>
      <c r="X30" s="161" t="inlineStr">
        <is>
          <t>Yes</t>
        </is>
      </c>
      <c r="Y30" s="156" t="inlineStr">
        <is>
          <t>Yes</t>
        </is>
      </c>
      <c r="Z30" s="156" t="inlineStr">
        <is>
          <t>High-torque servo modules with worm gear transmission</t>
        </is>
      </c>
      <c r="AA30" s="156" t="inlineStr">
        <is>
          <t>Aluminum alloy + engineering polymers</t>
        </is>
      </c>
      <c r="AB30" s="156" t="inlineStr">
        <is>
          <t>6 DOF · 5 fingers · 50 kg class strength · Tactile/force sensing · High-torque servo modules with worm gear transmission · 0.37 kg</t>
        </is>
      </c>
      <c r="AC30" s="156" t="inlineStr">
        <is>
          <t>Dexterous manipulation</t>
        </is>
      </c>
      <c r="AD30" s="195" t="inlineStr">
        <is>
          <t>In production</t>
        </is>
      </c>
      <c r="AE30" s="152" t="inlineStr">
        <is>
          <t>In production</t>
        </is>
      </c>
      <c r="AF30" s="156" t="n"/>
      <c r="AG30" s="156" t="inlineStr">
        <is>
          <t>12 months manufacturer standard (typical dexterous-hand component)</t>
        </is>
      </c>
      <c r="AH30" s="152" t="n">
        <v>12</v>
      </c>
      <c r="AI30" s="156" t="inlineStr">
        <is>
          <t>+3 Year Extended ≈24% of configuration (default in configurator)</t>
        </is>
      </c>
      <c r="AJ30" s="152" t="inlineStr">
        <is>
          <t>End-effector category norm 2025–2026</t>
        </is>
      </c>
      <c r="AK30" s="152" t="inlineStr">
        <is>
          <t>Estimated</t>
        </is>
      </c>
      <c r="AL30" s="156" t="inlineStr">
        <is>
          <t>Skins, tendons, and tactile covers often wear items — confirm on OEM quote.</t>
        </is>
      </c>
      <c r="AM30" s="152" t="inlineStr">
        <is>
          <t>10%</t>
        </is>
      </c>
      <c r="AN30" s="152" t="inlineStr">
        <is>
          <t>17%</t>
        </is>
      </c>
      <c r="AO30" s="152" t="inlineStr">
        <is>
          <t>24%</t>
        </is>
      </c>
      <c r="AP30" s="156" t="inlineStr">
        <is>
          <t>+1yr ≈10% | +2yr ≈17% | +3yr ≈24% of selected configuration price.</t>
        </is>
      </c>
      <c r="AQ30" s="156" t="inlineStr">
        <is>
          <t>Profitable schedule (Aug 2026): +1yr ≈10% / +2yr ≈17% / +3yr ≈24% of configuration price. Calibrated for ~45–55% gross margin after expected robotics claim incidence (~10–14%/yr of covered units), avg claim cost ~25–30% of config, and admin 10–15% of premium.</t>
        </is>
      </c>
      <c r="AR30" s="101" t="inlineStr">
        <is>
          <t>[LINKERBOT] Linker O6 (2026)</t>
        </is>
      </c>
    </row>
    <row r="31" ht="33.75" customHeight="1" s="102">
      <c r="A31" s="143" t="inlineStr">
        <is>
          <t>hand_linker_r30</t>
        </is>
      </c>
      <c r="B31" s="153" t="inlineStr">
        <is>
          <t>Humanoid.guide</t>
        </is>
      </c>
      <c r="C31" s="145" t="inlineStr">
        <is>
          <t>LINKERBOT</t>
        </is>
      </c>
      <c r="D31" s="145" t="inlineStr">
        <is>
          <t>Linker R30</t>
        </is>
      </c>
      <c r="E31" s="163" t="inlineStr">
        <is>
          <t>hand</t>
        </is>
      </c>
      <c r="F31" s="145" t="inlineStr">
        <is>
          <t>China</t>
        </is>
      </c>
      <c r="G31" s="145" t="n">
        <v>2026</v>
      </c>
      <c r="H31" s="148" t="n">
        <v>13500</v>
      </c>
      <c r="I31" s="145" t="inlineStr">
        <is>
          <t>Humanoid.guide list</t>
        </is>
      </c>
      <c r="J31" s="149" t="inlineStr">
        <is>
          <t>The Linker R30 is a high-dexterity robotic hand with human-like movement, designed for precise, adaptive manipulation in robotics, automation, and research applications.</t>
        </is>
      </c>
      <c r="K31" s="101" t="inlineStr">
        <is>
          <t>The Linker R30 is a high-dexterity robotic hand with human-like movement, designed for precise, adaptive manipulation in robotics, automation, and research applications.</t>
        </is>
      </c>
      <c r="L31" s="101" t="inlineStr">
        <is>
          <t>The Linker R30 is a high-dexterity robotic hand with human-like movement, designed for precise, adaptive manipulation in robotics, automation, and research applications. Public status is listed as in production, and it is positioned for research / teleoperation.</t>
        </is>
      </c>
      <c r="M31" s="101" t="inlineStr">
        <is>
          <t>Origin &amp; status — China · In production · 2026 | Performance — 21 DOF · 5 fingers · Payload 44.09 lb · Strength 20 kg | Sensing — Yes | Buying notes — $13,500 · 12 months manufacturer standard (typical dexterous-hand component) · Best fit: Research / teleoperation</t>
        </is>
      </c>
      <c r="N31" s="150" t="inlineStr">
        <is>
          <t>https://humanoid.guide/product/linker-r30/</t>
        </is>
      </c>
      <c r="O31" s="150" t="inlineStr">
        <is>
          <t>https://www.linkerbot.cn/</t>
        </is>
      </c>
      <c r="P31" s="194" t="n">
        <v>2.65</v>
      </c>
      <c r="Q31" s="194" t="n">
        <v>1.2</v>
      </c>
      <c r="R31" s="149" t="inlineStr">
        <is>
          <t>190 × 95 × 55 mm (estimated)</t>
        </is>
      </c>
      <c r="S31" s="145" t="inlineStr">
        <is>
          <t>7.48 × 3.74 × 2.17 in</t>
        </is>
      </c>
      <c r="T31" s="145" t="inlineStr">
        <is>
          <t>21</t>
        </is>
      </c>
      <c r="U31" s="149" t="inlineStr">
        <is>
          <t>5</t>
        </is>
      </c>
      <c r="V31" s="194" t="n">
        <v>44.09</v>
      </c>
      <c r="W31" s="194" t="n">
        <v>20</v>
      </c>
      <c r="X31" s="161" t="inlineStr">
        <is>
          <t>Yes</t>
        </is>
      </c>
      <c r="Y31" s="149" t="inlineStr">
        <is>
          <t>Yes</t>
        </is>
      </c>
      <c r="Z31" s="149" t="inlineStr">
        <is>
          <t>Tendon-driven / motor-actuated joint system</t>
        </is>
      </c>
      <c r="AA31" s="149" t="inlineStr">
        <is>
          <t>Aluminum alloy + high-performance engineering polymers</t>
        </is>
      </c>
      <c r="AB31" s="149" t="inlineStr">
        <is>
          <t>21 DOF · 5 fingers · 20 kg class strength · Tactile/force sensing · Tendon-driven / motor-actuated joint system · 1.2 kg</t>
        </is>
      </c>
      <c r="AC31" s="149" t="inlineStr">
        <is>
          <t>Research / teleoperation</t>
        </is>
      </c>
      <c r="AD31" s="195" t="inlineStr">
        <is>
          <t>In production</t>
        </is>
      </c>
      <c r="AE31" s="145" t="inlineStr">
        <is>
          <t>In production</t>
        </is>
      </c>
      <c r="AF31" s="149" t="n"/>
      <c r="AG31" s="149" t="inlineStr">
        <is>
          <t>12 months manufacturer standard (typical dexterous-hand component)</t>
        </is>
      </c>
      <c r="AH31" s="145" t="n">
        <v>12</v>
      </c>
      <c r="AI31" s="149" t="inlineStr">
        <is>
          <t>+3 Year Extended ≈24% of configuration (default in configurator)</t>
        </is>
      </c>
      <c r="AJ31" s="145" t="inlineStr">
        <is>
          <t>End-effector category norm 2025–2026</t>
        </is>
      </c>
      <c r="AK31" s="145" t="inlineStr">
        <is>
          <t>Estimated</t>
        </is>
      </c>
      <c r="AL31" s="149" t="inlineStr">
        <is>
          <t>Skins, tendons, and tactile covers often wear items — confirm on OEM quote.</t>
        </is>
      </c>
      <c r="AM31" s="145" t="inlineStr">
        <is>
          <t>10%</t>
        </is>
      </c>
      <c r="AN31" s="145" t="inlineStr">
        <is>
          <t>17%</t>
        </is>
      </c>
      <c r="AO31" s="145" t="inlineStr">
        <is>
          <t>24%</t>
        </is>
      </c>
      <c r="AP31" s="149" t="inlineStr">
        <is>
          <t>+1yr ≈10% | +2yr ≈17% | +3yr ≈24% of selected configuration price.</t>
        </is>
      </c>
      <c r="AQ31" s="149" t="inlineStr">
        <is>
          <t>Profitable schedule (Aug 2026): +1yr ≈10% / +2yr ≈17% / +3yr ≈24% of configuration price. Calibrated for ~45–55% gross margin after expected robotics claim incidence (~10–14%/yr of covered units), avg claim cost ~25–30% of config, and admin 10–15% of premium.</t>
        </is>
      </c>
      <c r="AR31" s="101" t="inlineStr">
        <is>
          <t>[LINKERBOT] Linker R30 (2026)</t>
        </is>
      </c>
    </row>
    <row r="32" ht="33.75" customHeight="1" s="102">
      <c r="A32" s="159" t="inlineStr">
        <is>
          <t>hand_flexhand_v1</t>
        </is>
      </c>
      <c r="B32" s="153" t="inlineStr">
        <is>
          <t>Humanoid.guide</t>
        </is>
      </c>
      <c r="C32" s="152" t="inlineStr">
        <is>
          <t>LX ROBOTICS LIMITED</t>
        </is>
      </c>
      <c r="D32" s="152" t="inlineStr">
        <is>
          <t>FlexHand V1</t>
        </is>
      </c>
      <c r="E32" s="163" t="inlineStr">
        <is>
          <t>hand</t>
        </is>
      </c>
      <c r="F32" s="152" t="inlineStr">
        <is>
          <t>China</t>
        </is>
      </c>
      <c r="G32" s="152" t="n">
        <v>2026</v>
      </c>
      <c r="H32" s="155" t="n">
        <v>484</v>
      </c>
      <c r="I32" s="152" t="inlineStr">
        <is>
          <t>Humanoid.guide list</t>
        </is>
      </c>
      <c r="J32" s="156" t="inlineStr">
        <is>
          <t>A lightweight, tendon-driven robotic hand designed for precise, human-like motion and advanced research applications.</t>
        </is>
      </c>
      <c r="K32" s="101" t="inlineStr">
        <is>
          <t>A lightweight, tendon-driven robotic hand designed for precise, human-like motion and advanced research applications.</t>
        </is>
      </c>
      <c r="L32" s="101" t="inlineStr">
        <is>
          <t>FlexHand V1 is LX ROBOTICS LIMITED's dexterous hand, introduced around 2026 in China. A lightweight, tendon-driven robotic hand designed for precise, human-like motion and advanced research applications. Public status is listed as in production, and it is positioned for research / teleoperation.</t>
        </is>
      </c>
      <c r="M32" s="101" t="inlineStr">
        <is>
          <t>Origin &amp; status — China · In production · 2026 | Performance — 6 DOF · 5 fingers · Payload 5.51 lb · Strength 2.5 kg | Sensing — No | Buying notes — $484 · 12 months manufacturer standard (typical dexterous-hand component) · Best fit: Research / teleoperation</t>
        </is>
      </c>
      <c r="N32" s="157" t="inlineStr">
        <is>
          <t>https://humanoid.guide/product/flexhand-v1/</t>
        </is>
      </c>
      <c r="O32" s="157" t="inlineStr">
        <is>
          <t>https://lxrobotics.com/</t>
        </is>
      </c>
      <c r="P32" s="196" t="n">
        <v>0.68</v>
      </c>
      <c r="Q32" s="196" t="n">
        <v>0.31</v>
      </c>
      <c r="R32" s="156" t="inlineStr">
        <is>
          <t>Not disclosed</t>
        </is>
      </c>
      <c r="S32" s="152" t="inlineStr">
        <is>
          <t>Not disclosed</t>
        </is>
      </c>
      <c r="T32" s="152" t="inlineStr">
        <is>
          <t>6</t>
        </is>
      </c>
      <c r="U32" s="156" t="inlineStr">
        <is>
          <t>5</t>
        </is>
      </c>
      <c r="V32" s="196" t="n">
        <v>5.51</v>
      </c>
      <c r="W32" s="196" t="n">
        <v>2.5</v>
      </c>
      <c r="X32" s="162" t="inlineStr">
        <is>
          <t>No</t>
        </is>
      </c>
      <c r="Y32" s="156" t="inlineStr">
        <is>
          <t>No</t>
        </is>
      </c>
      <c r="Z32" s="156" t="inlineStr">
        <is>
          <t>Tendon‑driven</t>
        </is>
      </c>
      <c r="AA32" s="156" t="inlineStr">
        <is>
          <t>Proprietary soft-lattice (impact-resistant and waterproof)</t>
        </is>
      </c>
      <c r="AB32" s="156" t="inlineStr">
        <is>
          <t>6 DOF · 5 fingers · 2.5 kg class strength · No tactile array published · Tendon‑driven · 0.31 kg</t>
        </is>
      </c>
      <c r="AC32" s="156" t="inlineStr">
        <is>
          <t>Research / teleoperation</t>
        </is>
      </c>
      <c r="AD32" s="195" t="inlineStr">
        <is>
          <t>In production</t>
        </is>
      </c>
      <c r="AE32" s="152" t="inlineStr">
        <is>
          <t>In production</t>
        </is>
      </c>
      <c r="AF32" s="156" t="n"/>
      <c r="AG32" s="156" t="inlineStr">
        <is>
          <t>12 months manufacturer standard (typical dexterous-hand component)</t>
        </is>
      </c>
      <c r="AH32" s="152" t="n">
        <v>12</v>
      </c>
      <c r="AI32" s="156" t="inlineStr">
        <is>
          <t>+3 Year Extended ≈24% of configuration (default in configurator)</t>
        </is>
      </c>
      <c r="AJ32" s="152" t="inlineStr">
        <is>
          <t>End-effector category norm 2025–2026</t>
        </is>
      </c>
      <c r="AK32" s="152" t="inlineStr">
        <is>
          <t>Estimated</t>
        </is>
      </c>
      <c r="AL32" s="156" t="inlineStr">
        <is>
          <t>Skins, tendons, and tactile covers often wear items — confirm on OEM quote.</t>
        </is>
      </c>
      <c r="AM32" s="152" t="inlineStr">
        <is>
          <t>10%</t>
        </is>
      </c>
      <c r="AN32" s="152" t="inlineStr">
        <is>
          <t>17%</t>
        </is>
      </c>
      <c r="AO32" s="152" t="inlineStr">
        <is>
          <t>24%</t>
        </is>
      </c>
      <c r="AP32" s="156" t="inlineStr">
        <is>
          <t>+1yr ≈10% | +2yr ≈17% | +3yr ≈24% of selected configuration price.</t>
        </is>
      </c>
      <c r="AQ32" s="156" t="inlineStr">
        <is>
          <t>Profitable schedule (Aug 2026): +1yr ≈10% / +2yr ≈17% / +3yr ≈24% of configuration price. Calibrated for ~45–55% gross margin after expected robotics claim incidence (~10–14%/yr of covered units), avg claim cost ~25–30% of config, and admin 10–15% of premium.</t>
        </is>
      </c>
      <c r="AR32" s="101" t="inlineStr">
        <is>
          <t>[LX ROBOTICS LIMITED] FlexHand V1 (2026)</t>
        </is>
      </c>
    </row>
    <row r="33" ht="33.75" customHeight="1" s="102">
      <c r="A33" s="143" t="inlineStr">
        <is>
          <t>hand_magichand_s01</t>
        </is>
      </c>
      <c r="B33" s="153" t="inlineStr">
        <is>
          <t>Humanoid.guide</t>
        </is>
      </c>
      <c r="C33" s="145" t="inlineStr">
        <is>
          <t>MagicLab</t>
        </is>
      </c>
      <c r="D33" s="145" t="inlineStr">
        <is>
          <t>MagicHand S01</t>
        </is>
      </c>
      <c r="E33" s="163" t="inlineStr">
        <is>
          <t>hand</t>
        </is>
      </c>
      <c r="F33" s="145" t="inlineStr">
        <is>
          <t>China</t>
        </is>
      </c>
      <c r="G33" s="145" t="n">
        <v>2025</v>
      </c>
      <c r="H33" s="148" t="n">
        <v>7500</v>
      </c>
      <c r="I33" s="145" t="inlineStr">
        <is>
          <t>Humanoid.guide list</t>
        </is>
      </c>
      <c r="J33" s="149" t="inlineStr">
        <is>
          <t>MagicHand S01 — a high‑precision 11‑DoF robotic hand by MagicLab, combining tactile sensing and hybrid control to deliver human‑like dexterity with up to 5 kg payload per hand (20 kg with a full robot), ideal for industrial, commercial, and service robotics.</t>
        </is>
      </c>
      <c r="K33" s="101" t="inlineStr">
        <is>
          <t>MagicHand S01 — a high‑precision 11‑DoF robotic hand by MagicLab, combining tactile sensing and hybrid control to deliver human‑like dexterity with up to 5 kg payload per hand (20 kg with a full robot), ideal for industrial, commercial, and service robotics.</t>
        </is>
      </c>
      <c r="L33" s="101" t="inlineStr">
        <is>
          <t>MagicHand S01 — a high‑precision 11‑DoF robotic hand by MagicLab, combining tactile sensing and hybrid control to deliver human‑like dexterity with up to 5 kg payload per hand (20 kg with a full robot), ideal for industrial, commercial, and service robotics. Public status is listed as in production, and it is positioned for research / teleoperation; Industrial manipulation; Service / home.</t>
        </is>
      </c>
      <c r="M33" s="101" t="inlineStr">
        <is>
          <t>Origin &amp; status — China · In production · 2025 | Performance — 11 DOF · 5 (5 per hand) fingers · Payload 44.09 lb · Strength 20 kg | Sensing — Yes | Buying notes — $7,500 · 12 months manufacturer standard (typical dexterous-hand component) · Best fit: Research / teleoperation; Industrial manipulation; Service / home</t>
        </is>
      </c>
      <c r="N33" s="150" t="inlineStr">
        <is>
          <t>https://humanoid.guide/product/magichand-s01/</t>
        </is>
      </c>
      <c r="O33" s="150" t="inlineStr">
        <is>
          <t>https://www.magiclab.top</t>
        </is>
      </c>
      <c r="P33" s="194" t="n">
        <v>1.28</v>
      </c>
      <c r="Q33" s="194" t="n">
        <v>0.58</v>
      </c>
      <c r="R33" s="149" t="inlineStr">
        <is>
          <t>Not disclosed</t>
        </is>
      </c>
      <c r="S33" s="145" t="inlineStr">
        <is>
          <t>Not disclosed</t>
        </is>
      </c>
      <c r="T33" s="145" t="inlineStr">
        <is>
          <t>11</t>
        </is>
      </c>
      <c r="U33" s="149" t="inlineStr">
        <is>
          <t>5 (5 per hand)</t>
        </is>
      </c>
      <c r="V33" s="194" t="n">
        <v>44.09</v>
      </c>
      <c r="W33" s="194" t="n">
        <v>20</v>
      </c>
      <c r="X33" s="161" t="inlineStr">
        <is>
          <t>Yes</t>
        </is>
      </c>
      <c r="Y33" s="149" t="inlineStr">
        <is>
          <t>Yes</t>
        </is>
      </c>
      <c r="Z33" s="149" t="inlineStr">
        <is>
          <t>Hybrid force/position control combining electric motor current feedback and tactile sensor input</t>
        </is>
      </c>
      <c r="AA33" s="149" t="inlineStr">
        <is>
          <t>reinforced structure with high‑torque motors and lightweight components</t>
        </is>
      </c>
      <c r="AB33" s="149" t="inlineStr">
        <is>
          <t>11 DOF · 5 fingers · 20 kg class strength · Tactile/force sensing · Hybrid force/position control combining electric motor current feedback and tactile sen… · 0.58 kg</t>
        </is>
      </c>
      <c r="AC33" s="149" t="inlineStr">
        <is>
          <t>Research / teleoperation; Industrial manipulation; Service / home</t>
        </is>
      </c>
      <c r="AD33" s="195" t="inlineStr">
        <is>
          <t>In production</t>
        </is>
      </c>
      <c r="AE33" s="145" t="inlineStr">
        <is>
          <t>In production</t>
        </is>
      </c>
      <c r="AF33" s="149" t="n"/>
      <c r="AG33" s="149" t="inlineStr">
        <is>
          <t>12 months manufacturer standard (typical dexterous-hand component)</t>
        </is>
      </c>
      <c r="AH33" s="145" t="n">
        <v>12</v>
      </c>
      <c r="AI33" s="149" t="inlineStr">
        <is>
          <t>+3 Year Extended ≈24% of configuration (default in configurator)</t>
        </is>
      </c>
      <c r="AJ33" s="145" t="inlineStr">
        <is>
          <t>End-effector category norm 2025–2026</t>
        </is>
      </c>
      <c r="AK33" s="145" t="inlineStr">
        <is>
          <t>Estimated</t>
        </is>
      </c>
      <c r="AL33" s="149" t="inlineStr">
        <is>
          <t>Skins, tendons, and tactile covers often wear items — confirm on OEM quote.</t>
        </is>
      </c>
      <c r="AM33" s="145" t="inlineStr">
        <is>
          <t>10%</t>
        </is>
      </c>
      <c r="AN33" s="145" t="inlineStr">
        <is>
          <t>17%</t>
        </is>
      </c>
      <c r="AO33" s="145" t="inlineStr">
        <is>
          <t>24%</t>
        </is>
      </c>
      <c r="AP33" s="149" t="inlineStr">
        <is>
          <t>+1yr ≈10% | +2yr ≈17% | +3yr ≈24% of selected configuration price.</t>
        </is>
      </c>
      <c r="AQ33" s="149" t="inlineStr">
        <is>
          <t>Profitable schedule (Aug 2026): +1yr ≈10% / +2yr ≈17% / +3yr ≈24% of configuration price. Calibrated for ~45–55% gross margin after expected robotics claim incidence (~10–14%/yr of covered units), avg claim cost ~25–30% of config, and admin 10–15% of premium.</t>
        </is>
      </c>
      <c r="AR33" s="101" t="inlineStr">
        <is>
          <t>[MagicLab] MagicHand S01 (2025)</t>
        </is>
      </c>
    </row>
    <row r="34" ht="33.75" customHeight="1" s="102">
      <c r="A34" s="159" t="inlineStr">
        <is>
          <t>hand_mark_7</t>
        </is>
      </c>
      <c r="B34" s="153" t="inlineStr">
        <is>
          <t>Humanoid.guide</t>
        </is>
      </c>
      <c r="C34" s="152" t="inlineStr">
        <is>
          <t>Mand.ro</t>
        </is>
      </c>
      <c r="D34" s="152" t="inlineStr">
        <is>
          <t>Mark 7</t>
        </is>
      </c>
      <c r="E34" s="163" t="inlineStr">
        <is>
          <t>hand</t>
        </is>
      </c>
      <c r="F34" s="152" t="inlineStr">
        <is>
          <t>South Korea</t>
        </is>
      </c>
      <c r="G34" s="152" t="n">
        <v>2026</v>
      </c>
      <c r="H34" s="155" t="n">
        <v>4500</v>
      </c>
      <c r="I34" s="152" t="inlineStr">
        <is>
          <t>Humanoid.guide list</t>
        </is>
      </c>
      <c r="J34" s="156" t="inlineStr">
        <is>
          <t>Mark 7 is a lightweight, human-sized robotic hand with 7 DoF and proprietary finger-integrated micro actuators.</t>
        </is>
      </c>
      <c r="K34" s="101" t="inlineStr">
        <is>
          <t>Mark 7 is a lightweight, human-sized robotic hand with 7 DoF and proprietary finger-integrated micro actuators.</t>
        </is>
      </c>
      <c r="L34" s="101" t="inlineStr">
        <is>
          <t>Mark 7 is a lightweight, human-sized robotic hand with 7 DoF and proprietary finger-integrated micro actuators. It is positioned for dexterous manipulation.</t>
        </is>
      </c>
      <c r="M34" s="101" t="inlineStr">
        <is>
          <t>Origin &amp; status — South Korea · 2026 | Performance — 7 DOF · 5 fingers · Payload 17.64 lb · Strength 8 kg | Sensing — Yes | Buying notes — $4,500 · 12 months manufacturer standard (typical dexterous-hand component) · Best fit: Dexterous manipulation</t>
        </is>
      </c>
      <c r="N34" s="157" t="inlineStr">
        <is>
          <t>https://humanoid.guide/product/mark-7/</t>
        </is>
      </c>
      <c r="O34" s="157" t="inlineStr">
        <is>
          <t>https://mand.ro</t>
        </is>
      </c>
      <c r="P34" s="196" t="n">
        <v>0.87</v>
      </c>
      <c r="Q34" s="196" t="n">
        <v>0.395</v>
      </c>
      <c r="R34" s="156" t="inlineStr">
        <is>
          <t>157mm (Wrist to Middle Fingertip)</t>
        </is>
      </c>
      <c r="S34" s="152" t="inlineStr">
        <is>
          <t>Not disclosed</t>
        </is>
      </c>
      <c r="T34" s="152" t="inlineStr">
        <is>
          <t>7</t>
        </is>
      </c>
      <c r="U34" s="156" t="inlineStr">
        <is>
          <t>5</t>
        </is>
      </c>
      <c r="V34" s="196" t="n">
        <v>17.64</v>
      </c>
      <c r="W34" s="196" t="n">
        <v>8</v>
      </c>
      <c r="X34" s="161" t="inlineStr">
        <is>
          <t>Yes</t>
        </is>
      </c>
      <c r="Y34" s="156" t="inlineStr">
        <is>
          <t>Yes</t>
        </is>
      </c>
      <c r="Z34" s="156" t="inlineStr">
        <is>
          <t>Proprietary finger-integrated micro actuation and control with integrated brushless motor drivers</t>
        </is>
      </c>
      <c r="AA34" s="156" t="inlineStr">
        <is>
          <t>Lightweight metal alloys + engineered polymers/plastics</t>
        </is>
      </c>
      <c r="AB34" s="156" t="inlineStr">
        <is>
          <t>7 DOF · 5 fingers · 8 kg class strength · Tactile/force sensing · Proprietary finger-integrated micro actuation and control with integrated brushless mot… · 0.395 kg</t>
        </is>
      </c>
      <c r="AC34" s="156" t="inlineStr">
        <is>
          <t>Dexterous manipulation</t>
        </is>
      </c>
      <c r="AD34" s="152" t="n"/>
      <c r="AE34" s="152" t="inlineStr">
        <is>
          <t>Not disclosed</t>
        </is>
      </c>
      <c r="AF34" s="156" t="n"/>
      <c r="AG34" s="156" t="inlineStr">
        <is>
          <t>12 months manufacturer standard (typical dexterous-hand component)</t>
        </is>
      </c>
      <c r="AH34" s="152" t="n">
        <v>12</v>
      </c>
      <c r="AI34" s="156" t="inlineStr">
        <is>
          <t>+3 Year Extended ≈24% of configuration (default in configurator)</t>
        </is>
      </c>
      <c r="AJ34" s="152" t="inlineStr">
        <is>
          <t>End-effector category norm 2025–2026</t>
        </is>
      </c>
      <c r="AK34" s="152" t="inlineStr">
        <is>
          <t>Estimated</t>
        </is>
      </c>
      <c r="AL34" s="156" t="inlineStr">
        <is>
          <t>Skins, tendons, and tactile covers often wear items — confirm on OEM quote.</t>
        </is>
      </c>
      <c r="AM34" s="152" t="inlineStr">
        <is>
          <t>10%</t>
        </is>
      </c>
      <c r="AN34" s="152" t="inlineStr">
        <is>
          <t>17%</t>
        </is>
      </c>
      <c r="AO34" s="152" t="inlineStr">
        <is>
          <t>24%</t>
        </is>
      </c>
      <c r="AP34" s="156" t="inlineStr">
        <is>
          <t>+1yr ≈10% | +2yr ≈17% | +3yr ≈24% of selected configuration price.</t>
        </is>
      </c>
      <c r="AQ34" s="156" t="inlineStr">
        <is>
          <t>Profitable schedule (Aug 2026): +1yr ≈10% / +2yr ≈17% / +3yr ≈24% of configuration price. Calibrated for ~45–55% gross margin after expected robotics claim incidence (~10–14%/yr of covered units), avg claim cost ~25–30% of config, and admin 10–15% of premium.</t>
        </is>
      </c>
      <c r="AR34" s="101" t="inlineStr">
        <is>
          <t>[Mand.ro] Mark 7 (2026)</t>
        </is>
      </c>
    </row>
    <row r="35" ht="33.75" customHeight="1" s="102">
      <c r="A35" s="143" t="inlineStr">
        <is>
          <t>hand_m1_0</t>
        </is>
      </c>
      <c r="B35" s="153" t="inlineStr">
        <is>
          <t>Humanoid.guide</t>
        </is>
      </c>
      <c r="C35" s="145" t="inlineStr">
        <is>
          <t>Mimic Robotics</t>
        </is>
      </c>
      <c r="D35" s="145" t="inlineStr">
        <is>
          <t>M1.0</t>
        </is>
      </c>
      <c r="E35" s="163" t="inlineStr">
        <is>
          <t>hand</t>
        </is>
      </c>
      <c r="F35" s="145" t="inlineStr">
        <is>
          <t>USA</t>
        </is>
      </c>
      <c r="G35" s="145" t="n">
        <v>2025</v>
      </c>
      <c r="H35" s="148" t="n">
        <v>1400</v>
      </c>
      <c r="I35" s="145" t="inlineStr">
        <is>
          <t>Humanoid.guide list</t>
        </is>
      </c>
      <c r="J35" s="149" t="inlineStr">
        <is>
          <t>The M1.0 by Mimic is a high-precision robotic hand that blends human-like dexterity with industrial-level strength, offering smooth control, reliable durability, and easy integration for advanced robot applications.</t>
        </is>
      </c>
      <c r="K35" s="101" t="inlineStr">
        <is>
          <t>The M1.0 by Mimic is a high-precision robotic hand that blends human-like dexterity with industrial-level strength, offering smooth control, reliable durability, and easy integration for advanced robot applications.</t>
        </is>
      </c>
      <c r="L35" s="101" t="inlineStr">
        <is>
          <t>The M1.0 by Mimic is a high-precision robotic hand that blends human-like dexterity with industrial-level strength, offering smooth control, reliable durability, and easy integration for advanced robot applications. Public status is listed as in production, and it is positioned for industrial manipulation.</t>
        </is>
      </c>
      <c r="M35" s="101" t="inlineStr">
        <is>
          <t>Origin &amp; status — USA · In production · 2025 | Performance — 21 DOF · 5 fingers · Payload 4.41 lb · Strength 2 kg | Sensing — No | Buying notes — $1,400 · 12 months manufacturer standard (typical dexterous-hand component) · Best fit: Industrial manipulation</t>
        </is>
      </c>
      <c r="N35" s="150" t="inlineStr">
        <is>
          <t>https://humanoid.guide/product/m1-0/</t>
        </is>
      </c>
      <c r="O35" s="150" t="inlineStr">
        <is>
          <t>https://www.mimicrobotics.com/</t>
        </is>
      </c>
      <c r="P35" s="194" t="n">
        <v>2.65</v>
      </c>
      <c r="Q35" s="194" t="n">
        <v>1.2</v>
      </c>
      <c r="R35" s="149" t="inlineStr">
        <is>
          <t>~18–20 cm length, ~8–9 cm width (human-hand scale)</t>
        </is>
      </c>
      <c r="S35" s="145" t="inlineStr">
        <is>
          <t>7.09 × 7.87 × 3.15 in</t>
        </is>
      </c>
      <c r="T35" s="145" t="inlineStr">
        <is>
          <t>21</t>
        </is>
      </c>
      <c r="U35" s="149" t="inlineStr">
        <is>
          <t>5</t>
        </is>
      </c>
      <c r="V35" s="194" t="n">
        <v>4.41</v>
      </c>
      <c r="W35" s="194" t="n">
        <v>2</v>
      </c>
      <c r="X35" s="162" t="inlineStr">
        <is>
          <t>No</t>
        </is>
      </c>
      <c r="Y35" s="149" t="inlineStr">
        <is>
          <t>No</t>
        </is>
      </c>
      <c r="Z35" s="149" t="inlineStr">
        <is>
          <t>Likely high-torque compact actuators with precision sensors</t>
        </is>
      </c>
      <c r="AA35" s="149" t="inlineStr">
        <is>
          <t>High-strength aluminum alloy + engineered polymers</t>
        </is>
      </c>
      <c r="AB35" s="149" t="inlineStr">
        <is>
          <t>21 DOF · 5 fingers · 2 kg class strength · No tactile array published · Likely high-torque compact actuators with precision sensors · 1.2 kg</t>
        </is>
      </c>
      <c r="AC35" s="149" t="inlineStr">
        <is>
          <t>Industrial manipulation</t>
        </is>
      </c>
      <c r="AD35" s="195" t="inlineStr">
        <is>
          <t>In production</t>
        </is>
      </c>
      <c r="AE35" s="145" t="inlineStr">
        <is>
          <t>In production</t>
        </is>
      </c>
      <c r="AF35" s="149" t="n"/>
      <c r="AG35" s="149" t="inlineStr">
        <is>
          <t>12 months manufacturer standard (typical dexterous-hand component)</t>
        </is>
      </c>
      <c r="AH35" s="145" t="n">
        <v>12</v>
      </c>
      <c r="AI35" s="149" t="inlineStr">
        <is>
          <t>+3 Year Extended ≈24% of configuration (default in configurator)</t>
        </is>
      </c>
      <c r="AJ35" s="145" t="inlineStr">
        <is>
          <t>End-effector category norm 2025–2026</t>
        </is>
      </c>
      <c r="AK35" s="145" t="inlineStr">
        <is>
          <t>Estimated</t>
        </is>
      </c>
      <c r="AL35" s="149" t="inlineStr">
        <is>
          <t>Skins, tendons, and tactile covers often wear items — confirm on OEM quote.</t>
        </is>
      </c>
      <c r="AM35" s="145" t="inlineStr">
        <is>
          <t>10%</t>
        </is>
      </c>
      <c r="AN35" s="145" t="inlineStr">
        <is>
          <t>17%</t>
        </is>
      </c>
      <c r="AO35" s="145" t="inlineStr">
        <is>
          <t>24%</t>
        </is>
      </c>
      <c r="AP35" s="149" t="inlineStr">
        <is>
          <t>+1yr ≈10% | +2yr ≈17% | +3yr ≈24% of selected configuration price.</t>
        </is>
      </c>
      <c r="AQ35" s="149" t="inlineStr">
        <is>
          <t>Profitable schedule (Aug 2026): +1yr ≈10% / +2yr ≈17% / +3yr ≈24% of configuration price. Calibrated for ~45–55% gross margin after expected robotics claim incidence (~10–14%/yr of covered units), avg claim cost ~25–30% of config, and admin 10–15% of premium.</t>
        </is>
      </c>
      <c r="AR35" s="101" t="inlineStr">
        <is>
          <t>[Mimic Robotics] M1.0 (2025)</t>
        </is>
      </c>
    </row>
    <row r="36" ht="33.75" customHeight="1" s="102">
      <c r="A36" s="159" t="inlineStr">
        <is>
          <t>hand_mimic_hand_m1</t>
        </is>
      </c>
      <c r="B36" s="153" t="inlineStr">
        <is>
          <t>Humanoid.guide</t>
        </is>
      </c>
      <c r="C36" s="152" t="inlineStr">
        <is>
          <t>Mimic Robotics</t>
        </is>
      </c>
      <c r="D36" s="152" t="inlineStr">
        <is>
          <t>Mimic Hand M1</t>
        </is>
      </c>
      <c r="E36" s="163" t="inlineStr">
        <is>
          <t>hand</t>
        </is>
      </c>
      <c r="F36" s="152" t="inlineStr">
        <is>
          <t>Switzerland</t>
        </is>
      </c>
      <c r="G36" s="152" t="n">
        <v>2026</v>
      </c>
      <c r="H36" s="155" t="n">
        <v>18000</v>
      </c>
      <c r="I36" s="152" t="inlineStr">
        <is>
          <t>Humanoid.guide list</t>
        </is>
      </c>
      <c r="J36" s="156" t="inlineStr">
        <is>
          <t>The mimic hand M1 is a Swiss-made, tendon-driven robotic hand purpose-built for industrial automation.</t>
        </is>
      </c>
      <c r="K36" s="101" t="inlineStr">
        <is>
          <t>The mimic hand M1 is a Swiss-made, tendon-driven robotic hand purpose-built for industrial automation.</t>
        </is>
      </c>
      <c r="L36" s="101" t="inlineStr">
        <is>
          <t>The mimic hand M1 is a Swiss-made, tendon-driven robotic hand purpose-built for industrial automation. Public status is listed as in production, and it is positioned for industrial manipulation.</t>
        </is>
      </c>
      <c r="M36" s="101" t="inlineStr">
        <is>
          <t>Origin &amp; status — Switzerland · In production · 2026 | Performance — 21 DOF · 5 fingers · Payload 55.12 lb · Strength 25 kg | Sensing — Yes | Buying notes — $18,000 · 12 months manufacturer standard (typical dexterous-hand component) · Best fit: Industrial manipulation</t>
        </is>
      </c>
      <c r="N36" s="157" t="inlineStr">
        <is>
          <t>https://humanoid.guide/product/mimic-hand-m1/</t>
        </is>
      </c>
      <c r="O36" s="157" t="inlineStr">
        <is>
          <t>https://www.mimicrobotics.com/</t>
        </is>
      </c>
      <c r="P36" s="196" t="n">
        <v>3.97</v>
      </c>
      <c r="Q36" s="196" t="n">
        <v>1.8</v>
      </c>
      <c r="R36" s="156" t="inlineStr">
        <is>
          <t>Not disclosed</t>
        </is>
      </c>
      <c r="S36" s="152" t="inlineStr">
        <is>
          <t>Not disclosed</t>
        </is>
      </c>
      <c r="T36" s="152" t="inlineStr">
        <is>
          <t>21</t>
        </is>
      </c>
      <c r="U36" s="156" t="inlineStr">
        <is>
          <t>5</t>
        </is>
      </c>
      <c r="V36" s="196" t="n">
        <v>55.12</v>
      </c>
      <c r="W36" s="196" t="n">
        <v>25</v>
      </c>
      <c r="X36" s="161" t="inlineStr">
        <is>
          <t>Yes</t>
        </is>
      </c>
      <c r="Y36" s="156" t="inlineStr">
        <is>
          <t>Yes</t>
        </is>
      </c>
      <c r="Z36" s="156" t="inlineStr">
        <is>
          <t>Bi-directional, pulley-guided tendon drive with forearm-mounted actuators; highly backdrivable (&amp;lt; 0.05 Nm), force estimation via motor current (&amp;lt; 0.1 N)</t>
        </is>
      </c>
      <c r="AA36" s="156" t="inlineStr">
        <is>
          <t>Strong metal alloy structures (with high-performance tendons)</t>
        </is>
      </c>
      <c r="AB36" s="156" t="inlineStr">
        <is>
          <t>21 DOF · 5 fingers · 25 kg class strength · Tactile/force sensing · Bi-directional, pulley-guided tendon drive with forearm-mounted actuators; highly backd… · 1.8 kg</t>
        </is>
      </c>
      <c r="AC36" s="156" t="inlineStr">
        <is>
          <t>Industrial manipulation</t>
        </is>
      </c>
      <c r="AD36" s="195" t="inlineStr">
        <is>
          <t>In production</t>
        </is>
      </c>
      <c r="AE36" s="152" t="inlineStr">
        <is>
          <t>In production</t>
        </is>
      </c>
      <c r="AF36" s="156" t="n"/>
      <c r="AG36" s="156" t="inlineStr">
        <is>
          <t>12 months manufacturer standard (typical dexterous-hand component)</t>
        </is>
      </c>
      <c r="AH36" s="152" t="n">
        <v>12</v>
      </c>
      <c r="AI36" s="156" t="inlineStr">
        <is>
          <t>+3 Year Extended ≈24% of configuration (default in configurator)</t>
        </is>
      </c>
      <c r="AJ36" s="152" t="inlineStr">
        <is>
          <t>End-effector category norm 2025–2026</t>
        </is>
      </c>
      <c r="AK36" s="152" t="inlineStr">
        <is>
          <t>Estimated</t>
        </is>
      </c>
      <c r="AL36" s="156" t="inlineStr">
        <is>
          <t>Skins, tendons, and tactile covers often wear items — confirm on OEM quote.</t>
        </is>
      </c>
      <c r="AM36" s="152" t="inlineStr">
        <is>
          <t>10%</t>
        </is>
      </c>
      <c r="AN36" s="152" t="inlineStr">
        <is>
          <t>17%</t>
        </is>
      </c>
      <c r="AO36" s="152" t="inlineStr">
        <is>
          <t>24%</t>
        </is>
      </c>
      <c r="AP36" s="156" t="inlineStr">
        <is>
          <t>+1yr ≈10% | +2yr ≈17% | +3yr ≈24% of selected configuration price.</t>
        </is>
      </c>
      <c r="AQ36" s="156" t="inlineStr">
        <is>
          <t>Profitable schedule (Aug 2026): +1yr ≈10% / +2yr ≈17% / +3yr ≈24% of configuration price. Calibrated for ~45–55% gross margin after expected robotics claim incidence (~10–14%/yr of covered units), avg claim cost ~25–30% of config, and admin 10–15% of premium.</t>
        </is>
      </c>
      <c r="AR36" s="101" t="inlineStr">
        <is>
          <t>[Mimic Robotics] Mimic Hand M1 (2026)</t>
        </is>
      </c>
    </row>
    <row r="37" ht="33.75" customHeight="1" s="102">
      <c r="A37" s="143" t="inlineStr">
        <is>
          <t>hand_ruka</t>
        </is>
      </c>
      <c r="B37" s="153" t="inlineStr">
        <is>
          <t>Humanoid.guide</t>
        </is>
      </c>
      <c r="C37" s="145" t="inlineStr">
        <is>
          <t>New York University (NYU)</t>
        </is>
      </c>
      <c r="D37" s="145" t="inlineStr">
        <is>
          <t>RUKA</t>
        </is>
      </c>
      <c r="E37" s="163" t="inlineStr">
        <is>
          <t>hand</t>
        </is>
      </c>
      <c r="F37" s="145" t="inlineStr">
        <is>
          <t>USA</t>
        </is>
      </c>
      <c r="G37" s="145" t="n">
        <v>2025</v>
      </c>
      <c r="H37" s="148" t="n">
        <v>1500</v>
      </c>
      <c r="I37" s="145" t="inlineStr">
        <is>
          <t>Humanoid.guide list</t>
        </is>
      </c>
      <c r="J37" s="149" t="inlineStr">
        <is>
          <t>RUKA — an open‑source, tendon‑driven humanoid hand with 5 fingers and 15 DoF, sized like a human hand.</t>
        </is>
      </c>
      <c r="K37" s="101" t="inlineStr">
        <is>
          <t>RUKA — an open‑source, tendon‑driven humanoid hand with 5 fingers and 15 DoF, sized like a human hand.</t>
        </is>
      </c>
      <c r="L37" s="101" t="inlineStr">
        <is>
          <t>RUKA — an open‑source, tendon‑driven humanoid hand with 5 fingers and 15 DoF, sized like a human hand. Public status is listed as in production, and it is positioned for humanoid OEM.</t>
        </is>
      </c>
      <c r="M37" s="101" t="inlineStr">
        <is>
          <t>Origin &amp; status — USA · In production · 2025 | Performance — 15 DOF · 5 (5 per hand) fingers · Payload 13.23 lb · Strength 6 kg | Sensing — No | Buying notes — $1,500 · 12 months manufacturer standard (typical dexterous-hand component) · Best fit: Humanoid OEM</t>
        </is>
      </c>
      <c r="N37" s="150" t="inlineStr">
        <is>
          <t>https://humanoid.guide/product/ruka/</t>
        </is>
      </c>
      <c r="O37" s="150" t="inlineStr">
        <is>
          <t>https://www.nyu.edu</t>
        </is>
      </c>
      <c r="P37" s="194" t="n">
        <v>1.06</v>
      </c>
      <c r="Q37" s="194" t="n">
        <v>0.48</v>
      </c>
      <c r="R37" s="149" t="inlineStr">
        <is>
          <t>Roughly human-hand size — about 18 cm length</t>
        </is>
      </c>
      <c r="S37" s="145" t="inlineStr">
        <is>
          <t>Not disclosed</t>
        </is>
      </c>
      <c r="T37" s="145" t="inlineStr">
        <is>
          <t>15</t>
        </is>
      </c>
      <c r="U37" s="149" t="inlineStr">
        <is>
          <t>5 (5 per hand)</t>
        </is>
      </c>
      <c r="V37" s="194" t="n">
        <v>13.23</v>
      </c>
      <c r="W37" s="194" t="n">
        <v>6</v>
      </c>
      <c r="X37" s="162" t="inlineStr">
        <is>
          <t>No</t>
        </is>
      </c>
      <c r="Y37" s="149" t="inlineStr">
        <is>
          <t>No</t>
        </is>
      </c>
      <c r="Z37" s="149" t="inlineStr">
        <is>
          <t>Tendon‑driven using off‑the‑shelf servos (e.g. Dynamixel series in original, or lower‑cost alternatives), actuators placed in the forearm, flexible tendons routed to fingers.</t>
        </is>
      </c>
      <c r="AA37" s="149" t="inlineStr">
        <is>
          <t>3D‑printed parts (PLA / similar plastic) for rigid “bones” plus compliant pads (e.g. TPU) for fingertips/contact surfaces. Tendons are braided line, and joints use standard mechanical pivots/dowels</t>
        </is>
      </c>
      <c r="AB37" s="149" t="inlineStr">
        <is>
          <t>15 DOF · 5 fingers · 6 kg class strength · No tactile array published · Tendon‑driven using off‑the‑shelf servos (e.g. Dynamixel series in original, or lower‑c… · 0.48 kg</t>
        </is>
      </c>
      <c r="AC37" s="149" t="inlineStr">
        <is>
          <t>Humanoid OEM</t>
        </is>
      </c>
      <c r="AD37" s="195" t="inlineStr">
        <is>
          <t>In production</t>
        </is>
      </c>
      <c r="AE37" s="145" t="inlineStr">
        <is>
          <t>In production</t>
        </is>
      </c>
      <c r="AF37" s="149" t="n"/>
      <c r="AG37" s="149" t="inlineStr">
        <is>
          <t>12 months manufacturer standard (typical dexterous-hand component)</t>
        </is>
      </c>
      <c r="AH37" s="145" t="n">
        <v>12</v>
      </c>
      <c r="AI37" s="149" t="inlineStr">
        <is>
          <t>+3 Year Extended ≈24% of configuration (default in configurator)</t>
        </is>
      </c>
      <c r="AJ37" s="145" t="inlineStr">
        <is>
          <t>End-effector category norm 2025–2026</t>
        </is>
      </c>
      <c r="AK37" s="145" t="inlineStr">
        <is>
          <t>Estimated</t>
        </is>
      </c>
      <c r="AL37" s="149" t="inlineStr">
        <is>
          <t>Skins, tendons, and tactile covers often wear items — confirm on OEM quote.</t>
        </is>
      </c>
      <c r="AM37" s="145" t="inlineStr">
        <is>
          <t>10%</t>
        </is>
      </c>
      <c r="AN37" s="145" t="inlineStr">
        <is>
          <t>17%</t>
        </is>
      </c>
      <c r="AO37" s="145" t="inlineStr">
        <is>
          <t>24%</t>
        </is>
      </c>
      <c r="AP37" s="149" t="inlineStr">
        <is>
          <t>+1yr ≈10% | +2yr ≈17% | +3yr ≈24% of selected configuration price.</t>
        </is>
      </c>
      <c r="AQ37" s="149" t="inlineStr">
        <is>
          <t>Profitable schedule (Aug 2026): +1yr ≈10% / +2yr ≈17% / +3yr ≈24% of configuration price. Calibrated for ~45–55% gross margin after expected robotics claim incidence (~10–14%/yr of covered units), avg claim cost ~25–30% of config, and admin 10–15% of premium.</t>
        </is>
      </c>
      <c r="AR37" s="101" t="inlineStr">
        <is>
          <t>[New York University (NYU)] RUKA (2025)</t>
        </is>
      </c>
    </row>
    <row r="38" ht="33.75" customHeight="1" s="102">
      <c r="A38" s="159" t="inlineStr">
        <is>
          <t>hand_r1</t>
        </is>
      </c>
      <c r="B38" s="153" t="inlineStr">
        <is>
          <t>Humanoid.guide</t>
        </is>
      </c>
      <c r="C38" s="152" t="inlineStr">
        <is>
          <t>OceanTrix Robotics</t>
        </is>
      </c>
      <c r="D38" s="152" t="inlineStr">
        <is>
          <t>R1</t>
        </is>
      </c>
      <c r="E38" s="163" t="inlineStr">
        <is>
          <t>hand</t>
        </is>
      </c>
      <c r="F38" s="152" t="inlineStr">
        <is>
          <t>China</t>
        </is>
      </c>
      <c r="G38" s="152" t="n">
        <v>2025</v>
      </c>
      <c r="H38" s="155" t="n">
        <v>28000</v>
      </c>
      <c r="I38" s="152" t="inlineStr">
        <is>
          <t>Humanoid.guide list</t>
        </is>
      </c>
      <c r="J38" s="156" t="inlineStr">
        <is>
          <t>R1 by OceanTrix is a five-finger, 12-DOF robotic hand built from metal with heavy-load capability — blending human-like dexterity and industrial-grade strength for versatile robotic applications.</t>
        </is>
      </c>
      <c r="K38" s="101" t="inlineStr">
        <is>
          <t>R1 by OceanTrix is a five-finger, 12-DOF robotic hand built from metal with heavy-load capability — blending human-like dexterity and industrial-grade strength for versatile robotic applications.</t>
        </is>
      </c>
      <c r="L38" s="101" t="inlineStr">
        <is>
          <t>R1 by OceanTrix is a five-finger, 12-DOF robotic hand built from metal with heavy-load capability — blending human-like dexterity and industrial-grade strength for versatile robotic applications. Public status is listed as in production, and it is positioned for industrial manipulation.</t>
        </is>
      </c>
      <c r="M38" s="101" t="inlineStr">
        <is>
          <t>Origin &amp; status — China · In production · 2025 | Performance — 12 DOF · 5 (5 per hand) fingers · Payload 66.14 lb · Strength 30 kg | Sensing — Yes | Buying notes — $28,000 · 12 months manufacturer standard (typical dexterous-hand component) · Best fit: Industrial manipulation</t>
        </is>
      </c>
      <c r="N38" s="157" t="inlineStr">
        <is>
          <t>https://humanoid.guide/product/r1/</t>
        </is>
      </c>
      <c r="O38" s="157" t="inlineStr">
        <is>
          <t>https://oceantrix.com/</t>
        </is>
      </c>
      <c r="P38" s="152" t="inlineStr">
        <is>
          <t>Not disclosed</t>
        </is>
      </c>
      <c r="Q38" s="152" t="n"/>
      <c r="R38" s="156" t="inlineStr">
        <is>
          <t>Not disclosed</t>
        </is>
      </c>
      <c r="S38" s="152" t="inlineStr">
        <is>
          <t>Not disclosed</t>
        </is>
      </c>
      <c r="T38" s="152" t="inlineStr">
        <is>
          <t>12</t>
        </is>
      </c>
      <c r="U38" s="156" t="inlineStr">
        <is>
          <t>5 (5 per hand)</t>
        </is>
      </c>
      <c r="V38" s="196" t="n">
        <v>66.14</v>
      </c>
      <c r="W38" s="196" t="n">
        <v>30</v>
      </c>
      <c r="X38" s="161" t="inlineStr">
        <is>
          <t>Yes</t>
        </is>
      </c>
      <c r="Y38" s="156" t="inlineStr">
        <is>
          <t>Yes</t>
        </is>
      </c>
      <c r="Z38" s="156" t="inlineStr">
        <is>
          <t>Not disclosed</t>
        </is>
      </c>
      <c r="AA38" s="156" t="inlineStr">
        <is>
          <t>Aviation-grade aluminium</t>
        </is>
      </c>
      <c r="AB38" s="156" t="inlineStr">
        <is>
          <t>12 DOF · 5 fingers · 30 kg class strength · Tactile/force sensing</t>
        </is>
      </c>
      <c r="AC38" s="156" t="inlineStr">
        <is>
          <t>Industrial manipulation</t>
        </is>
      </c>
      <c r="AD38" s="195" t="inlineStr">
        <is>
          <t>In production</t>
        </is>
      </c>
      <c r="AE38" s="152" t="inlineStr">
        <is>
          <t>In production</t>
        </is>
      </c>
      <c r="AF38" s="156" t="n"/>
      <c r="AG38" s="156" t="inlineStr">
        <is>
          <t>12 months manufacturer standard (typical dexterous-hand component)</t>
        </is>
      </c>
      <c r="AH38" s="152" t="n">
        <v>12</v>
      </c>
      <c r="AI38" s="156" t="inlineStr">
        <is>
          <t>+3 Year Extended ≈24% of configuration (default in configurator)</t>
        </is>
      </c>
      <c r="AJ38" s="152" t="inlineStr">
        <is>
          <t>End-effector category norm 2025–2026</t>
        </is>
      </c>
      <c r="AK38" s="152" t="inlineStr">
        <is>
          <t>Estimated</t>
        </is>
      </c>
      <c r="AL38" s="156" t="inlineStr">
        <is>
          <t>Skins, tendons, and tactile covers often wear items — confirm on OEM quote.</t>
        </is>
      </c>
      <c r="AM38" s="152" t="inlineStr">
        <is>
          <t>10%</t>
        </is>
      </c>
      <c r="AN38" s="152" t="inlineStr">
        <is>
          <t>17%</t>
        </is>
      </c>
      <c r="AO38" s="152" t="inlineStr">
        <is>
          <t>24%</t>
        </is>
      </c>
      <c r="AP38" s="156" t="inlineStr">
        <is>
          <t>+1yr ≈10% | +2yr ≈17% | +3yr ≈24% of selected configuration price.</t>
        </is>
      </c>
      <c r="AQ38" s="156" t="inlineStr">
        <is>
          <t>Profitable schedule (Aug 2026): +1yr ≈10% / +2yr ≈17% / +3yr ≈24% of configuration price. Calibrated for ~45–55% gross margin after expected robotics claim incidence (~10–14%/yr of covered units), avg claim cost ~25–30% of config, and admin 10–15% of premium.</t>
        </is>
      </c>
      <c r="AR38" s="101" t="inlineStr">
        <is>
          <t>[OceanTrix Robotics] R1 (2025)</t>
        </is>
      </c>
    </row>
    <row r="39" ht="33.75" customHeight="1" s="102">
      <c r="A39" s="143" t="inlineStr">
        <is>
          <t>hand_r2</t>
        </is>
      </c>
      <c r="B39" s="153" t="inlineStr">
        <is>
          <t>Humanoid.guide</t>
        </is>
      </c>
      <c r="C39" s="145" t="inlineStr">
        <is>
          <t>OceanTrix Robotics</t>
        </is>
      </c>
      <c r="D39" s="145" t="inlineStr">
        <is>
          <t>R2</t>
        </is>
      </c>
      <c r="E39" s="163" t="inlineStr">
        <is>
          <t>hand</t>
        </is>
      </c>
      <c r="F39" s="145" t="inlineStr">
        <is>
          <t>China</t>
        </is>
      </c>
      <c r="G39" s="145" t="n">
        <v>2025</v>
      </c>
      <c r="H39" s="148" t="n">
        <v>5500</v>
      </c>
      <c r="I39" s="145" t="inlineStr">
        <is>
          <t>Humanoid.guide list</t>
        </is>
      </c>
      <c r="J39" s="149" t="inlineStr">
        <is>
          <t>The OceanTrix R2 is a durable and precise robotic hand designed for industrial, research, and educational use, combining strong grip performance with easy integration.</t>
        </is>
      </c>
      <c r="K39" s="101" t="inlineStr">
        <is>
          <t>The OceanTrix R2 is a durable and precise robotic hand designed for industrial, research, and educational use, combining strong grip performance with easy integration.</t>
        </is>
      </c>
      <c r="L39" s="101" t="inlineStr">
        <is>
          <t>R2 is OceanTrix Robotics's dexterous hand, introduced around 2025 in China. The OceanTrix R2 is a durable and precise robotic hand designed for industrial, research, and educational use, combining strong grip performance with easy integration. Public status is listed as in production, and it is positioned for research / teleoperation; Industrial manipulation.</t>
        </is>
      </c>
      <c r="M39" s="101" t="inlineStr">
        <is>
          <t>Origin &amp; status — China · In production · 2025 | Performance — 6 DOF · 5 fingers · Payload 44.09 lb · Strength 20 kg | Sensing — Yes | Buying notes — $5,500 · 12 months manufacturer standard (typical dexterous-hand component) · Best fit: Research / teleoperation; Industrial manipulation</t>
        </is>
      </c>
      <c r="N39" s="150" t="inlineStr">
        <is>
          <t>https://humanoid.guide/product/r2/</t>
        </is>
      </c>
      <c r="O39" s="150" t="inlineStr">
        <is>
          <t>https://oceantrix.com/</t>
        </is>
      </c>
      <c r="P39" s="145" t="inlineStr">
        <is>
          <t>Not disclosed</t>
        </is>
      </c>
      <c r="Q39" s="145" t="n"/>
      <c r="R39" s="149" t="inlineStr">
        <is>
          <t>Not disclosed</t>
        </is>
      </c>
      <c r="S39" s="145" t="inlineStr">
        <is>
          <t>Not disclosed</t>
        </is>
      </c>
      <c r="T39" s="145" t="inlineStr">
        <is>
          <t>6</t>
        </is>
      </c>
      <c r="U39" s="149" t="inlineStr">
        <is>
          <t>5</t>
        </is>
      </c>
      <c r="V39" s="194" t="n">
        <v>44.09</v>
      </c>
      <c r="W39" s="194" t="n">
        <v>20</v>
      </c>
      <c r="X39" s="161" t="inlineStr">
        <is>
          <t>Yes</t>
        </is>
      </c>
      <c r="Y39" s="149" t="inlineStr">
        <is>
          <t>Yes</t>
        </is>
      </c>
      <c r="Z39" s="149" t="inlineStr">
        <is>
          <t>Electric actuators (servo-based, inferred from control system)</t>
        </is>
      </c>
      <c r="AA39" s="149" t="inlineStr">
        <is>
          <t>Aviation-grade aluminum + food-grade plastic</t>
        </is>
      </c>
      <c r="AB39" s="149" t="inlineStr">
        <is>
          <t>6 DOF · 5 fingers · 20 kg class strength · Tactile/force sensing · Electric actuators (servo-based, inferred from control system)</t>
        </is>
      </c>
      <c r="AC39" s="149" t="inlineStr">
        <is>
          <t>Research / teleoperation; Industrial manipulation</t>
        </is>
      </c>
      <c r="AD39" s="195" t="inlineStr">
        <is>
          <t>In production</t>
        </is>
      </c>
      <c r="AE39" s="145" t="inlineStr">
        <is>
          <t>In production</t>
        </is>
      </c>
      <c r="AF39" s="149" t="n"/>
      <c r="AG39" s="149" t="inlineStr">
        <is>
          <t>12 months manufacturer standard (typical dexterous-hand component)</t>
        </is>
      </c>
      <c r="AH39" s="145" t="n">
        <v>12</v>
      </c>
      <c r="AI39" s="149" t="inlineStr">
        <is>
          <t>+3 Year Extended ≈24% of configuration (default in configurator)</t>
        </is>
      </c>
      <c r="AJ39" s="145" t="inlineStr">
        <is>
          <t>End-effector category norm 2025–2026</t>
        </is>
      </c>
      <c r="AK39" s="145" t="inlineStr">
        <is>
          <t>Estimated</t>
        </is>
      </c>
      <c r="AL39" s="149" t="inlineStr">
        <is>
          <t>Skins, tendons, and tactile covers often wear items — confirm on OEM quote.</t>
        </is>
      </c>
      <c r="AM39" s="145" t="inlineStr">
        <is>
          <t>10%</t>
        </is>
      </c>
      <c r="AN39" s="145" t="inlineStr">
        <is>
          <t>17%</t>
        </is>
      </c>
      <c r="AO39" s="145" t="inlineStr">
        <is>
          <t>24%</t>
        </is>
      </c>
      <c r="AP39" s="149" t="inlineStr">
        <is>
          <t>+1yr ≈10% | +2yr ≈17% | +3yr ≈24% of selected configuration price.</t>
        </is>
      </c>
      <c r="AQ39" s="149" t="inlineStr">
        <is>
          <t>Profitable schedule (Aug 2026): +1yr ≈10% / +2yr ≈17% / +3yr ≈24% of configuration price. Calibrated for ~45–55% gross margin after expected robotics claim incidence (~10–14%/yr of covered units), avg claim cost ~25–30% of config, and admin 10–15% of premium.</t>
        </is>
      </c>
      <c r="AR39" s="101" t="inlineStr">
        <is>
          <t>[OceanTrix Robotics] R2 (2025)</t>
        </is>
      </c>
    </row>
    <row r="40" ht="33.75" customHeight="1" s="102">
      <c r="A40" s="159" t="inlineStr">
        <is>
          <t>hand_hero_rgd</t>
        </is>
      </c>
      <c r="B40" s="153" t="inlineStr">
        <is>
          <t>Humanoid.guide</t>
        </is>
      </c>
      <c r="C40" s="152" t="inlineStr">
        <is>
          <t>Open Bionics Ltd.</t>
        </is>
      </c>
      <c r="D40" s="152" t="inlineStr">
        <is>
          <t>Hero RGD</t>
        </is>
      </c>
      <c r="E40" s="163" t="inlineStr">
        <is>
          <t>hand</t>
        </is>
      </c>
      <c r="F40" s="152" t="inlineStr">
        <is>
          <t>UK</t>
        </is>
      </c>
      <c r="G40" s="152" t="n">
        <v>2025</v>
      </c>
      <c r="H40" s="155" t="n">
        <v>4500</v>
      </c>
      <c r="I40" s="152" t="inlineStr">
        <is>
          <t>Humanoid.guide list</t>
        </is>
      </c>
      <c r="J40" s="156" t="inlineStr">
        <is>
          <t>Hero RGD — a high-strength, 6-DoF robotic hand by Open Bionics, designed for reliable gripping and manipulation in humanoid, service, or industrial robotics.</t>
        </is>
      </c>
      <c r="K40" s="101" t="inlineStr">
        <is>
          <t>Hero RGD — a high-strength, 6-DoF robotic hand by Open Bionics, designed for reliable gripping and manipulation in humanoid, service, or industrial robotics.</t>
        </is>
      </c>
      <c r="L40" s="101" t="inlineStr">
        <is>
          <t>Hero RGD — a high-strength, 6-DoF robotic hand by Open Bionics, designed for reliable gripping and manipulation in humanoid, service, or industrial robotics. Public status is listed as in production, and it is positioned for prosthetic / bionic; Humanoid OEM; Industrial manipulation; Service / home.</t>
        </is>
      </c>
      <c r="M40" s="101" t="inlineStr">
        <is>
          <t>Origin &amp; status — UK · In production · 2025 | Performance — 6 DOF · 5 fingers · Payload 7.72 lb · Strength 3.5 kg | Sensing — No | Buying notes — $4,500 · 12 months manufacturer standard (typical dexterous-hand component) · Best fit: Prosthetic / bionic; Humanoid OEM; Industrial manipulation; Service / home</t>
        </is>
      </c>
      <c r="N40" s="157" t="inlineStr">
        <is>
          <t>https://humanoid.guide/product/hero-rgd/</t>
        </is>
      </c>
      <c r="O40" s="157" t="inlineStr">
        <is>
          <t>https://openbionics.com</t>
        </is>
      </c>
      <c r="P40" s="196" t="n">
        <v>1.76</v>
      </c>
      <c r="Q40" s="196" t="n">
        <v>0.8</v>
      </c>
      <c r="R40" s="156" t="inlineStr">
        <is>
          <t>human-hand sized</t>
        </is>
      </c>
      <c r="S40" s="152" t="inlineStr">
        <is>
          <t>Not disclosed</t>
        </is>
      </c>
      <c r="T40" s="152" t="inlineStr">
        <is>
          <t>6</t>
        </is>
      </c>
      <c r="U40" s="156" t="inlineStr">
        <is>
          <t>5</t>
        </is>
      </c>
      <c r="V40" s="196" t="n">
        <v>7.72</v>
      </c>
      <c r="W40" s="196" t="n">
        <v>3.5</v>
      </c>
      <c r="X40" s="162" t="inlineStr">
        <is>
          <t>No</t>
        </is>
      </c>
      <c r="Y40" s="156" t="inlineStr">
        <is>
          <t>No</t>
        </is>
      </c>
      <c r="Z40" s="156" t="inlineStr">
        <is>
          <t>Electric actuators with geared transmission</t>
        </is>
      </c>
      <c r="AA40" s="156" t="inlineStr">
        <is>
          <t>Lightweight high-strength polymers + metal joints</t>
        </is>
      </c>
      <c r="AB40" s="156" t="inlineStr">
        <is>
          <t>6 DOF · 5 fingers · 3.5 kg class strength · No tactile array published · Electric actuators with geared transmission · 0.8 kg</t>
        </is>
      </c>
      <c r="AC40" s="156" t="inlineStr">
        <is>
          <t>Prosthetic / bionic; Humanoid OEM; Industrial manipulation; Service / home</t>
        </is>
      </c>
      <c r="AD40" s="195" t="inlineStr">
        <is>
          <t>In production</t>
        </is>
      </c>
      <c r="AE40" s="152" t="inlineStr">
        <is>
          <t>In production</t>
        </is>
      </c>
      <c r="AF40" s="156" t="inlineStr">
        <is>
          <t>Weight published as ~600–800 g; midpoint used.</t>
        </is>
      </c>
      <c r="AG40" s="156" t="inlineStr">
        <is>
          <t>12 months manufacturer standard (typical dexterous-hand component)</t>
        </is>
      </c>
      <c r="AH40" s="152" t="n">
        <v>12</v>
      </c>
      <c r="AI40" s="156" t="inlineStr">
        <is>
          <t>+3 Year Extended ≈24% of configuration (default in configurator)</t>
        </is>
      </c>
      <c r="AJ40" s="152" t="inlineStr">
        <is>
          <t>End-effector category norm 2025–2026</t>
        </is>
      </c>
      <c r="AK40" s="152" t="inlineStr">
        <is>
          <t>Estimated</t>
        </is>
      </c>
      <c r="AL40" s="156" t="inlineStr">
        <is>
          <t>Skins, tendons, and tactile covers often wear items — confirm on OEM quote.</t>
        </is>
      </c>
      <c r="AM40" s="152" t="inlineStr">
        <is>
          <t>10%</t>
        </is>
      </c>
      <c r="AN40" s="152" t="inlineStr">
        <is>
          <t>17%</t>
        </is>
      </c>
      <c r="AO40" s="152" t="inlineStr">
        <is>
          <t>24%</t>
        </is>
      </c>
      <c r="AP40" s="156" t="inlineStr">
        <is>
          <t>+1yr ≈10% | +2yr ≈17% | +3yr ≈24% of selected configuration price.</t>
        </is>
      </c>
      <c r="AQ40" s="156" t="inlineStr">
        <is>
          <t>Profitable schedule (Aug 2026): +1yr ≈10% / +2yr ≈17% / +3yr ≈24% of configuration price. Calibrated for ~45–55% gross margin after expected robotics claim incidence (~10–14%/yr of covered units), avg claim cost ~25–30% of config, and admin 10–15% of premium.</t>
        </is>
      </c>
      <c r="AR40" s="101" t="inlineStr">
        <is>
          <t>[Open Bionics Ltd.] Hero RGD (2025)</t>
        </is>
      </c>
    </row>
    <row r="41" ht="33.75" customHeight="1" s="102">
      <c r="A41" s="143" t="inlineStr">
        <is>
          <t>hand_opendroids_dh116</t>
        </is>
      </c>
      <c r="B41" s="153" t="inlineStr">
        <is>
          <t>Humanoid.guide</t>
        </is>
      </c>
      <c r="C41" s="145" t="inlineStr">
        <is>
          <t>OpenDroids</t>
        </is>
      </c>
      <c r="D41" s="145" t="inlineStr">
        <is>
          <t>DH116</t>
        </is>
      </c>
      <c r="E41" s="163" t="inlineStr">
        <is>
          <t>hand</t>
        </is>
      </c>
      <c r="F41" s="145" t="inlineStr">
        <is>
          <t>USA</t>
        </is>
      </c>
      <c r="G41" s="145" t="n">
        <v>2026</v>
      </c>
      <c r="H41" s="148" t="n">
        <v>3100</v>
      </c>
      <c r="I41" s="145" t="inlineStr">
        <is>
          <t>Humanoid.guide list</t>
        </is>
      </c>
      <c r="J41" s="149" t="inlineStr">
        <is>
          <t>The OpenDroids DH116 is a versatile humanoid robotic hand designed for precise and powerful object manipulation in robotics and research applications.</t>
        </is>
      </c>
      <c r="K41" s="101" t="inlineStr">
        <is>
          <t>The OpenDroids DH116 is a versatile humanoid robotic hand designed for precise and powerful object manipulation in robotics and research applications.</t>
        </is>
      </c>
      <c r="L41" s="101" t="inlineStr">
        <is>
          <t>DH116 is OpenDroids's dexterous hand, introduced around 2026 in USA. The OpenDroids DH116 is a versatile humanoid robotic hand designed for precise and powerful object manipulation in robotics and research applications. Public status is listed as in production, and it is positioned for humanoid OEM; Research / teleoperation.</t>
        </is>
      </c>
      <c r="M41" s="101" t="inlineStr">
        <is>
          <t>Origin &amp; status — USA · In production · 2026 | Performance — 11 DOF · 5 fingers · Payload 66.14 lb · Strength 30 kg | Sensing — Yes | Buying notes — $3,100 · 12 months manufacturer standard (typical dexterous-hand component) · Best fit: Humanoid OEM; Research / teleoperation</t>
        </is>
      </c>
      <c r="N41" s="150" t="inlineStr">
        <is>
          <t>https://humanoid.guide/product/opendroids-dh116/</t>
        </is>
      </c>
      <c r="O41" s="150" t="inlineStr">
        <is>
          <t>https://www.opendroids.com</t>
        </is>
      </c>
      <c r="P41" s="194" t="n">
        <v>1.08</v>
      </c>
      <c r="Q41" s="194" t="n">
        <v>0.49</v>
      </c>
      <c r="R41" s="149" t="inlineStr">
        <is>
          <t>Not disclosed</t>
        </is>
      </c>
      <c r="S41" s="145" t="inlineStr">
        <is>
          <t>Not disclosed</t>
        </is>
      </c>
      <c r="T41" s="145" t="inlineStr">
        <is>
          <t>11</t>
        </is>
      </c>
      <c r="U41" s="149" t="inlineStr">
        <is>
          <t>5</t>
        </is>
      </c>
      <c r="V41" s="194" t="n">
        <v>66.14</v>
      </c>
      <c r="W41" s="194" t="n">
        <v>30</v>
      </c>
      <c r="X41" s="161" t="inlineStr">
        <is>
          <t>Yes</t>
        </is>
      </c>
      <c r="Y41" s="149" t="inlineStr">
        <is>
          <t>Yes</t>
        </is>
      </c>
      <c r="Z41" s="149" t="inlineStr">
        <is>
          <t>Frameless Torque Motors</t>
        </is>
      </c>
      <c r="AA41" s="149" t="inlineStr">
        <is>
          <t>Aluminum alloy and high-strength composites (assumed)</t>
        </is>
      </c>
      <c r="AB41" s="149" t="inlineStr">
        <is>
          <t>11 DOF · 5 fingers · 30 kg class strength · Tactile/force sensing · Frameless Torque Motors · 0.49 kg</t>
        </is>
      </c>
      <c r="AC41" s="149" t="inlineStr">
        <is>
          <t>Humanoid OEM; Research / teleoperation</t>
        </is>
      </c>
      <c r="AD41" s="195" t="inlineStr">
        <is>
          <t>In production</t>
        </is>
      </c>
      <c r="AE41" s="145" t="inlineStr">
        <is>
          <t>In production</t>
        </is>
      </c>
      <c r="AF41" s="149" t="n"/>
      <c r="AG41" s="149" t="inlineStr">
        <is>
          <t>12 months manufacturer standard (typical dexterous-hand component)</t>
        </is>
      </c>
      <c r="AH41" s="145" t="n">
        <v>12</v>
      </c>
      <c r="AI41" s="149" t="inlineStr">
        <is>
          <t>+3 Year Extended ≈24% of configuration (default in configurator)</t>
        </is>
      </c>
      <c r="AJ41" s="145" t="inlineStr">
        <is>
          <t>End-effector category norm 2025–2026</t>
        </is>
      </c>
      <c r="AK41" s="145" t="inlineStr">
        <is>
          <t>Estimated</t>
        </is>
      </c>
      <c r="AL41" s="149" t="inlineStr">
        <is>
          <t>Skins, tendons, and tactile covers often wear items — confirm on OEM quote.</t>
        </is>
      </c>
      <c r="AM41" s="145" t="inlineStr">
        <is>
          <t>10%</t>
        </is>
      </c>
      <c r="AN41" s="145" t="inlineStr">
        <is>
          <t>17%</t>
        </is>
      </c>
      <c r="AO41" s="145" t="inlineStr">
        <is>
          <t>24%</t>
        </is>
      </c>
      <c r="AP41" s="149" t="inlineStr">
        <is>
          <t>+1yr ≈10% | +2yr ≈17% | +3yr ≈24% of selected configuration price.</t>
        </is>
      </c>
      <c r="AQ41" s="149" t="inlineStr">
        <is>
          <t>Profitable schedule (Aug 2026): +1yr ≈10% / +2yr ≈17% / +3yr ≈24% of configuration price. Calibrated for ~45–55% gross margin after expected robotics claim incidence (~10–14%/yr of covered units), avg claim cost ~25–30% of config, and admin 10–15% of premium.</t>
        </is>
      </c>
      <c r="AR41" s="101" t="inlineStr">
        <is>
          <t>[OpenDroids] DH116 (2026)</t>
        </is>
      </c>
    </row>
    <row r="42" ht="33.75" customHeight="1" s="102">
      <c r="A42" s="159" t="inlineStr">
        <is>
          <t>hand_orca_v1</t>
        </is>
      </c>
      <c r="B42" s="153" t="inlineStr">
        <is>
          <t>Humanoid.guide</t>
        </is>
      </c>
      <c r="C42" s="152" t="inlineStr">
        <is>
          <t>ORCA Hand / Soft Robotics Lab (ETH Zürich)</t>
        </is>
      </c>
      <c r="D42" s="152" t="inlineStr">
        <is>
          <t>ORCA v1</t>
        </is>
      </c>
      <c r="E42" s="163" t="inlineStr">
        <is>
          <t>hand</t>
        </is>
      </c>
      <c r="F42" s="152" t="inlineStr">
        <is>
          <t>Switzerland</t>
        </is>
      </c>
      <c r="G42" s="152" t="n">
        <v>2026</v>
      </c>
      <c r="H42" s="155" t="n">
        <v>5889</v>
      </c>
      <c r="I42" s="152" t="inlineStr">
        <is>
          <t>Humanoid.guide list</t>
        </is>
      </c>
      <c r="J42" s="156" t="inlineStr">
        <is>
          <t>The ORCA v1 is an open-source, human-like robotic hand that blends realistic anatomy with accessible hardware.</t>
        </is>
      </c>
      <c r="K42" s="101" t="inlineStr">
        <is>
          <t>The ORCA v1 is an open-source, human-like robotic hand that blends realistic anatomy with accessible hardware.</t>
        </is>
      </c>
      <c r="L42" s="101" t="inlineStr">
        <is>
          <t>The ORCA v1 is an open-source, human-like robotic hand that blends realistic anatomy with accessible hardware. Public status is listed as in production, and it is positioned for research / teleoperation.</t>
        </is>
      </c>
      <c r="M42" s="101" t="inlineStr">
        <is>
          <t>Origin &amp; status — Switzerland · In production · 2026 | Performance — 17 DOF · 5 (5 (thumb + four fingers) — human-like hand configuration) fingers · Payload 26.46 lb · Strength 12 kg | Sensing — Yes | Buying notes — $5,889 · 12 months manufacturer standard (typical dexterous-hand component) · Best fit: Research / teleoperation</t>
        </is>
      </c>
      <c r="N42" s="157" t="inlineStr">
        <is>
          <t>https://humanoid.guide/product/orca-v1/</t>
        </is>
      </c>
      <c r="O42" s="157" t="inlineStr">
        <is>
          <t>https://srl.ethz.ch</t>
        </is>
      </c>
      <c r="P42" s="196" t="n">
        <v>2.87</v>
      </c>
      <c r="Q42" s="196" t="n">
        <v>1.3</v>
      </c>
      <c r="R42" s="156" t="inlineStr">
        <is>
          <t>anthropomorphic, roughly human-hand sized</t>
        </is>
      </c>
      <c r="S42" s="152" t="inlineStr">
        <is>
          <t>Not disclosed</t>
        </is>
      </c>
      <c r="T42" s="152" t="inlineStr">
        <is>
          <t>17</t>
        </is>
      </c>
      <c r="U42" s="156" t="inlineStr">
        <is>
          <t>5 (5 (thumb + four fingers) — human-like hand configuration)</t>
        </is>
      </c>
      <c r="V42" s="196" t="n">
        <v>26.46</v>
      </c>
      <c r="W42" s="196" t="n">
        <v>12</v>
      </c>
      <c r="X42" s="161" t="inlineStr">
        <is>
          <t>Yes</t>
        </is>
      </c>
      <c r="Y42" s="156" t="inlineStr">
        <is>
          <t>Yes</t>
        </is>
      </c>
      <c r="Z42" s="156" t="inlineStr">
        <is>
          <t>Uses Dynamixel servos (e.g. XC330-T228T and XC430-T240BB-T)</t>
        </is>
      </c>
      <c r="AA42" s="156" t="inlineStr">
        <is>
          <t>3D-printed parts (e.g. PLA or similar), covered with silicone cast skin for compliance and tactile grip</t>
        </is>
      </c>
      <c r="AB42" s="156" t="inlineStr">
        <is>
          <t>17 DOF · 5 fingers · 12 kg class strength · Tactile/force sensing · Uses Dynamixel servos (e.g. XC330-T228T and XC430-T240BB-T) · 1.3 kg</t>
        </is>
      </c>
      <c r="AC42" s="156" t="inlineStr">
        <is>
          <t>Research / teleoperation</t>
        </is>
      </c>
      <c r="AD42" s="195" t="inlineStr">
        <is>
          <t>In production</t>
        </is>
      </c>
      <c r="AE42" s="152" t="inlineStr">
        <is>
          <t>In production</t>
        </is>
      </c>
      <c r="AF42" s="156" t="n"/>
      <c r="AG42" s="156" t="inlineStr">
        <is>
          <t>12 months manufacturer standard (typical dexterous-hand component)</t>
        </is>
      </c>
      <c r="AH42" s="152" t="n">
        <v>12</v>
      </c>
      <c r="AI42" s="156" t="inlineStr">
        <is>
          <t>+3 Year Extended ≈24% of configuration (default in configurator)</t>
        </is>
      </c>
      <c r="AJ42" s="152" t="inlineStr">
        <is>
          <t>End-effector category norm 2025–2026</t>
        </is>
      </c>
      <c r="AK42" s="152" t="inlineStr">
        <is>
          <t>Estimated</t>
        </is>
      </c>
      <c r="AL42" s="156" t="inlineStr">
        <is>
          <t>Skins, tendons, and tactile covers often wear items — confirm on OEM quote.</t>
        </is>
      </c>
      <c r="AM42" s="152" t="inlineStr">
        <is>
          <t>10%</t>
        </is>
      </c>
      <c r="AN42" s="152" t="inlineStr">
        <is>
          <t>17%</t>
        </is>
      </c>
      <c r="AO42" s="152" t="inlineStr">
        <is>
          <t>24%</t>
        </is>
      </c>
      <c r="AP42" s="156" t="inlineStr">
        <is>
          <t>+1yr ≈10% | +2yr ≈17% | +3yr ≈24% of selected configuration price.</t>
        </is>
      </c>
      <c r="AQ42" s="156" t="inlineStr">
        <is>
          <t>Profitable schedule (Aug 2026): +1yr ≈10% / +2yr ≈17% / +3yr ≈24% of configuration price. Calibrated for ~45–55% gross margin after expected robotics claim incidence (~10–14%/yr of covered units), avg claim cost ~25–30% of config, and admin 10–15% of premium.</t>
        </is>
      </c>
      <c r="AR42" s="101" t="inlineStr">
        <is>
          <t>[ORCA Hand / Soft Robotics Lab (ETH Zürich)] ORCA v1 (2026)</t>
        </is>
      </c>
    </row>
    <row r="43" ht="33.75" customHeight="1" s="102">
      <c r="A43" s="143" t="inlineStr">
        <is>
          <t>hand_orcahand</t>
        </is>
      </c>
      <c r="B43" s="153" t="inlineStr">
        <is>
          <t>Humanoid.guide</t>
        </is>
      </c>
      <c r="C43" s="145" t="inlineStr">
        <is>
          <t>ORCA Hand / Soft Robotics Lab (ETH Zürich)</t>
        </is>
      </c>
      <c r="D43" s="145" t="inlineStr">
        <is>
          <t>OrcaHand</t>
        </is>
      </c>
      <c r="E43" s="163" t="inlineStr">
        <is>
          <t>hand</t>
        </is>
      </c>
      <c r="F43" s="145" t="inlineStr">
        <is>
          <t>Switzerland</t>
        </is>
      </c>
      <c r="G43" s="145" t="n">
        <v>2026</v>
      </c>
      <c r="H43" s="148" t="n">
        <v>3500</v>
      </c>
      <c r="I43" s="145" t="inlineStr">
        <is>
          <t>Humanoid.guide list</t>
        </is>
      </c>
      <c r="J43" s="149" t="inlineStr">
        <is>
          <t>The OrcaHand is a human-like robotic hand built for dexterous manipulation and robotics research.</t>
        </is>
      </c>
      <c r="K43" s="101" t="inlineStr">
        <is>
          <t>The OrcaHand is a human-like robotic hand built for dexterous manipulation and robotics research.</t>
        </is>
      </c>
      <c r="L43" s="101" t="inlineStr">
        <is>
          <t>The OrcaHand is a human-like robotic hand built for dexterous manipulation and robotics research. Public status is listed as in production, and it is positioned for research / teleoperation.</t>
        </is>
      </c>
      <c r="M43" s="101" t="inlineStr">
        <is>
          <t>Origin &amp; status — Switzerland · In production · 2026 | Performance — 17 DOF · 5 fingers · Payload 11.02 lb · Strength 5 kg | Sensing — Yes | Buying notes — $3,500 · 12 months manufacturer standard (typical dexterous-hand component) · Best fit: Research / teleoperation</t>
        </is>
      </c>
      <c r="N43" s="150" t="inlineStr">
        <is>
          <t>https://humanoid.guide/product/orcahand/</t>
        </is>
      </c>
      <c r="O43" s="150" t="inlineStr">
        <is>
          <t>https://srl.ethz.ch</t>
        </is>
      </c>
      <c r="P43" s="194" t="n">
        <v>2.65</v>
      </c>
      <c r="Q43" s="194" t="n">
        <v>1.2</v>
      </c>
      <c r="R43" s="149" t="inlineStr">
        <is>
          <t>Human-hand sized, anthropomorphic design</t>
        </is>
      </c>
      <c r="S43" s="145" t="inlineStr">
        <is>
          <t>Not disclosed</t>
        </is>
      </c>
      <c r="T43" s="145" t="inlineStr">
        <is>
          <t>17</t>
        </is>
      </c>
      <c r="U43" s="149" t="inlineStr">
        <is>
          <t>5</t>
        </is>
      </c>
      <c r="V43" s="194" t="n">
        <v>11.02</v>
      </c>
      <c r="W43" s="194" t="n">
        <v>5</v>
      </c>
      <c r="X43" s="161" t="inlineStr">
        <is>
          <t>Yes</t>
        </is>
      </c>
      <c r="Y43" s="149" t="inlineStr">
        <is>
          <t>Yes</t>
        </is>
      </c>
      <c r="Z43" s="149" t="inlineStr">
        <is>
          <t>DYNAMIXEL servo motors with tendon-driven actuation</t>
        </is>
      </c>
      <c r="AA43" s="149" t="inlineStr">
        <is>
          <t>3D-printed components with silicone skin for compliant contact</t>
        </is>
      </c>
      <c r="AB43" s="149" t="inlineStr">
        <is>
          <t>17 DOF · 5 fingers · 5 kg class strength · Tactile/force sensing · DYNAMIXEL servo motors with tendon-driven actuation · 1.2 kg</t>
        </is>
      </c>
      <c r="AC43" s="149" t="inlineStr">
        <is>
          <t>Research / teleoperation</t>
        </is>
      </c>
      <c r="AD43" s="195" t="inlineStr">
        <is>
          <t>In production</t>
        </is>
      </c>
      <c r="AE43" s="145" t="inlineStr">
        <is>
          <t>In production</t>
        </is>
      </c>
      <c r="AF43" s="149" t="n"/>
      <c r="AG43" s="149" t="inlineStr">
        <is>
          <t>12 months manufacturer standard (typical dexterous-hand component)</t>
        </is>
      </c>
      <c r="AH43" s="145" t="n">
        <v>12</v>
      </c>
      <c r="AI43" s="149" t="inlineStr">
        <is>
          <t>+3 Year Extended ≈24% of configuration (default in configurator)</t>
        </is>
      </c>
      <c r="AJ43" s="145" t="inlineStr">
        <is>
          <t>End-effector category norm 2025–2026</t>
        </is>
      </c>
      <c r="AK43" s="145" t="inlineStr">
        <is>
          <t>Estimated</t>
        </is>
      </c>
      <c r="AL43" s="149" t="inlineStr">
        <is>
          <t>Skins, tendons, and tactile covers often wear items — confirm on OEM quote.</t>
        </is>
      </c>
      <c r="AM43" s="145" t="inlineStr">
        <is>
          <t>10%</t>
        </is>
      </c>
      <c r="AN43" s="145" t="inlineStr">
        <is>
          <t>17%</t>
        </is>
      </c>
      <c r="AO43" s="145" t="inlineStr">
        <is>
          <t>24%</t>
        </is>
      </c>
      <c r="AP43" s="149" t="inlineStr">
        <is>
          <t>+1yr ≈10% | +2yr ≈17% | +3yr ≈24% of selected configuration price.</t>
        </is>
      </c>
      <c r="AQ43" s="149" t="inlineStr">
        <is>
          <t>Profitable schedule (Aug 2026): +1yr ≈10% / +2yr ≈17% / +3yr ≈24% of configuration price. Calibrated for ~45–55% gross margin after expected robotics claim incidence (~10–14%/yr of covered units), avg claim cost ~25–30% of config, and admin 10–15% of premium.</t>
        </is>
      </c>
      <c r="AR43" s="101" t="inlineStr">
        <is>
          <t>[ORCA Hand / Soft Robotics Lab (ETH Zürich)] OrcaHand (2026)</t>
        </is>
      </c>
    </row>
    <row r="44" ht="33.75" customHeight="1" s="102">
      <c r="A44" s="159" t="inlineStr">
        <is>
          <t>hand_orcahand_lite</t>
        </is>
      </c>
      <c r="B44" s="153" t="inlineStr">
        <is>
          <t>Humanoid.guide</t>
        </is>
      </c>
      <c r="C44" s="152" t="inlineStr">
        <is>
          <t>ORCA Hand / Soft Robotics Lab (ETH Zürich)</t>
        </is>
      </c>
      <c r="D44" s="152" t="inlineStr">
        <is>
          <t>OrcaHand Lite</t>
        </is>
      </c>
      <c r="E44" s="163" t="inlineStr">
        <is>
          <t>hand</t>
        </is>
      </c>
      <c r="F44" s="152" t="inlineStr">
        <is>
          <t>Switzerland</t>
        </is>
      </c>
      <c r="G44" s="152" t="n">
        <v>2026</v>
      </c>
      <c r="H44" s="155" t="n">
        <v>1500</v>
      </c>
      <c r="I44" s="152" t="inlineStr">
        <is>
          <t>Humanoid.guide list</t>
        </is>
      </c>
      <c r="J44" s="156" t="inlineStr">
        <is>
          <t>The OrcaHand Lite is a lightweight, human-like robotic hand designed for practical manipulation and easy integration.</t>
        </is>
      </c>
      <c r="K44" s="101" t="inlineStr">
        <is>
          <t>The OrcaHand Lite is a lightweight, human-like robotic hand designed for practical manipulation and easy integration.</t>
        </is>
      </c>
      <c r="L44" s="101" t="inlineStr">
        <is>
          <t>The OrcaHand Lite is a lightweight, human-like robotic hand designed for practical manipulation and easy integration. Public status is listed as in production, and it is positioned for dexterous manipulation.</t>
        </is>
      </c>
      <c r="M44" s="101" t="inlineStr">
        <is>
          <t>Origin &amp; status — Switzerland · In production · 2026 | Performance — 9 DOF · 5 fingers · Payload 6.61 lb · Strength 3 kg | Sensing — Yes | Buying notes — $1,500 · 12 months manufacturer standard (typical dexterous-hand component) · Best fit: Dexterous manipulation</t>
        </is>
      </c>
      <c r="N44" s="157" t="inlineStr">
        <is>
          <t>https://humanoid.guide/product/orcahand-lite/</t>
        </is>
      </c>
      <c r="O44" s="157" t="inlineStr">
        <is>
          <t>https://srl.ethz.ch</t>
        </is>
      </c>
      <c r="P44" s="196" t="n">
        <v>1.54</v>
      </c>
      <c r="Q44" s="196" t="n">
        <v>0.7</v>
      </c>
      <c r="R44" s="156" t="inlineStr">
        <is>
          <t>Human-hand sized, anthropomorphic design</t>
        </is>
      </c>
      <c r="S44" s="152" t="inlineStr">
        <is>
          <t>Not disclosed</t>
        </is>
      </c>
      <c r="T44" s="152" t="inlineStr">
        <is>
          <t>9</t>
        </is>
      </c>
      <c r="U44" s="156" t="inlineStr">
        <is>
          <t>5</t>
        </is>
      </c>
      <c r="V44" s="196" t="n">
        <v>6.61</v>
      </c>
      <c r="W44" s="196" t="n">
        <v>3</v>
      </c>
      <c r="X44" s="161" t="inlineStr">
        <is>
          <t>Yes</t>
        </is>
      </c>
      <c r="Y44" s="156" t="inlineStr">
        <is>
          <t>Yes</t>
        </is>
      </c>
      <c r="Z44" s="156" t="inlineStr">
        <is>
          <t>Feetech HL-3915 + HL-3930</t>
        </is>
      </c>
      <c r="AA44" s="156" t="inlineStr">
        <is>
          <t>3D-printed components with silicone skin for compliant contact</t>
        </is>
      </c>
      <c r="AB44" s="156" t="inlineStr">
        <is>
          <t>9 DOF · 5 fingers · 3 kg class strength · Tactile/force sensing · Feetech HL-3915 + HL-3930 · 0.7 kg</t>
        </is>
      </c>
      <c r="AC44" s="156" t="inlineStr">
        <is>
          <t>Dexterous manipulation</t>
        </is>
      </c>
      <c r="AD44" s="195" t="inlineStr">
        <is>
          <t>In production</t>
        </is>
      </c>
      <c r="AE44" s="152" t="inlineStr">
        <is>
          <t>In production</t>
        </is>
      </c>
      <c r="AF44" s="156" t="n"/>
      <c r="AG44" s="156" t="inlineStr">
        <is>
          <t>12 months manufacturer standard (typical dexterous-hand component)</t>
        </is>
      </c>
      <c r="AH44" s="152" t="n">
        <v>12</v>
      </c>
      <c r="AI44" s="156" t="inlineStr">
        <is>
          <t>+3 Year Extended ≈24% of configuration (default in configurator)</t>
        </is>
      </c>
      <c r="AJ44" s="152" t="inlineStr">
        <is>
          <t>End-effector category norm 2025–2026</t>
        </is>
      </c>
      <c r="AK44" s="152" t="inlineStr">
        <is>
          <t>Estimated</t>
        </is>
      </c>
      <c r="AL44" s="156" t="inlineStr">
        <is>
          <t>Skins, tendons, and tactile covers often wear items — confirm on OEM quote.</t>
        </is>
      </c>
      <c r="AM44" s="152" t="inlineStr">
        <is>
          <t>10%</t>
        </is>
      </c>
      <c r="AN44" s="152" t="inlineStr">
        <is>
          <t>17%</t>
        </is>
      </c>
      <c r="AO44" s="152" t="inlineStr">
        <is>
          <t>24%</t>
        </is>
      </c>
      <c r="AP44" s="156" t="inlineStr">
        <is>
          <t>+1yr ≈10% | +2yr ≈17% | +3yr ≈24% of selected configuration price.</t>
        </is>
      </c>
      <c r="AQ44" s="156" t="inlineStr">
        <is>
          <t>Profitable schedule (Aug 2026): +1yr ≈10% / +2yr ≈17% / +3yr ≈24% of configuration price. Calibrated for ~45–55% gross margin after expected robotics claim incidence (~10–14%/yr of covered units), avg claim cost ~25–30% of config, and admin 10–15% of premium.</t>
        </is>
      </c>
      <c r="AR44" s="101" t="inlineStr">
        <is>
          <t>[ORCA Hand / Soft Robotics Lab (ETH Zürich)] OrcaHand Lite (2026)</t>
        </is>
      </c>
    </row>
    <row r="45" ht="33.75" customHeight="1" s="102">
      <c r="A45" s="143" t="inlineStr">
        <is>
          <t>hand_orcahand_touch</t>
        </is>
      </c>
      <c r="B45" s="153" t="inlineStr">
        <is>
          <t>Humanoid.guide</t>
        </is>
      </c>
      <c r="C45" s="145" t="inlineStr">
        <is>
          <t>ORCA Hand / Soft Robotics Lab (ETH Zürich)</t>
        </is>
      </c>
      <c r="D45" s="145" t="inlineStr">
        <is>
          <t>OrcaHand Touch</t>
        </is>
      </c>
      <c r="E45" s="163" t="inlineStr">
        <is>
          <t>hand</t>
        </is>
      </c>
      <c r="F45" s="145" t="inlineStr">
        <is>
          <t>Switzerland</t>
        </is>
      </c>
      <c r="G45" s="145" t="n">
        <v>2026</v>
      </c>
      <c r="H45" s="148" t="n">
        <v>6100</v>
      </c>
      <c r="I45" s="145" t="inlineStr">
        <is>
          <t>Humanoid.guide list</t>
        </is>
      </c>
      <c r="J45" s="149" t="inlineStr">
        <is>
          <t>The OrcaHand Touch is a tactile-enabled humanoid robotic hand designed for precise and adaptive manipulation.</t>
        </is>
      </c>
      <c r="K45" s="101" t="inlineStr">
        <is>
          <t>The OrcaHand Touch is a tactile-enabled humanoid robotic hand designed for precise and adaptive manipulation.</t>
        </is>
      </c>
      <c r="L45" s="101" t="inlineStr">
        <is>
          <t>The OrcaHand Touch is a tactile-enabled humanoid robotic hand designed for precise and adaptive manipulation. Public status is listed as in production, and it is positioned for humanoid OEM.</t>
        </is>
      </c>
      <c r="M45" s="101" t="inlineStr">
        <is>
          <t>Origin &amp; status — Switzerland · In production · 2026 | Performance — 17 DOF · 5 fingers · Payload 15.43 lb · Strength 7 kg | Sensing — Yes | Buying notes — $6,100 · 12 months manufacturer standard (typical dexterous-hand component) · Best fit: Humanoid OEM</t>
        </is>
      </c>
      <c r="N45" s="150" t="inlineStr">
        <is>
          <t>https://humanoid.guide/product/orcahand-touch/</t>
        </is>
      </c>
      <c r="O45" s="150" t="inlineStr">
        <is>
          <t>https://srl.ethz.ch</t>
        </is>
      </c>
      <c r="P45" s="194" t="n">
        <v>2.65</v>
      </c>
      <c r="Q45" s="194" t="n">
        <v>1.2</v>
      </c>
      <c r="R45" s="149" t="inlineStr">
        <is>
          <t>Human-hand sized, anthropomorphic design</t>
        </is>
      </c>
      <c r="S45" s="145" t="inlineStr">
        <is>
          <t>Not disclosed</t>
        </is>
      </c>
      <c r="T45" s="145" t="inlineStr">
        <is>
          <t>17</t>
        </is>
      </c>
      <c r="U45" s="149" t="inlineStr">
        <is>
          <t>5</t>
        </is>
      </c>
      <c r="V45" s="194" t="n">
        <v>15.43</v>
      </c>
      <c r="W45" s="194" t="n">
        <v>7</v>
      </c>
      <c r="X45" s="161" t="inlineStr">
        <is>
          <t>Yes</t>
        </is>
      </c>
      <c r="Y45" s="149" t="inlineStr">
        <is>
          <t>Yes</t>
        </is>
      </c>
      <c r="Z45" s="149" t="inlineStr">
        <is>
          <t>Dynamixel XC330-T288 + XC430-T240BB / Feetech HL-3915 + HL-3930</t>
        </is>
      </c>
      <c r="AA45" s="149" t="inlineStr">
        <is>
          <t>3D-printed components with silicone skin for compliant contact</t>
        </is>
      </c>
      <c r="AB45" s="149" t="inlineStr">
        <is>
          <t>17 DOF · 5 fingers · 7 kg class strength · Tactile/force sensing · Dynamixel XC330-T288 + XC430-T240BB / Feetech HL-3915 + HL-3930 · 1.2 kg</t>
        </is>
      </c>
      <c r="AC45" s="149" t="inlineStr">
        <is>
          <t>Humanoid OEM</t>
        </is>
      </c>
      <c r="AD45" s="195" t="inlineStr">
        <is>
          <t>In production</t>
        </is>
      </c>
      <c r="AE45" s="145" t="inlineStr">
        <is>
          <t>In production</t>
        </is>
      </c>
      <c r="AF45" s="149" t="n"/>
      <c r="AG45" s="149" t="inlineStr">
        <is>
          <t>12 months manufacturer standard (typical dexterous-hand component)</t>
        </is>
      </c>
      <c r="AH45" s="145" t="n">
        <v>12</v>
      </c>
      <c r="AI45" s="149" t="inlineStr">
        <is>
          <t>+3 Year Extended ≈24% of configuration (default in configurator)</t>
        </is>
      </c>
      <c r="AJ45" s="145" t="inlineStr">
        <is>
          <t>End-effector category norm 2025–2026</t>
        </is>
      </c>
      <c r="AK45" s="145" t="inlineStr">
        <is>
          <t>Estimated</t>
        </is>
      </c>
      <c r="AL45" s="149" t="inlineStr">
        <is>
          <t>Skins, tendons, and tactile covers often wear items — confirm on OEM quote.</t>
        </is>
      </c>
      <c r="AM45" s="145" t="inlineStr">
        <is>
          <t>10%</t>
        </is>
      </c>
      <c r="AN45" s="145" t="inlineStr">
        <is>
          <t>17%</t>
        </is>
      </c>
      <c r="AO45" s="145" t="inlineStr">
        <is>
          <t>24%</t>
        </is>
      </c>
      <c r="AP45" s="149" t="inlineStr">
        <is>
          <t>+1yr ≈10% | +2yr ≈17% | +3yr ≈24% of selected configuration price.</t>
        </is>
      </c>
      <c r="AQ45" s="149" t="inlineStr">
        <is>
          <t>Profitable schedule (Aug 2026): +1yr ≈10% / +2yr ≈17% / +3yr ≈24% of configuration price. Calibrated for ~45–55% gross margin after expected robotics claim incidence (~10–14%/yr of covered units), avg claim cost ~25–30% of config, and admin 10–15% of premium.</t>
        </is>
      </c>
      <c r="AR45" s="101" t="inlineStr">
        <is>
          <t>[ORCA Hand / Soft Robotics Lab (ETH Zürich)] OrcaHand Touch (2026)</t>
        </is>
      </c>
    </row>
    <row r="46" ht="33.75" customHeight="1" s="102">
      <c r="A46" s="159" t="inlineStr">
        <is>
          <t>hand_ro_hand</t>
        </is>
      </c>
      <c r="B46" s="153" t="inlineStr">
        <is>
          <t>Humanoid.guide</t>
        </is>
      </c>
      <c r="C46" s="152" t="inlineStr">
        <is>
          <t>OYMotion Technology</t>
        </is>
      </c>
      <c r="D46" s="152" t="inlineStr">
        <is>
          <t>ROHand</t>
        </is>
      </c>
      <c r="E46" s="163" t="inlineStr">
        <is>
          <t>hand</t>
        </is>
      </c>
      <c r="F46" s="152" t="inlineStr">
        <is>
          <t>China</t>
        </is>
      </c>
      <c r="G46" s="152" t="n">
        <v>2025</v>
      </c>
      <c r="H46" s="155" t="n">
        <v>9750</v>
      </c>
      <c r="I46" s="152" t="inlineStr">
        <is>
          <t>Humanoid.guide list</t>
        </is>
      </c>
      <c r="J46" s="156" t="inlineStr">
        <is>
          <t>ROHand by OYMotion is a lightweight, human-scale five-finger robotic hand — offering independent finger control, human-like motion, and a strong grip — ideal for robotics, automation, and prosthetic applications.</t>
        </is>
      </c>
      <c r="K46" s="101" t="inlineStr">
        <is>
          <t>ROHand by OYMotion is a lightweight, human-scale five-finger robotic hand — offering independent finger control, human-like motion, and a strong grip — ideal for robotics, automation, and prosthetic applications.</t>
        </is>
      </c>
      <c r="L46" s="101" t="inlineStr">
        <is>
          <t>ROHand by OYMotion is a lightweight, human-scale five-finger robotic hand — offering independent finger control, human-like motion, and a strong grip — ideal for robotics, automation, and prosthetic applications. Public status is listed as in production, and it is positioned for prosthetic / bionic.</t>
        </is>
      </c>
      <c r="M46" s="101" t="inlineStr">
        <is>
          <t>Origin &amp; status — China · In production · 2025 | Performance — 11 DOF · 5 (5 per hand) fingers · Payload 66.14 lb · Strength 30 kg | Sensing — Yes | Buying notes — $9,750 · 12 months manufacturer standard (typical dexterous-hand component) · Best fit: Prosthetic / bionic</t>
        </is>
      </c>
      <c r="N46" s="157" t="inlineStr">
        <is>
          <t>https://humanoid.guide/product/ro-hand/</t>
        </is>
      </c>
      <c r="O46" s="157" t="inlineStr">
        <is>
          <t>https://www.oymotion.com/</t>
        </is>
      </c>
      <c r="P46" s="196" t="n">
        <v>1.19</v>
      </c>
      <c r="Q46" s="196" t="n">
        <v>0.54</v>
      </c>
      <c r="R46" s="156" t="inlineStr">
        <is>
          <t>Middle fingertip to wrist: 184 mm; Palm width: 83 mm; Thumb tip to wrist: 93 mm.</t>
        </is>
      </c>
      <c r="S46" s="152" t="inlineStr">
        <is>
          <t>184 × 83 × 93 in</t>
        </is>
      </c>
      <c r="T46" s="152" t="inlineStr">
        <is>
          <t>11</t>
        </is>
      </c>
      <c r="U46" s="156" t="inlineStr">
        <is>
          <t>5 (5 per hand)</t>
        </is>
      </c>
      <c r="V46" s="196" t="n">
        <v>66.14</v>
      </c>
      <c r="W46" s="196" t="n">
        <v>30</v>
      </c>
      <c r="X46" s="161" t="inlineStr">
        <is>
          <t>Yes</t>
        </is>
      </c>
      <c r="Y46" s="156" t="inlineStr">
        <is>
          <t>Yes</t>
        </is>
      </c>
      <c r="Z46" s="156" t="inlineStr">
        <is>
          <t>Integrated motor drivers with embedded control (PID motor-control) for active finger motion</t>
        </is>
      </c>
      <c r="AA46" s="156" t="inlineStr">
        <is>
          <t>Zinc alloy and aluminum alloy</t>
        </is>
      </c>
      <c r="AB46" s="156" t="inlineStr">
        <is>
          <t>11 DOF · 5 fingers · 30 kg class strength · Tactile/force sensing · Integrated motor drivers with embedded control (PID motor-control) for active finger mo… · 0.54 kg</t>
        </is>
      </c>
      <c r="AC46" s="156" t="inlineStr">
        <is>
          <t>Prosthetic / bionic</t>
        </is>
      </c>
      <c r="AD46" s="195" t="inlineStr">
        <is>
          <t>In production</t>
        </is>
      </c>
      <c r="AE46" s="152" t="inlineStr">
        <is>
          <t>In production</t>
        </is>
      </c>
      <c r="AF46" s="156" t="n"/>
      <c r="AG46" s="156" t="inlineStr">
        <is>
          <t>12 months manufacturer standard (typical dexterous-hand component)</t>
        </is>
      </c>
      <c r="AH46" s="152" t="n">
        <v>12</v>
      </c>
      <c r="AI46" s="156" t="inlineStr">
        <is>
          <t>+3 Year Extended ≈24% of configuration (default in configurator)</t>
        </is>
      </c>
      <c r="AJ46" s="152" t="inlineStr">
        <is>
          <t>End-effector category norm 2025–2026</t>
        </is>
      </c>
      <c r="AK46" s="152" t="inlineStr">
        <is>
          <t>Estimated</t>
        </is>
      </c>
      <c r="AL46" s="156" t="inlineStr">
        <is>
          <t>Skins, tendons, and tactile covers often wear items — confirm on OEM quote.</t>
        </is>
      </c>
      <c r="AM46" s="152" t="inlineStr">
        <is>
          <t>10%</t>
        </is>
      </c>
      <c r="AN46" s="152" t="inlineStr">
        <is>
          <t>17%</t>
        </is>
      </c>
      <c r="AO46" s="152" t="inlineStr">
        <is>
          <t>24%</t>
        </is>
      </c>
      <c r="AP46" s="156" t="inlineStr">
        <is>
          <t>+1yr ≈10% | +2yr ≈17% | +3yr ≈24% of selected configuration price.</t>
        </is>
      </c>
      <c r="AQ46" s="156" t="inlineStr">
        <is>
          <t>Profitable schedule (Aug 2026): +1yr ≈10% / +2yr ≈17% / +3yr ≈24% of configuration price. Calibrated for ~45–55% gross margin after expected robotics claim incidence (~10–14%/yr of covered units), avg claim cost ~25–30% of config, and admin 10–15% of premium.</t>
        </is>
      </c>
      <c r="AR46" s="101" t="inlineStr">
        <is>
          <t>[OYMotion Technology] ROHand (2025)</t>
        </is>
      </c>
    </row>
    <row r="47" ht="33.75" customHeight="1" s="102">
      <c r="A47" s="143" t="inlineStr">
        <is>
          <t>hand_dexh13</t>
        </is>
      </c>
      <c r="B47" s="153" t="inlineStr">
        <is>
          <t>Humanoid.guide</t>
        </is>
      </c>
      <c r="C47" s="145" t="inlineStr">
        <is>
          <t>PaXini (PaXini Tech)</t>
        </is>
      </c>
      <c r="D47" s="145" t="inlineStr">
        <is>
          <t>DexH13</t>
        </is>
      </c>
      <c r="E47" s="163" t="inlineStr">
        <is>
          <t>hand</t>
        </is>
      </c>
      <c r="F47" s="145" t="inlineStr">
        <is>
          <t>China</t>
        </is>
      </c>
      <c r="G47" s="145" t="n">
        <v>2025</v>
      </c>
      <c r="H47" s="148" t="n">
        <v>17200</v>
      </c>
      <c r="I47" s="145" t="inlineStr">
        <is>
          <t>Humanoid.guide list</t>
        </is>
      </c>
      <c r="J47" s="149" t="inlineStr">
        <is>
          <t>[PaXini (PaXini Tech)] DexH13 (2025) is a dexterous hand from PaXini (PaXini Tech) (China, 2025), positioned for dexterous manipulation.</t>
        </is>
      </c>
      <c r="K47" s="101" t="inlineStr">
        <is>
          <t>[PaXini (PaXini Tech)] DexH13 (2025) is a dexterous hand from PaXini (PaXini Tech) (China, 2025), positioned for dexterous manipulation.</t>
        </is>
      </c>
      <c r="L47" s="101" t="inlineStr">
        <is>
          <t>DexH13 is PaXini (PaXini Tech)'s dexterous hand, introduced around 2025 in China. [PaXini (PaXini Tech)] DexH13 (2025) is a dexterous hand from PaXini (PaXini Tech) (China, 2025), positioned for dexterous manipulation. Public status is listed as in production.</t>
        </is>
      </c>
      <c r="M47" s="101" t="inlineStr">
        <is>
          <t>Origin &amp; status — China · In production · 2025 | Performance — 16 DOF · 4 fingers · Payload 11.02 lb · Strength 5 kg | Sensing — Yes | Buying notes — $17,200 · 12 months manufacturer standard (typical dexterous-hand component) · Best fit: Dexterous manipulation</t>
        </is>
      </c>
      <c r="N47" s="150" t="inlineStr">
        <is>
          <t>https://humanoid.guide/product/dexh13/</t>
        </is>
      </c>
      <c r="O47" s="150" t="inlineStr">
        <is>
          <t>https://www.paxini.com</t>
        </is>
      </c>
      <c r="P47" s="194" t="n">
        <v>2.2</v>
      </c>
      <c r="Q47" s="194" t="n">
        <v>1</v>
      </c>
      <c r="R47" s="149" t="inlineStr">
        <is>
          <t>Not disclosed</t>
        </is>
      </c>
      <c r="S47" s="145" t="inlineStr">
        <is>
          <t>Not disclosed</t>
        </is>
      </c>
      <c r="T47" s="145" t="inlineStr">
        <is>
          <t>16</t>
        </is>
      </c>
      <c r="U47" s="149" t="inlineStr">
        <is>
          <t>4</t>
        </is>
      </c>
      <c r="V47" s="194" t="n">
        <v>11.02</v>
      </c>
      <c r="W47" s="194" t="n">
        <v>5</v>
      </c>
      <c r="X47" s="161" t="inlineStr">
        <is>
          <t>Yes</t>
        </is>
      </c>
      <c r="Y47" s="149" t="inlineStr">
        <is>
          <t>Yes</t>
        </is>
      </c>
      <c r="Z47" s="149" t="inlineStr">
        <is>
          <t>Hollow-cup motors drive the joints</t>
        </is>
      </c>
      <c r="AA47" s="149" t="inlineStr">
        <is>
          <t>metal alloys and engineering plastics/polymers</t>
        </is>
      </c>
      <c r="AB47" s="149" t="inlineStr">
        <is>
          <t>16 DOF · 4 fingers · 5 kg class strength · Tactile/force sensing · Hollow-cup motors drive the joints · 1 kg</t>
        </is>
      </c>
      <c r="AC47" s="149" t="inlineStr">
        <is>
          <t>Dexterous manipulation</t>
        </is>
      </c>
      <c r="AD47" s="195" t="inlineStr">
        <is>
          <t>In production</t>
        </is>
      </c>
      <c r="AE47" s="145" t="inlineStr">
        <is>
          <t>In production</t>
        </is>
      </c>
      <c r="AF47" s="149" t="inlineStr">
        <is>
          <t>Weight published as ~700–1,000 g; midpoint used.</t>
        </is>
      </c>
      <c r="AG47" s="149" t="inlineStr">
        <is>
          <t>12 months manufacturer standard (typical dexterous-hand component)</t>
        </is>
      </c>
      <c r="AH47" s="145" t="n">
        <v>12</v>
      </c>
      <c r="AI47" s="149" t="inlineStr">
        <is>
          <t>+3 Year Extended ≈24% of configuration (default in configurator)</t>
        </is>
      </c>
      <c r="AJ47" s="145" t="inlineStr">
        <is>
          <t>End-effector category norm 2025–2026</t>
        </is>
      </c>
      <c r="AK47" s="145" t="inlineStr">
        <is>
          <t>Estimated</t>
        </is>
      </c>
      <c r="AL47" s="149" t="inlineStr">
        <is>
          <t>Skins, tendons, and tactile covers often wear items — confirm on OEM quote.</t>
        </is>
      </c>
      <c r="AM47" s="145" t="inlineStr">
        <is>
          <t>10%</t>
        </is>
      </c>
      <c r="AN47" s="145" t="inlineStr">
        <is>
          <t>17%</t>
        </is>
      </c>
      <c r="AO47" s="145" t="inlineStr">
        <is>
          <t>24%</t>
        </is>
      </c>
      <c r="AP47" s="149" t="inlineStr">
        <is>
          <t>+1yr ≈10% | +2yr ≈17% | +3yr ≈24% of selected configuration price.</t>
        </is>
      </c>
      <c r="AQ47" s="149" t="inlineStr">
        <is>
          <t>Profitable schedule (Aug 2026): +1yr ≈10% / +2yr ≈17% / +3yr ≈24% of configuration price. Calibrated for ~45–55% gross margin after expected robotics claim incidence (~10–14%/yr of covered units), avg claim cost ~25–30% of config, and admin 10–15% of premium.</t>
        </is>
      </c>
      <c r="AR47" s="101" t="inlineStr">
        <is>
          <t>[PaXini (PaXini Tech)] DexH13 (2025)</t>
        </is>
      </c>
    </row>
    <row r="48" ht="33.75" customHeight="1" s="102">
      <c r="A48" s="159" t="inlineStr">
        <is>
          <t>hand_dexh5</t>
        </is>
      </c>
      <c r="B48" s="153" t="inlineStr">
        <is>
          <t>Humanoid.guide</t>
        </is>
      </c>
      <c r="C48" s="152" t="inlineStr">
        <is>
          <t>PaXini (PaXini Tech)</t>
        </is>
      </c>
      <c r="D48" s="152" t="inlineStr">
        <is>
          <t>DexH5</t>
        </is>
      </c>
      <c r="E48" s="163" t="inlineStr">
        <is>
          <t>hand</t>
        </is>
      </c>
      <c r="F48" s="152" t="inlineStr">
        <is>
          <t>China</t>
        </is>
      </c>
      <c r="G48" s="152" t="n">
        <v>2025</v>
      </c>
      <c r="H48" s="155" t="n">
        <v>2000</v>
      </c>
      <c r="I48" s="152" t="inlineStr">
        <is>
          <t>Humanoid.guide list</t>
        </is>
      </c>
      <c r="J48" s="156" t="inlineStr">
        <is>
          <t>DexH5 — a four-finger tactile robotic hand by PaXini with multi-dimensional sensing, compact form and adaptive grip.</t>
        </is>
      </c>
      <c r="K48" s="101" t="inlineStr">
        <is>
          <t>DexH5 — a four-finger tactile robotic hand by PaXini with multi-dimensional sensing, compact form and adaptive grip.</t>
        </is>
      </c>
      <c r="L48" s="101" t="inlineStr">
        <is>
          <t>DexH5 — a four-finger tactile robotic hand by PaXini with multi-dimensional sensing, compact form and adaptive grip. Public status is listed as in production, and it is positioned for dexterous manipulation.</t>
        </is>
      </c>
      <c r="M48" s="101" t="inlineStr">
        <is>
          <t>Origin &amp; status — China · In production · 2025 | Performance — 9 DOF · 4 fingers · Payload 8.82 lb · Strength 4 kg | Sensing — Yes | Buying notes — $2,000 · 12 months manufacturer standard (typical dexterous-hand component) · Best fit: Dexterous manipulation</t>
        </is>
      </c>
      <c r="N48" s="157" t="inlineStr">
        <is>
          <t>https://humanoid.guide/product/dexh5/</t>
        </is>
      </c>
      <c r="O48" s="157" t="inlineStr">
        <is>
          <t>https://www.paxini.com</t>
        </is>
      </c>
      <c r="P48" s="196" t="n">
        <v>2.2</v>
      </c>
      <c r="Q48" s="196" t="n">
        <v>1</v>
      </c>
      <c r="R48" s="156" t="inlineStr">
        <is>
          <t>Not disclosed</t>
        </is>
      </c>
      <c r="S48" s="152" t="inlineStr">
        <is>
          <t>Not disclosed</t>
        </is>
      </c>
      <c r="T48" s="152" t="inlineStr">
        <is>
          <t>9</t>
        </is>
      </c>
      <c r="U48" s="156" t="inlineStr">
        <is>
          <t>4</t>
        </is>
      </c>
      <c r="V48" s="196" t="n">
        <v>8.82</v>
      </c>
      <c r="W48" s="196" t="n">
        <v>4</v>
      </c>
      <c r="X48" s="161" t="inlineStr">
        <is>
          <t>Yes</t>
        </is>
      </c>
      <c r="Y48" s="156" t="inlineStr">
        <is>
          <t>Yes</t>
        </is>
      </c>
      <c r="Z48" s="156" t="inlineStr">
        <is>
          <t>hollow-cup motor(s) driving joint motion</t>
        </is>
      </c>
      <c r="AA48" s="156" t="inlineStr">
        <is>
          <t>lightweight high-strength composite materials</t>
        </is>
      </c>
      <c r="AB48" s="156" t="inlineStr">
        <is>
          <t>9 DOF · 4 fingers · 4 kg class strength · Tactile/force sensing · hollow-cup motor(s) driving joint motion · 1 kg</t>
        </is>
      </c>
      <c r="AC48" s="156" t="inlineStr">
        <is>
          <t>Dexterous manipulation</t>
        </is>
      </c>
      <c r="AD48" s="195" t="inlineStr">
        <is>
          <t>In production</t>
        </is>
      </c>
      <c r="AE48" s="152" t="inlineStr">
        <is>
          <t>In production</t>
        </is>
      </c>
      <c r="AF48" s="156" t="inlineStr">
        <is>
          <t>Weight published as ~700–1,000 g; midpoint used.</t>
        </is>
      </c>
      <c r="AG48" s="156" t="inlineStr">
        <is>
          <t>12 months manufacturer standard (typical dexterous-hand component)</t>
        </is>
      </c>
      <c r="AH48" s="152" t="n">
        <v>12</v>
      </c>
      <c r="AI48" s="156" t="inlineStr">
        <is>
          <t>+3 Year Extended ≈24% of configuration (default in configurator)</t>
        </is>
      </c>
      <c r="AJ48" s="152" t="inlineStr">
        <is>
          <t>End-effector category norm 2025–2026</t>
        </is>
      </c>
      <c r="AK48" s="152" t="inlineStr">
        <is>
          <t>Estimated</t>
        </is>
      </c>
      <c r="AL48" s="156" t="inlineStr">
        <is>
          <t>Skins, tendons, and tactile covers often wear items — confirm on OEM quote.</t>
        </is>
      </c>
      <c r="AM48" s="152" t="inlineStr">
        <is>
          <t>10%</t>
        </is>
      </c>
      <c r="AN48" s="152" t="inlineStr">
        <is>
          <t>17%</t>
        </is>
      </c>
      <c r="AO48" s="152" t="inlineStr">
        <is>
          <t>24%</t>
        </is>
      </c>
      <c r="AP48" s="156" t="inlineStr">
        <is>
          <t>+1yr ≈10% | +2yr ≈17% | +3yr ≈24% of selected configuration price.</t>
        </is>
      </c>
      <c r="AQ48" s="156" t="inlineStr">
        <is>
          <t>Profitable schedule (Aug 2026): +1yr ≈10% / +2yr ≈17% / +3yr ≈24% of configuration price. Calibrated for ~45–55% gross margin after expected robotics claim incidence (~10–14%/yr of covered units), avg claim cost ~25–30% of config, and admin 10–15% of premium.</t>
        </is>
      </c>
      <c r="AR48" s="101" t="inlineStr">
        <is>
          <t>[PaXini (PaXini Tech)] DexH5 (2025)</t>
        </is>
      </c>
    </row>
    <row r="49" ht="33.75" customHeight="1" s="102">
      <c r="A49" s="143" t="inlineStr">
        <is>
          <t>hand_gmh18</t>
        </is>
      </c>
      <c r="B49" s="153" t="inlineStr">
        <is>
          <t>Humanoid.guide</t>
        </is>
      </c>
      <c r="C49" s="145" t="inlineStr">
        <is>
          <t>PaXini (PaXini Tech)</t>
        </is>
      </c>
      <c r="D49" s="145" t="inlineStr">
        <is>
          <t>GMH18</t>
        </is>
      </c>
      <c r="E49" s="163" t="inlineStr">
        <is>
          <t>hand</t>
        </is>
      </c>
      <c r="F49" s="145" t="inlineStr">
        <is>
          <t>China</t>
        </is>
      </c>
      <c r="G49" s="145" t="n">
        <v>2025</v>
      </c>
      <c r="H49" s="148" t="n">
        <v>1480</v>
      </c>
      <c r="I49" s="145" t="inlineStr">
        <is>
          <t>Humanoid.guide list</t>
        </is>
      </c>
      <c r="J49" s="149" t="inlineStr">
        <is>
          <t>GMH18 — an 18-DoF tactile robotic hand from PaXini, offering adaptive grasping, full-coverage sensor feedback, and high payload capacity for versatile humanoid and industrial robots.</t>
        </is>
      </c>
      <c r="K49" s="101" t="inlineStr">
        <is>
          <t>GMH18 — an 18-DoF tactile robotic hand from PaXini, offering adaptive grasping, full-coverage sensor feedback, and high payload capacity for versatile humanoid and industrial robots.</t>
        </is>
      </c>
      <c r="L49" s="101" t="inlineStr">
        <is>
          <t>GMH18 — an 18-DoF tactile robotic hand from PaXini, offering adaptive grasping, full-coverage sensor feedback, and high payload capacity for versatile humanoid and industrial robots. Public status is listed as in production, and it is positioned for humanoid OEM; Industrial manipulation.</t>
        </is>
      </c>
      <c r="M49" s="101" t="inlineStr">
        <is>
          <t>Origin &amp; status — China · In production · 2025 | Performance — 18 DOF · 5 fingers · Payload 44.09 lb · Strength 20 kg | Sensing — Yes | Buying notes — $1,480 · 12 months manufacturer standard (typical dexterous-hand component) · Best fit: Humanoid OEM; Industrial manipulation</t>
        </is>
      </c>
      <c r="N49" s="150" t="inlineStr">
        <is>
          <t>https://humanoid.guide/product/gmh18/</t>
        </is>
      </c>
      <c r="O49" s="150" t="inlineStr">
        <is>
          <t>https://www.paxini.com</t>
        </is>
      </c>
      <c r="P49" s="194" t="n">
        <v>2.2</v>
      </c>
      <c r="Q49" s="194" t="n">
        <v>1</v>
      </c>
      <c r="R49" s="149" t="inlineStr">
        <is>
          <t>Not disclosed</t>
        </is>
      </c>
      <c r="S49" s="145" t="inlineStr">
        <is>
          <t>Not disclosed</t>
        </is>
      </c>
      <c r="T49" s="145" t="inlineStr">
        <is>
          <t>18</t>
        </is>
      </c>
      <c r="U49" s="149" t="inlineStr">
        <is>
          <t>5</t>
        </is>
      </c>
      <c r="V49" s="194" t="n">
        <v>44.09</v>
      </c>
      <c r="W49" s="194" t="n">
        <v>20</v>
      </c>
      <c r="X49" s="161" t="inlineStr">
        <is>
          <t>Yes</t>
        </is>
      </c>
      <c r="Y49" s="149" t="inlineStr">
        <is>
          <t>Yes</t>
        </is>
      </c>
      <c r="Z49" s="149" t="inlineStr">
        <is>
          <t>Hollow-cup motor + multi-link drive</t>
        </is>
      </c>
      <c r="AA49" s="149" t="inlineStr">
        <is>
          <t>lightweight metal alloys + engineered polymers/plastics with embedded tactile sensor layers</t>
        </is>
      </c>
      <c r="AB49" s="149" t="inlineStr">
        <is>
          <t>18 DOF · 5 fingers · 20 kg class strength · Tactile/force sensing · Hollow-cup motor + multi-link drive · 1 kg</t>
        </is>
      </c>
      <c r="AC49" s="149" t="inlineStr">
        <is>
          <t>Humanoid OEM; Industrial manipulation</t>
        </is>
      </c>
      <c r="AD49" s="195" t="inlineStr">
        <is>
          <t>In production</t>
        </is>
      </c>
      <c r="AE49" s="145" t="inlineStr">
        <is>
          <t>In production</t>
        </is>
      </c>
      <c r="AF49" s="149" t="inlineStr">
        <is>
          <t>Weight published as ~700–1,000 g; midpoint used.</t>
        </is>
      </c>
      <c r="AG49" s="149" t="inlineStr">
        <is>
          <t>12 months manufacturer standard (typical dexterous-hand component)</t>
        </is>
      </c>
      <c r="AH49" s="145" t="n">
        <v>12</v>
      </c>
      <c r="AI49" s="149" t="inlineStr">
        <is>
          <t>+3 Year Extended ≈24% of configuration (default in configurator)</t>
        </is>
      </c>
      <c r="AJ49" s="145" t="inlineStr">
        <is>
          <t>End-effector category norm 2025–2026</t>
        </is>
      </c>
      <c r="AK49" s="145" t="inlineStr">
        <is>
          <t>Estimated</t>
        </is>
      </c>
      <c r="AL49" s="149" t="inlineStr">
        <is>
          <t>Skins, tendons, and tactile covers often wear items — confirm on OEM quote.</t>
        </is>
      </c>
      <c r="AM49" s="145" t="inlineStr">
        <is>
          <t>10%</t>
        </is>
      </c>
      <c r="AN49" s="145" t="inlineStr">
        <is>
          <t>17%</t>
        </is>
      </c>
      <c r="AO49" s="145" t="inlineStr">
        <is>
          <t>24%</t>
        </is>
      </c>
      <c r="AP49" s="149" t="inlineStr">
        <is>
          <t>+1yr ≈10% | +2yr ≈17% | +3yr ≈24% of selected configuration price.</t>
        </is>
      </c>
      <c r="AQ49" s="149" t="inlineStr">
        <is>
          <t>Profitable schedule (Aug 2026): +1yr ≈10% / +2yr ≈17% / +3yr ≈24% of configuration price. Calibrated for ~45–55% gross margin after expected robotics claim incidence (~10–14%/yr of covered units), avg claim cost ~25–30% of config, and admin 10–15% of premium.</t>
        </is>
      </c>
      <c r="AR49" s="101" t="inlineStr">
        <is>
          <t>[PaXini (PaXini Tech)] GMH18 (2025)</t>
        </is>
      </c>
    </row>
    <row r="50" ht="33.75" customHeight="1" s="102">
      <c r="A50" s="159" t="inlineStr">
        <is>
          <t>hand_pl_withand</t>
        </is>
      </c>
      <c r="B50" s="153" t="inlineStr">
        <is>
          <t>Humanoid.guide</t>
        </is>
      </c>
      <c r="C50" s="152" t="inlineStr">
        <is>
          <t>PL-Universe</t>
        </is>
      </c>
      <c r="D50" s="152" t="inlineStr">
        <is>
          <t>PL-WitHand</t>
        </is>
      </c>
      <c r="E50" s="163" t="inlineStr">
        <is>
          <t>hand</t>
        </is>
      </c>
      <c r="F50" s="152" t="inlineStr">
        <is>
          <t>China</t>
        </is>
      </c>
      <c r="G50" s="152" t="n">
        <v>2026</v>
      </c>
      <c r="H50" s="155" t="n">
        <v>11000</v>
      </c>
      <c r="I50" s="152" t="inlineStr">
        <is>
          <t>Humanoid.guide list</t>
        </is>
      </c>
      <c r="J50" s="156" t="inlineStr">
        <is>
          <t>PL-WitHand is an advanced robotic hand designed for near-human manipulation in industrial and research settings.</t>
        </is>
      </c>
      <c r="K50" s="101" t="inlineStr">
        <is>
          <t>PL-WitHand is an advanced robotic hand designed for near-human manipulation in industrial and research settings.</t>
        </is>
      </c>
      <c r="L50" s="101" t="inlineStr">
        <is>
          <t>PL-WitHand is an advanced robotic hand designed for near-human manipulation in industrial and research settings. Public status is listed as in production, and it is positioned for research / teleoperation; Industrial manipulation.</t>
        </is>
      </c>
      <c r="M50" s="101" t="inlineStr">
        <is>
          <t>Origin &amp; status — China · In production · 2026 | Performance — 20 DOF · 5 fingers · Payload 22.05 lb · Strength 10 kg | Sensing — Yes | Buying notes — $11,000 · 12 months manufacturer standard (typical dexterous-hand component) · Best fit: Research / teleoperation; Industrial manipulation</t>
        </is>
      </c>
      <c r="N50" s="157" t="inlineStr">
        <is>
          <t>https://humanoid.guide/product/pl-withand/</t>
        </is>
      </c>
      <c r="O50" s="157" t="inlineStr">
        <is>
          <t>https://en.pl-universe.com/</t>
        </is>
      </c>
      <c r="P50" s="196" t="n">
        <v>1.76</v>
      </c>
      <c r="Q50" s="196" t="n">
        <v>0.8</v>
      </c>
      <c r="R50" s="156" t="inlineStr">
        <is>
          <t>Assumed human-hand scale: roughly 18–22 cm length</t>
        </is>
      </c>
      <c r="S50" s="152" t="inlineStr">
        <is>
          <t>7.09 × 8.66 in</t>
        </is>
      </c>
      <c r="T50" s="152" t="inlineStr">
        <is>
          <t>20</t>
        </is>
      </c>
      <c r="U50" s="156" t="inlineStr">
        <is>
          <t>5</t>
        </is>
      </c>
      <c r="V50" s="196" t="n">
        <v>22.05</v>
      </c>
      <c r="W50" s="196" t="n">
        <v>10</v>
      </c>
      <c r="X50" s="161" t="inlineStr">
        <is>
          <t>Yes</t>
        </is>
      </c>
      <c r="Y50" s="156" t="inlineStr">
        <is>
          <t>Yes</t>
        </is>
      </c>
      <c r="Z50" s="156" t="inlineStr">
        <is>
          <t>Micro servo electric cylinders + motors</t>
        </is>
      </c>
      <c r="AA50" s="156" t="inlineStr">
        <is>
          <t>Industrial-grade materials (likely high-strength alloys &amp; composites)</t>
        </is>
      </c>
      <c r="AB50" s="156" t="inlineStr">
        <is>
          <t>20 DOF · 5 fingers · 10 kg class strength · Tactile/force sensing · Micro servo electric cylinders + motors · 0.8 kg</t>
        </is>
      </c>
      <c r="AC50" s="156" t="inlineStr">
        <is>
          <t>Research / teleoperation; Industrial manipulation</t>
        </is>
      </c>
      <c r="AD50" s="195" t="inlineStr">
        <is>
          <t>In production</t>
        </is>
      </c>
      <c r="AE50" s="152" t="inlineStr">
        <is>
          <t>In production</t>
        </is>
      </c>
      <c r="AF50" s="156" t="inlineStr">
        <is>
          <t>Weight published as ~600–800 g; midpoint used.</t>
        </is>
      </c>
      <c r="AG50" s="156" t="inlineStr">
        <is>
          <t>12 months manufacturer standard (typical dexterous-hand component)</t>
        </is>
      </c>
      <c r="AH50" s="152" t="n">
        <v>12</v>
      </c>
      <c r="AI50" s="156" t="inlineStr">
        <is>
          <t>+3 Year Extended ≈24% of configuration (default in configurator)</t>
        </is>
      </c>
      <c r="AJ50" s="152" t="inlineStr">
        <is>
          <t>End-effector category norm 2025–2026</t>
        </is>
      </c>
      <c r="AK50" s="152" t="inlineStr">
        <is>
          <t>Estimated</t>
        </is>
      </c>
      <c r="AL50" s="156" t="inlineStr">
        <is>
          <t>Skins, tendons, and tactile covers often wear items — confirm on OEM quote.</t>
        </is>
      </c>
      <c r="AM50" s="152" t="inlineStr">
        <is>
          <t>10%</t>
        </is>
      </c>
      <c r="AN50" s="152" t="inlineStr">
        <is>
          <t>17%</t>
        </is>
      </c>
      <c r="AO50" s="152" t="inlineStr">
        <is>
          <t>24%</t>
        </is>
      </c>
      <c r="AP50" s="156" t="inlineStr">
        <is>
          <t>+1yr ≈10% | +2yr ≈17% | +3yr ≈24% of selected configuration price.</t>
        </is>
      </c>
      <c r="AQ50" s="156" t="inlineStr">
        <is>
          <t>Profitable schedule (Aug 2026): +1yr ≈10% / +2yr ≈17% / +3yr ≈24% of configuration price. Calibrated for ~45–55% gross margin after expected robotics claim incidence (~10–14%/yr of covered units), avg claim cost ~25–30% of config, and admin 10–15% of premium.</t>
        </is>
      </c>
      <c r="AR50" s="101" t="inlineStr">
        <is>
          <t>[PL-Universe] PL-WitHand (2026)</t>
        </is>
      </c>
    </row>
    <row r="51" ht="33.75" customHeight="1" s="102">
      <c r="A51" s="143" t="inlineStr">
        <is>
          <t>hand_ih2_azzurra</t>
        </is>
      </c>
      <c r="B51" s="153" t="inlineStr">
        <is>
          <t>Humanoid.guide</t>
        </is>
      </c>
      <c r="C51" s="145" t="inlineStr">
        <is>
          <t>Prensilia S.r.l.</t>
        </is>
      </c>
      <c r="D51" s="145" t="inlineStr">
        <is>
          <t>IH2 Azzurra</t>
        </is>
      </c>
      <c r="E51" s="163" t="inlineStr">
        <is>
          <t>hand</t>
        </is>
      </c>
      <c r="F51" s="145" t="inlineStr">
        <is>
          <t>Italy</t>
        </is>
      </c>
      <c r="G51" s="145" t="n">
        <v>2025</v>
      </c>
      <c r="H51" s="148" t="n">
        <v>5300</v>
      </c>
      <c r="I51" s="145" t="inlineStr">
        <is>
          <t>Humanoid.guide list</t>
        </is>
      </c>
      <c r="J51" s="149" t="inlineStr">
        <is>
          <t>[Prensilia S.r.l.] IH2 Azzurra (2025) is a dexterous hand from Prensilia S.r.l. (Italy, 2025), positioned for dexterous manipulation.</t>
        </is>
      </c>
      <c r="K51" s="101" t="inlineStr">
        <is>
          <t>[Prensilia S.r.l.] IH2 Azzurra (2025) is a dexterous hand from Prensilia S.r.l. (Italy, 2025), positioned for dexterous manipulation.</t>
        </is>
      </c>
      <c r="L51" s="101" t="inlineStr">
        <is>
          <t>IH2 Azzurra is Prensilia S.r.l.'s dexterous hand, introduced around 2025 in Italy. [Prensilia S.r.l.] IH2 Azzurra (2025) is a dexterous hand from Prensilia S.r.l. (Italy, 2025), positioned for dexterous manipulation. Public status is listed as in production.</t>
        </is>
      </c>
      <c r="M51" s="101" t="inlineStr">
        <is>
          <t>Origin &amp; status — Italy · In production · 2025 | Performance — 11 DOF · 5 (5 per hand) fingers · Payload 8.82 lb · Strength 4 kg | Sensing — Yes | Buying notes — $5,300 · 12 months manufacturer standard (typical dexterous-hand component) · Best fit: Dexterous manipulation</t>
        </is>
      </c>
      <c r="N51" s="150" t="inlineStr">
        <is>
          <t>https://humanoid.guide/product/ih2-azzurra/</t>
        </is>
      </c>
      <c r="O51" s="150" t="inlineStr">
        <is>
          <t>https://www.prensilia.com/</t>
        </is>
      </c>
      <c r="P51" s="194" t="n">
        <v>1.41</v>
      </c>
      <c r="Q51" s="194" t="n">
        <v>0.64</v>
      </c>
      <c r="R51" s="149" t="inlineStr">
        <is>
          <t>102 × 45 × 213 mm</t>
        </is>
      </c>
      <c r="S51" s="145" t="inlineStr">
        <is>
          <t>4.02 × 1.77 × 8.39 in</t>
        </is>
      </c>
      <c r="T51" s="145" t="inlineStr">
        <is>
          <t>11</t>
        </is>
      </c>
      <c r="U51" s="149" t="inlineStr">
        <is>
          <t>5 (5 per hand)</t>
        </is>
      </c>
      <c r="V51" s="194" t="n">
        <v>8.82</v>
      </c>
      <c r="W51" s="194" t="n">
        <v>4</v>
      </c>
      <c r="X51" s="161" t="inlineStr">
        <is>
          <t>Yes</t>
        </is>
      </c>
      <c r="Y51" s="149" t="inlineStr">
        <is>
          <t>Yes</t>
        </is>
      </c>
      <c r="Z51" s="149" t="inlineStr">
        <is>
          <t>Five brushed DC motors, driving tendons via under-actuated mechanism. Non-backdrivable design ensures grip stability even without power</t>
        </is>
      </c>
      <c r="AA51" s="149" t="inlineStr">
        <is>
          <t>Proximal phalanges: aluminum; distal phalanges (fingertips): rubber/compliant material; internal tendons and transmissions: steel/tendon-cable based</t>
        </is>
      </c>
      <c r="AB51" s="149" t="inlineStr">
        <is>
          <t>11 DOF · 5 fingers · 4 kg class strength · Tactile/force sensing · Five brushed DC motors, driving tendons via under-actuated mechanism. Non-backdrivable … · 0.64 kg</t>
        </is>
      </c>
      <c r="AC51" s="149" t="inlineStr">
        <is>
          <t>Dexterous manipulation</t>
        </is>
      </c>
      <c r="AD51" s="195" t="inlineStr">
        <is>
          <t>In production</t>
        </is>
      </c>
      <c r="AE51" s="145" t="inlineStr">
        <is>
          <t>In production</t>
        </is>
      </c>
      <c r="AF51" s="149" t="n"/>
      <c r="AG51" s="149" t="inlineStr">
        <is>
          <t>12 months manufacturer standard (typical dexterous-hand component)</t>
        </is>
      </c>
      <c r="AH51" s="145" t="n">
        <v>12</v>
      </c>
      <c r="AI51" s="149" t="inlineStr">
        <is>
          <t>+3 Year Extended ≈24% of configuration (default in configurator)</t>
        </is>
      </c>
      <c r="AJ51" s="145" t="inlineStr">
        <is>
          <t>End-effector category norm 2025–2026</t>
        </is>
      </c>
      <c r="AK51" s="145" t="inlineStr">
        <is>
          <t>Estimated</t>
        </is>
      </c>
      <c r="AL51" s="149" t="inlineStr">
        <is>
          <t>Skins, tendons, and tactile covers often wear items — confirm on OEM quote.</t>
        </is>
      </c>
      <c r="AM51" s="145" t="inlineStr">
        <is>
          <t>10%</t>
        </is>
      </c>
      <c r="AN51" s="145" t="inlineStr">
        <is>
          <t>17%</t>
        </is>
      </c>
      <c r="AO51" s="145" t="inlineStr">
        <is>
          <t>24%</t>
        </is>
      </c>
      <c r="AP51" s="149" t="inlineStr">
        <is>
          <t>+1yr ≈10% | +2yr ≈17% | +3yr ≈24% of selected configuration price.</t>
        </is>
      </c>
      <c r="AQ51" s="149" t="inlineStr">
        <is>
          <t>Profitable schedule (Aug 2026): +1yr ≈10% / +2yr ≈17% / +3yr ≈24% of configuration price. Calibrated for ~45–55% gross margin after expected robotics claim incidence (~10–14%/yr of covered units), avg claim cost ~25–30% of config, and admin 10–15% of premium.</t>
        </is>
      </c>
      <c r="AR51" s="101" t="inlineStr">
        <is>
          <t>[Prensilia S.r.l.] IH2 Azzurra (2025)</t>
        </is>
      </c>
    </row>
    <row r="52" ht="33.75" customHeight="1" s="102">
      <c r="A52" s="159" t="inlineStr">
        <is>
          <t>hand_mia_hand_mk2</t>
        </is>
      </c>
      <c r="B52" s="153" t="inlineStr">
        <is>
          <t>Humanoid.guide</t>
        </is>
      </c>
      <c r="C52" s="152" t="inlineStr">
        <is>
          <t>Prensilia S.r.l.</t>
        </is>
      </c>
      <c r="D52" s="152" t="inlineStr">
        <is>
          <t>Mia Hand Mk2</t>
        </is>
      </c>
      <c r="E52" s="163" t="inlineStr">
        <is>
          <t>hand</t>
        </is>
      </c>
      <c r="F52" s="152" t="inlineStr">
        <is>
          <t>Italy</t>
        </is>
      </c>
      <c r="G52" s="152" t="n">
        <v>2026</v>
      </c>
      <c r="H52" s="155" t="n">
        <v>5500</v>
      </c>
      <c r="I52" s="152" t="inlineStr">
        <is>
          <t>Humanoid.guide list</t>
        </is>
      </c>
      <c r="J52" s="156" t="inlineStr">
        <is>
          <t>The Mia Hand Mk2 is a lightweight anthropomorphic robotic hand designed for humanoid robots, automation systems, and research platforms.</t>
        </is>
      </c>
      <c r="K52" s="101" t="inlineStr">
        <is>
          <t>The Mia Hand Mk2 is a lightweight anthropomorphic robotic hand designed for humanoid robots, automation systems, and research platforms.</t>
        </is>
      </c>
      <c r="L52" s="101" t="inlineStr">
        <is>
          <t>The Mia Hand Mk2 is a lightweight anthropomorphic robotic hand designed for humanoid robots, automation systems, and research platforms. Public status is listed as in production, and it is positioned for humanoid OEM; Research / teleoperation.</t>
        </is>
      </c>
      <c r="M52" s="101" t="inlineStr">
        <is>
          <t>Origin &amp; status — Italy · In production · 2026 | Performance — 4 DOF · 5 (5 per hand) fingers · Payload 30.86 lb · Strength 14 kg | Sensing — Yes | Buying notes — $5,500 · 12 months manufacturer standard (typical dexterous-hand component) · Best fit: Humanoid OEM; Research / teleoperation</t>
        </is>
      </c>
      <c r="N52" s="157" t="inlineStr">
        <is>
          <t>https://humanoid.guide/product/mia-hand-mk2/</t>
        </is>
      </c>
      <c r="O52" s="157" t="inlineStr">
        <is>
          <t>https://www.prensilia.com/</t>
        </is>
      </c>
      <c r="P52" s="196" t="n">
        <v>1.15</v>
      </c>
      <c r="Q52" s="196" t="n">
        <v>0.52</v>
      </c>
      <c r="R52" s="156" t="inlineStr">
        <is>
          <t>140 x 135 x 190 mm</t>
        </is>
      </c>
      <c r="S52" s="152" t="inlineStr">
        <is>
          <t>5.51 × 5.31 × 7.48 in</t>
        </is>
      </c>
      <c r="T52" s="152" t="inlineStr">
        <is>
          <t>4</t>
        </is>
      </c>
      <c r="U52" s="156" t="inlineStr">
        <is>
          <t>5 (5 per hand)</t>
        </is>
      </c>
      <c r="V52" s="196" t="n">
        <v>30.86</v>
      </c>
      <c r="W52" s="196" t="n">
        <v>14</v>
      </c>
      <c r="X52" s="161" t="inlineStr">
        <is>
          <t>Yes</t>
        </is>
      </c>
      <c r="Y52" s="156" t="inlineStr">
        <is>
          <t>Yes</t>
        </is>
      </c>
      <c r="Z52" s="156" t="inlineStr">
        <is>
          <t>Remote tendon-driven actuation (externally mounted motors)</t>
        </is>
      </c>
      <c r="AA52" s="156" t="inlineStr">
        <is>
          <t>3D-printed polymer components</t>
        </is>
      </c>
      <c r="AB52" s="156" t="inlineStr">
        <is>
          <t>4 DOF · 5 fingers · 14 kg class strength · Tactile/force sensing · Remote tendon-driven actuation (externally mounted motors) · 0.52 kg</t>
        </is>
      </c>
      <c r="AC52" s="156" t="inlineStr">
        <is>
          <t>Humanoid OEM; Research / teleoperation</t>
        </is>
      </c>
      <c r="AD52" s="195" t="inlineStr">
        <is>
          <t>In production</t>
        </is>
      </c>
      <c r="AE52" s="152" t="inlineStr">
        <is>
          <t>In production</t>
        </is>
      </c>
      <c r="AF52" s="156" t="n"/>
      <c r="AG52" s="156" t="inlineStr">
        <is>
          <t>12 months manufacturer standard (typical dexterous-hand component)</t>
        </is>
      </c>
      <c r="AH52" s="152" t="n">
        <v>12</v>
      </c>
      <c r="AI52" s="156" t="inlineStr">
        <is>
          <t>+3 Year Extended ≈24% of configuration (default in configurator)</t>
        </is>
      </c>
      <c r="AJ52" s="152" t="inlineStr">
        <is>
          <t>End-effector category norm 2025–2026</t>
        </is>
      </c>
      <c r="AK52" s="152" t="inlineStr">
        <is>
          <t>Estimated</t>
        </is>
      </c>
      <c r="AL52" s="156" t="inlineStr">
        <is>
          <t>Skins, tendons, and tactile covers often wear items — confirm on OEM quote.</t>
        </is>
      </c>
      <c r="AM52" s="152" t="inlineStr">
        <is>
          <t>10%</t>
        </is>
      </c>
      <c r="AN52" s="152" t="inlineStr">
        <is>
          <t>17%</t>
        </is>
      </c>
      <c r="AO52" s="152" t="inlineStr">
        <is>
          <t>24%</t>
        </is>
      </c>
      <c r="AP52" s="156" t="inlineStr">
        <is>
          <t>+1yr ≈10% | +2yr ≈17% | +3yr ≈24% of selected configuration price.</t>
        </is>
      </c>
      <c r="AQ52" s="156" t="inlineStr">
        <is>
          <t>Profitable schedule (Aug 2026): +1yr ≈10% / +2yr ≈17% / +3yr ≈24% of configuration price. Calibrated for ~45–55% gross margin after expected robotics claim incidence (~10–14%/yr of covered units), avg claim cost ~25–30% of config, and admin 10–15% of premium.</t>
        </is>
      </c>
      <c r="AR52" s="101" t="inlineStr">
        <is>
          <t>[Prensilia S.r.l.] Mia Hand Mk2 (2026)</t>
        </is>
      </c>
    </row>
    <row r="53" ht="33.75" customHeight="1" s="102">
      <c r="A53" s="143" t="inlineStr">
        <is>
          <t>hand_psi_h1</t>
        </is>
      </c>
      <c r="B53" s="153" t="inlineStr">
        <is>
          <t>Humanoid.guide</t>
        </is>
      </c>
      <c r="C53" s="145" t="inlineStr">
        <is>
          <t>PsiBot</t>
        </is>
      </c>
      <c r="D53" s="145" t="inlineStr">
        <is>
          <t>Psi H1</t>
        </is>
      </c>
      <c r="E53" s="163" t="inlineStr">
        <is>
          <t>hand</t>
        </is>
      </c>
      <c r="F53" s="145" t="inlineStr">
        <is>
          <t>China</t>
        </is>
      </c>
      <c r="G53" s="145" t="n">
        <v>2026</v>
      </c>
      <c r="H53" s="148" t="n">
        <v>9500</v>
      </c>
      <c r="I53" s="145" t="inlineStr">
        <is>
          <t>Humanoid.guide list</t>
        </is>
      </c>
      <c r="J53" s="149" t="inlineStr">
        <is>
          <t>Psi H1 is a dexterous humanoid robotic hand by PsiBot designed for precise, adaptive manipulation with advanced tactile sensing and human-like motion control.</t>
        </is>
      </c>
      <c r="K53" s="101" t="inlineStr">
        <is>
          <t>Psi H1 is a dexterous humanoid robotic hand by PsiBot designed for precise, adaptive manipulation with advanced tactile sensing and human-like motion control.</t>
        </is>
      </c>
      <c r="L53" s="101" t="inlineStr">
        <is>
          <t>Psi H1 is a dexterous humanoid robotic hand by PsiBot designed for precise, adaptive manipulation with advanced tactile sensing and human-like motion control. Public status is listed as in production, and it is positioned for humanoid OEM.</t>
        </is>
      </c>
      <c r="M53" s="101" t="inlineStr">
        <is>
          <t>Origin &amp; status — China · In production · 2026 | Performance — 16 DOF · 5 fingers · Payload 44.09 lb · Strength 20 kg | Sensing — Yes | Buying notes — $9,500 · 12 months manufacturer standard (typical dexterous-hand component) · Best fit: Humanoid OEM</t>
        </is>
      </c>
      <c r="N53" s="150" t="inlineStr">
        <is>
          <t>https://humanoid.guide/product/psi-h1/</t>
        </is>
      </c>
      <c r="O53" s="150" t="inlineStr">
        <is>
          <t>https://www.psibot.ai/</t>
        </is>
      </c>
      <c r="P53" s="194" t="n">
        <v>1.32</v>
      </c>
      <c r="Q53" s="194" t="n">
        <v>0.6</v>
      </c>
      <c r="R53" s="149" t="inlineStr">
        <is>
          <t>Not disclosed</t>
        </is>
      </c>
      <c r="S53" s="145" t="inlineStr">
        <is>
          <t>Not disclosed</t>
        </is>
      </c>
      <c r="T53" s="145" t="inlineStr">
        <is>
          <t>16</t>
        </is>
      </c>
      <c r="U53" s="149" t="inlineStr">
        <is>
          <t>5</t>
        </is>
      </c>
      <c r="V53" s="194" t="n">
        <v>44.09</v>
      </c>
      <c r="W53" s="194" t="n">
        <v>20</v>
      </c>
      <c r="X53" s="161" t="inlineStr">
        <is>
          <t>Yes</t>
        </is>
      </c>
      <c r="Y53" s="149" t="inlineStr">
        <is>
          <t>Yes</t>
        </is>
      </c>
      <c r="Z53" s="149" t="inlineStr">
        <is>
          <t>Precision electric servo actuators with multi-mode control (position, speed, voltage)</t>
        </is>
      </c>
      <c r="AA53" s="149" t="inlineStr">
        <is>
          <t>Aluminum alloy + reinforced engineering polymers</t>
        </is>
      </c>
      <c r="AB53" s="149" t="inlineStr">
        <is>
          <t>16 DOF · 5 fingers · 20 kg class strength · Tactile/force sensing · Precision electric servo actuators with multi-mode control (position, speed, voltage) · 0.6 kg</t>
        </is>
      </c>
      <c r="AC53" s="149" t="inlineStr">
        <is>
          <t>Humanoid OEM</t>
        </is>
      </c>
      <c r="AD53" s="195" t="inlineStr">
        <is>
          <t>In production</t>
        </is>
      </c>
      <c r="AE53" s="145" t="inlineStr">
        <is>
          <t>In production</t>
        </is>
      </c>
      <c r="AF53" s="149" t="n"/>
      <c r="AG53" s="149" t="inlineStr">
        <is>
          <t>12 months manufacturer standard (typical dexterous-hand component)</t>
        </is>
      </c>
      <c r="AH53" s="145" t="n">
        <v>12</v>
      </c>
      <c r="AI53" s="149" t="inlineStr">
        <is>
          <t>+3 Year Extended ≈24% of configuration (default in configurator)</t>
        </is>
      </c>
      <c r="AJ53" s="145" t="inlineStr">
        <is>
          <t>End-effector category norm 2025–2026</t>
        </is>
      </c>
      <c r="AK53" s="145" t="inlineStr">
        <is>
          <t>Estimated</t>
        </is>
      </c>
      <c r="AL53" s="149" t="inlineStr">
        <is>
          <t>Skins, tendons, and tactile covers often wear items — confirm on OEM quote.</t>
        </is>
      </c>
      <c r="AM53" s="145" t="inlineStr">
        <is>
          <t>10%</t>
        </is>
      </c>
      <c r="AN53" s="145" t="inlineStr">
        <is>
          <t>17%</t>
        </is>
      </c>
      <c r="AO53" s="145" t="inlineStr">
        <is>
          <t>24%</t>
        </is>
      </c>
      <c r="AP53" s="149" t="inlineStr">
        <is>
          <t>+1yr ≈10% | +2yr ≈17% | +3yr ≈24% of selected configuration price.</t>
        </is>
      </c>
      <c r="AQ53" s="149" t="inlineStr">
        <is>
          <t>Profitable schedule (Aug 2026): +1yr ≈10% / +2yr ≈17% / +3yr ≈24% of configuration price. Calibrated for ~45–55% gross margin after expected robotics claim incidence (~10–14%/yr of covered units), avg claim cost ~25–30% of config, and admin 10–15% of premium.</t>
        </is>
      </c>
      <c r="AR53" s="101" t="inlineStr">
        <is>
          <t>[PsiBot] Psi H1 (2026)</t>
        </is>
      </c>
    </row>
    <row r="54" ht="33.75" customHeight="1" s="102">
      <c r="A54" s="159" t="inlineStr">
        <is>
          <t>hand_ability_hand</t>
        </is>
      </c>
      <c r="B54" s="153" t="inlineStr">
        <is>
          <t>Humanoid.guide</t>
        </is>
      </c>
      <c r="C54" s="152" t="inlineStr">
        <is>
          <t>PSYONIC</t>
        </is>
      </c>
      <c r="D54" s="152" t="inlineStr">
        <is>
          <t>Ability Hand</t>
        </is>
      </c>
      <c r="E54" s="163" t="inlineStr">
        <is>
          <t>hand</t>
        </is>
      </c>
      <c r="F54" s="152" t="inlineStr">
        <is>
          <t>USA</t>
        </is>
      </c>
      <c r="G54" s="152" t="n">
        <v>2026</v>
      </c>
      <c r="H54" s="155" t="n">
        <v>20000</v>
      </c>
      <c r="I54" s="152" t="inlineStr">
        <is>
          <t>Humanoid.guide list</t>
        </is>
      </c>
      <c r="J54" s="156" t="inlineStr">
        <is>
          <t>The Ability Hand features a 200ms close time, 6 brushless DC motors, and 30 touch sensors across the fingertips providing multi-touch sensory feedback.</t>
        </is>
      </c>
      <c r="K54" s="101" t="inlineStr">
        <is>
          <t>The Ability Hand features a 200ms close time, 6 brushless DC motors, and 30 touch sensors across the fingertips providing multi-touch sensory feedback.</t>
        </is>
      </c>
      <c r="L54" s="101" t="inlineStr">
        <is>
          <t>The Ability Hand features a 200ms close time, 6 brushless DC motors, and 30 touch sensors across the fingertips providing multi-touch sensory feedback. It is positioned for dexterous manipulation.</t>
        </is>
      </c>
      <c r="M54" s="101" t="inlineStr">
        <is>
          <t>Origin &amp; status — USA · 2026 | Performance — 6 DOF · 5 fingers · Payload 100.09 lb · Strength 45.4 kg | Sensing — Yes | Buying notes — $20,000 · 12 months manufacturer standard (typical dexterous-hand component) · Best fit: Dexterous manipulation</t>
        </is>
      </c>
      <c r="N54" s="157" t="inlineStr">
        <is>
          <t>https://humanoid.guide/product/ability-hand/</t>
        </is>
      </c>
      <c r="O54" s="157" t="inlineStr">
        <is>
          <t>https://www.psyonic.io</t>
        </is>
      </c>
      <c r="P54" s="196" t="n">
        <v>103.62</v>
      </c>
      <c r="Q54" s="196" t="n">
        <v>47</v>
      </c>
      <c r="R54" s="156" t="inlineStr">
        <is>
          <t>186 mm (L) x 85 mm (W) x 47 mm (D)</t>
        </is>
      </c>
      <c r="S54" s="152" t="inlineStr">
        <is>
          <t>7.32 × 3.35 × 1.85 in</t>
        </is>
      </c>
      <c r="T54" s="152" t="inlineStr">
        <is>
          <t>6</t>
        </is>
      </c>
      <c r="U54" s="156" t="inlineStr">
        <is>
          <t>5</t>
        </is>
      </c>
      <c r="V54" s="196" t="n">
        <v>100.09</v>
      </c>
      <c r="W54" s="196" t="n">
        <v>45.4</v>
      </c>
      <c r="X54" s="161" t="inlineStr">
        <is>
          <t>Yes</t>
        </is>
      </c>
      <c r="Y54" s="156" t="inlineStr">
        <is>
          <t>Yes</t>
        </is>
      </c>
      <c r="Z54" s="156" t="inlineStr">
        <is>
          <t>Brushless DC</t>
        </is>
      </c>
      <c r="AA54" s="156" t="inlineStr">
        <is>
          <t>Carbon Fiber, Silicone, Nylon, Stainless Steel</t>
        </is>
      </c>
      <c r="AB54" s="156" t="inlineStr">
        <is>
          <t>6 DOF · 5 fingers · 45.4 kg class strength · Tactile/force sensing · Brushless DC · 47 kg</t>
        </is>
      </c>
      <c r="AC54" s="156" t="inlineStr">
        <is>
          <t>Dexterous manipulation</t>
        </is>
      </c>
      <c r="AD54" s="152" t="n"/>
      <c r="AE54" s="152" t="inlineStr">
        <is>
          <t>Not disclosed</t>
        </is>
      </c>
      <c r="AF54" s="156" t="n"/>
      <c r="AG54" s="156" t="inlineStr">
        <is>
          <t>12 months manufacturer standard (typical dexterous-hand component)</t>
        </is>
      </c>
      <c r="AH54" s="152" t="n">
        <v>12</v>
      </c>
      <c r="AI54" s="156" t="inlineStr">
        <is>
          <t>+3 Year Extended ≈24% of configuration (default in configurator)</t>
        </is>
      </c>
      <c r="AJ54" s="152" t="inlineStr">
        <is>
          <t>End-effector category norm 2025–2026</t>
        </is>
      </c>
      <c r="AK54" s="152" t="inlineStr">
        <is>
          <t>Estimated</t>
        </is>
      </c>
      <c r="AL54" s="156" t="inlineStr">
        <is>
          <t>Skins, tendons, and tactile covers often wear items — confirm on OEM quote.</t>
        </is>
      </c>
      <c r="AM54" s="152" t="inlineStr">
        <is>
          <t>10%</t>
        </is>
      </c>
      <c r="AN54" s="152" t="inlineStr">
        <is>
          <t>17%</t>
        </is>
      </c>
      <c r="AO54" s="152" t="inlineStr">
        <is>
          <t>24%</t>
        </is>
      </c>
      <c r="AP54" s="156" t="inlineStr">
        <is>
          <t>+1yr ≈10% | +2yr ≈17% | +3yr ≈24% of selected configuration price.</t>
        </is>
      </c>
      <c r="AQ54" s="156" t="inlineStr">
        <is>
          <t>Profitable schedule (Aug 2026): +1yr ≈10% / +2yr ≈17% / +3yr ≈24% of configuration price. Calibrated for ~45–55% gross margin after expected robotics claim incidence (~10–14%/yr of covered units), avg claim cost ~25–30% of config, and admin 10–15% of premium.</t>
        </is>
      </c>
      <c r="AR54" s="101" t="inlineStr">
        <is>
          <t>[PSYONIC] Ability Hand (2026)</t>
        </is>
      </c>
    </row>
    <row r="55" ht="33.75" customHeight="1" s="102">
      <c r="A55" s="143" t="inlineStr">
        <is>
          <t>hand_softhand2</t>
        </is>
      </c>
      <c r="B55" s="153" t="inlineStr">
        <is>
          <t>Humanoid.guide</t>
        </is>
      </c>
      <c r="C55" s="145" t="inlineStr">
        <is>
          <t>qb Robotics</t>
        </is>
      </c>
      <c r="D55" s="145" t="inlineStr">
        <is>
          <t>SoftHand2</t>
        </is>
      </c>
      <c r="E55" s="163" t="inlineStr">
        <is>
          <t>hand</t>
        </is>
      </c>
      <c r="F55" s="145" t="inlineStr">
        <is>
          <t>Italy</t>
        </is>
      </c>
      <c r="G55" s="145" t="n">
        <v>2025</v>
      </c>
      <c r="H55" s="148" t="n">
        <v>16500</v>
      </c>
      <c r="I55" s="145" t="inlineStr">
        <is>
          <t>Humanoid.guide list</t>
        </is>
      </c>
      <c r="J55" s="149" t="inlineStr">
        <is>
          <t>SoftHand2 — an adaptive, anthropomorphic robotic hand by qb Robotics. Its soft, flexible fingers fit objects of varied shapes, enabling stable, human-like grasping for robots in research or complex handling tasks.</t>
        </is>
      </c>
      <c r="K55" s="101" t="inlineStr">
        <is>
          <t>SoftHand2 — an adaptive, anthropomorphic robotic hand by qb Robotics. Its soft, flexible fingers fit objects of varied shapes, enabling stable, human-like grasping for robots in research or complex handling tasks.</t>
        </is>
      </c>
      <c r="L55" s="101" t="inlineStr">
        <is>
          <t>SoftHand2 — an adaptive, anthropomorphic robotic hand by qb Robotics. Its soft, flexible fingers fit objects of varied shapes, enabling stable, human-like grasping for robots in research or complex handling tasks. Public status is listed as in production, and it is positioned for research / teleoperation.</t>
        </is>
      </c>
      <c r="M55" s="101" t="inlineStr">
        <is>
          <t>Origin &amp; status — Italy · In production · 2025 | Performance — 19 DOF · 5 (5 per hand) fingers · Payload 6.61 lb · Strength 3 kg | Sensing — No | Buying notes — $16,500 · 12 months manufacturer standard (typical dexterous-hand component) · Best fit: Research / teleoperation</t>
        </is>
      </c>
      <c r="N55" s="150" t="inlineStr">
        <is>
          <t>https://humanoid.guide/product/softhand2/</t>
        </is>
      </c>
      <c r="O55" s="150" t="inlineStr">
        <is>
          <t>https://www.qbrobotics.com</t>
        </is>
      </c>
      <c r="P55" s="194" t="n">
        <v>2.07</v>
      </c>
      <c r="Q55" s="194" t="n">
        <v>0.9399999999999999</v>
      </c>
      <c r="R55" s="149" t="inlineStr">
        <is>
          <t>human-hand sized</t>
        </is>
      </c>
      <c r="S55" s="145" t="inlineStr">
        <is>
          <t>Not disclosed</t>
        </is>
      </c>
      <c r="T55" s="145" t="inlineStr">
        <is>
          <t>19</t>
        </is>
      </c>
      <c r="U55" s="149" t="inlineStr">
        <is>
          <t>5 (5 per hand)</t>
        </is>
      </c>
      <c r="V55" s="194" t="n">
        <v>6.61</v>
      </c>
      <c r="W55" s="194" t="n">
        <v>3</v>
      </c>
      <c r="X55" s="162" t="inlineStr">
        <is>
          <t>No</t>
        </is>
      </c>
      <c r="Y55" s="149" t="inlineStr">
        <is>
          <t>No</t>
        </is>
      </c>
      <c r="Z55" s="149" t="inlineStr">
        <is>
          <t>Electric DC motors driving tendon (or cable)-based soft robotics actuation; synergy-based under-actuated soft-hand design</t>
        </is>
      </c>
      <c r="AA55" s="149" t="inlineStr">
        <is>
          <t>Soft, compliant materials for fingers with internal tendon/cable mechanism; skeletal links and palm structure use standard robotics materials (metal/plastic), typical for qb Robotics hands</t>
        </is>
      </c>
      <c r="AB55" s="149" t="inlineStr">
        <is>
          <t>19 DOF · 5 fingers · 3 kg class strength · No tactile array published · Electric DC motors driving tendon (or cable)-based soft robotics actuation; synergy-bas… · 0.94 kg</t>
        </is>
      </c>
      <c r="AC55" s="149" t="inlineStr">
        <is>
          <t>Research / teleoperation</t>
        </is>
      </c>
      <c r="AD55" s="195" t="inlineStr">
        <is>
          <t>In production</t>
        </is>
      </c>
      <c r="AE55" s="145" t="inlineStr">
        <is>
          <t>In production</t>
        </is>
      </c>
      <c r="AF55" s="149" t="n"/>
      <c r="AG55" s="149" t="inlineStr">
        <is>
          <t>12 months manufacturer standard (typical dexterous-hand component)</t>
        </is>
      </c>
      <c r="AH55" s="145" t="n">
        <v>12</v>
      </c>
      <c r="AI55" s="149" t="inlineStr">
        <is>
          <t>+3 Year Extended ≈24% of configuration (default in configurator)</t>
        </is>
      </c>
      <c r="AJ55" s="145" t="inlineStr">
        <is>
          <t>End-effector category norm 2025–2026</t>
        </is>
      </c>
      <c r="AK55" s="145" t="inlineStr">
        <is>
          <t>Estimated</t>
        </is>
      </c>
      <c r="AL55" s="149" t="inlineStr">
        <is>
          <t>Skins, tendons, and tactile covers often wear items — confirm on OEM quote.</t>
        </is>
      </c>
      <c r="AM55" s="145" t="inlineStr">
        <is>
          <t>10%</t>
        </is>
      </c>
      <c r="AN55" s="145" t="inlineStr">
        <is>
          <t>17%</t>
        </is>
      </c>
      <c r="AO55" s="145" t="inlineStr">
        <is>
          <t>24%</t>
        </is>
      </c>
      <c r="AP55" s="149" t="inlineStr">
        <is>
          <t>+1yr ≈10% | +2yr ≈17% | +3yr ≈24% of selected configuration price.</t>
        </is>
      </c>
      <c r="AQ55" s="149" t="inlineStr">
        <is>
          <t>Profitable schedule (Aug 2026): +1yr ≈10% / +2yr ≈17% / +3yr ≈24% of configuration price. Calibrated for ~45–55% gross margin after expected robotics claim incidence (~10–14%/yr of covered units), avg claim cost ~25–30% of config, and admin 10–15% of premium.</t>
        </is>
      </c>
      <c r="AR55" s="101" t="inlineStr">
        <is>
          <t>[qb Robotics] SoftHand2 (2025)</t>
        </is>
      </c>
    </row>
    <row r="56" ht="33.75" customHeight="1" s="102">
      <c r="A56" s="159" t="inlineStr">
        <is>
          <t>hand_dexhand_v2_3</t>
        </is>
      </c>
      <c r="B56" s="153" t="inlineStr">
        <is>
          <t>Humanoid.guide</t>
        </is>
      </c>
      <c r="C56" s="152" t="inlineStr">
        <is>
          <t>Robot Studio</t>
        </is>
      </c>
      <c r="D56" s="152" t="inlineStr">
        <is>
          <t>DexHand V2.3</t>
        </is>
      </c>
      <c r="E56" s="163" t="inlineStr">
        <is>
          <t>hand</t>
        </is>
      </c>
      <c r="F56" s="152" t="inlineStr">
        <is>
          <t>UK</t>
        </is>
      </c>
      <c r="G56" s="152" t="n">
        <v>2025</v>
      </c>
      <c r="H56" s="155" t="n">
        <v>1500</v>
      </c>
      <c r="I56" s="152" t="inlineStr">
        <is>
          <t>Humanoid.guide list</t>
        </is>
      </c>
      <c r="J56" s="156" t="inlineStr">
        <is>
          <t>DexHand V2.3 — a powerful 19-DoF robotic hand by Robot Studio, designed for high payload handling, adaptive motion, and versatile manipulation in humanoid and automation systems.</t>
        </is>
      </c>
      <c r="K56" s="101" t="inlineStr">
        <is>
          <t>DexHand V2.3 — a powerful 19-DoF robotic hand by Robot Studio, designed for high payload handling, adaptive motion, and versatile manipulation in humanoid and automation systems.</t>
        </is>
      </c>
      <c r="L56" s="101" t="inlineStr">
        <is>
          <t>DexHand V2.3 — a powerful 19-DoF robotic hand by Robot Studio, designed for high payload handling, adaptive motion, and versatile manipulation in humanoid and automation systems. Public status is listed as in production, and it is positioned for humanoid OEM.</t>
        </is>
      </c>
      <c r="M56" s="101" t="inlineStr">
        <is>
          <t>Origin &amp; status — UK · In production · 2025 | Performance — 19 DOF · 5 fingers · Payload 11.02 lb · Strength 5 kg | Sensing — No | Buying notes — $1,500 · 12 months manufacturer standard (typical dexterous-hand component) · Best fit: Humanoid OEM</t>
        </is>
      </c>
      <c r="N56" s="157" t="inlineStr">
        <is>
          <t>https://humanoid.guide/product/dexhand-v2-3/</t>
        </is>
      </c>
      <c r="O56" s="157" t="inlineStr">
        <is>
          <t>https://www.therobotstudio.com/</t>
        </is>
      </c>
      <c r="P56" s="196" t="n">
        <v>2.2</v>
      </c>
      <c r="Q56" s="196" t="n">
        <v>1</v>
      </c>
      <c r="R56" s="156" t="inlineStr">
        <is>
          <t>Assumed human-hand scale: roughly 18–22 cm length</t>
        </is>
      </c>
      <c r="S56" s="152" t="inlineStr">
        <is>
          <t>7.09 × 8.66 in</t>
        </is>
      </c>
      <c r="T56" s="152" t="inlineStr">
        <is>
          <t>19</t>
        </is>
      </c>
      <c r="U56" s="156" t="inlineStr">
        <is>
          <t>5</t>
        </is>
      </c>
      <c r="V56" s="196" t="n">
        <v>11.02</v>
      </c>
      <c r="W56" s="196" t="n">
        <v>5</v>
      </c>
      <c r="X56" s="162" t="inlineStr">
        <is>
          <t>No</t>
        </is>
      </c>
      <c r="Y56" s="156" t="inlineStr">
        <is>
          <t>No</t>
        </is>
      </c>
      <c r="Z56" s="156" t="inlineStr">
        <is>
          <t>Electric actuators with geared joint mechanisms</t>
        </is>
      </c>
      <c r="AA56" s="156" t="inlineStr">
        <is>
          <t>Typically lightweight metals + engineered polymers</t>
        </is>
      </c>
      <c r="AB56" s="156" t="inlineStr">
        <is>
          <t>19 DOF · 5 fingers · 5 kg class strength · No tactile array published · Electric actuators with geared joint mechanisms · 1 kg</t>
        </is>
      </c>
      <c r="AC56" s="156" t="inlineStr">
        <is>
          <t>Humanoid OEM</t>
        </is>
      </c>
      <c r="AD56" s="195" t="inlineStr">
        <is>
          <t>In production</t>
        </is>
      </c>
      <c r="AE56" s="152" t="inlineStr">
        <is>
          <t>In production</t>
        </is>
      </c>
      <c r="AF56" s="156" t="inlineStr">
        <is>
          <t>Weight published as ~700–1,000 g; midpoint used.</t>
        </is>
      </c>
      <c r="AG56" s="156" t="inlineStr">
        <is>
          <t>12 months manufacturer standard (typical dexterous-hand component)</t>
        </is>
      </c>
      <c r="AH56" s="152" t="n">
        <v>12</v>
      </c>
      <c r="AI56" s="156" t="inlineStr">
        <is>
          <t>+3 Year Extended ≈24% of configuration (default in configurator)</t>
        </is>
      </c>
      <c r="AJ56" s="152" t="inlineStr">
        <is>
          <t>End-effector category norm 2025–2026</t>
        </is>
      </c>
      <c r="AK56" s="152" t="inlineStr">
        <is>
          <t>Estimated</t>
        </is>
      </c>
      <c r="AL56" s="156" t="inlineStr">
        <is>
          <t>Skins, tendons, and tactile covers often wear items — confirm on OEM quote.</t>
        </is>
      </c>
      <c r="AM56" s="152" t="inlineStr">
        <is>
          <t>10%</t>
        </is>
      </c>
      <c r="AN56" s="152" t="inlineStr">
        <is>
          <t>17%</t>
        </is>
      </c>
      <c r="AO56" s="152" t="inlineStr">
        <is>
          <t>24%</t>
        </is>
      </c>
      <c r="AP56" s="156" t="inlineStr">
        <is>
          <t>+1yr ≈10% | +2yr ≈17% | +3yr ≈24% of selected configuration price.</t>
        </is>
      </c>
      <c r="AQ56" s="156" t="inlineStr">
        <is>
          <t>Profitable schedule (Aug 2026): +1yr ≈10% / +2yr ≈17% / +3yr ≈24% of configuration price. Calibrated for ~45–55% gross margin after expected robotics claim incidence (~10–14%/yr of covered units), avg claim cost ~25–30% of config, and admin 10–15% of premium.</t>
        </is>
      </c>
      <c r="AR56" s="101" t="inlineStr">
        <is>
          <t>[Robot Studio] DexHand V2.3 (2025)</t>
        </is>
      </c>
    </row>
    <row r="57" ht="33.75" customHeight="1" s="102">
      <c r="A57" s="143" t="inlineStr">
        <is>
          <t>hand_xhand_1_lite</t>
        </is>
      </c>
      <c r="B57" s="153" t="inlineStr">
        <is>
          <t>Humanoid.guide</t>
        </is>
      </c>
      <c r="C57" s="145" t="inlineStr">
        <is>
          <t>Robotera</t>
        </is>
      </c>
      <c r="D57" s="145" t="inlineStr">
        <is>
          <t>XHAND 1 Lite</t>
        </is>
      </c>
      <c r="E57" s="163" t="inlineStr">
        <is>
          <t>hand</t>
        </is>
      </c>
      <c r="F57" s="145" t="inlineStr">
        <is>
          <t>China</t>
        </is>
      </c>
      <c r="G57" s="145" t="n">
        <v>2026</v>
      </c>
      <c r="H57" s="148" t="n">
        <v>8300</v>
      </c>
      <c r="I57" s="145" t="inlineStr">
        <is>
          <t>Humanoid.guide list</t>
        </is>
      </c>
      <c r="J57" s="149" t="inlineStr">
        <is>
          <t>The RobotEra XHAND1 Lite is a lightweight, 730-gram robotic hand with 11 degrees of freedom, fast repeated motion, and full thumb-to-finger opposition.</t>
        </is>
      </c>
      <c r="K57" s="101" t="inlineStr">
        <is>
          <t>The RobotEra XHAND1 Lite is a lightweight, 730-gram robotic hand with 11 degrees of freedom, fast repeated motion, and full thumb-to-finger opposition.</t>
        </is>
      </c>
      <c r="L57" s="101" t="inlineStr">
        <is>
          <t>XHAND 1 Lite is Robotera's dexterous hand, introduced around 2026 in China. The RobotEra XHAND1 Lite is a lightweight, 730-gram robotic hand with 11 degrees of freedom, fast repeated motion, and full thumb-to-finger opposition. Public status is listed as in production, and it is positioned for dexterous manipulation.</t>
        </is>
      </c>
      <c r="M57" s="101" t="inlineStr">
        <is>
          <t>Origin &amp; status — China · In production · 2026 | Performance — 11 DOF · 5 fingers · Payload 22.05 lb · Strength 10 kg | Sensing — Yes | Buying notes — $8,300 · 12 months manufacturer standard (typical dexterous-hand component) · Best fit: Dexterous manipulation</t>
        </is>
      </c>
      <c r="N57" s="150" t="inlineStr">
        <is>
          <t>https://humanoid.guide/product/xhand-1-lite/</t>
        </is>
      </c>
      <c r="O57" s="150" t="inlineStr">
        <is>
          <t>https://www.robotera.com</t>
        </is>
      </c>
      <c r="P57" s="194" t="n">
        <v>1.61</v>
      </c>
      <c r="Q57" s="194" t="n">
        <v>0.73</v>
      </c>
      <c r="R57" s="149" t="inlineStr">
        <is>
          <t>209 mm × 84 mm × 32 mm</t>
        </is>
      </c>
      <c r="S57" s="145" t="inlineStr">
        <is>
          <t>8.23 × 3.31 × 1.26 in</t>
        </is>
      </c>
      <c r="T57" s="145" t="inlineStr">
        <is>
          <t>11</t>
        </is>
      </c>
      <c r="U57" s="149" t="inlineStr">
        <is>
          <t>5</t>
        </is>
      </c>
      <c r="V57" s="194" t="n">
        <v>22.05</v>
      </c>
      <c r="W57" s="194" t="n">
        <v>10</v>
      </c>
      <c r="X57" s="161" t="inlineStr">
        <is>
          <t>Yes</t>
        </is>
      </c>
      <c r="Y57" s="149" t="inlineStr">
        <is>
          <t>Yes</t>
        </is>
      </c>
      <c r="Z57" s="149" t="inlineStr">
        <is>
          <t>Linkage-driven, micro force-controlled composite joints per finger; backdrivable (≤0.1 N·s/m damping)</t>
        </is>
      </c>
      <c r="AA57" s="149" t="inlineStr">
        <is>
          <t>Not disclosed</t>
        </is>
      </c>
      <c r="AB57" s="149" t="inlineStr">
        <is>
          <t>11 DOF · 5 fingers · 10 kg class strength · Tactile/force sensing · Linkage-driven, micro force-controlled composite joints per finger; backdrivable (≤0.1 … · 0.73 kg</t>
        </is>
      </c>
      <c r="AC57" s="149" t="inlineStr">
        <is>
          <t>Dexterous manipulation</t>
        </is>
      </c>
      <c r="AD57" s="195" t="inlineStr">
        <is>
          <t>In production</t>
        </is>
      </c>
      <c r="AE57" s="145" t="inlineStr">
        <is>
          <t>In production</t>
        </is>
      </c>
      <c r="AF57" s="149" t="n"/>
      <c r="AG57" s="149" t="inlineStr">
        <is>
          <t>12 months manufacturer standard (typical dexterous-hand component)</t>
        </is>
      </c>
      <c r="AH57" s="145" t="n">
        <v>12</v>
      </c>
      <c r="AI57" s="149" t="inlineStr">
        <is>
          <t>+3 Year Extended ≈24% of configuration (default in configurator)</t>
        </is>
      </c>
      <c r="AJ57" s="145" t="inlineStr">
        <is>
          <t>End-effector category norm 2025–2026</t>
        </is>
      </c>
      <c r="AK57" s="145" t="inlineStr">
        <is>
          <t>Estimated</t>
        </is>
      </c>
      <c r="AL57" s="149" t="inlineStr">
        <is>
          <t>Skins, tendons, and tactile covers often wear items — confirm on OEM quote.</t>
        </is>
      </c>
      <c r="AM57" s="145" t="inlineStr">
        <is>
          <t>10%</t>
        </is>
      </c>
      <c r="AN57" s="145" t="inlineStr">
        <is>
          <t>17%</t>
        </is>
      </c>
      <c r="AO57" s="145" t="inlineStr">
        <is>
          <t>24%</t>
        </is>
      </c>
      <c r="AP57" s="149" t="inlineStr">
        <is>
          <t>+1yr ≈10% | +2yr ≈17% | +3yr ≈24% of selected configuration price.</t>
        </is>
      </c>
      <c r="AQ57" s="149" t="inlineStr">
        <is>
          <t>Profitable schedule (Aug 2026): +1yr ≈10% / +2yr ≈17% / +3yr ≈24% of configuration price. Calibrated for ~45–55% gross margin after expected robotics claim incidence (~10–14%/yr of covered units), avg claim cost ~25–30% of config, and admin 10–15% of premium.</t>
        </is>
      </c>
      <c r="AR57" s="101" t="inlineStr">
        <is>
          <t>[Robotera] XHAND 1 Lite (2026)</t>
        </is>
      </c>
    </row>
    <row r="58" ht="33.75" customHeight="1" s="102">
      <c r="A58" s="159" t="inlineStr">
        <is>
          <t>hand_xhand_1_pro</t>
        </is>
      </c>
      <c r="B58" s="153" t="inlineStr">
        <is>
          <t>Humanoid.guide</t>
        </is>
      </c>
      <c r="C58" s="152" t="inlineStr">
        <is>
          <t>Robotera</t>
        </is>
      </c>
      <c r="D58" s="152" t="inlineStr">
        <is>
          <t>XHAND 1 PRO</t>
        </is>
      </c>
      <c r="E58" s="163" t="inlineStr">
        <is>
          <t>hand</t>
        </is>
      </c>
      <c r="F58" s="152" t="inlineStr">
        <is>
          <t>China</t>
        </is>
      </c>
      <c r="G58" s="152" t="n">
        <v>2026</v>
      </c>
      <c r="H58" s="155" t="n">
        <v>16750</v>
      </c>
      <c r="I58" s="152" t="inlineStr">
        <is>
          <t>Humanoid.guide list</t>
        </is>
      </c>
      <c r="J58" s="156" t="inlineStr">
        <is>
          <t>The RobotEra XHAND1 Pro is a five-fingered robotic hand with 12 active joints, strong tactile sensing, and a firm grip.</t>
        </is>
      </c>
      <c r="K58" s="101" t="inlineStr">
        <is>
          <t>The RobotEra XHAND1 Pro is a five-fingered robotic hand with 12 active joints, strong tactile sensing, and a firm grip.</t>
        </is>
      </c>
      <c r="L58" s="101" t="inlineStr">
        <is>
          <t>XHAND 1 PRO is Robotera's dexterous hand, introduced around 2026 in China. The RobotEra XHAND1 Pro is a five-fingered robotic hand with 12 active joints, strong tactile sensing, and a firm grip. Public status is listed as in production, and it is positioned for dexterous manipulation.</t>
        </is>
      </c>
      <c r="M58" s="101" t="inlineStr">
        <is>
          <t>Origin &amp; status — China · In production · 2026 | Performance — 21 DOF · 5 fingers · Payload 55.12 lb · Strength 25 kg | Sensing — Yes | Buying notes — $16,750 · 12 months manufacturer standard (typical dexterous-hand component) · Best fit: Dexterous manipulation</t>
        </is>
      </c>
      <c r="N58" s="157" t="inlineStr">
        <is>
          <t>https://humanoid.guide/product/xhand-1-pro/</t>
        </is>
      </c>
      <c r="O58" s="157" t="inlineStr">
        <is>
          <t>https://www.robotera.com</t>
        </is>
      </c>
      <c r="P58" s="196" t="n">
        <v>1.94</v>
      </c>
      <c r="Q58" s="196" t="n">
        <v>0.88</v>
      </c>
      <c r="R58" s="156" t="inlineStr">
        <is>
          <t>210 mm x 102 mm x 44 mm</t>
        </is>
      </c>
      <c r="S58" s="152" t="inlineStr">
        <is>
          <t>8.27 × 4.02 × 1.73 in</t>
        </is>
      </c>
      <c r="T58" s="152" t="inlineStr">
        <is>
          <t>21</t>
        </is>
      </c>
      <c r="U58" s="156" t="inlineStr">
        <is>
          <t>5</t>
        </is>
      </c>
      <c r="V58" s="196" t="n">
        <v>55.12</v>
      </c>
      <c r="W58" s="196" t="n">
        <v>25</v>
      </c>
      <c r="X58" s="161" t="inlineStr">
        <is>
          <t>Yes</t>
        </is>
      </c>
      <c r="Y58" s="156" t="inlineStr">
        <is>
          <t>Yes</t>
        </is>
      </c>
      <c r="Z58" s="156" t="inlineStr">
        <is>
          <t>Full-gear Quasi-Direct Drive, back-drivable joint motors</t>
        </is>
      </c>
      <c r="AA58" s="156" t="inlineStr">
        <is>
          <t>Lightweight metal alloy/composite housing</t>
        </is>
      </c>
      <c r="AB58" s="156" t="inlineStr">
        <is>
          <t>21 DOF · 5 fingers · 25 kg class strength · Tactile/force sensing · Full-gear Quasi-Direct Drive, back-drivable joint motors · 0.88 kg</t>
        </is>
      </c>
      <c r="AC58" s="156" t="inlineStr">
        <is>
          <t>Dexterous manipulation</t>
        </is>
      </c>
      <c r="AD58" s="195" t="inlineStr">
        <is>
          <t>In production</t>
        </is>
      </c>
      <c r="AE58" s="152" t="inlineStr">
        <is>
          <t>In production</t>
        </is>
      </c>
      <c r="AF58" s="156" t="n"/>
      <c r="AG58" s="156" t="inlineStr">
        <is>
          <t>12 months manufacturer standard (typical dexterous-hand component)</t>
        </is>
      </c>
      <c r="AH58" s="152" t="n">
        <v>12</v>
      </c>
      <c r="AI58" s="156" t="inlineStr">
        <is>
          <t>+3 Year Extended ≈24% of configuration (default in configurator)</t>
        </is>
      </c>
      <c r="AJ58" s="152" t="inlineStr">
        <is>
          <t>End-effector category norm 2025–2026</t>
        </is>
      </c>
      <c r="AK58" s="152" t="inlineStr">
        <is>
          <t>Estimated</t>
        </is>
      </c>
      <c r="AL58" s="156" t="inlineStr">
        <is>
          <t>Skins, tendons, and tactile covers often wear items — confirm on OEM quote.</t>
        </is>
      </c>
      <c r="AM58" s="152" t="inlineStr">
        <is>
          <t>10%</t>
        </is>
      </c>
      <c r="AN58" s="152" t="inlineStr">
        <is>
          <t>17%</t>
        </is>
      </c>
      <c r="AO58" s="152" t="inlineStr">
        <is>
          <t>24%</t>
        </is>
      </c>
      <c r="AP58" s="156" t="inlineStr">
        <is>
          <t>+1yr ≈10% | +2yr ≈17% | +3yr ≈24% of selected configuration price.</t>
        </is>
      </c>
      <c r="AQ58" s="156" t="inlineStr">
        <is>
          <t>Profitable schedule (Aug 2026): +1yr ≈10% / +2yr ≈17% / +3yr ≈24% of configuration price. Calibrated for ~45–55% gross margin after expected robotics claim incidence (~10–14%/yr of covered units), avg claim cost ~25–30% of config, and admin 10–15% of premium.</t>
        </is>
      </c>
      <c r="AR58" s="101" t="inlineStr">
        <is>
          <t>[Robotera] XHAND 1 PRO (2026)</t>
        </is>
      </c>
    </row>
    <row r="59" ht="33.75" customHeight="1" s="102">
      <c r="A59" s="143" t="inlineStr">
        <is>
          <t>hand_xhand1</t>
        </is>
      </c>
      <c r="B59" s="153" t="inlineStr">
        <is>
          <t>Humanoid.guide</t>
        </is>
      </c>
      <c r="C59" s="145" t="inlineStr">
        <is>
          <t>Robotera</t>
        </is>
      </c>
      <c r="D59" s="145" t="inlineStr">
        <is>
          <t>XHAND1</t>
        </is>
      </c>
      <c r="E59" s="163" t="inlineStr">
        <is>
          <t>hand</t>
        </is>
      </c>
      <c r="F59" s="145" t="inlineStr">
        <is>
          <t>China</t>
        </is>
      </c>
      <c r="G59" s="145" t="n">
        <v>2025</v>
      </c>
      <c r="H59" s="148" t="n">
        <v>14000</v>
      </c>
      <c r="I59" s="145" t="inlineStr">
        <is>
          <t>Humanoid.guide list</t>
        </is>
      </c>
      <c r="J59" s="149" t="inlineStr">
        <is>
          <t>XHAND1 — a compact, five-fingered robotic hand by Robotera with 12 active DoF, rich tactile sensing, and strong gripping force for advanced manipulation and humanoid tasks.</t>
        </is>
      </c>
      <c r="K59" s="101" t="inlineStr">
        <is>
          <t>XHAND1 — a compact, five-fingered robotic hand by Robotera with 12 active DoF, rich tactile sensing, and strong gripping force for advanced manipulation and humanoid tasks.</t>
        </is>
      </c>
      <c r="L59" s="101" t="inlineStr">
        <is>
          <t>XHAND1 — a compact, five-fingered robotic hand by Robotera with 12 active DoF, rich tactile sensing, and strong gripping force for advanced manipulation and humanoid tasks. Public status is listed as in production, and it is positioned for humanoid OEM.</t>
        </is>
      </c>
      <c r="M59" s="101" t="inlineStr">
        <is>
          <t>Origin &amp; status — China · In production · 2025 | Performance — 12 DOF · 5 fingers · Payload 55.12 lb · Strength 25 kg | Sensing — Yes | Buying notes — $14,000 · 12 months manufacturer standard (typical dexterous-hand component) · Best fit: Humanoid OEM</t>
        </is>
      </c>
      <c r="N59" s="150" t="inlineStr">
        <is>
          <t>https://humanoid.guide/product/xhand1/</t>
        </is>
      </c>
      <c r="O59" s="150" t="inlineStr">
        <is>
          <t>https://www.robotera.com</t>
        </is>
      </c>
      <c r="P59" s="194" t="n">
        <v>2.43</v>
      </c>
      <c r="Q59" s="194" t="n">
        <v>1.1</v>
      </c>
      <c r="R59" s="149" t="inlineStr">
        <is>
          <t>191 × 94 × 47 mm</t>
        </is>
      </c>
      <c r="S59" s="145" t="inlineStr">
        <is>
          <t>7.52 × 3.7 × 1.85 in</t>
        </is>
      </c>
      <c r="T59" s="145" t="inlineStr">
        <is>
          <t>12</t>
        </is>
      </c>
      <c r="U59" s="149" t="inlineStr">
        <is>
          <t>5</t>
        </is>
      </c>
      <c r="V59" s="194" t="n">
        <v>55.12</v>
      </c>
      <c r="W59" s="194" t="n">
        <v>25</v>
      </c>
      <c r="X59" s="161" t="inlineStr">
        <is>
          <t>Yes</t>
        </is>
      </c>
      <c r="Y59" s="149" t="inlineStr">
        <is>
          <t>Yes</t>
        </is>
      </c>
      <c r="Z59" s="149" t="inlineStr">
        <is>
          <t>Gear-driven force-controlled joint modules for each finger segment</t>
        </is>
      </c>
      <c r="AA59" s="149" t="inlineStr">
        <is>
          <t>Not disclosed</t>
        </is>
      </c>
      <c r="AB59" s="149" t="inlineStr">
        <is>
          <t>12 DOF · 5 fingers · 25 kg class strength · Tactile/force sensing · Gear-driven force-controlled joint modules for each finger segment · 1.1 kg</t>
        </is>
      </c>
      <c r="AC59" s="149" t="inlineStr">
        <is>
          <t>Humanoid OEM</t>
        </is>
      </c>
      <c r="AD59" s="195" t="inlineStr">
        <is>
          <t>In production</t>
        </is>
      </c>
      <c r="AE59" s="145" t="inlineStr">
        <is>
          <t>In production</t>
        </is>
      </c>
      <c r="AF59" s="149" t="n"/>
      <c r="AG59" s="149" t="inlineStr">
        <is>
          <t>12 months manufacturer standard (typical dexterous-hand component)</t>
        </is>
      </c>
      <c r="AH59" s="145" t="n">
        <v>12</v>
      </c>
      <c r="AI59" s="149" t="inlineStr">
        <is>
          <t>+3 Year Extended ≈24% of configuration (default in configurator)</t>
        </is>
      </c>
      <c r="AJ59" s="145" t="inlineStr">
        <is>
          <t>End-effector category norm 2025–2026</t>
        </is>
      </c>
      <c r="AK59" s="145" t="inlineStr">
        <is>
          <t>Estimated</t>
        </is>
      </c>
      <c r="AL59" s="149" t="inlineStr">
        <is>
          <t>Skins, tendons, and tactile covers often wear items — confirm on OEM quote.</t>
        </is>
      </c>
      <c r="AM59" s="145" t="inlineStr">
        <is>
          <t>10%</t>
        </is>
      </c>
      <c r="AN59" s="145" t="inlineStr">
        <is>
          <t>17%</t>
        </is>
      </c>
      <c r="AO59" s="145" t="inlineStr">
        <is>
          <t>24%</t>
        </is>
      </c>
      <c r="AP59" s="149" t="inlineStr">
        <is>
          <t>+1yr ≈10% | +2yr ≈17% | +3yr ≈24% of selected configuration price.</t>
        </is>
      </c>
      <c r="AQ59" s="149" t="inlineStr">
        <is>
          <t>Profitable schedule (Aug 2026): +1yr ≈10% / +2yr ≈17% / +3yr ≈24% of configuration price. Calibrated for ~45–55% gross margin after expected robotics claim incidence (~10–14%/yr of covered units), avg claim cost ~25–30% of config, and admin 10–15% of premium.</t>
        </is>
      </c>
      <c r="AR59" s="101" t="inlineStr">
        <is>
          <t>[Robotera] XHAND1 (2025)</t>
        </is>
      </c>
    </row>
    <row r="60" ht="33.75" customHeight="1" s="102">
      <c r="A60" s="159" t="inlineStr">
        <is>
          <t>hand_hx5_d20</t>
        </is>
      </c>
      <c r="B60" s="153" t="inlineStr">
        <is>
          <t>Humanoid.guide</t>
        </is>
      </c>
      <c r="C60" s="152" t="inlineStr">
        <is>
          <t>Robotis</t>
        </is>
      </c>
      <c r="D60" s="152" t="inlineStr">
        <is>
          <t>HX5-D20</t>
        </is>
      </c>
      <c r="E60" s="163" t="inlineStr">
        <is>
          <t>hand</t>
        </is>
      </c>
      <c r="F60" s="152" t="inlineStr">
        <is>
          <t>South Korea</t>
        </is>
      </c>
      <c r="G60" s="152" t="n">
        <v>2025</v>
      </c>
      <c r="H60" s="155" t="n">
        <v>5500</v>
      </c>
      <c r="I60" s="152" t="inlineStr">
        <is>
          <t>Humanoid.guide list</t>
        </is>
      </c>
      <c r="J60" s="156" t="inlineStr">
        <is>
          <t>The HX5-D20 is a 20-DoF humanoid robotic hand from ROBOTIS, built for smooth, human-like motion and reliable manipulation.</t>
        </is>
      </c>
      <c r="K60" s="101" t="inlineStr">
        <is>
          <t>The HX5-D20 is a 20-DoF humanoid robotic hand from ROBOTIS, built for smooth, human-like motion and reliable manipulation.</t>
        </is>
      </c>
      <c r="L60" s="101" t="inlineStr">
        <is>
          <t>The HX5-D20 is a 20-DoF humanoid robotic hand from ROBOTIS, built for smooth, human-like motion and reliable manipulation. Public status is listed as in production, and it is positioned for humanoid OEM.</t>
        </is>
      </c>
      <c r="M60" s="101" t="inlineStr">
        <is>
          <t>Origin &amp; status — South Korea · In production · 2025 | Performance — 20 DOF · 5 fingers · Payload 17.64 lb · Strength 8 kg | Sensing — Yes | Buying notes — $5,500 · 12 months manufacturer standard (typical dexterous-hand component) · Best fit: Humanoid OEM</t>
        </is>
      </c>
      <c r="N60" s="157" t="inlineStr">
        <is>
          <t>https://humanoid.guide/product/hx5-d20/</t>
        </is>
      </c>
      <c r="O60" s="157" t="inlineStr">
        <is>
          <t>https://www.robotis.com</t>
        </is>
      </c>
      <c r="P60" s="196" t="n">
        <v>1.32</v>
      </c>
      <c r="Q60" s="196" t="n">
        <v>0.6</v>
      </c>
      <c r="R60" s="156" t="inlineStr">
        <is>
          <t>~18–20 cm length, ~8–9 cm width (human-hand scale)</t>
        </is>
      </c>
      <c r="S60" s="152" t="inlineStr">
        <is>
          <t>7.09 × 7.87 × 3.15 in</t>
        </is>
      </c>
      <c r="T60" s="152" t="inlineStr">
        <is>
          <t>20</t>
        </is>
      </c>
      <c r="U60" s="156" t="inlineStr">
        <is>
          <t>5</t>
        </is>
      </c>
      <c r="V60" s="196" t="n">
        <v>17.64</v>
      </c>
      <c r="W60" s="196" t="n">
        <v>8</v>
      </c>
      <c r="X60" s="161" t="inlineStr">
        <is>
          <t>Yes</t>
        </is>
      </c>
      <c r="Y60" s="156" t="inlineStr">
        <is>
          <t>Yes</t>
        </is>
      </c>
      <c r="Z60" s="156" t="inlineStr">
        <is>
          <t>Likely multi-servo articulated actuation / DYNAMIXEL servo technology in advanced limbs</t>
        </is>
      </c>
      <c r="AA60" s="156" t="inlineStr">
        <is>
          <t>High-strength polymer composite + metal joint components</t>
        </is>
      </c>
      <c r="AB60" s="156" t="inlineStr">
        <is>
          <t>20 DOF · 5 fingers · 8 kg class strength · Tactile/force sensing · Likely multi-servo articulated actuation / DYNAMIXEL servo technology in advanced limbs · 0.6 kg</t>
        </is>
      </c>
      <c r="AC60" s="156" t="inlineStr">
        <is>
          <t>Humanoid OEM</t>
        </is>
      </c>
      <c r="AD60" s="195" t="inlineStr">
        <is>
          <t>In production</t>
        </is>
      </c>
      <c r="AE60" s="152" t="inlineStr">
        <is>
          <t>In production</t>
        </is>
      </c>
      <c r="AF60" s="156" t="n"/>
      <c r="AG60" s="156" t="inlineStr">
        <is>
          <t>12 months manufacturer standard (typical dexterous-hand component)</t>
        </is>
      </c>
      <c r="AH60" s="152" t="n">
        <v>12</v>
      </c>
      <c r="AI60" s="156" t="inlineStr">
        <is>
          <t>+3 Year Extended ≈24% of configuration (default in configurator)</t>
        </is>
      </c>
      <c r="AJ60" s="152" t="inlineStr">
        <is>
          <t>End-effector category norm 2025–2026</t>
        </is>
      </c>
      <c r="AK60" s="152" t="inlineStr">
        <is>
          <t>Estimated</t>
        </is>
      </c>
      <c r="AL60" s="156" t="inlineStr">
        <is>
          <t>Skins, tendons, and tactile covers often wear items — confirm on OEM quote.</t>
        </is>
      </c>
      <c r="AM60" s="152" t="inlineStr">
        <is>
          <t>10%</t>
        </is>
      </c>
      <c r="AN60" s="152" t="inlineStr">
        <is>
          <t>17%</t>
        </is>
      </c>
      <c r="AO60" s="152" t="inlineStr">
        <is>
          <t>24%</t>
        </is>
      </c>
      <c r="AP60" s="156" t="inlineStr">
        <is>
          <t>+1yr ≈10% | +2yr ≈17% | +3yr ≈24% of selected configuration price.</t>
        </is>
      </c>
      <c r="AQ60" s="156" t="inlineStr">
        <is>
          <t>Profitable schedule (Aug 2026): +1yr ≈10% / +2yr ≈17% / +3yr ≈24% of configuration price. Calibrated for ~45–55% gross margin after expected robotics claim incidence (~10–14%/yr of covered units), avg claim cost ~25–30% of config, and admin 10–15% of premium.</t>
        </is>
      </c>
      <c r="AR60" s="101" t="inlineStr">
        <is>
          <t>[Robotis] HX5-D20 (2025)</t>
        </is>
      </c>
    </row>
    <row r="61" ht="33.75" customHeight="1" s="102">
      <c r="A61" s="143" t="inlineStr">
        <is>
          <t>hand_ry_h1</t>
        </is>
      </c>
      <c r="B61" s="153" t="inlineStr">
        <is>
          <t>Humanoid.guide</t>
        </is>
      </c>
      <c r="C61" s="145" t="inlineStr">
        <is>
          <t>Ruiyan</t>
        </is>
      </c>
      <c r="D61" s="145" t="inlineStr">
        <is>
          <t>RY-H1</t>
        </is>
      </c>
      <c r="E61" s="163" t="inlineStr">
        <is>
          <t>hand</t>
        </is>
      </c>
      <c r="F61" s="145" t="inlineStr">
        <is>
          <t>China</t>
        </is>
      </c>
      <c r="G61" s="145" t="n">
        <v>2026</v>
      </c>
      <c r="H61" s="148" t="n">
        <v>9900</v>
      </c>
      <c r="I61" s="145" t="inlineStr">
        <is>
          <t>Humanoid.guide list</t>
        </is>
      </c>
      <c r="J61" s="149" t="inlineStr">
        <is>
          <t>A 16-DOF dexterous robotic hand with direct-drive control, designed for precise, stable, and human-like object manipulation.</t>
        </is>
      </c>
      <c r="K61" s="101" t="inlineStr">
        <is>
          <t>A 16-DOF dexterous robotic hand with direct-drive control, designed for precise, stable, and human-like object manipulation.</t>
        </is>
      </c>
      <c r="L61" s="101" t="inlineStr">
        <is>
          <t>RY-H1 is Ruiyan's dexterous hand, introduced around 2026 in China. A 16-DOF dexterous robotic hand with direct-drive control, designed for precise, stable, and human-like object manipulation. Public status is listed as in production, and it is positioned for dexterous manipulation.</t>
        </is>
      </c>
      <c r="M61" s="101" t="inlineStr">
        <is>
          <t>Origin &amp; status — China · In production · 2026 | Performance — 16 DOF · 5 fingers · Payload 35.27 lb · Strength 16 kg | Sensing — No | Buying notes — $9,900 · 12 months manufacturer standard (typical dexterous-hand component) · Best fit: Dexterous manipulation</t>
        </is>
      </c>
      <c r="N61" s="150" t="inlineStr">
        <is>
          <t>https://humanoid.guide/product/ry-h1/</t>
        </is>
      </c>
      <c r="O61" s="150" t="inlineStr">
        <is>
          <t>https://www.ruiyanrobot.com/</t>
        </is>
      </c>
      <c r="P61" s="194" t="n">
        <v>1.92</v>
      </c>
      <c r="Q61" s="194" t="n">
        <v>0.87</v>
      </c>
      <c r="R61" s="149" t="inlineStr">
        <is>
          <t>Not disclosed</t>
        </is>
      </c>
      <c r="S61" s="145" t="inlineStr">
        <is>
          <t>Not disclosed</t>
        </is>
      </c>
      <c r="T61" s="145" t="inlineStr">
        <is>
          <t>16</t>
        </is>
      </c>
      <c r="U61" s="149" t="inlineStr">
        <is>
          <t>5</t>
        </is>
      </c>
      <c r="V61" s="194" t="n">
        <v>35.27</v>
      </c>
      <c r="W61" s="194" t="n">
        <v>16</v>
      </c>
      <c r="X61" s="162" t="inlineStr">
        <is>
          <t>No</t>
        </is>
      </c>
      <c r="Y61" s="149" t="inlineStr">
        <is>
          <t>No</t>
        </is>
      </c>
      <c r="Z61" s="149" t="inlineStr">
        <is>
          <t>Direct Drive</t>
        </is>
      </c>
      <c r="AA61" s="149" t="inlineStr">
        <is>
          <t>Not disclosed</t>
        </is>
      </c>
      <c r="AB61" s="149" t="inlineStr">
        <is>
          <t>16 DOF · 5 fingers · 16 kg class strength · No tactile array published · Direct Drive · 0.87 kg</t>
        </is>
      </c>
      <c r="AC61" s="149" t="inlineStr">
        <is>
          <t>Dexterous manipulation</t>
        </is>
      </c>
      <c r="AD61" s="195" t="inlineStr">
        <is>
          <t>In production</t>
        </is>
      </c>
      <c r="AE61" s="145" t="inlineStr">
        <is>
          <t>In production</t>
        </is>
      </c>
      <c r="AF61" s="149" t="n"/>
      <c r="AG61" s="149" t="inlineStr">
        <is>
          <t>12 months manufacturer standard (typical dexterous-hand component)</t>
        </is>
      </c>
      <c r="AH61" s="145" t="n">
        <v>12</v>
      </c>
      <c r="AI61" s="149" t="inlineStr">
        <is>
          <t>+3 Year Extended ≈24% of configuration (default in configurator)</t>
        </is>
      </c>
      <c r="AJ61" s="145" t="inlineStr">
        <is>
          <t>End-effector category norm 2025–2026</t>
        </is>
      </c>
      <c r="AK61" s="145" t="inlineStr">
        <is>
          <t>Estimated</t>
        </is>
      </c>
      <c r="AL61" s="149" t="inlineStr">
        <is>
          <t>Skins, tendons, and tactile covers often wear items — confirm on OEM quote.</t>
        </is>
      </c>
      <c r="AM61" s="145" t="inlineStr">
        <is>
          <t>10%</t>
        </is>
      </c>
      <c r="AN61" s="145" t="inlineStr">
        <is>
          <t>17%</t>
        </is>
      </c>
      <c r="AO61" s="145" t="inlineStr">
        <is>
          <t>24%</t>
        </is>
      </c>
      <c r="AP61" s="149" t="inlineStr">
        <is>
          <t>+1yr ≈10% | +2yr ≈17% | +3yr ≈24% of selected configuration price.</t>
        </is>
      </c>
      <c r="AQ61" s="149" t="inlineStr">
        <is>
          <t>Profitable schedule (Aug 2026): +1yr ≈10% / +2yr ≈17% / +3yr ≈24% of configuration price. Calibrated for ~45–55% gross margin after expected robotics claim incidence (~10–14%/yr of covered units), avg claim cost ~25–30% of config, and admin 10–15% of premium.</t>
        </is>
      </c>
      <c r="AR61" s="101" t="inlineStr">
        <is>
          <t>[Ruiyan] RY-H1 (2026)</t>
        </is>
      </c>
    </row>
    <row r="62" ht="33.75" customHeight="1" s="102">
      <c r="A62" s="159" t="inlineStr">
        <is>
          <t>hand_phoenix_hand_3_2</t>
        </is>
      </c>
      <c r="B62" s="153" t="inlineStr">
        <is>
          <t>Humanoid.guide</t>
        </is>
      </c>
      <c r="C62" s="152" t="inlineStr">
        <is>
          <t>Sanctuary AI</t>
        </is>
      </c>
      <c r="D62" s="152" t="inlineStr">
        <is>
          <t>Phoenix 3.2</t>
        </is>
      </c>
      <c r="E62" s="163" t="inlineStr">
        <is>
          <t>hand</t>
        </is>
      </c>
      <c r="F62" s="152" t="inlineStr">
        <is>
          <t>Canada</t>
        </is>
      </c>
      <c r="G62" s="152" t="n">
        <v>2025</v>
      </c>
      <c r="H62" s="155" t="n">
        <v>39000</v>
      </c>
      <c r="I62" s="152" t="inlineStr">
        <is>
          <t>Humanoid.guide list</t>
        </is>
      </c>
      <c r="J62" s="156" t="inlineStr">
        <is>
          <t>Phoenix Hand 3.2 — an advanced humanoid robotic hand with 17 degrees of freedom and integrated tactile sensing, designed for adaptive, human-inspired manipulation in robotics, research, and automation.</t>
        </is>
      </c>
      <c r="K62" s="101" t="inlineStr">
        <is>
          <t>Phoenix Hand 3.2 — an advanced humanoid robotic hand with 17 degrees of freedom and integrated tactile sensing, designed for adaptive, human-inspired manipulation in robotics, research, and automation.</t>
        </is>
      </c>
      <c r="L62" s="101" t="inlineStr">
        <is>
          <t>Phoenix 3.2 is Sanctuary AI's dexterous hand, introduced around 2025 in Canada. Phoenix Hand 3.2 — an advanced humanoid robotic hand with 17 degrees of freedom and integrated tactile sensing, designed for adaptive, human-inspired manipulation in robotics, research, and automation. Public status is listed as in production, and it is positioned for humanoid OEM; Research / teleoperation.</t>
        </is>
      </c>
      <c r="M62" s="101" t="inlineStr">
        <is>
          <t>Origin &amp; status — Canada · In production · 2025 | Performance — 17 DOF · 5 fingers · Payload 11.02 lb · Strength 5 kg | Sensing — Yes | Buying notes — $39,000 · 12 months manufacturer standard (typical dexterous-hand component) · Best fit: Humanoid OEM; Research / teleoperation</t>
        </is>
      </c>
      <c r="N62" s="157" t="inlineStr">
        <is>
          <t>https://humanoid.guide/product/phoenix-hand-3-2/</t>
        </is>
      </c>
      <c r="O62" s="157" t="inlineStr">
        <is>
          <t>https://sanctuary.ai</t>
        </is>
      </c>
      <c r="P62" s="196" t="n">
        <v>3.31</v>
      </c>
      <c r="Q62" s="196" t="n">
        <v>1.5</v>
      </c>
      <c r="R62" s="156" t="inlineStr">
        <is>
          <t>Assumed human-hand scale: roughly 18–22 cm length</t>
        </is>
      </c>
      <c r="S62" s="152" t="inlineStr">
        <is>
          <t>7.09 × 8.66 in</t>
        </is>
      </c>
      <c r="T62" s="152" t="inlineStr">
        <is>
          <t>17</t>
        </is>
      </c>
      <c r="U62" s="156" t="inlineStr">
        <is>
          <t>5</t>
        </is>
      </c>
      <c r="V62" s="196" t="n">
        <v>11.02</v>
      </c>
      <c r="W62" s="196" t="n">
        <v>5</v>
      </c>
      <c r="X62" s="161" t="inlineStr">
        <is>
          <t>Yes</t>
        </is>
      </c>
      <c r="Y62" s="156" t="inlineStr">
        <is>
          <t>Yes</t>
        </is>
      </c>
      <c r="Z62" s="156" t="inlineStr">
        <is>
          <t>Likely a miniaturized actuation system (hydraulic or hybrid) optimized for power and sensitivity</t>
        </is>
      </c>
      <c r="AA62" s="156" t="inlineStr">
        <is>
          <t>Typically lightweight metals + engineered polymers</t>
        </is>
      </c>
      <c r="AB62" s="156" t="inlineStr">
        <is>
          <t>17 DOF · 5 fingers · 5 kg class strength · Tactile/force sensing · Likely a miniaturized actuation system (hydraulic or hybrid) optimized for power and se… · 1.5 kg</t>
        </is>
      </c>
      <c r="AC62" s="156" t="inlineStr">
        <is>
          <t>Humanoid OEM; Research / teleoperation</t>
        </is>
      </c>
      <c r="AD62" s="195" t="inlineStr">
        <is>
          <t>In production</t>
        </is>
      </c>
      <c r="AE62" s="152" t="inlineStr">
        <is>
          <t>In production</t>
        </is>
      </c>
      <c r="AF62" s="156" t="inlineStr">
        <is>
          <t>Weight published as ~1.2–1.8 kg; midpoint used.</t>
        </is>
      </c>
      <c r="AG62" s="156" t="inlineStr">
        <is>
          <t>12 months manufacturer standard (typical dexterous-hand component)</t>
        </is>
      </c>
      <c r="AH62" s="152" t="n">
        <v>12</v>
      </c>
      <c r="AI62" s="156" t="inlineStr">
        <is>
          <t>+3 Year Extended ≈24% of configuration (default in configurator)</t>
        </is>
      </c>
      <c r="AJ62" s="152" t="inlineStr">
        <is>
          <t>End-effector category norm 2025–2026</t>
        </is>
      </c>
      <c r="AK62" s="152" t="inlineStr">
        <is>
          <t>Estimated</t>
        </is>
      </c>
      <c r="AL62" s="156" t="inlineStr">
        <is>
          <t>Skins, tendons, and tactile covers often wear items — confirm on OEM quote.</t>
        </is>
      </c>
      <c r="AM62" s="152" t="inlineStr">
        <is>
          <t>10%</t>
        </is>
      </c>
      <c r="AN62" s="152" t="inlineStr">
        <is>
          <t>17%</t>
        </is>
      </c>
      <c r="AO62" s="152" t="inlineStr">
        <is>
          <t>24%</t>
        </is>
      </c>
      <c r="AP62" s="156" t="inlineStr">
        <is>
          <t>+1yr ≈10% | +2yr ≈17% | +3yr ≈24% of selected configuration price.</t>
        </is>
      </c>
      <c r="AQ62" s="156" t="inlineStr">
        <is>
          <t>Profitable schedule (Aug 2026): +1yr ≈10% / +2yr ≈17% / +3yr ≈24% of configuration price. Calibrated for ~45–55% gross margin after expected robotics claim incidence (~10–14%/yr of covered units), avg claim cost ~25–30% of config, and admin 10–15% of premium.</t>
        </is>
      </c>
      <c r="AR62" s="101" t="inlineStr">
        <is>
          <t>[Sanctuary AI] Phoenix 3.2 (2025)</t>
        </is>
      </c>
    </row>
    <row r="63" ht="33.75" customHeight="1" s="102">
      <c r="A63" s="143" t="inlineStr">
        <is>
          <t>hand_artus_lite</t>
        </is>
      </c>
      <c r="B63" s="153" t="inlineStr">
        <is>
          <t>Humanoid.guide</t>
        </is>
      </c>
      <c r="C63" s="145" t="inlineStr">
        <is>
          <t>Sarcomere Dynamics Inc.</t>
        </is>
      </c>
      <c r="D63" s="145" t="inlineStr">
        <is>
          <t>ARTUS Lite</t>
        </is>
      </c>
      <c r="E63" s="163" t="inlineStr">
        <is>
          <t>hand</t>
        </is>
      </c>
      <c r="F63" s="145" t="inlineStr">
        <is>
          <t>Canada</t>
        </is>
      </c>
      <c r="G63" s="145" t="n">
        <v>2025</v>
      </c>
      <c r="H63" s="148" t="n">
        <v>4500</v>
      </c>
      <c r="I63" s="145" t="inlineStr">
        <is>
          <t>Humanoid.guide list</t>
        </is>
      </c>
      <c r="J63" s="149" t="inlineStr">
        <is>
          <t>ARTUS Lite — a compact, high-dexterity robotic hand with 20-DoF, built by Sarcomere Dynamics for industrial automation, tele-operations and humanoid robotics.</t>
        </is>
      </c>
      <c r="K63" s="101" t="inlineStr">
        <is>
          <t>ARTUS Lite — a compact, high-dexterity robotic hand with 20-DoF, built by Sarcomere Dynamics for industrial automation, tele-operations and humanoid robotics.</t>
        </is>
      </c>
      <c r="L63" s="101" t="inlineStr">
        <is>
          <t>ARTUS Lite — a compact, high-dexterity robotic hand with 20-DoF, built by Sarcomere Dynamics for industrial automation, tele-operations and humanoid robotics. Public status is listed as in production, and it is positioned for humanoid OEM; Industrial manipulation.</t>
        </is>
      </c>
      <c r="M63" s="101" t="inlineStr">
        <is>
          <t>Origin &amp; status — Canada · In production · 2025 | Performance — 20 DOF · 20 fingers · Payload 11.02 lb · Strength 5 kg | Sensing — No | Buying notes — $4,500 · 12 months manufacturer standard (typical dexterous-hand component) · Best fit: Humanoid OEM; Industrial manipulation</t>
        </is>
      </c>
      <c r="N63" s="150" t="inlineStr">
        <is>
          <t>https://humanoid.guide/product/artus-lite/</t>
        </is>
      </c>
      <c r="O63" s="150" t="inlineStr">
        <is>
          <t>https://sarcomeredynamics.com/</t>
        </is>
      </c>
      <c r="P63" s="194" t="n">
        <v>3.09</v>
      </c>
      <c r="Q63" s="194" t="n">
        <v>1.4</v>
      </c>
      <c r="R63" s="149" t="inlineStr">
        <is>
          <t>186.4 mm (length) × 79.8 mm (width)</t>
        </is>
      </c>
      <c r="S63" s="145" t="inlineStr">
        <is>
          <t>7.34 × 3.14 in</t>
        </is>
      </c>
      <c r="T63" s="145" t="inlineStr">
        <is>
          <t>20</t>
        </is>
      </c>
      <c r="U63" s="149" t="inlineStr">
        <is>
          <t>20</t>
        </is>
      </c>
      <c r="V63" s="194" t="n">
        <v>11.02</v>
      </c>
      <c r="W63" s="194" t="n">
        <v>5</v>
      </c>
      <c r="X63" s="162" t="inlineStr">
        <is>
          <t>No</t>
        </is>
      </c>
      <c r="Y63" s="149" t="inlineStr">
        <is>
          <t>No</t>
        </is>
      </c>
      <c r="Z63" s="149" t="inlineStr">
        <is>
          <t>Articulated actuators, internal sensing for finger-joint position and force</t>
        </is>
      </c>
      <c r="AA63" s="149" t="inlineStr">
        <is>
          <t>Carbon Fiber, Aluminum, and Silicone</t>
        </is>
      </c>
      <c r="AB63" s="149" t="inlineStr">
        <is>
          <t>20 DOF · 20 fingers · 5 kg class strength · No tactile array published · Articulated actuators, internal sensing for finger-joint position and force · 1.4 kg</t>
        </is>
      </c>
      <c r="AC63" s="149" t="inlineStr">
        <is>
          <t>Humanoid OEM; Industrial manipulation</t>
        </is>
      </c>
      <c r="AD63" s="195" t="inlineStr">
        <is>
          <t>In production</t>
        </is>
      </c>
      <c r="AE63" s="145" t="inlineStr">
        <is>
          <t>In production</t>
        </is>
      </c>
      <c r="AF63" s="149" t="n"/>
      <c r="AG63" s="149" t="inlineStr">
        <is>
          <t>12 months manufacturer standard (typical dexterous-hand component)</t>
        </is>
      </c>
      <c r="AH63" s="145" t="n">
        <v>12</v>
      </c>
      <c r="AI63" s="149" t="inlineStr">
        <is>
          <t>+3 Year Extended ≈24% of configuration (default in configurator)</t>
        </is>
      </c>
      <c r="AJ63" s="145" t="inlineStr">
        <is>
          <t>End-effector category norm 2025–2026</t>
        </is>
      </c>
      <c r="AK63" s="145" t="inlineStr">
        <is>
          <t>Estimated</t>
        </is>
      </c>
      <c r="AL63" s="149" t="inlineStr">
        <is>
          <t>Skins, tendons, and tactile covers often wear items — confirm on OEM quote.</t>
        </is>
      </c>
      <c r="AM63" s="145" t="inlineStr">
        <is>
          <t>10%</t>
        </is>
      </c>
      <c r="AN63" s="145" t="inlineStr">
        <is>
          <t>17%</t>
        </is>
      </c>
      <c r="AO63" s="145" t="inlineStr">
        <is>
          <t>24%</t>
        </is>
      </c>
      <c r="AP63" s="149" t="inlineStr">
        <is>
          <t>+1yr ≈10% | +2yr ≈17% | +3yr ≈24% of selected configuration price.</t>
        </is>
      </c>
      <c r="AQ63" s="149" t="inlineStr">
        <is>
          <t>Profitable schedule (Aug 2026): +1yr ≈10% / +2yr ≈17% / +3yr ≈24% of configuration price. Calibrated for ~45–55% gross margin after expected robotics claim incidence (~10–14%/yr of covered units), avg claim cost ~25–30% of config, and admin 10–15% of premium.</t>
        </is>
      </c>
      <c r="AR63" s="101" t="inlineStr">
        <is>
          <t>[Sarcomere Dynamics Inc.] ARTUS Lite (2025)</t>
        </is>
      </c>
    </row>
    <row r="64" ht="33.75" customHeight="1" s="102">
      <c r="A64" s="159" t="inlineStr">
        <is>
          <t>hand_svh</t>
        </is>
      </c>
      <c r="B64" s="153" t="inlineStr">
        <is>
          <t>Humanoid.guide</t>
        </is>
      </c>
      <c r="C64" s="152" t="inlineStr">
        <is>
          <t>SCHUNK</t>
        </is>
      </c>
      <c r="D64" s="152" t="inlineStr">
        <is>
          <t>SVH</t>
        </is>
      </c>
      <c r="E64" s="163" t="inlineStr">
        <is>
          <t>hand</t>
        </is>
      </c>
      <c r="F64" s="152" t="inlineStr">
        <is>
          <t>Germany</t>
        </is>
      </c>
      <c r="G64" s="152" t="n">
        <v>2025</v>
      </c>
      <c r="H64" s="155" t="n">
        <v>30000</v>
      </c>
      <c r="I64" s="152" t="inlineStr">
        <is>
          <t>Humanoid.guide list</t>
        </is>
      </c>
      <c r="J64" s="156" t="inlineStr">
        <is>
          <t>The SCHUNK SVH robotic hand is a servo-electric, five-finger robotic hand with integrated control electronics, offering human-like dexterity, adaptive grasping, and precise manipulation for advanced robotic applications.</t>
        </is>
      </c>
      <c r="K64" s="101" t="inlineStr">
        <is>
          <t>The SCHUNK SVH robotic hand is a servo-electric, five-finger robotic hand with integrated control electronics, offering human-like dexterity, adaptive grasping, and precise manipulation for advanced robotic applications.</t>
        </is>
      </c>
      <c r="L64" s="101" t="inlineStr">
        <is>
          <t>SVH is SCHUNK's dexterous hand, introduced around 2025 in Germany. The SCHUNK SVH robotic hand is a servo-electric, five-finger robotic hand with integrated control electronics, offering human-like dexterity, adaptive grasping, and precise manipulation for advanced robotic applications. Public status is listed as in production, and it is positioned for dexterous manipulation.</t>
        </is>
      </c>
      <c r="M64" s="101" t="inlineStr">
        <is>
          <t>Origin &amp; status — Germany · In production · 2025 | Performance — 9 DOF · 5 fingers · Payload 8.82 lb · Strength 4 kg | Sensing — No | Buying notes — $30,000 · 12 months manufacturer standard (typical dexterous-hand component) · Best fit: Dexterous manipulation</t>
        </is>
      </c>
      <c r="N64" s="157" t="inlineStr">
        <is>
          <t>https://humanoid.guide/product/svh/</t>
        </is>
      </c>
      <c r="O64" s="157" t="inlineStr">
        <is>
          <t>https://www.schunk.com</t>
        </is>
      </c>
      <c r="P64" s="152" t="inlineStr">
        <is>
          <t>Not disclosed</t>
        </is>
      </c>
      <c r="Q64" s="152" t="n"/>
      <c r="R64" s="156" t="inlineStr">
        <is>
          <t>Not disclosed</t>
        </is>
      </c>
      <c r="S64" s="152" t="inlineStr">
        <is>
          <t>Not disclosed</t>
        </is>
      </c>
      <c r="T64" s="152" t="inlineStr">
        <is>
          <t>9</t>
        </is>
      </c>
      <c r="U64" s="156" t="inlineStr">
        <is>
          <t>5</t>
        </is>
      </c>
      <c r="V64" s="196" t="n">
        <v>8.82</v>
      </c>
      <c r="W64" s="196" t="n">
        <v>4</v>
      </c>
      <c r="X64" s="162" t="inlineStr">
        <is>
          <t>No</t>
        </is>
      </c>
      <c r="Y64" s="156" t="inlineStr">
        <is>
          <t>No</t>
        </is>
      </c>
      <c r="Z64" s="156" t="inlineStr">
        <is>
          <t>Linkage‑driven, integrated electronics; 24 V; RS‑485</t>
        </is>
      </c>
      <c r="AA64" s="156" t="inlineStr">
        <is>
          <t>Not disclosed</t>
        </is>
      </c>
      <c r="AB64" s="156" t="inlineStr">
        <is>
          <t>9 DOF · 5 fingers · 4 kg class strength · No tactile array published · Linkage‑driven, integrated electronics; 24 V; RS‑485</t>
        </is>
      </c>
      <c r="AC64" s="156" t="inlineStr">
        <is>
          <t>Dexterous manipulation</t>
        </is>
      </c>
      <c r="AD64" s="195" t="inlineStr">
        <is>
          <t>In production</t>
        </is>
      </c>
      <c r="AE64" s="152" t="inlineStr">
        <is>
          <t>In production</t>
        </is>
      </c>
      <c r="AF64" s="156" t="n"/>
      <c r="AG64" s="156" t="inlineStr">
        <is>
          <t>12 months manufacturer standard (typical dexterous-hand component)</t>
        </is>
      </c>
      <c r="AH64" s="152" t="n">
        <v>12</v>
      </c>
      <c r="AI64" s="156" t="inlineStr">
        <is>
          <t>+3 Year Extended ≈24% of configuration (default in configurator)</t>
        </is>
      </c>
      <c r="AJ64" s="152" t="inlineStr">
        <is>
          <t>End-effector category norm 2025–2026</t>
        </is>
      </c>
      <c r="AK64" s="152" t="inlineStr">
        <is>
          <t>Estimated</t>
        </is>
      </c>
      <c r="AL64" s="156" t="inlineStr">
        <is>
          <t>Skins, tendons, and tactile covers often wear items — confirm on OEM quote.</t>
        </is>
      </c>
      <c r="AM64" s="152" t="inlineStr">
        <is>
          <t>10%</t>
        </is>
      </c>
      <c r="AN64" s="152" t="inlineStr">
        <is>
          <t>17%</t>
        </is>
      </c>
      <c r="AO64" s="152" t="inlineStr">
        <is>
          <t>24%</t>
        </is>
      </c>
      <c r="AP64" s="156" t="inlineStr">
        <is>
          <t>+1yr ≈10% | +2yr ≈17% | +3yr ≈24% of selected configuration price.</t>
        </is>
      </c>
      <c r="AQ64" s="156" t="inlineStr">
        <is>
          <t>Profitable schedule (Aug 2026): +1yr ≈10% / +2yr ≈17% / +3yr ≈24% of configuration price. Calibrated for ~45–55% gross margin after expected robotics claim incidence (~10–14%/yr of covered units), avg claim cost ~25–30% of config, and admin 10–15% of premium.</t>
        </is>
      </c>
      <c r="AR64" s="101" t="inlineStr">
        <is>
          <t>[SCHUNK] SVH (2025)</t>
        </is>
      </c>
    </row>
    <row r="65" ht="33.75" customHeight="1" s="102">
      <c r="A65" s="143" t="inlineStr">
        <is>
          <t>hand_rh6d</t>
        </is>
      </c>
      <c r="B65" s="153" t="inlineStr">
        <is>
          <t>Humanoid.guide</t>
        </is>
      </c>
      <c r="C65" s="145" t="inlineStr">
        <is>
          <t>Seed Robotics</t>
        </is>
      </c>
      <c r="D65" s="145" t="inlineStr">
        <is>
          <t>RH6D</t>
        </is>
      </c>
      <c r="E65" s="163" t="inlineStr">
        <is>
          <t>hand</t>
        </is>
      </c>
      <c r="F65" s="145" t="inlineStr">
        <is>
          <t>France</t>
        </is>
      </c>
      <c r="G65" s="145" t="n">
        <v>2026</v>
      </c>
      <c r="H65" s="148" t="n">
        <v>3900</v>
      </c>
      <c r="I65" s="145" t="inlineStr">
        <is>
          <t>Humanoid.guide list</t>
        </is>
      </c>
      <c r="J65" s="149" t="inlineStr">
        <is>
          <t>RH6D is Seed Robotics's dexterous hand — 15, 3 fingers, 2.2 lb payload. Yes; Smart actuators with integrated sensing.</t>
        </is>
      </c>
      <c r="K65" s="101" t="inlineStr">
        <is>
          <t>RH6D is Seed Robotics's dexterous hand — 15, 3 fingers, 2.2 lb payload. Yes; Smart actuators with integrated sensing.</t>
        </is>
      </c>
      <c r="L65" s="101" t="inlineStr">
        <is>
          <t>RH6D is Seed Robotics's dexterous hand — 15, 3 fingers, 2.2 lb payload. Yes; Smart actuators with integrated sensing. Public status is listed as in production, and it is positioned for humanoid OEM; Research / teleoperation.</t>
        </is>
      </c>
      <c r="M65" s="101" t="inlineStr">
        <is>
          <t>Origin &amp; status — France · In production · 2026 | Performance — 15 DOF · 3 fingers · Payload 2.2 lb · Strength 1 kg | Sensing — Yes | Buying notes — $3,900 · 12 months manufacturer standard (typical dexterous-hand component) · Best fit: Humanoid OEM; Research / teleoperation</t>
        </is>
      </c>
      <c r="N65" s="150" t="inlineStr">
        <is>
          <t>https://humanoid.guide/product/rh6d/</t>
        </is>
      </c>
      <c r="O65" s="150" t="inlineStr">
        <is>
          <t>https://www.seedrobotics.com</t>
        </is>
      </c>
      <c r="P65" s="194" t="n">
        <v>0.68</v>
      </c>
      <c r="Q65" s="194" t="n">
        <v>0.31</v>
      </c>
      <c r="R65" s="149" t="inlineStr">
        <is>
          <t>~163 mm length (child-hand size)</t>
        </is>
      </c>
      <c r="S65" s="145" t="inlineStr">
        <is>
          <t>Not disclosed</t>
        </is>
      </c>
      <c r="T65" s="145" t="inlineStr">
        <is>
          <t>15</t>
        </is>
      </c>
      <c r="U65" s="149" t="inlineStr">
        <is>
          <t>3</t>
        </is>
      </c>
      <c r="V65" s="194" t="n">
        <v>2.2</v>
      </c>
      <c r="W65" s="194" t="n">
        <v>1</v>
      </c>
      <c r="X65" s="161" t="inlineStr">
        <is>
          <t>Yes</t>
        </is>
      </c>
      <c r="Y65" s="149" t="inlineStr">
        <is>
          <t>Yes</t>
        </is>
      </c>
      <c r="Z65" s="149" t="inlineStr">
        <is>
          <t>Smart actuators with integrated sensing</t>
        </is>
      </c>
      <c r="AA65" s="149" t="inlineStr">
        <is>
          <t>Reinforced composite with Kevlar/Dyneema tendon system</t>
        </is>
      </c>
      <c r="AB65" s="149" t="inlineStr">
        <is>
          <t>15 DOF · 3 fingers · 1 kg class strength · Tactile/force sensing · Smart actuators with integrated sensing · 0.31 kg</t>
        </is>
      </c>
      <c r="AC65" s="149" t="inlineStr">
        <is>
          <t>Humanoid OEM; Research / teleoperation</t>
        </is>
      </c>
      <c r="AD65" s="195" t="inlineStr">
        <is>
          <t>In production</t>
        </is>
      </c>
      <c r="AE65" s="145" t="inlineStr">
        <is>
          <t>In production</t>
        </is>
      </c>
      <c r="AF65" s="149" t="n"/>
      <c r="AG65" s="149" t="inlineStr">
        <is>
          <t>12 months manufacturer standard (typical dexterous-hand component)</t>
        </is>
      </c>
      <c r="AH65" s="145" t="n">
        <v>12</v>
      </c>
      <c r="AI65" s="149" t="inlineStr">
        <is>
          <t>+3 Year Extended ≈24% of configuration (default in configurator)</t>
        </is>
      </c>
      <c r="AJ65" s="145" t="inlineStr">
        <is>
          <t>End-effector category norm 2025–2026</t>
        </is>
      </c>
      <c r="AK65" s="145" t="inlineStr">
        <is>
          <t>Estimated</t>
        </is>
      </c>
      <c r="AL65" s="149" t="inlineStr">
        <is>
          <t>Skins, tendons, and tactile covers often wear items — confirm on OEM quote.</t>
        </is>
      </c>
      <c r="AM65" s="145" t="inlineStr">
        <is>
          <t>10%</t>
        </is>
      </c>
      <c r="AN65" s="145" t="inlineStr">
        <is>
          <t>17%</t>
        </is>
      </c>
      <c r="AO65" s="145" t="inlineStr">
        <is>
          <t>24%</t>
        </is>
      </c>
      <c r="AP65" s="149" t="inlineStr">
        <is>
          <t>+1yr ≈10% | +2yr ≈17% | +3yr ≈24% of selected configuration price.</t>
        </is>
      </c>
      <c r="AQ65" s="149" t="inlineStr">
        <is>
          <t>Profitable schedule (Aug 2026): +1yr ≈10% / +2yr ≈17% / +3yr ≈24% of configuration price. Calibrated for ~45–55% gross margin after expected robotics claim incidence (~10–14%/yr of covered units), avg claim cost ~25–30% of config, and admin 10–15% of premium.</t>
        </is>
      </c>
      <c r="AR65" s="101" t="inlineStr">
        <is>
          <t>[Seed Robotics] RH6D (2026)</t>
        </is>
      </c>
    </row>
    <row r="66" ht="33.75" customHeight="1" s="102">
      <c r="A66" s="159" t="inlineStr">
        <is>
          <t>hand_rh8d</t>
        </is>
      </c>
      <c r="B66" s="153" t="inlineStr">
        <is>
          <t>Humanoid.guide</t>
        </is>
      </c>
      <c r="C66" s="152" t="inlineStr">
        <is>
          <t>Seed Robotics</t>
        </is>
      </c>
      <c r="D66" s="152" t="inlineStr">
        <is>
          <t>RH8D</t>
        </is>
      </c>
      <c r="E66" s="163" t="inlineStr">
        <is>
          <t>hand</t>
        </is>
      </c>
      <c r="F66" s="152" t="inlineStr">
        <is>
          <t>Portugal</t>
        </is>
      </c>
      <c r="G66" s="152" t="n">
        <v>2026</v>
      </c>
      <c r="H66" s="155" t="n">
        <v>6000</v>
      </c>
      <c r="I66" s="152" t="inlineStr">
        <is>
          <t>Humanoid.guide list</t>
        </is>
      </c>
      <c r="J66" s="156" t="inlineStr">
        <is>
          <t>Cost-effective and highly reliable robotic hands engineered specifically to support the needs of the research community, offering a balance of affordability, durability, and consistent performance across a wide range of experimental and development applications.</t>
        </is>
      </c>
      <c r="K66" s="101" t="inlineStr">
        <is>
          <t>Cost-effective and highly reliable robotic hands engineered specifically to support the needs of the research community, offering a balance of affordability, durability, and consistent performance across a wide range of experimental and development applications.</t>
        </is>
      </c>
      <c r="L66" s="101" t="inlineStr">
        <is>
          <t>RH8D is Seed Robotics's dexterous hand, introduced around 2026 in Portugal. Cost-effective and highly reliable robotic hands engineered specifically to support the needs of the research community, offering a balance of affordability, durability, and consistent performance across a wide range of experimental and development applications. It is positioned for research / teleoperation.</t>
        </is>
      </c>
      <c r="M66" s="101" t="inlineStr">
        <is>
          <t>Origin &amp; status — Portugal · 2026 | Performance — 7 DOF · 5 fingers · Payload 5.51 lb · Strength 2.5 kg | Sensing — Yes | Buying notes — $6,000 · 12 months manufacturer standard (typical dexterous-hand component) · Best fit: Research / teleoperation</t>
        </is>
      </c>
      <c r="N66" s="157" t="inlineStr">
        <is>
          <t>https://humanoid.guide/product/rh8d/</t>
        </is>
      </c>
      <c r="O66" s="157" t="inlineStr">
        <is>
          <t>https://www.seedrobotics.com</t>
        </is>
      </c>
      <c r="P66" s="196" t="n">
        <v>1.76</v>
      </c>
      <c r="Q66" s="196" t="n">
        <v>0.8</v>
      </c>
      <c r="R66" s="156" t="inlineStr">
        <is>
          <t>20cm</t>
        </is>
      </c>
      <c r="S66" s="152" t="inlineStr">
        <is>
          <t>Not disclosed</t>
        </is>
      </c>
      <c r="T66" s="152" t="inlineStr">
        <is>
          <t>7</t>
        </is>
      </c>
      <c r="U66" s="156" t="inlineStr">
        <is>
          <t>5</t>
        </is>
      </c>
      <c r="V66" s="196" t="n">
        <v>5.51</v>
      </c>
      <c r="W66" s="196" t="n">
        <v>2.5</v>
      </c>
      <c r="X66" s="161" t="inlineStr">
        <is>
          <t>Yes</t>
        </is>
      </c>
      <c r="Y66" s="156" t="inlineStr">
        <is>
          <t>Yes</t>
        </is>
      </c>
      <c r="Z66" s="156" t="inlineStr">
        <is>
          <t>Brushed Servo Actuators</t>
        </is>
      </c>
      <c r="AA66" s="156" t="inlineStr">
        <is>
          <t>Nylon</t>
        </is>
      </c>
      <c r="AB66" s="156" t="inlineStr">
        <is>
          <t>7 DOF · 5 fingers · 2.5 kg class strength · Tactile/force sensing · Brushed Servo Actuators · 0.8 kg</t>
        </is>
      </c>
      <c r="AC66" s="156" t="inlineStr">
        <is>
          <t>Research / teleoperation</t>
        </is>
      </c>
      <c r="AD66" s="152" t="n"/>
      <c r="AE66" s="152" t="inlineStr">
        <is>
          <t>Not disclosed</t>
        </is>
      </c>
      <c r="AF66" s="156" t="n"/>
      <c r="AG66" s="156" t="inlineStr">
        <is>
          <t>12 months manufacturer standard (typical dexterous-hand component)</t>
        </is>
      </c>
      <c r="AH66" s="152" t="n">
        <v>12</v>
      </c>
      <c r="AI66" s="156" t="inlineStr">
        <is>
          <t>+3 Year Extended ≈24% of configuration (default in configurator)</t>
        </is>
      </c>
      <c r="AJ66" s="152" t="inlineStr">
        <is>
          <t>End-effector category norm 2025–2026</t>
        </is>
      </c>
      <c r="AK66" s="152" t="inlineStr">
        <is>
          <t>Estimated</t>
        </is>
      </c>
      <c r="AL66" s="156" t="inlineStr">
        <is>
          <t>Skins, tendons, and tactile covers often wear items — confirm on OEM quote.</t>
        </is>
      </c>
      <c r="AM66" s="152" t="inlineStr">
        <is>
          <t>10%</t>
        </is>
      </c>
      <c r="AN66" s="152" t="inlineStr">
        <is>
          <t>17%</t>
        </is>
      </c>
      <c r="AO66" s="152" t="inlineStr">
        <is>
          <t>24%</t>
        </is>
      </c>
      <c r="AP66" s="156" t="inlineStr">
        <is>
          <t>+1yr ≈10% | +2yr ≈17% | +3yr ≈24% of selected configuration price.</t>
        </is>
      </c>
      <c r="AQ66" s="156" t="inlineStr">
        <is>
          <t>Profitable schedule (Aug 2026): +1yr ≈10% / +2yr ≈17% / +3yr ≈24% of configuration price. Calibrated for ~45–55% gross margin after expected robotics claim incidence (~10–14%/yr of covered units), avg claim cost ~25–30% of config, and admin 10–15% of premium.</t>
        </is>
      </c>
      <c r="AR66" s="101" t="inlineStr">
        <is>
          <t>[Seed Robotics] RH8D (2026)</t>
        </is>
      </c>
    </row>
    <row r="67" ht="33.75" customHeight="1" s="102">
      <c r="A67" s="143" t="inlineStr">
        <is>
          <t>hand_dex_ee_robotic_hand</t>
        </is>
      </c>
      <c r="B67" s="153" t="inlineStr">
        <is>
          <t>Humanoid.guide</t>
        </is>
      </c>
      <c r="C67" s="145" t="inlineStr">
        <is>
          <t>Shadow Robot Company</t>
        </is>
      </c>
      <c r="D67" s="145" t="inlineStr">
        <is>
          <t>DEX-EE</t>
        </is>
      </c>
      <c r="E67" s="163" t="inlineStr">
        <is>
          <t>hand</t>
        </is>
      </c>
      <c r="F67" s="145" t="inlineStr">
        <is>
          <t>UK</t>
        </is>
      </c>
      <c r="G67" s="145" t="n">
        <v>2025</v>
      </c>
      <c r="H67" s="148" t="n">
        <v>60000</v>
      </c>
      <c r="I67" s="145" t="inlineStr">
        <is>
          <t>Humanoid.guide list</t>
        </is>
      </c>
      <c r="J67" s="149" t="inlineStr">
        <is>
          <t>DEX-EE robotic hand is Shadow Robot’s next-generation dexterous robotic hand designed for long-duration AI experiments with modular fingers, robust construction, and rich tactile sensing.</t>
        </is>
      </c>
      <c r="K67" s="101" t="inlineStr">
        <is>
          <t>DEX-EE robotic hand is Shadow Robot’s next-generation dexterous robotic hand designed for long-duration AI experiments with modular fingers, robust construction, and rich tactile sensing.</t>
        </is>
      </c>
      <c r="L67" s="101" t="inlineStr">
        <is>
          <t>DEX-EE robotic hand is Shadow Robot’s next-generation dexterous robotic hand designed for long-duration AI experiments with modular fingers, robust construction, and rich tactile sensing. Public status is listed as in production, and it is positioned for dexterous manipulation.</t>
        </is>
      </c>
      <c r="M67" s="101" t="inlineStr">
        <is>
          <t>Origin &amp; status — UK · In production · 2025 | Performance — 12 DOF · 3 fingers · Payload 11.02 lb · Strength 5 kg | Sensing — Yes | Buying notes — $60,000 · 12 months manufacturer standard (typical dexterous-hand component) · Best fit: Dexterous manipulation</t>
        </is>
      </c>
      <c r="N67" s="150" t="inlineStr">
        <is>
          <t>https://humanoid.guide/product/dex-ee-robotic-hand/</t>
        </is>
      </c>
      <c r="O67" s="150" t="inlineStr">
        <is>
          <t>https://www.shadowrobot.com</t>
        </is>
      </c>
      <c r="P67" s="145" t="inlineStr">
        <is>
          <t>Not disclosed</t>
        </is>
      </c>
      <c r="Q67" s="145" t="n"/>
      <c r="R67" s="149" t="inlineStr">
        <is>
          <t>Not disclosed</t>
        </is>
      </c>
      <c r="S67" s="145" t="inlineStr">
        <is>
          <t>Not disclosed</t>
        </is>
      </c>
      <c r="T67" s="145" t="inlineStr">
        <is>
          <t>12</t>
        </is>
      </c>
      <c r="U67" s="149" t="inlineStr">
        <is>
          <t>3</t>
        </is>
      </c>
      <c r="V67" s="194" t="n">
        <v>11.02</v>
      </c>
      <c r="W67" s="194" t="n">
        <v>5</v>
      </c>
      <c r="X67" s="161" t="inlineStr">
        <is>
          <t>Yes</t>
        </is>
      </c>
      <c r="Y67" s="149" t="inlineStr">
        <is>
          <t>Yes</t>
        </is>
      </c>
      <c r="Z67" s="149" t="inlineStr">
        <is>
          <t>Tendon-driven, 20 motors; EtherCAT</t>
        </is>
      </c>
      <c r="AA67" s="149" t="inlineStr">
        <is>
          <t>Not disclosed</t>
        </is>
      </c>
      <c r="AB67" s="149" t="inlineStr">
        <is>
          <t>12 DOF · 3 fingers · 5 kg class strength · Tactile/force sensing · Tendon-driven, 20 motors; EtherCAT</t>
        </is>
      </c>
      <c r="AC67" s="149" t="inlineStr">
        <is>
          <t>Dexterous manipulation</t>
        </is>
      </c>
      <c r="AD67" s="195" t="inlineStr">
        <is>
          <t>In production</t>
        </is>
      </c>
      <c r="AE67" s="145" t="inlineStr">
        <is>
          <t>In production</t>
        </is>
      </c>
      <c r="AF67" s="149" t="n"/>
      <c r="AG67" s="149" t="inlineStr">
        <is>
          <t>12 months manufacturer standard (typical dexterous-hand component)</t>
        </is>
      </c>
      <c r="AH67" s="145" t="n">
        <v>12</v>
      </c>
      <c r="AI67" s="149" t="inlineStr">
        <is>
          <t>+3 Year Extended ≈24% of configuration (default in configurator)</t>
        </is>
      </c>
      <c r="AJ67" s="145" t="inlineStr">
        <is>
          <t>End-effector category norm 2025–2026</t>
        </is>
      </c>
      <c r="AK67" s="145" t="inlineStr">
        <is>
          <t>Estimated</t>
        </is>
      </c>
      <c r="AL67" s="149" t="inlineStr">
        <is>
          <t>Skins, tendons, and tactile covers often wear items — confirm on OEM quote.</t>
        </is>
      </c>
      <c r="AM67" s="145" t="inlineStr">
        <is>
          <t>10%</t>
        </is>
      </c>
      <c r="AN67" s="145" t="inlineStr">
        <is>
          <t>17%</t>
        </is>
      </c>
      <c r="AO67" s="145" t="inlineStr">
        <is>
          <t>24%</t>
        </is>
      </c>
      <c r="AP67" s="149" t="inlineStr">
        <is>
          <t>+1yr ≈10% | +2yr ≈17% | +3yr ≈24% of selected configuration price.</t>
        </is>
      </c>
      <c r="AQ67" s="149" t="inlineStr">
        <is>
          <t>Profitable schedule (Aug 2026): +1yr ≈10% / +2yr ≈17% / +3yr ≈24% of configuration price. Calibrated for ~45–55% gross margin after expected robotics claim incidence (~10–14%/yr of covered units), avg claim cost ~25–30% of config, and admin 10–15% of premium.</t>
        </is>
      </c>
      <c r="AR67" s="101" t="inlineStr">
        <is>
          <t>[Shadow Robot Company] DEX-EE (2025)</t>
        </is>
      </c>
    </row>
    <row r="68" ht="33.75" customHeight="1" s="102">
      <c r="A68" s="159" t="inlineStr">
        <is>
          <t>hand_dexterous_hand</t>
        </is>
      </c>
      <c r="B68" s="153" t="inlineStr">
        <is>
          <t>Humanoid.guide</t>
        </is>
      </c>
      <c r="C68" s="152" t="inlineStr">
        <is>
          <t>Shadow Robot Company</t>
        </is>
      </c>
      <c r="D68" s="152" t="inlineStr">
        <is>
          <t>Dexterous Hand</t>
        </is>
      </c>
      <c r="E68" s="163" t="inlineStr">
        <is>
          <t>hand</t>
        </is>
      </c>
      <c r="F68" s="152" t="inlineStr">
        <is>
          <t>UK</t>
        </is>
      </c>
      <c r="G68" s="152" t="n">
        <v>2025</v>
      </c>
      <c r="H68" s="155" t="n">
        <v>127000</v>
      </c>
      <c r="I68" s="152" t="inlineStr">
        <is>
          <t>Robot Price Index Aug 2026</t>
        </is>
      </c>
      <c r="J68" s="156" t="inlineStr">
        <is>
          <t>Shadow Dexterous Hand — a leading humanoid robotic hand with 20 actuated DoF, rich tactile sensing, and 24 total joint movements for advanced manipulation and research.</t>
        </is>
      </c>
      <c r="K68" s="101" t="inlineStr">
        <is>
          <t>Shadow Dexterous Hand — a leading humanoid robotic hand with 20 actuated DoF, rich tactile sensing, and 24 total joint movements for advanced manipulation and research.</t>
        </is>
      </c>
      <c r="L68" s="101" t="inlineStr">
        <is>
          <t>Shadow Dexterous Hand — a leading humanoid robotic hand with 20 actuated DoF, rich tactile sensing, and 24 total joint movements for advanced manipulation and research. Public status is listed as in production, and it is positioned for humanoid OEM; Research / teleoperation.</t>
        </is>
      </c>
      <c r="M68" s="101" t="inlineStr">
        <is>
          <t>Origin &amp; status — UK · In production · 2025 | Performance — 20 DOF · 5 fingers · Payload 11.02 lb · Strength 5 kg | Sensing — Yes | Buying notes — $127,000 · 12 months manufacturer standard (typical dexterous-hand component) · Best fit: Humanoid OEM; Research / teleoperation</t>
        </is>
      </c>
      <c r="N68" s="157" t="inlineStr">
        <is>
          <t>https://humanoid.guide/product/dexterous-hand/</t>
        </is>
      </c>
      <c r="O68" s="157" t="inlineStr">
        <is>
          <t>https://www.shadowrobot.com</t>
        </is>
      </c>
      <c r="P68" s="196" t="n">
        <v>9.48</v>
      </c>
      <c r="Q68" s="196" t="n">
        <v>4.3</v>
      </c>
      <c r="R68" s="156" t="inlineStr">
        <is>
          <t>Similar to a human hand plus integrated forearm; exact published dimensions vary. Assumed ~400–500 mm total assembly length (hand + integrated forearm)</t>
        </is>
      </c>
      <c r="S68" s="152" t="inlineStr">
        <is>
          <t>400 × 500 in</t>
        </is>
      </c>
      <c r="T68" s="152" t="inlineStr">
        <is>
          <t>20</t>
        </is>
      </c>
      <c r="U68" s="156" t="inlineStr">
        <is>
          <t>5</t>
        </is>
      </c>
      <c r="V68" s="196" t="n">
        <v>11.02</v>
      </c>
      <c r="W68" s="196" t="n">
        <v>5</v>
      </c>
      <c r="X68" s="161" t="inlineStr">
        <is>
          <t>Yes</t>
        </is>
      </c>
      <c r="Y68" s="156" t="inlineStr">
        <is>
          <t>Yes</t>
        </is>
      </c>
      <c r="Z68" s="156" t="inlineStr">
        <is>
          <t>Electric “Smart Motor” tendon-driven system with integrated force &amp; position control</t>
        </is>
      </c>
      <c r="AA68" s="156" t="inlineStr">
        <is>
          <t>Composite of aluminium, brass, plastics and engineered polymers for strength and precision</t>
        </is>
      </c>
      <c r="AB68" s="156" t="inlineStr">
        <is>
          <t>20 DOF · 5 fingers · 5 kg class strength · Tactile/force sensing · Electric “Smart Motor” tendon-driven system with integrated force &amp; position control · 4.3 kg</t>
        </is>
      </c>
      <c r="AC68" s="156" t="inlineStr">
        <is>
          <t>Humanoid OEM; Research / teleoperation</t>
        </is>
      </c>
      <c r="AD68" s="195" t="inlineStr">
        <is>
          <t>In production</t>
        </is>
      </c>
      <c r="AE68" s="152" t="inlineStr">
        <is>
          <t>In production</t>
        </is>
      </c>
      <c r="AF68" s="156" t="n"/>
      <c r="AG68" s="156" t="inlineStr">
        <is>
          <t>12 months manufacturer standard (typical dexterous-hand component)</t>
        </is>
      </c>
      <c r="AH68" s="152" t="n">
        <v>12</v>
      </c>
      <c r="AI68" s="156" t="inlineStr">
        <is>
          <t>+3 Year Extended ≈24% of configuration (default in configurator)</t>
        </is>
      </c>
      <c r="AJ68" s="152" t="inlineStr">
        <is>
          <t>End-effector category norm 2025–2026</t>
        </is>
      </c>
      <c r="AK68" s="152" t="inlineStr">
        <is>
          <t>Estimated</t>
        </is>
      </c>
      <c r="AL68" s="156" t="inlineStr">
        <is>
          <t>Skins, tendons, and tactile covers often wear items — confirm on OEM quote.</t>
        </is>
      </c>
      <c r="AM68" s="152" t="inlineStr">
        <is>
          <t>10%</t>
        </is>
      </c>
      <c r="AN68" s="152" t="inlineStr">
        <is>
          <t>17%</t>
        </is>
      </c>
      <c r="AO68" s="152" t="inlineStr">
        <is>
          <t>24%</t>
        </is>
      </c>
      <c r="AP68" s="156" t="inlineStr">
        <is>
          <t>+1yr ≈10% | +2yr ≈17% | +3yr ≈24% of selected configuration price.</t>
        </is>
      </c>
      <c r="AQ68" s="156" t="inlineStr">
        <is>
          <t>Profitable schedule (Aug 2026): +1yr ≈10% / +2yr ≈17% / +3yr ≈24% of configuration price. Calibrated for ~45–55% gross margin after expected robotics claim incidence (~10–14%/yr of covered units), avg claim cost ~25–30% of config, and admin 10–15% of premium.</t>
        </is>
      </c>
      <c r="AR68" s="101" t="inlineStr">
        <is>
          <t>[Shadow Robot Company] Dexterous Hand (2025)</t>
        </is>
      </c>
    </row>
    <row r="69" ht="33.75" customHeight="1" s="102">
      <c r="A69" s="143" t="inlineStr">
        <is>
          <t>hand_sharpawave</t>
        </is>
      </c>
      <c r="B69" s="153" t="inlineStr">
        <is>
          <t>Humanoid.guide</t>
        </is>
      </c>
      <c r="C69" s="145" t="inlineStr">
        <is>
          <t>Sharpa (Sharpa Robotics)</t>
        </is>
      </c>
      <c r="D69" s="145" t="inlineStr">
        <is>
          <t>SharpaWave</t>
        </is>
      </c>
      <c r="E69" s="163" t="inlineStr">
        <is>
          <t>hand</t>
        </is>
      </c>
      <c r="F69" s="145" t="inlineStr">
        <is>
          <t>Singapore</t>
        </is>
      </c>
      <c r="G69" s="145" t="n">
        <v>2025</v>
      </c>
      <c r="H69" s="148" t="n">
        <v>52000</v>
      </c>
      <c r="I69" s="145" t="inlineStr">
        <is>
          <t>Humanoid.guide list</t>
        </is>
      </c>
      <c r="J69" s="149" t="inlineStr">
        <is>
          <t>SharpaWave is a human-scale, 22-DoF robotic hand by Sharpa combining human-like dexterity, high-resolution tactile sensing, and fingertip strength over 20 N — built for robust, real-world robotic manipulation with near-human sensitivity and speed.</t>
        </is>
      </c>
      <c r="K69" s="101" t="inlineStr">
        <is>
          <t>SharpaWave is a human-scale, 22-DoF robotic hand by Sharpa combining human-like dexterity, high-resolution tactile sensing, and fingertip strength over 20 N — built for robust, real-world robotic manipulation with near-human sensitivity and speed.</t>
        </is>
      </c>
      <c r="L69" s="101" t="inlineStr">
        <is>
          <t>SharpaWave is a human-scale, 22-DoF robotic hand by Sharpa combining human-like dexterity, high-resolution tactile sensing, and fingertip strength over 20 N — built for robust, real-world robotic manipulation with near-human sensitivity and speed. Public status is listed as in production, and it is positioned for dexterous manipulation.</t>
        </is>
      </c>
      <c r="M69" s="101" t="inlineStr">
        <is>
          <t>Origin &amp; status — Singapore · In production · 2025 | Performance — 22 DOF · 5 (5 per hand) fingers · Payload 13.23 lb · Strength 6 kg | Sensing — Yes | Buying notes — $52,000 · 12 months manufacturer standard (typical dexterous-hand component) · Best fit: Dexterous manipulation</t>
        </is>
      </c>
      <c r="N69" s="150" t="inlineStr">
        <is>
          <t>https://humanoid.guide/product/sharpawave/</t>
        </is>
      </c>
      <c r="O69" s="150" t="inlineStr">
        <is>
          <t>https://www.sharpa.com/</t>
        </is>
      </c>
      <c r="P69" s="145" t="inlineStr">
        <is>
          <t>Not disclosed</t>
        </is>
      </c>
      <c r="Q69" s="145" t="n"/>
      <c r="R69" s="149" t="inlineStr">
        <is>
          <t>Not disclosed</t>
        </is>
      </c>
      <c r="S69" s="145" t="inlineStr">
        <is>
          <t>Not disclosed</t>
        </is>
      </c>
      <c r="T69" s="145" t="inlineStr">
        <is>
          <t>22</t>
        </is>
      </c>
      <c r="U69" s="149" t="inlineStr">
        <is>
          <t>5 (5 per hand)</t>
        </is>
      </c>
      <c r="V69" s="194" t="n">
        <v>13.23</v>
      </c>
      <c r="W69" s="194" t="n">
        <v>6</v>
      </c>
      <c r="X69" s="161" t="inlineStr">
        <is>
          <t>Yes</t>
        </is>
      </c>
      <c r="Y69" s="149" t="inlineStr">
        <is>
          <t>Yes</t>
        </is>
      </c>
      <c r="Z69" s="149" t="inlineStr">
        <is>
          <t>Proprietary actuation and control (DTA + actuators), tendon/drive transmission implied</t>
        </is>
      </c>
      <c r="AA69" s="149" t="inlineStr">
        <is>
          <t>Not disclosed</t>
        </is>
      </c>
      <c r="AB69" s="149" t="inlineStr">
        <is>
          <t>22 DOF · 5 fingers · 6 kg class strength · Tactile/force sensing · Proprietary actuation and control (DTA + actuators), tendon/drive transmission implied</t>
        </is>
      </c>
      <c r="AC69" s="149" t="inlineStr">
        <is>
          <t>Dexterous manipulation</t>
        </is>
      </c>
      <c r="AD69" s="195" t="inlineStr">
        <is>
          <t>In production</t>
        </is>
      </c>
      <c r="AE69" s="145" t="inlineStr">
        <is>
          <t>In production</t>
        </is>
      </c>
      <c r="AF69" s="149" t="n"/>
      <c r="AG69" s="149" t="inlineStr">
        <is>
          <t>12 months manufacturer standard (typical dexterous-hand component)</t>
        </is>
      </c>
      <c r="AH69" s="145" t="n">
        <v>12</v>
      </c>
      <c r="AI69" s="149" t="inlineStr">
        <is>
          <t>+3 Year Extended ≈24% of configuration (default in configurator)</t>
        </is>
      </c>
      <c r="AJ69" s="145" t="inlineStr">
        <is>
          <t>End-effector category norm 2025–2026</t>
        </is>
      </c>
      <c r="AK69" s="145" t="inlineStr">
        <is>
          <t>Estimated</t>
        </is>
      </c>
      <c r="AL69" s="149" t="inlineStr">
        <is>
          <t>Skins, tendons, and tactile covers often wear items — confirm on OEM quote.</t>
        </is>
      </c>
      <c r="AM69" s="145" t="inlineStr">
        <is>
          <t>10%</t>
        </is>
      </c>
      <c r="AN69" s="145" t="inlineStr">
        <is>
          <t>17%</t>
        </is>
      </c>
      <c r="AO69" s="145" t="inlineStr">
        <is>
          <t>24%</t>
        </is>
      </c>
      <c r="AP69" s="149" t="inlineStr">
        <is>
          <t>+1yr ≈10% | +2yr ≈17% | +3yr ≈24% of selected configuration price.</t>
        </is>
      </c>
      <c r="AQ69" s="149" t="inlineStr">
        <is>
          <t>Profitable schedule (Aug 2026): +1yr ≈10% / +2yr ≈17% / +3yr ≈24% of configuration price. Calibrated for ~45–55% gross margin after expected robotics claim incidence (~10–14%/yr of covered units), avg claim cost ~25–30% of config, and admin 10–15% of premium.</t>
        </is>
      </c>
      <c r="AR69" s="101" t="inlineStr">
        <is>
          <t>[Sharpa (Sharpa Robotics)] SharpaWave (2025)</t>
        </is>
      </c>
    </row>
    <row r="70" ht="33.75" customHeight="1" s="102">
      <c r="A70" s="159" t="inlineStr">
        <is>
          <t>hand_zwhand</t>
        </is>
      </c>
      <c r="B70" s="153" t="inlineStr">
        <is>
          <t>Humanoid.guide</t>
        </is>
      </c>
      <c r="C70" s="152" t="inlineStr">
        <is>
          <t>Shenzhen ZWHAND Technology Co., Ltd.</t>
        </is>
      </c>
      <c r="D70" s="152" t="inlineStr">
        <is>
          <t>ZWHAND</t>
        </is>
      </c>
      <c r="E70" s="163" t="inlineStr">
        <is>
          <t>hand</t>
        </is>
      </c>
      <c r="F70" s="152" t="inlineStr">
        <is>
          <t>China</t>
        </is>
      </c>
      <c r="G70" s="152" t="n">
        <v>2026</v>
      </c>
      <c r="H70" s="155" t="n">
        <v>12500</v>
      </c>
      <c r="I70" s="152" t="inlineStr">
        <is>
          <t>Humanoid.guide list</t>
        </is>
      </c>
      <c r="J70" s="156" t="inlineStr">
        <is>
          <t>[Shenzhen ZWHAND Technology Co., Ltd.] ZWHAND (2026) is a dexterous hand from Shenzhen ZWHAND Technology Co., Ltd. (China, 2026), positioned for dexterous manipulation.</t>
        </is>
      </c>
      <c r="K70" s="101" t="inlineStr">
        <is>
          <t>[Shenzhen ZWHAND Technology Co., Ltd.] ZWHAND (2026) is a dexterous hand from Shenzhen ZWHAND Technology Co., Ltd. (China, 2026), positioned for dexterous manipulation.</t>
        </is>
      </c>
      <c r="L70" s="101" t="inlineStr">
        <is>
          <t>ZWHAND is Shenzhen ZWHAND Technology Co., Ltd.'s dexterous hand, introduced around 2026 in China. [Shenzhen ZWHAND Technology Co., Ltd.] ZWHAND (2026) is a dexterous hand from Shenzhen ZWHAND Technology Co., Ltd. (China, 2026), positioned for dexterous manipulation. Public status is listed as in production.</t>
        </is>
      </c>
      <c r="M70" s="101" t="inlineStr">
        <is>
          <t>Origin &amp; status — China · In production · 2026 | Performance — 18 DOF · 5 fingers · Payload 13.23 lb · Strength 6 kg | Sensing — Yes | Buying notes — $12,500 · 12 months manufacturer standard (typical dexterous-hand component) · Best fit: Dexterous manipulation</t>
        </is>
      </c>
      <c r="N70" s="157" t="inlineStr">
        <is>
          <t>https://humanoid.guide/product/zwhand/</t>
        </is>
      </c>
      <c r="O70" s="157" t="inlineStr">
        <is>
          <t>https://www.zwhand.com/en</t>
        </is>
      </c>
      <c r="P70" s="196" t="n">
        <v>2.2</v>
      </c>
      <c r="Q70" s="196" t="n">
        <v>1</v>
      </c>
      <c r="R70" s="156" t="inlineStr">
        <is>
          <t>Assumed human-hand scale: roughly 18–22 cm length</t>
        </is>
      </c>
      <c r="S70" s="152" t="inlineStr">
        <is>
          <t>7.09 × 8.66 in</t>
        </is>
      </c>
      <c r="T70" s="152" t="inlineStr">
        <is>
          <t>18</t>
        </is>
      </c>
      <c r="U70" s="156" t="inlineStr">
        <is>
          <t>5</t>
        </is>
      </c>
      <c r="V70" s="196" t="n">
        <v>13.23</v>
      </c>
      <c r="W70" s="196" t="n">
        <v>6</v>
      </c>
      <c r="X70" s="161" t="inlineStr">
        <is>
          <t>Yes</t>
        </is>
      </c>
      <c r="Y70" s="156" t="inlineStr">
        <is>
          <t>Yes</t>
        </is>
      </c>
      <c r="Z70" s="156" t="inlineStr">
        <is>
          <t>Integrated micro motors with gear and encoder units</t>
        </is>
      </c>
      <c r="AA70" s="156" t="inlineStr">
        <is>
          <t>Industrial-grade materials with tactile e-skin overlay</t>
        </is>
      </c>
      <c r="AB70" s="156" t="inlineStr">
        <is>
          <t>18 DOF · 5 fingers · 6 kg class strength · Tactile/force sensing · Integrated micro motors with gear and encoder units · 1 kg</t>
        </is>
      </c>
      <c r="AC70" s="156" t="inlineStr">
        <is>
          <t>Dexterous manipulation</t>
        </is>
      </c>
      <c r="AD70" s="195" t="inlineStr">
        <is>
          <t>In production</t>
        </is>
      </c>
      <c r="AE70" s="152" t="inlineStr">
        <is>
          <t>In production</t>
        </is>
      </c>
      <c r="AF70" s="156" t="inlineStr">
        <is>
          <t>Weight published as ~700–1,000 g; midpoint used.</t>
        </is>
      </c>
      <c r="AG70" s="156" t="inlineStr">
        <is>
          <t>12 months manufacturer standard (typical dexterous-hand component)</t>
        </is>
      </c>
      <c r="AH70" s="152" t="n">
        <v>12</v>
      </c>
      <c r="AI70" s="156" t="inlineStr">
        <is>
          <t>+3 Year Extended ≈24% of configuration (default in configurator)</t>
        </is>
      </c>
      <c r="AJ70" s="152" t="inlineStr">
        <is>
          <t>End-effector category norm 2025–2026</t>
        </is>
      </c>
      <c r="AK70" s="152" t="inlineStr">
        <is>
          <t>Estimated</t>
        </is>
      </c>
      <c r="AL70" s="156" t="inlineStr">
        <is>
          <t>Skins, tendons, and tactile covers often wear items — confirm on OEM quote.</t>
        </is>
      </c>
      <c r="AM70" s="152" t="inlineStr">
        <is>
          <t>10%</t>
        </is>
      </c>
      <c r="AN70" s="152" t="inlineStr">
        <is>
          <t>17%</t>
        </is>
      </c>
      <c r="AO70" s="152" t="inlineStr">
        <is>
          <t>24%</t>
        </is>
      </c>
      <c r="AP70" s="156" t="inlineStr">
        <is>
          <t>+1yr ≈10% | +2yr ≈17% | +3yr ≈24% of selected configuration price.</t>
        </is>
      </c>
      <c r="AQ70" s="156" t="inlineStr">
        <is>
          <t>Profitable schedule (Aug 2026): +1yr ≈10% / +2yr ≈17% / +3yr ≈24% of configuration price. Calibrated for ~45–55% gross margin after expected robotics claim incidence (~10–14%/yr of covered units), avg claim cost ~25–30% of config, and admin 10–15% of premium.</t>
        </is>
      </c>
      <c r="AR70" s="101" t="inlineStr">
        <is>
          <t>[Shenzhen ZWHAND Technology Co., Ltd.] ZWHAND (2026)</t>
        </is>
      </c>
    </row>
    <row r="71" ht="33.75" customHeight="1" s="102">
      <c r="A71" s="143" t="inlineStr">
        <is>
          <t>hand_rochu_hand</t>
        </is>
      </c>
      <c r="B71" s="153" t="inlineStr">
        <is>
          <t>Humanoid.guide</t>
        </is>
      </c>
      <c r="C71" s="145" t="inlineStr">
        <is>
          <t>Suzhou Rochu Robotics Co., Ltd.</t>
        </is>
      </c>
      <c r="D71" s="145" t="inlineStr">
        <is>
          <t>Rochu Hand</t>
        </is>
      </c>
      <c r="E71" s="163" t="inlineStr">
        <is>
          <t>hand</t>
        </is>
      </c>
      <c r="F71" s="145" t="inlineStr">
        <is>
          <t>China</t>
        </is>
      </c>
      <c r="G71" s="145" t="n">
        <v>2026</v>
      </c>
      <c r="H71" s="148" t="n">
        <v>8000</v>
      </c>
      <c r="I71" s="145" t="inlineStr">
        <is>
          <t>Humanoid.guide list</t>
        </is>
      </c>
      <c r="J71" s="149" t="inlineStr">
        <is>
          <t>A motor-free biomimetic hand from Chinese soft-robotics maker Rochu. Fluid-driven artificial muscles pull 24 tendons across a 1:1 replica of the human hand skeleton, all visible through a translucent skin.</t>
        </is>
      </c>
      <c r="K71" s="101" t="inlineStr">
        <is>
          <t>A motor-free biomimetic hand from Chinese soft-robotics maker Rochu. Fluid-driven artificial muscles pull 24 tendons across a 1:1 replica of the human hand skeleton, all visible through a translucent skin.</t>
        </is>
      </c>
      <c r="L71" s="101" t="inlineStr">
        <is>
          <t>Rochu Hand is Suzhou Rochu Robotics Co., Ltd.'s dexterous hand, introduced around 2026 in China. A motor-free biomimetic hand from Chinese soft-robotics maker Rochu. Fluid-driven artificial muscles pull 24 tendons across a 1:1 replica of the human hand skeleton, all visible through a translucent skin. Public status is listed as in production, and it is positioned for dexterous manipulation.</t>
        </is>
      </c>
      <c r="M71" s="101" t="inlineStr">
        <is>
          <t>Origin &amp; status — China · In production · 2026 | Performance — 22 DOF · 5 fingers · Payload 6.61 lb · Strength 3 kg | Sensing — Fluid-driven (hydraulic/pneumatic) artificial muscles contract under pressure and pull braided tendons; Muscles route through vascular-style internal channels. Externa… | Buying notes — $8,000 · 12 months manufacturer standard (typical dexterous-hand component) · Best fit: Dexterous manipulation</t>
        </is>
      </c>
      <c r="N71" s="150" t="inlineStr">
        <is>
          <t>https://humanoid.guide/product/rochu-hand/</t>
        </is>
      </c>
      <c r="O71" s="150" t="inlineStr">
        <is>
          <t>https://www.softroboticgripper.com/</t>
        </is>
      </c>
      <c r="P71" s="194" t="n">
        <v>1.98</v>
      </c>
      <c r="Q71" s="194" t="n">
        <v>0.9</v>
      </c>
      <c r="R71" s="149" t="inlineStr">
        <is>
          <t>Not disclosed</t>
        </is>
      </c>
      <c r="S71" s="145" t="inlineStr">
        <is>
          <t>Not disclosed</t>
        </is>
      </c>
      <c r="T71" s="145" t="inlineStr">
        <is>
          <t>22</t>
        </is>
      </c>
      <c r="U71" s="149" t="inlineStr">
        <is>
          <t>5</t>
        </is>
      </c>
      <c r="V71" s="194" t="n">
        <v>6.61</v>
      </c>
      <c r="W71" s="194" t="n">
        <v>3</v>
      </c>
      <c r="X71" s="198" t="inlineStr">
        <is>
          <t>Not disclosed</t>
        </is>
      </c>
      <c r="Y71" s="149" t="n"/>
      <c r="Z71" s="149" t="inlineStr">
        <is>
          <t>Fluid-driven (hydraulic/pneumatic) artificial muscles contract under pressure and pull braided tendons; Muscles route through vascular-style internal channels. External pump and valve manifold required</t>
        </is>
      </c>
      <c r="AA71" s="149" t="inlineStr">
        <is>
          <t>Polymer skeleton and ligaments, braided-cord tendons, translucent elastomer skin</t>
        </is>
      </c>
      <c r="AB71" s="149" t="inlineStr">
        <is>
          <t>22 DOF · 5 fingers · 3 kg class strength · Fluid-driven (hydraulic/pneumatic) artificial muscles contract under pressure and pull … · 0.9 kg</t>
        </is>
      </c>
      <c r="AC71" s="149" t="inlineStr">
        <is>
          <t>Dexterous manipulation</t>
        </is>
      </c>
      <c r="AD71" s="195" t="inlineStr">
        <is>
          <t>In production</t>
        </is>
      </c>
      <c r="AE71" s="145" t="inlineStr">
        <is>
          <t>In production</t>
        </is>
      </c>
      <c r="AF71" s="149" t="n"/>
      <c r="AG71" s="149" t="inlineStr">
        <is>
          <t>12 months manufacturer standard (typical dexterous-hand component)</t>
        </is>
      </c>
      <c r="AH71" s="145" t="n">
        <v>12</v>
      </c>
      <c r="AI71" s="149" t="inlineStr">
        <is>
          <t>+3 Year Extended ≈24% of configuration (default in configurator)</t>
        </is>
      </c>
      <c r="AJ71" s="145" t="inlineStr">
        <is>
          <t>End-effector category norm 2025–2026</t>
        </is>
      </c>
      <c r="AK71" s="145" t="inlineStr">
        <is>
          <t>Estimated</t>
        </is>
      </c>
      <c r="AL71" s="149" t="inlineStr">
        <is>
          <t>Skins, tendons, and tactile covers often wear items — confirm on OEM quote.</t>
        </is>
      </c>
      <c r="AM71" s="145" t="inlineStr">
        <is>
          <t>10%</t>
        </is>
      </c>
      <c r="AN71" s="145" t="inlineStr">
        <is>
          <t>17%</t>
        </is>
      </c>
      <c r="AO71" s="145" t="inlineStr">
        <is>
          <t>24%</t>
        </is>
      </c>
      <c r="AP71" s="149" t="inlineStr">
        <is>
          <t>+1yr ≈10% | +2yr ≈17% | +3yr ≈24% of selected configuration price.</t>
        </is>
      </c>
      <c r="AQ71" s="149" t="inlineStr">
        <is>
          <t>Profitable schedule (Aug 2026): +1yr ≈10% / +2yr ≈17% / +3yr ≈24% of configuration price. Calibrated for ~45–55% gross margin after expected robotics claim incidence (~10–14%/yr of covered units), avg claim cost ~25–30% of config, and admin 10–15% of premium.</t>
        </is>
      </c>
      <c r="AR71" s="101" t="inlineStr">
        <is>
          <t>[Suzhou Rochu Robotics Co., Ltd.] Rochu Hand (2026)</t>
        </is>
      </c>
    </row>
    <row r="72" ht="33.75" customHeight="1" s="102">
      <c r="A72" s="159" t="inlineStr">
        <is>
          <t>hand_dg_5f</t>
        </is>
      </c>
      <c r="B72" s="153" t="inlineStr">
        <is>
          <t>Humanoid.guide</t>
        </is>
      </c>
      <c r="C72" s="152" t="inlineStr">
        <is>
          <t>Tesollo</t>
        </is>
      </c>
      <c r="D72" s="152" t="inlineStr">
        <is>
          <t>DG-5F</t>
        </is>
      </c>
      <c r="E72" s="163" t="inlineStr">
        <is>
          <t>hand</t>
        </is>
      </c>
      <c r="F72" s="152" t="inlineStr">
        <is>
          <t>South Korea</t>
        </is>
      </c>
      <c r="G72" s="152" t="n">
        <v>2025</v>
      </c>
      <c r="H72" s="155" t="n">
        <v>21000</v>
      </c>
      <c r="I72" s="152" t="inlineStr">
        <is>
          <t>Humanoid.guide list</t>
        </is>
      </c>
      <c r="J72" s="156" t="inlineStr">
        <is>
          <t>DG-5F by Tesollo — a five-finger, fully actuated humanoid robotic hand with 20 DoF, delivering human-like manipulation, flexible grip modes, and compatibility with robot arms and humanoid platforms.</t>
        </is>
      </c>
      <c r="K72" s="101" t="inlineStr">
        <is>
          <t>DG-5F by Tesollo — a five-finger, fully actuated humanoid robotic hand with 20 DoF, delivering human-like manipulation, flexible grip modes, and compatibility with robot arms and humanoid platforms.</t>
        </is>
      </c>
      <c r="L72" s="101" t="inlineStr">
        <is>
          <t>DG-5F by Tesollo — a five-finger, fully actuated humanoid robotic hand with 20 DoF, delivering human-like manipulation, flexible grip modes, and compatibility with robot arms and humanoid platforms. Public status is listed as in production, and it is positioned for humanoid OEM.</t>
        </is>
      </c>
      <c r="M72" s="101" t="inlineStr">
        <is>
          <t>Origin &amp; status — South Korea · In production · 2025 | Performance — 20 DOF · 5 (5 per hand) fingers · Payload 44.09 lb · Strength 20 kg | Sensing — No | Buying notes — $21,000 · 12 months manufacturer standard (typical dexterous-hand component) · Best fit: Humanoid OEM</t>
        </is>
      </c>
      <c r="N72" s="157" t="inlineStr">
        <is>
          <t>https://humanoid.guide/product/dg-5f/</t>
        </is>
      </c>
      <c r="O72" s="157" t="inlineStr">
        <is>
          <t>https://tesollo.com/</t>
        </is>
      </c>
      <c r="P72" s="196" t="n">
        <v>3.88</v>
      </c>
      <c r="Q72" s="196" t="n">
        <v>1.76</v>
      </c>
      <c r="R72" s="156" t="inlineStr">
        <is>
          <t>Length approx. 20 cm — similar to an adult male hand</t>
        </is>
      </c>
      <c r="S72" s="152" t="inlineStr">
        <is>
          <t>Not disclosed</t>
        </is>
      </c>
      <c r="T72" s="152" t="inlineStr">
        <is>
          <t>20</t>
        </is>
      </c>
      <c r="U72" s="156" t="inlineStr">
        <is>
          <t>5 (5 per hand)</t>
        </is>
      </c>
      <c r="V72" s="196" t="n">
        <v>44.09</v>
      </c>
      <c r="W72" s="196" t="n">
        <v>20</v>
      </c>
      <c r="X72" s="162" t="inlineStr">
        <is>
          <t>No</t>
        </is>
      </c>
      <c r="Y72" s="156" t="inlineStr">
        <is>
          <t>No</t>
        </is>
      </c>
      <c r="Z72" s="156" t="inlineStr">
        <is>
          <t>Direct-drive actuators per joint (BLDC / compact motors) to drive individual joints</t>
        </is>
      </c>
      <c r="AA72" s="156" t="inlineStr">
        <is>
          <t>High-strength, lightweight materials and durable construction — robust enough for high-cycle and industrial use</t>
        </is>
      </c>
      <c r="AB72" s="156" t="inlineStr">
        <is>
          <t>20 DOF · 5 fingers · 20 kg class strength · No tactile array published · Direct-drive actuators per joint (BLDC / compact motors) to drive individual joints · 1.76 kg</t>
        </is>
      </c>
      <c r="AC72" s="156" t="inlineStr">
        <is>
          <t>Humanoid OEM</t>
        </is>
      </c>
      <c r="AD72" s="195" t="inlineStr">
        <is>
          <t>In production</t>
        </is>
      </c>
      <c r="AE72" s="152" t="inlineStr">
        <is>
          <t>In production</t>
        </is>
      </c>
      <c r="AF72" s="156" t="n"/>
      <c r="AG72" s="156" t="inlineStr">
        <is>
          <t>12 months manufacturer standard (typical dexterous-hand component)</t>
        </is>
      </c>
      <c r="AH72" s="152" t="n">
        <v>12</v>
      </c>
      <c r="AI72" s="156" t="inlineStr">
        <is>
          <t>+3 Year Extended ≈24% of configuration (default in configurator)</t>
        </is>
      </c>
      <c r="AJ72" s="152" t="inlineStr">
        <is>
          <t>End-effector category norm 2025–2026</t>
        </is>
      </c>
      <c r="AK72" s="152" t="inlineStr">
        <is>
          <t>Estimated</t>
        </is>
      </c>
      <c r="AL72" s="156" t="inlineStr">
        <is>
          <t>Skins, tendons, and tactile covers often wear items — confirm on OEM quote.</t>
        </is>
      </c>
      <c r="AM72" s="152" t="inlineStr">
        <is>
          <t>10%</t>
        </is>
      </c>
      <c r="AN72" s="152" t="inlineStr">
        <is>
          <t>17%</t>
        </is>
      </c>
      <c r="AO72" s="152" t="inlineStr">
        <is>
          <t>24%</t>
        </is>
      </c>
      <c r="AP72" s="156" t="inlineStr">
        <is>
          <t>+1yr ≈10% | +2yr ≈17% | +3yr ≈24% of selected configuration price.</t>
        </is>
      </c>
      <c r="AQ72" s="156" t="inlineStr">
        <is>
          <t>Profitable schedule (Aug 2026): +1yr ≈10% / +2yr ≈17% / +3yr ≈24% of configuration price. Calibrated for ~45–55% gross margin after expected robotics claim incidence (~10–14%/yr of covered units), avg claim cost ~25–30% of config, and admin 10–15% of premium.</t>
        </is>
      </c>
      <c r="AR72" s="101" t="inlineStr">
        <is>
          <t>[Tesollo] DG-5F (2025)</t>
        </is>
      </c>
    </row>
    <row r="73" ht="33.75" customHeight="1" s="102">
      <c r="A73" s="143" t="inlineStr">
        <is>
          <t>hand_dg_5f_s</t>
        </is>
      </c>
      <c r="B73" s="153" t="inlineStr">
        <is>
          <t>Humanoid.guide</t>
        </is>
      </c>
      <c r="C73" s="145" t="inlineStr">
        <is>
          <t>Tesollo</t>
        </is>
      </c>
      <c r="D73" s="145" t="inlineStr">
        <is>
          <t>DG-5F-S</t>
        </is>
      </c>
      <c r="E73" s="163" t="inlineStr">
        <is>
          <t>hand</t>
        </is>
      </c>
      <c r="F73" s="145" t="inlineStr">
        <is>
          <t>South Korea</t>
        </is>
      </c>
      <c r="G73" s="145" t="n">
        <v>2025</v>
      </c>
      <c r="H73" s="148" t="n">
        <v>23000</v>
      </c>
      <c r="I73" s="145" t="inlineStr">
        <is>
          <t>Humanoid.guide list</t>
        </is>
      </c>
      <c r="J73" s="149" t="inlineStr">
        <is>
          <t>DG-5F-S is a compact, fully actuated humanoid robotic hand designed for dexterous multi-finger manipulation.</t>
        </is>
      </c>
      <c r="K73" s="101" t="inlineStr">
        <is>
          <t>DG-5F-S is a compact, fully actuated humanoid robotic hand designed for dexterous multi-finger manipulation.</t>
        </is>
      </c>
      <c r="L73" s="101" t="inlineStr">
        <is>
          <t>DG-5F-S is a compact, fully actuated humanoid robotic hand designed for dexterous multi-finger manipulation. Public status is listed as in production, and it is positioned for humanoid OEM.</t>
        </is>
      </c>
      <c r="M73" s="101" t="inlineStr">
        <is>
          <t>Origin &amp; status — South Korea · In production · 2025 | Performance — 20 DOF · 5 (5 per hand) fingers · Payload 13.23 lb · Strength 6 kg | Sensing — Yes | Buying notes — $23,000 · 12 months manufacturer standard (typical dexterous-hand component) · Best fit: Humanoid OEM</t>
        </is>
      </c>
      <c r="N73" s="150" t="inlineStr">
        <is>
          <t>https://humanoid.guide/product/dg-5f-s/</t>
        </is>
      </c>
      <c r="O73" s="150" t="inlineStr">
        <is>
          <t>https://tesollo.com/</t>
        </is>
      </c>
      <c r="P73" s="194" t="n">
        <v>1.94</v>
      </c>
      <c r="Q73" s="194" t="n">
        <v>0.88</v>
      </c>
      <c r="R73" s="149" t="inlineStr">
        <is>
          <t>Length approx. 20 cm — similar to an adult male hand</t>
        </is>
      </c>
      <c r="S73" s="145" t="inlineStr">
        <is>
          <t>Not disclosed</t>
        </is>
      </c>
      <c r="T73" s="145" t="inlineStr">
        <is>
          <t>20</t>
        </is>
      </c>
      <c r="U73" s="149" t="inlineStr">
        <is>
          <t>5 (5 per hand)</t>
        </is>
      </c>
      <c r="V73" s="194" t="n">
        <v>13.23</v>
      </c>
      <c r="W73" s="194" t="n">
        <v>6</v>
      </c>
      <c r="X73" s="161" t="inlineStr">
        <is>
          <t>Yes</t>
        </is>
      </c>
      <c r="Y73" s="149" t="inlineStr">
        <is>
          <t>Yes</t>
        </is>
      </c>
      <c r="Z73" s="149" t="inlineStr">
        <is>
          <t>Fully actuated electric motors (servo-driven)</t>
        </is>
      </c>
      <c r="AA73" s="149" t="inlineStr">
        <is>
          <t>Lightweight metal alloys with engineered polymers</t>
        </is>
      </c>
      <c r="AB73" s="149" t="inlineStr">
        <is>
          <t>20 DOF · 5 fingers · 6 kg class strength · Tactile/force sensing · Fully actuated electric motors (servo-driven) · 0.88 kg</t>
        </is>
      </c>
      <c r="AC73" s="149" t="inlineStr">
        <is>
          <t>Humanoid OEM</t>
        </is>
      </c>
      <c r="AD73" s="195" t="inlineStr">
        <is>
          <t>In production</t>
        </is>
      </c>
      <c r="AE73" s="145" t="inlineStr">
        <is>
          <t>In production</t>
        </is>
      </c>
      <c r="AF73" s="149" t="n"/>
      <c r="AG73" s="149" t="inlineStr">
        <is>
          <t>12 months manufacturer standard (typical dexterous-hand component)</t>
        </is>
      </c>
      <c r="AH73" s="145" t="n">
        <v>12</v>
      </c>
      <c r="AI73" s="149" t="inlineStr">
        <is>
          <t>+3 Year Extended ≈24% of configuration (default in configurator)</t>
        </is>
      </c>
      <c r="AJ73" s="145" t="inlineStr">
        <is>
          <t>End-effector category norm 2025–2026</t>
        </is>
      </c>
      <c r="AK73" s="145" t="inlineStr">
        <is>
          <t>Estimated</t>
        </is>
      </c>
      <c r="AL73" s="149" t="inlineStr">
        <is>
          <t>Skins, tendons, and tactile covers often wear items — confirm on OEM quote.</t>
        </is>
      </c>
      <c r="AM73" s="145" t="inlineStr">
        <is>
          <t>10%</t>
        </is>
      </c>
      <c r="AN73" s="145" t="inlineStr">
        <is>
          <t>17%</t>
        </is>
      </c>
      <c r="AO73" s="145" t="inlineStr">
        <is>
          <t>24%</t>
        </is>
      </c>
      <c r="AP73" s="149" t="inlineStr">
        <is>
          <t>+1yr ≈10% | +2yr ≈17% | +3yr ≈24% of selected configuration price.</t>
        </is>
      </c>
      <c r="AQ73" s="149" t="inlineStr">
        <is>
          <t>Profitable schedule (Aug 2026): +1yr ≈10% / +2yr ≈17% / +3yr ≈24% of configuration price. Calibrated for ~45–55% gross margin after expected robotics claim incidence (~10–14%/yr of covered units), avg claim cost ~25–30% of config, and admin 10–15% of premium.</t>
        </is>
      </c>
      <c r="AR73" s="101" t="inlineStr">
        <is>
          <t>[Tesollo] DG-5F-S (2025)</t>
        </is>
      </c>
    </row>
    <row r="74" ht="33.75" customHeight="1" s="102">
      <c r="A74" s="159" t="inlineStr">
        <is>
          <t>hand_aero_hand_open</t>
        </is>
      </c>
      <c r="B74" s="153" t="inlineStr">
        <is>
          <t>Humanoid.guide</t>
        </is>
      </c>
      <c r="C74" s="152" t="inlineStr">
        <is>
          <t>TetherIA</t>
        </is>
      </c>
      <c r="D74" s="152" t="inlineStr">
        <is>
          <t>Aero Hand Open</t>
        </is>
      </c>
      <c r="E74" s="163" t="inlineStr">
        <is>
          <t>hand</t>
        </is>
      </c>
      <c r="F74" s="152" t="inlineStr">
        <is>
          <t>USA</t>
        </is>
      </c>
      <c r="G74" s="152" t="n">
        <v>2025</v>
      </c>
      <c r="H74" s="155" t="n">
        <v>720</v>
      </c>
      <c r="I74" s="152" t="inlineStr">
        <is>
          <t>Humanoid.guide list</t>
        </is>
      </c>
      <c r="J74" s="156" t="inlineStr">
        <is>
          <t>Lightweight, five‑finger tendon‑driven robotic hand with 7 active DOF for embodied‑AI research—open‑source, USB‑ready, and built for real‑world manipulation.</t>
        </is>
      </c>
      <c r="K74" s="101" t="inlineStr">
        <is>
          <t>Lightweight, five‑finger tendon‑driven robotic hand with 7 active DOF for embodied‑AI research—open‑source, USB‑ready, and built for real‑world manipulation.</t>
        </is>
      </c>
      <c r="L74" s="101" t="inlineStr">
        <is>
          <t>Aero Hand Open is TetherIA's dexterous hand, introduced around 2025 in USA. Lightweight, five‑finger tendon‑driven robotic hand with 7 active DOF for embodied‑AI research—open‑source, USB‑ready, and built for real‑world manipulation. Public status is listed as in production, and it is positioned for research / teleoperation.</t>
        </is>
      </c>
      <c r="M74" s="101" t="inlineStr">
        <is>
          <t>Origin &amp; status — USA · In production · 2025 | Performance — 16 DOF · 5 fingers · Payload 66.14 lb · Strength 30 kg | Sensing — No | Buying notes — $720 · 12 months manufacturer standard (typical dexterous-hand component) · Best fit: Research / teleoperation</t>
        </is>
      </c>
      <c r="N74" s="157" t="inlineStr">
        <is>
          <t>https://humanoid.guide/product/aero-hand-open/</t>
        </is>
      </c>
      <c r="O74" s="157" t="inlineStr">
        <is>
          <t>https://tetheria.ai/</t>
        </is>
      </c>
      <c r="P74" s="152" t="inlineStr">
        <is>
          <t>Not disclosed</t>
        </is>
      </c>
      <c r="Q74" s="152" t="n"/>
      <c r="R74" s="156" t="inlineStr">
        <is>
          <t>Not disclosed</t>
        </is>
      </c>
      <c r="S74" s="152" t="inlineStr">
        <is>
          <t>Not disclosed</t>
        </is>
      </c>
      <c r="T74" s="152" t="inlineStr">
        <is>
          <t>16</t>
        </is>
      </c>
      <c r="U74" s="156" t="inlineStr">
        <is>
          <t>5</t>
        </is>
      </c>
      <c r="V74" s="196" t="n">
        <v>66.14</v>
      </c>
      <c r="W74" s="196" t="n">
        <v>30</v>
      </c>
      <c r="X74" s="162" t="inlineStr">
        <is>
          <t>No</t>
        </is>
      </c>
      <c r="Y74" s="156" t="inlineStr">
        <is>
          <t>No</t>
        </is>
      </c>
      <c r="Z74" s="156" t="inlineStr">
        <is>
          <t>7 coreless serial‑bus servos; cable/tendon‑driven; back‑drivable.</t>
        </is>
      </c>
      <c r="AA74" s="156" t="inlineStr">
        <is>
          <t>Nylon</t>
        </is>
      </c>
      <c r="AB74" s="156" t="inlineStr">
        <is>
          <t>16 DOF · 5 fingers · 30 kg class strength · No tactile array published · 7 coreless serial‑bus servos; cable/tendon‑driven; back‑drivable.</t>
        </is>
      </c>
      <c r="AC74" s="156" t="inlineStr">
        <is>
          <t>Research / teleoperation</t>
        </is>
      </c>
      <c r="AD74" s="195" t="inlineStr">
        <is>
          <t>In production</t>
        </is>
      </c>
      <c r="AE74" s="152" t="inlineStr">
        <is>
          <t>In production</t>
        </is>
      </c>
      <c r="AF74" s="156" t="n"/>
      <c r="AG74" s="156" t="inlineStr">
        <is>
          <t>12 months manufacturer standard (typical dexterous-hand component)</t>
        </is>
      </c>
      <c r="AH74" s="152" t="n">
        <v>12</v>
      </c>
      <c r="AI74" s="156" t="inlineStr">
        <is>
          <t>+3 Year Extended ≈24% of configuration (default in configurator)</t>
        </is>
      </c>
      <c r="AJ74" s="152" t="inlineStr">
        <is>
          <t>End-effector category norm 2025–2026</t>
        </is>
      </c>
      <c r="AK74" s="152" t="inlineStr">
        <is>
          <t>Estimated</t>
        </is>
      </c>
      <c r="AL74" s="156" t="inlineStr">
        <is>
          <t>Skins, tendons, and tactile covers often wear items — confirm on OEM quote.</t>
        </is>
      </c>
      <c r="AM74" s="152" t="inlineStr">
        <is>
          <t>10%</t>
        </is>
      </c>
      <c r="AN74" s="152" t="inlineStr">
        <is>
          <t>17%</t>
        </is>
      </c>
      <c r="AO74" s="152" t="inlineStr">
        <is>
          <t>24%</t>
        </is>
      </c>
      <c r="AP74" s="156" t="inlineStr">
        <is>
          <t>+1yr ≈10% | +2yr ≈17% | +3yr ≈24% of selected configuration price.</t>
        </is>
      </c>
      <c r="AQ74" s="156" t="inlineStr">
        <is>
          <t>Profitable schedule (Aug 2026): +1yr ≈10% / +2yr ≈17% / +3yr ≈24% of configuration price. Calibrated for ~45–55% gross margin after expected robotics claim incidence (~10–14%/yr of covered units), avg claim cost ~25–30% of config, and admin 10–15% of premium.</t>
        </is>
      </c>
      <c r="AR74" s="101" t="inlineStr">
        <is>
          <t>[TetherIA] Aero Hand Open (2025)</t>
        </is>
      </c>
    </row>
    <row r="75" ht="33.75" customHeight="1" s="102">
      <c r="A75" s="143" t="inlineStr">
        <is>
          <t>hand_dex5_1</t>
        </is>
      </c>
      <c r="B75" s="153" t="inlineStr">
        <is>
          <t>Humanoid.guide</t>
        </is>
      </c>
      <c r="C75" s="145" t="inlineStr">
        <is>
          <t>Unitree</t>
        </is>
      </c>
      <c r="D75" s="145" t="inlineStr">
        <is>
          <t>Dex5-1</t>
        </is>
      </c>
      <c r="E75" s="163" t="inlineStr">
        <is>
          <t>hand</t>
        </is>
      </c>
      <c r="F75" s="145" t="inlineStr">
        <is>
          <t>China</t>
        </is>
      </c>
      <c r="G75" s="145" t="n">
        <v>2025</v>
      </c>
      <c r="H75" s="148" t="n">
        <v>6000</v>
      </c>
      <c r="I75" s="145" t="inlineStr">
        <is>
          <t>Humanoid.guide list</t>
        </is>
      </c>
      <c r="J75" s="149" t="inlineStr">
        <is>
          <t>Unitree Dex5-1 — a dexterous, five-finger robotic hand with 20 DoF, smooth articulation, optional tactile sensing, and modular design.</t>
        </is>
      </c>
      <c r="K75" s="101" t="inlineStr">
        <is>
          <t>Unitree Dex5-1 — a dexterous, five-finger robotic hand with 20 DoF, smooth articulation, optional tactile sensing, and modular design.</t>
        </is>
      </c>
      <c r="L75" s="101" t="inlineStr">
        <is>
          <t>Unitree Dex5-1 — a dexterous, five-finger robotic hand with 20 DoF, smooth articulation, optional tactile sensing, and modular design. Public status is listed as in production, and it is positioned for dexterous manipulation.</t>
        </is>
      </c>
      <c r="M75" s="101" t="inlineStr">
        <is>
          <t>Origin &amp; status — China · In production · 2025 | Performance — 20 DOF · 5 (5 fingers, all modular and independently replaceable) fingers · Payload 11.02 lb · Strength 5 kg | Sensing — Yes | Buying notes — $6,000 · 12 months manufacturer standard (typical dexterous-hand component) · Best fit: Dexterous manipulation</t>
        </is>
      </c>
      <c r="N75" s="150" t="inlineStr">
        <is>
          <t>https://humanoid.guide/product/dex5-1/</t>
        </is>
      </c>
      <c r="O75" s="150" t="inlineStr">
        <is>
          <t>https://www.unitree.com</t>
        </is>
      </c>
      <c r="P75" s="194" t="n">
        <v>2.2</v>
      </c>
      <c r="Q75" s="194" t="n">
        <v>1</v>
      </c>
      <c r="R75" s="149" t="inlineStr">
        <is>
          <t>217.3 × 127.5 × 72.1 mm</t>
        </is>
      </c>
      <c r="S75" s="145" t="inlineStr">
        <is>
          <t>8.56 × 5.02 × 2.84 in</t>
        </is>
      </c>
      <c r="T75" s="145" t="inlineStr">
        <is>
          <t>20</t>
        </is>
      </c>
      <c r="U75" s="149" t="inlineStr">
        <is>
          <t>5 (5 fingers, all modular and independently replaceable)</t>
        </is>
      </c>
      <c r="V75" s="194" t="n">
        <v>11.02</v>
      </c>
      <c r="W75" s="194" t="n">
        <v>5</v>
      </c>
      <c r="X75" s="161" t="inlineStr">
        <is>
          <t>Yes</t>
        </is>
      </c>
      <c r="Y75" s="149" t="inlineStr">
        <is>
          <t>Yes</t>
        </is>
      </c>
      <c r="Z75" s="149" t="inlineStr">
        <is>
          <t>Hollow-cup motors + proprietary micro force-controlled composite transmission joints. Low-damping reducer for smooth motion.</t>
        </is>
      </c>
      <c r="AA75" s="149" t="inlineStr">
        <is>
          <t>Magnesium-alloy frame + polymer links + silicone/tactile pads</t>
        </is>
      </c>
      <c r="AB75" s="149" t="inlineStr">
        <is>
          <t>20 DOF · 5 fingers · 5 kg class strength · Tactile/force sensing · Hollow-cup motors + proprietary micro force-controlled composite transmission joints. L… · 1 kg</t>
        </is>
      </c>
      <c r="AC75" s="149" t="inlineStr">
        <is>
          <t>Dexterous manipulation</t>
        </is>
      </c>
      <c r="AD75" s="195" t="inlineStr">
        <is>
          <t>In production</t>
        </is>
      </c>
      <c r="AE75" s="145" t="inlineStr">
        <is>
          <t>In production</t>
        </is>
      </c>
      <c r="AF75" s="149" t="n"/>
      <c r="AG75" s="149" t="inlineStr">
        <is>
          <t>12 months manufacturer standard (typical dexterous-hand component)</t>
        </is>
      </c>
      <c r="AH75" s="145" t="n">
        <v>12</v>
      </c>
      <c r="AI75" s="149" t="inlineStr">
        <is>
          <t>+3 Year Extended ≈24% of configuration (default in configurator)</t>
        </is>
      </c>
      <c r="AJ75" s="145" t="inlineStr">
        <is>
          <t>End-effector category norm 2025–2026</t>
        </is>
      </c>
      <c r="AK75" s="145" t="inlineStr">
        <is>
          <t>Estimated</t>
        </is>
      </c>
      <c r="AL75" s="149" t="inlineStr">
        <is>
          <t>Skins, tendons, and tactile covers often wear items — confirm on OEM quote.</t>
        </is>
      </c>
      <c r="AM75" s="145" t="inlineStr">
        <is>
          <t>10%</t>
        </is>
      </c>
      <c r="AN75" s="145" t="inlineStr">
        <is>
          <t>17%</t>
        </is>
      </c>
      <c r="AO75" s="145" t="inlineStr">
        <is>
          <t>24%</t>
        </is>
      </c>
      <c r="AP75" s="149" t="inlineStr">
        <is>
          <t>+1yr ≈10% | +2yr ≈17% | +3yr ≈24% of selected configuration price.</t>
        </is>
      </c>
      <c r="AQ75" s="149" t="inlineStr">
        <is>
          <t>Profitable schedule (Aug 2026): +1yr ≈10% / +2yr ≈17% / +3yr ≈24% of configuration price. Calibrated for ~45–55% gross margin after expected robotics claim incidence (~10–14%/yr of covered units), avg claim cost ~25–30% of config, and admin 10–15% of premium.</t>
        </is>
      </c>
      <c r="AR75" s="101" t="inlineStr">
        <is>
          <t>[Unitree] Dex5-1 (2025)</t>
        </is>
      </c>
    </row>
    <row r="76" ht="33.75" customHeight="1" s="102">
      <c r="A76" s="159" t="inlineStr">
        <is>
          <t>hand_yz_t6</t>
        </is>
      </c>
      <c r="B76" s="153" t="inlineStr">
        <is>
          <t>Humanoid.guide</t>
        </is>
      </c>
      <c r="C76" s="152" t="inlineStr">
        <is>
          <t>VEICHI &amp; EasyLink Robotics</t>
        </is>
      </c>
      <c r="D76" s="152" t="inlineStr">
        <is>
          <t>YZ-T6</t>
        </is>
      </c>
      <c r="E76" s="163" t="inlineStr">
        <is>
          <t>hand</t>
        </is>
      </c>
      <c r="F76" s="152" t="inlineStr">
        <is>
          <t>China</t>
        </is>
      </c>
      <c r="G76" s="152" t="n">
        <v>2025</v>
      </c>
      <c r="H76" s="155" t="n">
        <v>3000</v>
      </c>
      <c r="I76" s="152" t="inlineStr">
        <is>
          <t>Humanoid.guide list</t>
        </is>
      </c>
      <c r="J76" s="156" t="inlineStr">
        <is>
          <t>The YZ-T6 is a compact, tendon-driven robotic hand with human-like proportions, 11 total DoF, and strong adaptability for real-world tasks.</t>
        </is>
      </c>
      <c r="K76" s="101" t="inlineStr">
        <is>
          <t>The YZ-T6 is a compact, tendon-driven robotic hand with human-like proportions, 11 total DoF, and strong adaptability for real-world tasks.</t>
        </is>
      </c>
      <c r="L76" s="101" t="inlineStr">
        <is>
          <t>The YZ-T6 is a compact, tendon-driven robotic hand with human-like proportions, 11 total DoF, and strong adaptability for real-world tasks. Public status is listed as in production, and it is positioned for dexterous manipulation.</t>
        </is>
      </c>
      <c r="M76" s="101" t="inlineStr">
        <is>
          <t>Origin &amp; status — China · In production · 2025 | Performance — 11 DOF · 5 fingers · Payload 22.05 lb · Strength 10 kg | Sensing — No | Buying notes — $3,000 · 12 months manufacturer standard (typical dexterous-hand component) · Best fit: Dexterous manipulation</t>
        </is>
      </c>
      <c r="N76" s="157" t="inlineStr">
        <is>
          <t>https://humanoid.guide/product/yz-t6/</t>
        </is>
      </c>
      <c r="O76" s="157" t="inlineStr">
        <is>
          <t>https://www.veichi.com/</t>
        </is>
      </c>
      <c r="P76" s="196" t="n">
        <v>1.39</v>
      </c>
      <c r="Q76" s="196" t="n">
        <v>0.63</v>
      </c>
      <c r="R76" s="156" t="inlineStr">
        <is>
          <t>~18–20 cm length, ~8–9 cm width (human-hand scale)</t>
        </is>
      </c>
      <c r="S76" s="152" t="inlineStr">
        <is>
          <t>7.09 × 7.87 × 3.15 in</t>
        </is>
      </c>
      <c r="T76" s="152" t="inlineStr">
        <is>
          <t>11</t>
        </is>
      </c>
      <c r="U76" s="156" t="inlineStr">
        <is>
          <t>5</t>
        </is>
      </c>
      <c r="V76" s="196" t="n">
        <v>22.05</v>
      </c>
      <c r="W76" s="196" t="n">
        <v>10</v>
      </c>
      <c r="X76" s="162" t="inlineStr">
        <is>
          <t>No</t>
        </is>
      </c>
      <c r="Y76" s="156" t="inlineStr">
        <is>
          <t>No</t>
        </is>
      </c>
      <c r="Z76" s="156" t="inlineStr">
        <is>
          <t>Full tendon-driven mechanism with distributed actuation</t>
        </is>
      </c>
      <c r="AA76" s="156" t="inlineStr">
        <is>
          <t>Likely lightweight polymer composite + metal joints</t>
        </is>
      </c>
      <c r="AB76" s="156" t="inlineStr">
        <is>
          <t>11 DOF · 5 fingers · 10 kg class strength · No tactile array published · Full tendon-driven mechanism with distributed actuation · 0.63 kg</t>
        </is>
      </c>
      <c r="AC76" s="156" t="inlineStr">
        <is>
          <t>Dexterous manipulation</t>
        </is>
      </c>
      <c r="AD76" s="195" t="inlineStr">
        <is>
          <t>In production</t>
        </is>
      </c>
      <c r="AE76" s="152" t="inlineStr">
        <is>
          <t>In production</t>
        </is>
      </c>
      <c r="AF76" s="156" t="n"/>
      <c r="AG76" s="156" t="inlineStr">
        <is>
          <t>12 months manufacturer standard (typical dexterous-hand component)</t>
        </is>
      </c>
      <c r="AH76" s="152" t="n">
        <v>12</v>
      </c>
      <c r="AI76" s="156" t="inlineStr">
        <is>
          <t>+3 Year Extended ≈24% of configuration (default in configurator)</t>
        </is>
      </c>
      <c r="AJ76" s="152" t="inlineStr">
        <is>
          <t>End-effector category norm 2025–2026</t>
        </is>
      </c>
      <c r="AK76" s="152" t="inlineStr">
        <is>
          <t>Estimated</t>
        </is>
      </c>
      <c r="AL76" s="156" t="inlineStr">
        <is>
          <t>Skins, tendons, and tactile covers often wear items — confirm on OEM quote.</t>
        </is>
      </c>
      <c r="AM76" s="152" t="inlineStr">
        <is>
          <t>10%</t>
        </is>
      </c>
      <c r="AN76" s="152" t="inlineStr">
        <is>
          <t>17%</t>
        </is>
      </c>
      <c r="AO76" s="152" t="inlineStr">
        <is>
          <t>24%</t>
        </is>
      </c>
      <c r="AP76" s="156" t="inlineStr">
        <is>
          <t>+1yr ≈10% | +2yr ≈17% | +3yr ≈24% of selected configuration price.</t>
        </is>
      </c>
      <c r="AQ76" s="156" t="inlineStr">
        <is>
          <t>Profitable schedule (Aug 2026): +1yr ≈10% / +2yr ≈17% / +3yr ≈24% of configuration price. Calibrated for ~45–55% gross margin after expected robotics claim incidence (~10–14%/yr of covered units), avg claim cost ~25–30% of config, and admin 10–15% of premium.</t>
        </is>
      </c>
      <c r="AR76" s="101" t="inlineStr">
        <is>
          <t>[VEICHI &amp; EasyLink Robotics] YZ-T6 (2025)</t>
        </is>
      </c>
    </row>
    <row r="77" ht="33.75" customHeight="1" s="102">
      <c r="A77" s="143" t="inlineStr">
        <is>
          <t>hand_yeah</t>
        </is>
      </c>
      <c r="B77" s="153" t="inlineStr">
        <is>
          <t>Humanoid.guide</t>
        </is>
      </c>
      <c r="C77" s="145" t="inlineStr">
        <is>
          <t>Vittorio Lumare</t>
        </is>
      </c>
      <c r="D77" s="145" t="inlineStr">
        <is>
          <t>YEAH</t>
        </is>
      </c>
      <c r="E77" s="163" t="inlineStr">
        <is>
          <t>hand</t>
        </is>
      </c>
      <c r="F77" s="145" t="inlineStr">
        <is>
          <t>Italy</t>
        </is>
      </c>
      <c r="G77" s="145" t="n">
        <v>2025</v>
      </c>
      <c r="H77" s="148" t="n">
        <v>850</v>
      </c>
      <c r="I77" s="145" t="inlineStr">
        <is>
          <t>Humanoid.guide list</t>
        </is>
      </c>
      <c r="J77" s="149" t="inlineStr">
        <is>
          <t>YEAH — an open-source, 5-finger tendon-driven robotic hand built for affordability, 3D-print customization, and real-world usability.</t>
        </is>
      </c>
      <c r="K77" s="101" t="inlineStr">
        <is>
          <t>YEAH — an open-source, 5-finger tendon-driven robotic hand built for affordability, 3D-print customization, and real-world usability.</t>
        </is>
      </c>
      <c r="L77" s="101" t="inlineStr">
        <is>
          <t>YEAH — an open-source, 5-finger tendon-driven robotic hand built for affordability, 3D-print customization, and real-world usability. It is positioned for research / teleoperation.</t>
        </is>
      </c>
      <c r="M77" s="101" t="inlineStr">
        <is>
          <t>Origin &amp; status — Italy · 2025 | Performance — 15 DOF · 5 fingers · Payload 26.46 lb · Strength 12 kg | Sensing — Yes | Buying notes — $850 · 12 months manufacturer standard (typical dexterous-hand component) · Best fit: Research / teleoperation</t>
        </is>
      </c>
      <c r="N77" s="150" t="inlineStr">
        <is>
          <t>https://humanoid.guide/product/yeah/</t>
        </is>
      </c>
      <c r="O77" s="150" t="inlineStr">
        <is>
          <t>https://www.robotgarage.org</t>
        </is>
      </c>
      <c r="P77" s="194" t="n">
        <v>1.65</v>
      </c>
      <c r="Q77" s="194" t="n">
        <v>0.75</v>
      </c>
      <c r="R77" s="149" t="inlineStr">
        <is>
          <t>30 cm x 18 cm x 7 cm</t>
        </is>
      </c>
      <c r="S77" s="145" t="inlineStr">
        <is>
          <t>11.81 × 7.09 × 2.76 in</t>
        </is>
      </c>
      <c r="T77" s="145" t="inlineStr">
        <is>
          <t>15</t>
        </is>
      </c>
      <c r="U77" s="149" t="inlineStr">
        <is>
          <t>5</t>
        </is>
      </c>
      <c r="V77" s="194" t="n">
        <v>26.46</v>
      </c>
      <c r="W77" s="194" t="n">
        <v>12</v>
      </c>
      <c r="X77" s="161" t="inlineStr">
        <is>
          <t>Yes</t>
        </is>
      </c>
      <c r="Y77" s="149" t="inlineStr">
        <is>
          <t>Yes</t>
        </is>
      </c>
      <c r="Z77" s="149" t="inlineStr">
        <is>
          <t>Serial Bus Smart Servomotors</t>
        </is>
      </c>
      <c r="AA77" s="149" t="inlineStr">
        <is>
          <t>ABS, PLA, TPU</t>
        </is>
      </c>
      <c r="AB77" s="149" t="inlineStr">
        <is>
          <t>15 DOF · 5 fingers · 12 kg class strength · Tactile/force sensing · Serial Bus Smart Servomotors · 0.75 kg</t>
        </is>
      </c>
      <c r="AC77" s="149" t="inlineStr">
        <is>
          <t>Research / teleoperation</t>
        </is>
      </c>
      <c r="AD77" s="145" t="n"/>
      <c r="AE77" s="145" t="inlineStr">
        <is>
          <t>Not disclosed</t>
        </is>
      </c>
      <c r="AF77" s="149" t="n"/>
      <c r="AG77" s="149" t="inlineStr">
        <is>
          <t>12 months manufacturer standard (typical dexterous-hand component)</t>
        </is>
      </c>
      <c r="AH77" s="145" t="n">
        <v>12</v>
      </c>
      <c r="AI77" s="149" t="inlineStr">
        <is>
          <t>+3 Year Extended ≈24% of configuration (default in configurator)</t>
        </is>
      </c>
      <c r="AJ77" s="145" t="inlineStr">
        <is>
          <t>End-effector category norm 2025–2026</t>
        </is>
      </c>
      <c r="AK77" s="145" t="inlineStr">
        <is>
          <t>Estimated</t>
        </is>
      </c>
      <c r="AL77" s="149" t="inlineStr">
        <is>
          <t>Skins, tendons, and tactile covers often wear items — confirm on OEM quote.</t>
        </is>
      </c>
      <c r="AM77" s="145" t="inlineStr">
        <is>
          <t>10%</t>
        </is>
      </c>
      <c r="AN77" s="145" t="inlineStr">
        <is>
          <t>17%</t>
        </is>
      </c>
      <c r="AO77" s="145" t="inlineStr">
        <is>
          <t>24%</t>
        </is>
      </c>
      <c r="AP77" s="149" t="inlineStr">
        <is>
          <t>+1yr ≈10% | +2yr ≈17% | +3yr ≈24% of selected configuration price.</t>
        </is>
      </c>
      <c r="AQ77" s="149" t="inlineStr">
        <is>
          <t>Profitable schedule (Aug 2026): +1yr ≈10% / +2yr ≈17% / +3yr ≈24% of configuration price. Calibrated for ~45–55% gross margin after expected robotics claim incidence (~10–14%/yr of covered units), avg claim cost ~25–30% of config, and admin 10–15% of premium.</t>
        </is>
      </c>
      <c r="AR77" s="101" t="inlineStr">
        <is>
          <t>[Vittorio Lumare] YEAH (2025)</t>
        </is>
      </c>
    </row>
    <row r="78" ht="33.75" customHeight="1" s="102">
      <c r="A78" s="159" t="inlineStr">
        <is>
          <t>hand_vh_ha_18t2</t>
        </is>
      </c>
      <c r="B78" s="153" t="inlineStr">
        <is>
          <t>Humanoid.guide</t>
        </is>
      </c>
      <c r="C78" s="152" t="inlineStr">
        <is>
          <t>Vizum / ViHero</t>
        </is>
      </c>
      <c r="D78" s="152" t="inlineStr">
        <is>
          <t>VH-HA-18T2</t>
        </is>
      </c>
      <c r="E78" s="163" t="inlineStr">
        <is>
          <t>hand</t>
        </is>
      </c>
      <c r="F78" s="152" t="inlineStr">
        <is>
          <t>China</t>
        </is>
      </c>
      <c r="G78" s="152" t="n">
        <v>2026</v>
      </c>
      <c r="H78" s="155" t="n">
        <v>2636</v>
      </c>
      <c r="I78" s="152" t="inlineStr">
        <is>
          <t>Humanoid.guide list</t>
        </is>
      </c>
      <c r="J78" s="156" t="inlineStr">
        <is>
          <t>A compact and reliable humanoid robotic hand with natural movement, designed for precise grasping and easy integration into robotic systems.</t>
        </is>
      </c>
      <c r="K78" s="101" t="inlineStr">
        <is>
          <t>A compact and reliable humanoid robotic hand with natural movement, designed for precise grasping and easy integration into robotic systems.</t>
        </is>
      </c>
      <c r="L78" s="101" t="inlineStr">
        <is>
          <t>VH-HA-18T2 is Vizum / ViHero's dexterous hand, introduced around 2026 in China. A compact and reliable humanoid robotic hand with natural movement, designed for precise grasping and easy integration into robotic systems. Public status is listed as in production, and it is positioned for humanoid OEM.</t>
        </is>
      </c>
      <c r="M78" s="101" t="inlineStr">
        <is>
          <t>Origin &amp; status — China · In production · 2026 | Performance — 16 DOF · 5 fingers · Payload 9.92 lb · Strength 4.5 kg | Sensing — Motor + Linkage | Buying notes — $2,636 · 12 months manufacturer standard (typical dexterous-hand component) · Best fit: Humanoid OEM</t>
        </is>
      </c>
      <c r="N78" s="157" t="inlineStr">
        <is>
          <t>https://humanoid.guide/product/vh-ha-18t2/</t>
        </is>
      </c>
      <c r="O78" s="157" t="inlineStr">
        <is>
          <t>http://www.vihero.com</t>
        </is>
      </c>
      <c r="P78" s="196" t="n">
        <v>1.68</v>
      </c>
      <c r="Q78" s="196" t="n">
        <v>0.76</v>
      </c>
      <c r="R78" s="156" t="inlineStr">
        <is>
          <t>Not disclosed</t>
        </is>
      </c>
      <c r="S78" s="152" t="inlineStr">
        <is>
          <t>Not disclosed</t>
        </is>
      </c>
      <c r="T78" s="152" t="inlineStr">
        <is>
          <t>16</t>
        </is>
      </c>
      <c r="U78" s="156" t="inlineStr">
        <is>
          <t>5</t>
        </is>
      </c>
      <c r="V78" s="196" t="n">
        <v>9.92</v>
      </c>
      <c r="W78" s="196" t="n">
        <v>4.5</v>
      </c>
      <c r="X78" s="199" t="inlineStr">
        <is>
          <t>Not disclosed</t>
        </is>
      </c>
      <c r="Y78" s="156" t="n"/>
      <c r="Z78" s="156" t="inlineStr">
        <is>
          <t>Motor + Linkage</t>
        </is>
      </c>
      <c r="AA78" s="156" t="inlineStr">
        <is>
          <t>Not disclosed</t>
        </is>
      </c>
      <c r="AB78" s="156" t="inlineStr">
        <is>
          <t>16 DOF · 5 fingers · 4.5 kg class strength · Motor + Linkage · 0.76 kg</t>
        </is>
      </c>
      <c r="AC78" s="156" t="inlineStr">
        <is>
          <t>Humanoid OEM</t>
        </is>
      </c>
      <c r="AD78" s="195" t="inlineStr">
        <is>
          <t>In production</t>
        </is>
      </c>
      <c r="AE78" s="152" t="inlineStr">
        <is>
          <t>In production</t>
        </is>
      </c>
      <c r="AF78" s="156" t="n"/>
      <c r="AG78" s="156" t="inlineStr">
        <is>
          <t>12 months manufacturer standard (typical dexterous-hand component)</t>
        </is>
      </c>
      <c r="AH78" s="152" t="n">
        <v>12</v>
      </c>
      <c r="AI78" s="156" t="inlineStr">
        <is>
          <t>+3 Year Extended ≈24% of configuration (default in configurator)</t>
        </is>
      </c>
      <c r="AJ78" s="152" t="inlineStr">
        <is>
          <t>End-effector category norm 2025–2026</t>
        </is>
      </c>
      <c r="AK78" s="152" t="inlineStr">
        <is>
          <t>Estimated</t>
        </is>
      </c>
      <c r="AL78" s="156" t="inlineStr">
        <is>
          <t>Skins, tendons, and tactile covers often wear items — confirm on OEM quote.</t>
        </is>
      </c>
      <c r="AM78" s="152" t="inlineStr">
        <is>
          <t>10%</t>
        </is>
      </c>
      <c r="AN78" s="152" t="inlineStr">
        <is>
          <t>17%</t>
        </is>
      </c>
      <c r="AO78" s="152" t="inlineStr">
        <is>
          <t>24%</t>
        </is>
      </c>
      <c r="AP78" s="156" t="inlineStr">
        <is>
          <t>+1yr ≈10% | +2yr ≈17% | +3yr ≈24% of selected configuration price.</t>
        </is>
      </c>
      <c r="AQ78" s="156" t="inlineStr">
        <is>
          <t>Profitable schedule (Aug 2026): +1yr ≈10% / +2yr ≈17% / +3yr ≈24% of configuration price. Calibrated for ~45–55% gross margin after expected robotics claim incidence (~10–14%/yr of covered units), avg claim cost ~25–30% of config, and admin 10–15% of premium.</t>
        </is>
      </c>
      <c r="AR78" s="101" t="inlineStr">
        <is>
          <t>[Vizum / ViHero] VH-HA-18T2 (2026)</t>
        </is>
      </c>
    </row>
    <row r="79" ht="33.75" customHeight="1" s="102">
      <c r="A79" s="143" t="inlineStr">
        <is>
          <t>hand_allex_hand</t>
        </is>
      </c>
      <c r="B79" s="153" t="inlineStr">
        <is>
          <t>Humanoid.guide</t>
        </is>
      </c>
      <c r="C79" s="145" t="inlineStr">
        <is>
          <t>WIRobotics</t>
        </is>
      </c>
      <c r="D79" s="145" t="inlineStr">
        <is>
          <t>ALLEX</t>
        </is>
      </c>
      <c r="E79" s="163" t="inlineStr">
        <is>
          <t>hand</t>
        </is>
      </c>
      <c r="F79" s="145" t="inlineStr">
        <is>
          <t>China</t>
        </is>
      </c>
      <c r="G79" s="145" t="n">
        <v>2025</v>
      </c>
      <c r="H79" s="148" t="n">
        <v>3800</v>
      </c>
      <c r="I79" s="145" t="inlineStr">
        <is>
          <t>Humanoid.guide list</t>
        </is>
      </c>
      <c r="J79" s="149" t="inlineStr">
        <is>
          <t>ALLEX — a 15-DoF robotic hand by WIRobotics with smooth multi-finger motion and reliable grip strength, ideal for humanoid robots, research platforms, and integrated vision + manipulation systems.</t>
        </is>
      </c>
      <c r="K79" s="101" t="inlineStr">
        <is>
          <t>ALLEX — a 15-DoF robotic hand by WIRobotics with smooth multi-finger motion and reliable grip strength, ideal for humanoid robots, research platforms, and integrated vision + manipulation systems.</t>
        </is>
      </c>
      <c r="L79" s="101" t="inlineStr">
        <is>
          <t>ALLEX — a 15-DoF robotic hand by WIRobotics with smooth multi-finger motion and reliable grip strength, ideal for humanoid robots, research platforms, and integrated vision + manipulation systems. Public status is listed as in production, and it is positioned for humanoid OEM; Research / teleoperation.</t>
        </is>
      </c>
      <c r="M79" s="101" t="inlineStr">
        <is>
          <t>Origin &amp; status — China · In production · 2025 | Performance — 15 DOF · 5 fingers · Payload 11.02 lb · Strength 5 kg | Sensing — No | Buying notes — $3,800 · 12 months manufacturer standard (typical dexterous-hand component) · Best fit: Humanoid OEM; Research / teleoperation</t>
        </is>
      </c>
      <c r="N79" s="150" t="inlineStr">
        <is>
          <t>https://humanoid.guide/product/allex-hand/</t>
        </is>
      </c>
      <c r="O79" s="150" t="inlineStr">
        <is>
          <t>https://www.wirobotics.com</t>
        </is>
      </c>
      <c r="P79" s="194" t="n">
        <v>2.2</v>
      </c>
      <c r="Q79" s="194" t="n">
        <v>1</v>
      </c>
      <c r="R79" s="149" t="inlineStr">
        <is>
          <t>Assumed human-hand scale: roughly 18–22 cm length</t>
        </is>
      </c>
      <c r="S79" s="145" t="inlineStr">
        <is>
          <t>7.09 × 8.66 in</t>
        </is>
      </c>
      <c r="T79" s="145" t="inlineStr">
        <is>
          <t>15</t>
        </is>
      </c>
      <c r="U79" s="149" t="inlineStr">
        <is>
          <t>5</t>
        </is>
      </c>
      <c r="V79" s="194" t="n">
        <v>11.02</v>
      </c>
      <c r="W79" s="194" t="n">
        <v>5</v>
      </c>
      <c r="X79" s="162" t="inlineStr">
        <is>
          <t>No</t>
        </is>
      </c>
      <c r="Y79" s="149" t="inlineStr">
        <is>
          <t>No</t>
        </is>
      </c>
      <c r="Z79" s="149" t="inlineStr">
        <is>
          <t>Electric actuators with geared joints</t>
        </is>
      </c>
      <c r="AA79" s="149" t="inlineStr">
        <is>
          <t>Lightweight alloy + engineered polymers</t>
        </is>
      </c>
      <c r="AB79" s="149" t="inlineStr">
        <is>
          <t>15 DOF · 5 fingers · 5 kg class strength · No tactile array published · Electric actuators with geared joints · 1 kg</t>
        </is>
      </c>
      <c r="AC79" s="149" t="inlineStr">
        <is>
          <t>Humanoid OEM; Research / teleoperation</t>
        </is>
      </c>
      <c r="AD79" s="195" t="inlineStr">
        <is>
          <t>In production</t>
        </is>
      </c>
      <c r="AE79" s="145" t="inlineStr">
        <is>
          <t>In production</t>
        </is>
      </c>
      <c r="AF79" s="149" t="inlineStr">
        <is>
          <t>Weight published as ~700–1,000 g; midpoint used.</t>
        </is>
      </c>
      <c r="AG79" s="149" t="inlineStr">
        <is>
          <t>12 months manufacturer standard (typical dexterous-hand component)</t>
        </is>
      </c>
      <c r="AH79" s="145" t="n">
        <v>12</v>
      </c>
      <c r="AI79" s="149" t="inlineStr">
        <is>
          <t>+3 Year Extended ≈24% of configuration (default in configurator)</t>
        </is>
      </c>
      <c r="AJ79" s="145" t="inlineStr">
        <is>
          <t>End-effector category norm 2025–2026</t>
        </is>
      </c>
      <c r="AK79" s="145" t="inlineStr">
        <is>
          <t>Estimated</t>
        </is>
      </c>
      <c r="AL79" s="149" t="inlineStr">
        <is>
          <t>Skins, tendons, and tactile covers often wear items — confirm on OEM quote.</t>
        </is>
      </c>
      <c r="AM79" s="145" t="inlineStr">
        <is>
          <t>10%</t>
        </is>
      </c>
      <c r="AN79" s="145" t="inlineStr">
        <is>
          <t>17%</t>
        </is>
      </c>
      <c r="AO79" s="145" t="inlineStr">
        <is>
          <t>24%</t>
        </is>
      </c>
      <c r="AP79" s="149" t="inlineStr">
        <is>
          <t>+1yr ≈10% | +2yr ≈17% | +3yr ≈24% of selected configuration price.</t>
        </is>
      </c>
      <c r="AQ79" s="149" t="inlineStr">
        <is>
          <t>Profitable schedule (Aug 2026): +1yr ≈10% / +2yr ≈17% / +3yr ≈24% of configuration price. Calibrated for ~45–55% gross margin after expected robotics claim incidence (~10–14%/yr of covered units), avg claim cost ~25–30% of config, and admin 10–15% of premium.</t>
        </is>
      </c>
      <c r="AR79" s="101" t="inlineStr">
        <is>
          <t>[WIRobotics] ALLEX (2025)</t>
        </is>
      </c>
    </row>
    <row r="80" ht="33.75" customHeight="1" s="102">
      <c r="A80" s="159" t="inlineStr">
        <is>
          <t>hand_allegro_hand_v4</t>
        </is>
      </c>
      <c r="B80" s="153" t="inlineStr">
        <is>
          <t>Humanoid.guide</t>
        </is>
      </c>
      <c r="C80" s="152" t="inlineStr">
        <is>
          <t>Wonik Robotics</t>
        </is>
      </c>
      <c r="D80" s="152" t="inlineStr">
        <is>
          <t>Allegro Hand V4</t>
        </is>
      </c>
      <c r="E80" s="163" t="inlineStr">
        <is>
          <t>hand</t>
        </is>
      </c>
      <c r="F80" s="152" t="inlineStr">
        <is>
          <t>South Korea</t>
        </is>
      </c>
      <c r="G80" s="152" t="n">
        <v>2026</v>
      </c>
      <c r="H80" s="155" t="n">
        <v>24500</v>
      </c>
      <c r="I80" s="152" t="inlineStr">
        <is>
          <t>Humanoid.guide list</t>
        </is>
      </c>
      <c r="J80" s="156" t="inlineStr">
        <is>
          <t>The Allegro Hand V4 is a lightweight, dexterous robotic hand designed for manipulation research and robotics development.</t>
        </is>
      </c>
      <c r="K80" s="101" t="inlineStr">
        <is>
          <t>The Allegro Hand V4 is a lightweight, dexterous robotic hand designed for manipulation research and robotics development.</t>
        </is>
      </c>
      <c r="L80" s="101" t="inlineStr">
        <is>
          <t>The Allegro Hand V4 is a lightweight, dexterous robotic hand designed for manipulation research and robotics development. Public status is listed as in production, and it is positioned for research / teleoperation.</t>
        </is>
      </c>
      <c r="M80" s="101" t="inlineStr">
        <is>
          <t>Origin &amp; status — South Korea · In production · 2026 | Performance — 16 DOF · 4 fingers · Payload 11.02 lb · Strength 5 kg | Sensing — No | Buying notes — $24,500 · 12 months manufacturer standard (typical dexterous-hand component) · Best fit: Research / teleoperation</t>
        </is>
      </c>
      <c r="N80" s="157" t="inlineStr">
        <is>
          <t>https://humanoid.guide/product/allegro-hand-v4/</t>
        </is>
      </c>
      <c r="O80" s="157" t="inlineStr">
        <is>
          <t>https://www.wonikrobotics.com</t>
        </is>
      </c>
      <c r="P80" s="196" t="n">
        <v>2.54</v>
      </c>
      <c r="Q80" s="196" t="n">
        <v>1.15</v>
      </c>
      <c r="R80" s="156" t="inlineStr">
        <is>
          <t>Assumed human-hand scale: roughly 18–22 cm length</t>
        </is>
      </c>
      <c r="S80" s="152" t="inlineStr">
        <is>
          <t>7.09 × 8.66 in</t>
        </is>
      </c>
      <c r="T80" s="152" t="inlineStr">
        <is>
          <t>16</t>
        </is>
      </c>
      <c r="U80" s="156" t="inlineStr">
        <is>
          <t>4</t>
        </is>
      </c>
      <c r="V80" s="196" t="n">
        <v>11.02</v>
      </c>
      <c r="W80" s="196" t="n">
        <v>5</v>
      </c>
      <c r="X80" s="162" t="inlineStr">
        <is>
          <t>No</t>
        </is>
      </c>
      <c r="Y80" s="156" t="inlineStr">
        <is>
          <t>No</t>
        </is>
      </c>
      <c r="Z80" s="156" t="inlineStr">
        <is>
          <t>DC motors with torque control</t>
        </is>
      </c>
      <c r="AA80" s="156" t="inlineStr">
        <is>
          <t>Lightweight industrial materials (assumed high-strength alloys and composites)</t>
        </is>
      </c>
      <c r="AB80" s="156" t="inlineStr">
        <is>
          <t>16 DOF · 4 fingers · 5 kg class strength · No tactile array published · DC motors with torque control · 1.15 kg</t>
        </is>
      </c>
      <c r="AC80" s="156" t="inlineStr">
        <is>
          <t>Research / teleoperation</t>
        </is>
      </c>
      <c r="AD80" s="195" t="inlineStr">
        <is>
          <t>In production</t>
        </is>
      </c>
      <c r="AE80" s="152" t="inlineStr">
        <is>
          <t>In production</t>
        </is>
      </c>
      <c r="AF80" s="156" t="inlineStr">
        <is>
          <t>Weight published as ~1.1 – 1.2 kg; midpoint used.</t>
        </is>
      </c>
      <c r="AG80" s="156" t="inlineStr">
        <is>
          <t>12 months manufacturer standard (typical dexterous-hand component)</t>
        </is>
      </c>
      <c r="AH80" s="152" t="n">
        <v>12</v>
      </c>
      <c r="AI80" s="156" t="inlineStr">
        <is>
          <t>+3 Year Extended ≈24% of configuration (default in configurator)</t>
        </is>
      </c>
      <c r="AJ80" s="152" t="inlineStr">
        <is>
          <t>End-effector category norm 2025–2026</t>
        </is>
      </c>
      <c r="AK80" s="152" t="inlineStr">
        <is>
          <t>Estimated</t>
        </is>
      </c>
      <c r="AL80" s="156" t="inlineStr">
        <is>
          <t>Skins, tendons, and tactile covers often wear items — confirm on OEM quote.</t>
        </is>
      </c>
      <c r="AM80" s="152" t="inlineStr">
        <is>
          <t>10%</t>
        </is>
      </c>
      <c r="AN80" s="152" t="inlineStr">
        <is>
          <t>17%</t>
        </is>
      </c>
      <c r="AO80" s="152" t="inlineStr">
        <is>
          <t>24%</t>
        </is>
      </c>
      <c r="AP80" s="156" t="inlineStr">
        <is>
          <t>+1yr ≈10% | +2yr ≈17% | +3yr ≈24% of selected configuration price.</t>
        </is>
      </c>
      <c r="AQ80" s="156" t="inlineStr">
        <is>
          <t>Profitable schedule (Aug 2026): +1yr ≈10% / +2yr ≈17% / +3yr ≈24% of configuration price. Calibrated for ~45–55% gross margin after expected robotics claim incidence (~10–14%/yr of covered units), avg claim cost ~25–30% of config, and admin 10–15% of premium.</t>
        </is>
      </c>
      <c r="AR80" s="101" t="inlineStr">
        <is>
          <t>[Wonik Robotics] Allegro Hand V4 (2026)</t>
        </is>
      </c>
    </row>
    <row r="81" ht="33.75" customHeight="1" s="102">
      <c r="A81" s="143" t="inlineStr">
        <is>
          <t>hand_allegro_hand_v5</t>
        </is>
      </c>
      <c r="B81" s="153" t="inlineStr">
        <is>
          <t>Humanoid.guide</t>
        </is>
      </c>
      <c r="C81" s="145" t="inlineStr">
        <is>
          <t>Wonik Robotics</t>
        </is>
      </c>
      <c r="D81" s="145" t="inlineStr">
        <is>
          <t>Allegro Hand V5</t>
        </is>
      </c>
      <c r="E81" s="163" t="inlineStr">
        <is>
          <t>hand</t>
        </is>
      </c>
      <c r="F81" s="145" t="inlineStr">
        <is>
          <t>South Korea</t>
        </is>
      </c>
      <c r="G81" s="145" t="n">
        <v>2026</v>
      </c>
      <c r="H81" s="148" t="n">
        <v>11000</v>
      </c>
      <c r="I81" s="145" t="inlineStr">
        <is>
          <t>Humanoid.guide list</t>
        </is>
      </c>
      <c r="J81" s="149" t="inlineStr">
        <is>
          <t>The Allegro Hand V5 Plus is a high-performance dexterous robotic hand with 16 actively controlled joints across four fingers, enabling precise and stable grasping of diverse object shapes.</t>
        </is>
      </c>
      <c r="K81" s="101" t="inlineStr">
        <is>
          <t>The Allegro Hand V5 Plus is a high-performance dexterous robotic hand with 16 actively controlled joints across four fingers, enabling precise and stable grasping of diverse object shapes.</t>
        </is>
      </c>
      <c r="L81" s="101" t="inlineStr">
        <is>
          <t>The Allegro Hand V5 Plus is a high-performance dexterous robotic hand with 16 actively controlled joints across four fingers, enabling precise and stable grasping of diverse object shapes. Public status is listed as in production, and it is positioned for dexterous manipulation.</t>
        </is>
      </c>
      <c r="M81" s="101" t="inlineStr">
        <is>
          <t>Origin &amp; status — South Korea · In production · 2026 | Performance — 16 DOF · 4 fingers · Payload 33.07 lb · Strength 15 kg | Sensing — Yes | Buying notes — $11,000 · 12 months manufacturer standard (typical dexterous-hand component) · Best fit: Dexterous manipulation</t>
        </is>
      </c>
      <c r="N81" s="150" t="inlineStr">
        <is>
          <t>https://humanoid.guide/product/allegro-hand-v5/</t>
        </is>
      </c>
      <c r="O81" s="150" t="inlineStr">
        <is>
          <t>https://www.wonikrobotics.com</t>
        </is>
      </c>
      <c r="P81" s="194" t="n">
        <v>2.26</v>
      </c>
      <c r="Q81" s="194" t="n">
        <v>1.024</v>
      </c>
      <c r="R81" s="149" t="inlineStr">
        <is>
          <t>Assumed human-hand scale: roughly 18–22 cm length</t>
        </is>
      </c>
      <c r="S81" s="145" t="inlineStr">
        <is>
          <t>7.09 × 8.66 in</t>
        </is>
      </c>
      <c r="T81" s="145" t="inlineStr">
        <is>
          <t>16</t>
        </is>
      </c>
      <c r="U81" s="149" t="inlineStr">
        <is>
          <t>4</t>
        </is>
      </c>
      <c r="V81" s="194" t="n">
        <v>33.07</v>
      </c>
      <c r="W81" s="194" t="n">
        <v>15</v>
      </c>
      <c r="X81" s="161" t="inlineStr">
        <is>
          <t>Yes</t>
        </is>
      </c>
      <c r="Y81" s="149" t="inlineStr">
        <is>
          <t>Yes – 360° omnidirectional pressure sensor</t>
        </is>
      </c>
      <c r="Z81" s="149" t="inlineStr">
        <is>
          <t>DC motors with torque control</t>
        </is>
      </c>
      <c r="AA81" s="149" t="inlineStr">
        <is>
          <t>Lightweight industrial materials (assumed high-strength alloys and composites)</t>
        </is>
      </c>
      <c r="AB81" s="149" t="inlineStr">
        <is>
          <t>16 DOF · 4 fingers · 15 kg class strength · Tactile/force sensing · DC motors with torque control · 1.024 kg</t>
        </is>
      </c>
      <c r="AC81" s="149" t="inlineStr">
        <is>
          <t>Dexterous manipulation</t>
        </is>
      </c>
      <c r="AD81" s="195" t="inlineStr">
        <is>
          <t>In production</t>
        </is>
      </c>
      <c r="AE81" s="145" t="inlineStr">
        <is>
          <t>In production</t>
        </is>
      </c>
      <c r="AF81" s="149" t="n"/>
      <c r="AG81" s="149" t="inlineStr">
        <is>
          <t>12 months manufacturer standard (typical dexterous-hand component)</t>
        </is>
      </c>
      <c r="AH81" s="145" t="n">
        <v>12</v>
      </c>
      <c r="AI81" s="149" t="inlineStr">
        <is>
          <t>+3 Year Extended ≈24% of configuration (default in configurator)</t>
        </is>
      </c>
      <c r="AJ81" s="145" t="inlineStr">
        <is>
          <t>End-effector category norm 2025–2026</t>
        </is>
      </c>
      <c r="AK81" s="145" t="inlineStr">
        <is>
          <t>Estimated</t>
        </is>
      </c>
      <c r="AL81" s="149" t="inlineStr">
        <is>
          <t>Skins, tendons, and tactile covers often wear items — confirm on OEM quote.</t>
        </is>
      </c>
      <c r="AM81" s="145" t="inlineStr">
        <is>
          <t>10%</t>
        </is>
      </c>
      <c r="AN81" s="145" t="inlineStr">
        <is>
          <t>17%</t>
        </is>
      </c>
      <c r="AO81" s="145" t="inlineStr">
        <is>
          <t>24%</t>
        </is>
      </c>
      <c r="AP81" s="149" t="inlineStr">
        <is>
          <t>+1yr ≈10% | +2yr ≈17% | +3yr ≈24% of selected configuration price.</t>
        </is>
      </c>
      <c r="AQ81" s="149" t="inlineStr">
        <is>
          <t>Profitable schedule (Aug 2026): +1yr ≈10% / +2yr ≈17% / +3yr ≈24% of configuration price. Calibrated for ~45–55% gross margin after expected robotics claim incidence (~10–14%/yr of covered units), avg claim cost ~25–30% of config, and admin 10–15% of premium.</t>
        </is>
      </c>
      <c r="AR81" s="101" t="inlineStr">
        <is>
          <t>[Wonik Robotics] Allegro Hand V5 (2026)</t>
        </is>
      </c>
    </row>
    <row r="82" ht="33.75" customHeight="1" s="102">
      <c r="A82" s="159" t="inlineStr">
        <is>
          <t>hand_wuji_hand</t>
        </is>
      </c>
      <c r="B82" s="153" t="inlineStr">
        <is>
          <t>Humanoid.guide</t>
        </is>
      </c>
      <c r="C82" s="152" t="inlineStr">
        <is>
          <t>WUJI Tech</t>
        </is>
      </c>
      <c r="D82" s="152" t="inlineStr">
        <is>
          <t>WUJI Hand</t>
        </is>
      </c>
      <c r="E82" s="163" t="inlineStr">
        <is>
          <t>hand</t>
        </is>
      </c>
      <c r="F82" s="152" t="inlineStr">
        <is>
          <t>China</t>
        </is>
      </c>
      <c r="G82" s="152" t="n">
        <v>2025</v>
      </c>
      <c r="H82" s="155" t="n">
        <v>16000</v>
      </c>
      <c r="I82" s="152" t="inlineStr">
        <is>
          <t>Humanoid.guide list</t>
        </is>
      </c>
      <c r="J82" s="156" t="inlineStr">
        <is>
          <t>WUJI Hand dexterous robotic hand is a human-sized, 20-DoF dexterous robotic hand built for real-world manipulation—lightweight yet strong, shock-resistant, and ready for developers.</t>
        </is>
      </c>
      <c r="K82" s="101" t="inlineStr">
        <is>
          <t>WUJI Hand dexterous robotic hand is a human-sized, 20-DoF dexterous robotic hand built for real-world manipulation—lightweight yet strong, shock-resistant, and ready for developers.</t>
        </is>
      </c>
      <c r="L82" s="101" t="inlineStr">
        <is>
          <t>WUJI Hand dexterous robotic hand is a human-sized, 20-DoF dexterous robotic hand built for real-world manipulation—lightweight yet strong, shock-resistant, and ready for developers. Public status is listed as in production, and it is positioned for dexterous manipulation.</t>
        </is>
      </c>
      <c r="M82" s="101" t="inlineStr">
        <is>
          <t>Origin &amp; status — China · In production · 2025 | Performance — 20 DOF · 5 fingers · Payload 22.05 lb · Strength 10 kg | Sensing — No | Buying notes — $16,000 · 12 months manufacturer standard (typical dexterous-hand component) · Best fit: Dexterous manipulation</t>
        </is>
      </c>
      <c r="N82" s="157" t="inlineStr">
        <is>
          <t>https://humanoid.guide/product/wuji-hand/</t>
        </is>
      </c>
      <c r="O82" s="157" t="inlineStr">
        <is>
          <t>https://wuji.tech</t>
        </is>
      </c>
      <c r="P82" s="152" t="inlineStr">
        <is>
          <t>Not disclosed</t>
        </is>
      </c>
      <c r="Q82" s="152" t="n"/>
      <c r="R82" s="156" t="inlineStr">
        <is>
          <t>Not disclosed</t>
        </is>
      </c>
      <c r="S82" s="152" t="inlineStr">
        <is>
          <t>Not disclosed</t>
        </is>
      </c>
      <c r="T82" s="152" t="inlineStr">
        <is>
          <t>20</t>
        </is>
      </c>
      <c r="U82" s="156" t="inlineStr">
        <is>
          <t>5</t>
        </is>
      </c>
      <c r="V82" s="196" t="n">
        <v>22.05</v>
      </c>
      <c r="W82" s="196" t="n">
        <v>10</v>
      </c>
      <c r="X82" s="162" t="inlineStr">
        <is>
          <t>No</t>
        </is>
      </c>
      <c r="Y82" s="156" t="inlineStr">
        <is>
          <t>No</t>
        </is>
      </c>
      <c r="Z82" s="156" t="inlineStr">
        <is>
          <t>Self‑locking rotary direct‑drive micro‑joints, FOC control</t>
        </is>
      </c>
      <c r="AA82" s="156" t="inlineStr">
        <is>
          <t>skeleton &amp;lt; 600 g</t>
        </is>
      </c>
      <c r="AB82" s="156" t="inlineStr">
        <is>
          <t>20 DOF · 5 fingers · 10 kg class strength · No tactile array published · Self‑locking rotary direct‑drive micro‑joints, FOC control</t>
        </is>
      </c>
      <c r="AC82" s="156" t="inlineStr">
        <is>
          <t>Dexterous manipulation</t>
        </is>
      </c>
      <c r="AD82" s="195" t="inlineStr">
        <is>
          <t>In production</t>
        </is>
      </c>
      <c r="AE82" s="152" t="inlineStr">
        <is>
          <t>In production</t>
        </is>
      </c>
      <c r="AF82" s="156" t="n"/>
      <c r="AG82" s="156" t="inlineStr">
        <is>
          <t>12 months manufacturer standard (typical dexterous-hand component)</t>
        </is>
      </c>
      <c r="AH82" s="152" t="n">
        <v>12</v>
      </c>
      <c r="AI82" s="156" t="inlineStr">
        <is>
          <t>+3 Year Extended ≈24% of configuration (default in configurator)</t>
        </is>
      </c>
      <c r="AJ82" s="152" t="inlineStr">
        <is>
          <t>End-effector category norm 2025–2026</t>
        </is>
      </c>
      <c r="AK82" s="152" t="inlineStr">
        <is>
          <t>Estimated</t>
        </is>
      </c>
      <c r="AL82" s="156" t="inlineStr">
        <is>
          <t>Skins, tendons, and tactile covers often wear items — confirm on OEM quote.</t>
        </is>
      </c>
      <c r="AM82" s="152" t="inlineStr">
        <is>
          <t>10%</t>
        </is>
      </c>
      <c r="AN82" s="152" t="inlineStr">
        <is>
          <t>17%</t>
        </is>
      </c>
      <c r="AO82" s="152" t="inlineStr">
        <is>
          <t>24%</t>
        </is>
      </c>
      <c r="AP82" s="156" t="inlineStr">
        <is>
          <t>+1yr ≈10% | +2yr ≈17% | +3yr ≈24% of selected configuration price.</t>
        </is>
      </c>
      <c r="AQ82" s="156" t="inlineStr">
        <is>
          <t>Profitable schedule (Aug 2026): +1yr ≈10% / +2yr ≈17% / +3yr ≈24% of configuration price. Calibrated for ~45–55% gross margin after expected robotics claim incidence (~10–14%/yr of covered units), avg claim cost ~25–30% of config, and admin 10–15% of premium.</t>
        </is>
      </c>
      <c r="AR82" s="101" t="inlineStr">
        <is>
          <t>[WUJI Tech] WUJI Hand (2025)</t>
        </is>
      </c>
    </row>
    <row r="83" ht="33.75" customHeight="1" s="102">
      <c r="A83" s="143" t="inlineStr">
        <is>
          <t>hand_wuji_hand_two</t>
        </is>
      </c>
      <c r="B83" s="153" t="inlineStr">
        <is>
          <t>Humanoid.guide</t>
        </is>
      </c>
      <c r="C83" s="145" t="inlineStr">
        <is>
          <t>WUJI Tech</t>
        </is>
      </c>
      <c r="D83" s="145" t="inlineStr">
        <is>
          <t>WUJI HAND 2</t>
        </is>
      </c>
      <c r="E83" s="163" t="inlineStr">
        <is>
          <t>hand</t>
        </is>
      </c>
      <c r="F83" s="145" t="inlineStr">
        <is>
          <t>China</t>
        </is>
      </c>
      <c r="G83" s="145" t="n">
        <v>2026</v>
      </c>
      <c r="H83" s="148" t="n">
        <v>16000</v>
      </c>
      <c r="I83" s="145" t="inlineStr">
        <is>
          <t>Humanoid.guide list</t>
        </is>
      </c>
      <c r="J83" s="149" t="inlineStr">
        <is>
          <t>The WUJI HAND 2 is a five-finger dexterous robotic hand designed for advanced manipulation, teleoperation, and robotics research.</t>
        </is>
      </c>
      <c r="K83" s="101" t="inlineStr">
        <is>
          <t>The WUJI HAND 2 is a five-finger dexterous robotic hand designed for advanced manipulation, teleoperation, and robotics research.</t>
        </is>
      </c>
      <c r="L83" s="101" t="inlineStr">
        <is>
          <t>The WUJI HAND 2 is a five-finger dexterous robotic hand designed for advanced manipulation, teleoperation, and robotics research. Public status is listed as in production, and it is positioned for research / teleoperation.</t>
        </is>
      </c>
      <c r="M83" s="101" t="inlineStr">
        <is>
          <t>Origin &amp; status — China · In production · 2026 | Performance — 20 DOF · 5 fingers · Payload 22.05 lb · Strength 10 kg | Sensing — Yes | Buying notes — $16,000 · 12 months manufacturer standard (typical dexterous-hand component) · Best fit: Research / teleoperation</t>
        </is>
      </c>
      <c r="N83" s="150" t="inlineStr">
        <is>
          <t>https://humanoid.guide/product/wuji-hand-two/</t>
        </is>
      </c>
      <c r="O83" s="150" t="inlineStr">
        <is>
          <t>https://wuji.tech</t>
        </is>
      </c>
      <c r="P83" s="194" t="n">
        <v>1.32</v>
      </c>
      <c r="Q83" s="194" t="n">
        <v>0.6</v>
      </c>
      <c r="R83" s="149" t="inlineStr">
        <is>
          <t>180 × 80 × 40 mm</t>
        </is>
      </c>
      <c r="S83" s="145" t="inlineStr">
        <is>
          <t>7.09 × 3.15 × 1.57 in</t>
        </is>
      </c>
      <c r="T83" s="145" t="inlineStr">
        <is>
          <t>20</t>
        </is>
      </c>
      <c r="U83" s="149" t="inlineStr">
        <is>
          <t>5</t>
        </is>
      </c>
      <c r="V83" s="194" t="n">
        <v>22.05</v>
      </c>
      <c r="W83" s="194" t="n">
        <v>10</v>
      </c>
      <c r="X83" s="161" t="inlineStr">
        <is>
          <t>Yes</t>
        </is>
      </c>
      <c r="Y83" s="149" t="inlineStr">
        <is>
          <t>Yes</t>
        </is>
      </c>
      <c r="Z83" s="149" t="inlineStr">
        <is>
          <t>Direct-drive rotary actuators (back-drivable), brushless motors, MIT force-position hybrid control</t>
        </is>
      </c>
      <c r="AA83" s="149" t="inlineStr">
        <is>
          <t>Lightweight metal frame with biomimetic skeleton and soft outer covering</t>
        </is>
      </c>
      <c r="AB83" s="149" t="inlineStr">
        <is>
          <t>20 DOF · 5 fingers · 10 kg class strength · Tactile/force sensing · Direct-drive rotary actuators (back-drivable), brushless motors, MIT force-position hyb… · 0.6 kg</t>
        </is>
      </c>
      <c r="AC83" s="149" t="inlineStr">
        <is>
          <t>Research / teleoperation</t>
        </is>
      </c>
      <c r="AD83" s="195" t="inlineStr">
        <is>
          <t>In production</t>
        </is>
      </c>
      <c r="AE83" s="145" t="inlineStr">
        <is>
          <t>In production</t>
        </is>
      </c>
      <c r="AF83" s="149" t="n"/>
      <c r="AG83" s="149" t="inlineStr">
        <is>
          <t>12 months manufacturer standard (typical dexterous-hand component)</t>
        </is>
      </c>
      <c r="AH83" s="145" t="n">
        <v>12</v>
      </c>
      <c r="AI83" s="149" t="inlineStr">
        <is>
          <t>+3 Year Extended ≈24% of configuration (default in configurator)</t>
        </is>
      </c>
      <c r="AJ83" s="145" t="inlineStr">
        <is>
          <t>End-effector category norm 2025–2026</t>
        </is>
      </c>
      <c r="AK83" s="145" t="inlineStr">
        <is>
          <t>Estimated</t>
        </is>
      </c>
      <c r="AL83" s="149" t="inlineStr">
        <is>
          <t>Skins, tendons, and tactile covers often wear items — confirm on OEM quote.</t>
        </is>
      </c>
      <c r="AM83" s="145" t="inlineStr">
        <is>
          <t>10%</t>
        </is>
      </c>
      <c r="AN83" s="145" t="inlineStr">
        <is>
          <t>17%</t>
        </is>
      </c>
      <c r="AO83" s="145" t="inlineStr">
        <is>
          <t>24%</t>
        </is>
      </c>
      <c r="AP83" s="149" t="inlineStr">
        <is>
          <t>+1yr ≈10% | +2yr ≈17% | +3yr ≈24% of selected configuration price.</t>
        </is>
      </c>
      <c r="AQ83" s="149" t="inlineStr">
        <is>
          <t>Profitable schedule (Aug 2026): +1yr ≈10% / +2yr ≈17% / +3yr ≈24% of configuration price. Calibrated for ~45–55% gross margin after expected robotics claim incidence (~10–14%/yr of covered units), avg claim cost ~25–30% of config, and admin 10–15% of premium.</t>
        </is>
      </c>
      <c r="AR83" s="101" t="inlineStr">
        <is>
          <t>[WUJI Tech] WUJI HAND 2 (2026)</t>
        </is>
      </c>
    </row>
    <row r="84" ht="33.75" customHeight="1" s="102">
      <c r="A84" s="159" t="inlineStr">
        <is>
          <t>hand_artixon</t>
        </is>
      </c>
      <c r="B84" s="153" t="inlineStr">
        <is>
          <t>Humanoid.guide</t>
        </is>
      </c>
      <c r="C84" s="152" t="inlineStr">
        <is>
          <t>X Square Robot</t>
        </is>
      </c>
      <c r="D84" s="152" t="inlineStr">
        <is>
          <t>ArtiXon</t>
        </is>
      </c>
      <c r="E84" s="163" t="inlineStr">
        <is>
          <t>hand</t>
        </is>
      </c>
      <c r="F84" s="152" t="inlineStr">
        <is>
          <t>China</t>
        </is>
      </c>
      <c r="G84" s="152" t="n">
        <v>2025</v>
      </c>
      <c r="H84" s="155" t="n">
        <v>7600</v>
      </c>
      <c r="I84" s="152" t="inlineStr">
        <is>
          <t>Humanoid.guide list</t>
        </is>
      </c>
      <c r="J84" s="156" t="inlineStr">
        <is>
          <t>ArtiXon Hand — a dexterous, tactile-sensory robotic hand with 20 DoF and adaptive grip for advanced humanoid and robotic manipulation.</t>
        </is>
      </c>
      <c r="K84" s="101" t="inlineStr">
        <is>
          <t>ArtiXon Hand — a dexterous, tactile-sensory robotic hand with 20 DoF and adaptive grip for advanced humanoid and robotic manipulation.</t>
        </is>
      </c>
      <c r="L84" s="101" t="inlineStr">
        <is>
          <t>ArtiXon Hand — a dexterous, tactile-sensory robotic hand with 20 DoF and adaptive grip for advanced humanoid and robotic manipulation. Public status is listed as in production, and it is positioned for humanoid OEM.</t>
        </is>
      </c>
      <c r="M84" s="101" t="inlineStr">
        <is>
          <t>Origin &amp; status — China · In production · 2025 | Performance — 20 DOF · 5 fingers · Payload 11.02 lb · Strength 5 kg | Sensing — Yes | Buying notes — $7,600 · 12 months manufacturer standard (typical dexterous-hand component) · Best fit: Humanoid OEM</t>
        </is>
      </c>
      <c r="N84" s="157" t="inlineStr">
        <is>
          <t>https://humanoid.guide/product/artixon/</t>
        </is>
      </c>
      <c r="O84" s="157" t="inlineStr">
        <is>
          <t>https://www.xsquare-robot.com</t>
        </is>
      </c>
      <c r="P84" s="196" t="n">
        <v>2.2</v>
      </c>
      <c r="Q84" s="196" t="n">
        <v>1</v>
      </c>
      <c r="R84" s="156" t="inlineStr">
        <is>
          <t>human-hand sized</t>
        </is>
      </c>
      <c r="S84" s="152" t="inlineStr">
        <is>
          <t>Not disclosed</t>
        </is>
      </c>
      <c r="T84" s="152" t="inlineStr">
        <is>
          <t>20</t>
        </is>
      </c>
      <c r="U84" s="156" t="inlineStr">
        <is>
          <t>5</t>
        </is>
      </c>
      <c r="V84" s="196" t="n">
        <v>11.02</v>
      </c>
      <c r="W84" s="196" t="n">
        <v>5</v>
      </c>
      <c r="X84" s="161" t="inlineStr">
        <is>
          <t>Yes</t>
        </is>
      </c>
      <c r="Y84" s="156" t="inlineStr">
        <is>
          <t>Yes</t>
        </is>
      </c>
      <c r="Z84" s="156" t="inlineStr">
        <is>
          <t>Bionic tendon drive + micro reduction gear drive</t>
        </is>
      </c>
      <c r="AA84" s="156" t="inlineStr">
        <is>
          <t>Not disclosed</t>
        </is>
      </c>
      <c r="AB84" s="156" t="inlineStr">
        <is>
          <t>20 DOF · 5 fingers · 5 kg class strength · Tactile/force sensing · Bionic tendon drive + micro reduction gear drive · 1 kg</t>
        </is>
      </c>
      <c r="AC84" s="156" t="inlineStr">
        <is>
          <t>Humanoid OEM</t>
        </is>
      </c>
      <c r="AD84" s="195" t="inlineStr">
        <is>
          <t>In production</t>
        </is>
      </c>
      <c r="AE84" s="152" t="inlineStr">
        <is>
          <t>In production</t>
        </is>
      </c>
      <c r="AF84" s="156" t="inlineStr">
        <is>
          <t>Weight published as ~800–1,000 g; midpoint used.</t>
        </is>
      </c>
      <c r="AG84" s="156" t="inlineStr">
        <is>
          <t>12 months manufacturer standard (typical dexterous-hand component)</t>
        </is>
      </c>
      <c r="AH84" s="152" t="n">
        <v>12</v>
      </c>
      <c r="AI84" s="156" t="inlineStr">
        <is>
          <t>+3 Year Extended ≈24% of configuration (default in configurator)</t>
        </is>
      </c>
      <c r="AJ84" s="152" t="inlineStr">
        <is>
          <t>End-effector category norm 2025–2026</t>
        </is>
      </c>
      <c r="AK84" s="152" t="inlineStr">
        <is>
          <t>Estimated</t>
        </is>
      </c>
      <c r="AL84" s="156" t="inlineStr">
        <is>
          <t>Skins, tendons, and tactile covers often wear items — confirm on OEM quote.</t>
        </is>
      </c>
      <c r="AM84" s="152" t="inlineStr">
        <is>
          <t>10%</t>
        </is>
      </c>
      <c r="AN84" s="152" t="inlineStr">
        <is>
          <t>17%</t>
        </is>
      </c>
      <c r="AO84" s="152" t="inlineStr">
        <is>
          <t>24%</t>
        </is>
      </c>
      <c r="AP84" s="156" t="inlineStr">
        <is>
          <t>+1yr ≈10% | +2yr ≈17% | +3yr ≈24% of selected configuration price.</t>
        </is>
      </c>
      <c r="AQ84" s="156" t="inlineStr">
        <is>
          <t>Profitable schedule (Aug 2026): +1yr ≈10% / +2yr ≈17% / +3yr ≈24% of configuration price. Calibrated for ~45–55% gross margin after expected robotics claim incidence (~10–14%/yr of covered units), avg claim cost ~25–30% of config, and admin 10–15% of premium.</t>
        </is>
      </c>
      <c r="AR84" s="101" t="inlineStr">
        <is>
          <t>[X Square Robot] ArtiXon (2025)</t>
        </is>
      </c>
    </row>
    <row r="85" ht="33.75" customHeight="1" s="102">
      <c r="A85" s="143" t="inlineStr">
        <is>
          <t>hand_flex_2</t>
        </is>
      </c>
      <c r="B85" s="153" t="inlineStr">
        <is>
          <t>Humanoid.guide</t>
        </is>
      </c>
      <c r="C85" s="145" t="inlineStr">
        <is>
          <t>Xynova</t>
        </is>
      </c>
      <c r="D85" s="145" t="inlineStr">
        <is>
          <t>Flex 2</t>
        </is>
      </c>
      <c r="E85" s="163" t="inlineStr">
        <is>
          <t>hand</t>
        </is>
      </c>
      <c r="F85" s="145" t="inlineStr">
        <is>
          <t>China</t>
        </is>
      </c>
      <c r="G85" s="145" t="n">
        <v>2026</v>
      </c>
      <c r="H85" s="148" t="n">
        <v>3800</v>
      </c>
      <c r="I85" s="145" t="inlineStr">
        <is>
          <t>Humanoid.guide list</t>
        </is>
      </c>
      <c r="J85" s="149" t="inlineStr">
        <is>
          <t>The Xynova Flex 2 is an advanced humanoid robotic hand designed for agile movement, adaptive grasping, and precise object handling.</t>
        </is>
      </c>
      <c r="K85" s="101" t="inlineStr">
        <is>
          <t>The Xynova Flex 2 is an advanced humanoid robotic hand designed for agile movement, adaptive grasping, and precise object handling.</t>
        </is>
      </c>
      <c r="L85" s="101" t="inlineStr">
        <is>
          <t>Flex 2 is Xynova's dexterous hand, introduced around 2026 in China. The Xynova Flex 2 is an advanced humanoid robotic hand designed for agile movement, adaptive grasping, and precise object handling. Public status is listed as in production, and it is positioned for humanoid OEM.</t>
        </is>
      </c>
      <c r="M85" s="101" t="inlineStr">
        <is>
          <t>Origin &amp; status — China · In production · 2026 | Performance — 23 DOF · 5 fingers · Payload 26.46 lb · Strength 12 kg | Sensing — Yes | Buying notes — $3,800 · 12 months manufacturer standard (typical dexterous-hand component) · Best fit: Humanoid OEM</t>
        </is>
      </c>
      <c r="N85" s="150" t="inlineStr">
        <is>
          <t>https://humanoid.guide/product/flex-2/</t>
        </is>
      </c>
      <c r="O85" s="150" t="inlineStr">
        <is>
          <t>https://xynova.com.cn/en/</t>
        </is>
      </c>
      <c r="P85" s="194" t="n">
        <v>0.88</v>
      </c>
      <c r="Q85" s="194" t="n">
        <v>0.4</v>
      </c>
      <c r="R85" s="149" t="inlineStr">
        <is>
          <t>Not disclosed</t>
        </is>
      </c>
      <c r="S85" s="145" t="inlineStr">
        <is>
          <t>Not disclosed</t>
        </is>
      </c>
      <c r="T85" s="145" t="inlineStr">
        <is>
          <t>23</t>
        </is>
      </c>
      <c r="U85" s="149" t="inlineStr">
        <is>
          <t>5</t>
        </is>
      </c>
      <c r="V85" s="194" t="n">
        <v>26.46</v>
      </c>
      <c r="W85" s="194" t="n">
        <v>12</v>
      </c>
      <c r="X85" s="161" t="inlineStr">
        <is>
          <t>Yes</t>
        </is>
      </c>
      <c r="Y85" s="149" t="inlineStr">
        <is>
          <t>Yes</t>
        </is>
      </c>
      <c r="Z85" s="149" t="inlineStr">
        <is>
          <t>Micro linear actuators</t>
        </is>
      </c>
      <c r="AA85" s="149" t="inlineStr">
        <is>
          <t>Composite polymers, metal framework, soft synthetic skin</t>
        </is>
      </c>
      <c r="AB85" s="149" t="inlineStr">
        <is>
          <t>23 DOF · 5 fingers · 12 kg class strength · Tactile/force sensing · Micro linear actuators · 0.4 kg</t>
        </is>
      </c>
      <c r="AC85" s="149" t="inlineStr">
        <is>
          <t>Humanoid OEM</t>
        </is>
      </c>
      <c r="AD85" s="195" t="inlineStr">
        <is>
          <t>In production</t>
        </is>
      </c>
      <c r="AE85" s="145" t="inlineStr">
        <is>
          <t>In production</t>
        </is>
      </c>
      <c r="AF85" s="149" t="n"/>
      <c r="AG85" s="149" t="inlineStr">
        <is>
          <t>12 months manufacturer standard (typical dexterous-hand component)</t>
        </is>
      </c>
      <c r="AH85" s="145" t="n">
        <v>12</v>
      </c>
      <c r="AI85" s="149" t="inlineStr">
        <is>
          <t>+3 Year Extended ≈24% of configuration (default in configurator)</t>
        </is>
      </c>
      <c r="AJ85" s="145" t="inlineStr">
        <is>
          <t>End-effector category norm 2025–2026</t>
        </is>
      </c>
      <c r="AK85" s="145" t="inlineStr">
        <is>
          <t>Estimated</t>
        </is>
      </c>
      <c r="AL85" s="149" t="inlineStr">
        <is>
          <t>Skins, tendons, and tactile covers often wear items — confirm on OEM quote.</t>
        </is>
      </c>
      <c r="AM85" s="145" t="inlineStr">
        <is>
          <t>10%</t>
        </is>
      </c>
      <c r="AN85" s="145" t="inlineStr">
        <is>
          <t>17%</t>
        </is>
      </c>
      <c r="AO85" s="145" t="inlineStr">
        <is>
          <t>24%</t>
        </is>
      </c>
      <c r="AP85" s="149" t="inlineStr">
        <is>
          <t>+1yr ≈10% | +2yr ≈17% | +3yr ≈24% of selected configuration price.</t>
        </is>
      </c>
      <c r="AQ85" s="149" t="inlineStr">
        <is>
          <t>Profitable schedule (Aug 2026): +1yr ≈10% / +2yr ≈17% / +3yr ≈24% of configuration price. Calibrated for ~45–55% gross margin after expected robotics claim incidence (~10–14%/yr of covered units), avg claim cost ~25–30% of config, and admin 10–15% of premium.</t>
        </is>
      </c>
      <c r="AR85" s="101" t="inlineStr">
        <is>
          <t>[Xynova] Flex 2 (2026)</t>
        </is>
      </c>
    </row>
  </sheetData>
  <autoFilter ref="A4:AN85"/>
  <mergeCells count="10">
    <mergeCell ref="A2:L2"/>
    <mergeCell ref="AD3:AN3"/>
    <mergeCell ref="M3:P3"/>
    <mergeCell ref="U3:V3"/>
    <mergeCell ref="Y3:Z3"/>
    <mergeCell ref="A1:L1"/>
    <mergeCell ref="Q3:T3"/>
    <mergeCell ref="A3:L3"/>
    <mergeCell ref="W3:X3"/>
    <mergeCell ref="AA3:AC3"/>
  </mergeCells>
  <hyperlinks>
    <hyperlink xmlns:r="http://schemas.openxmlformats.org/officeDocument/2006/relationships" ref="K5" display="https://humanoid.guide/product/omnihand/" r:id="rId1"/>
    <hyperlink xmlns:r="http://schemas.openxmlformats.org/officeDocument/2006/relationships" ref="L5" display="https://www.agibot.com" r:id="rId2"/>
    <hyperlink xmlns:r="http://schemas.openxmlformats.org/officeDocument/2006/relationships" ref="K6" display="https://humanoid.guide/product/omnihand-pro/" r:id="rId3"/>
    <hyperlink xmlns:r="http://schemas.openxmlformats.org/officeDocument/2006/relationships" ref="L6" display="https://www.agibot.com" r:id="rId4"/>
    <hyperlink xmlns:r="http://schemas.openxmlformats.org/officeDocument/2006/relationships" ref="K7" display="https://humanoid.guide/product/agile/" r:id="rId5"/>
    <hyperlink xmlns:r="http://schemas.openxmlformats.org/officeDocument/2006/relationships" ref="L7" display="https://www.agile-robots.com/" r:id="rId6"/>
    <hyperlink xmlns:r="http://schemas.openxmlformats.org/officeDocument/2006/relationships" ref="K8" display="https://humanoid.guide/product/aidin-hand-gen1/" r:id="rId7"/>
    <hyperlink xmlns:r="http://schemas.openxmlformats.org/officeDocument/2006/relationships" ref="L8" display="http://www.aidinrobotics.co.kr" r:id="rId8"/>
    <hyperlink xmlns:r="http://schemas.openxmlformats.org/officeDocument/2006/relationships" ref="K9" display="https://humanoid.guide/product/allonic-hand-mk2/" r:id="rId9"/>
    <hyperlink xmlns:r="http://schemas.openxmlformats.org/officeDocument/2006/relationships" ref="L9" display="https://allonic.co/" r:id="rId10"/>
    <hyperlink xmlns:r="http://schemas.openxmlformats.org/officeDocument/2006/relationships" ref="K10" display="https://humanoid.guide/product/surge/" r:id="rId11"/>
    <hyperlink xmlns:r="http://schemas.openxmlformats.org/officeDocument/2006/relationships" ref="L10" display="https://altbionics.com" r:id="rId12"/>
    <hyperlink xmlns:r="http://schemas.openxmlformats.org/officeDocument/2006/relationships" ref="K11" display="https://humanoid.guide/product/atarobot/" r:id="rId13"/>
    <hyperlink xmlns:r="http://schemas.openxmlformats.org/officeDocument/2006/relationships" ref="L11" display="https://www.atarrobot.com/" r:id="rId14"/>
    <hyperlink xmlns:r="http://schemas.openxmlformats.org/officeDocument/2006/relationships" ref="K12" display="https://humanoid.guide/product/revo-2/" r:id="rId15"/>
    <hyperlink xmlns:r="http://schemas.openxmlformats.org/officeDocument/2006/relationships" ref="L12" display="https://autodiscovery.co.uk/" r:id="rId16"/>
    <hyperlink xmlns:r="http://schemas.openxmlformats.org/officeDocument/2006/relationships" ref="K13" display="https://humanoid.guide/product/rh56-series/" r:id="rId17"/>
    <hyperlink xmlns:r="http://schemas.openxmlformats.org/officeDocument/2006/relationships" ref="L13" display="https://en.inspire-robots.com/" r:id="rId18"/>
    <hyperlink xmlns:r="http://schemas.openxmlformats.org/officeDocument/2006/relationships" ref="K14" display="https://humanoid.guide/product/rh56e2/" r:id="rId19"/>
    <hyperlink xmlns:r="http://schemas.openxmlformats.org/officeDocument/2006/relationships" ref="L14" display="https://en.inspire-robots.com" r:id="rId20"/>
    <hyperlink xmlns:r="http://schemas.openxmlformats.org/officeDocument/2006/relationships" ref="K15" display="https://humanoid.guide/product/rh5dg2/" r:id="rId21"/>
    <hyperlink xmlns:r="http://schemas.openxmlformats.org/officeDocument/2006/relationships" ref="L15" display="https://en.inspire-robots.com/" r:id="rId22"/>
    <hyperlink xmlns:r="http://schemas.openxmlformats.org/officeDocument/2006/relationships" ref="K16" display="https://humanoid.guide/product/adams-hand-plus/" r:id="rId23"/>
    <hyperlink xmlns:r="http://schemas.openxmlformats.org/officeDocument/2006/relationships" ref="L16" display="https://bionitlabs.com/robotics/" r:id="rId24"/>
    <hyperlink xmlns:r="http://schemas.openxmlformats.org/officeDocument/2006/relationships" ref="K17" display="https://humanoid.guide/product/dexmano-d22-pro/" r:id="rId25"/>
    <hyperlink xmlns:r="http://schemas.openxmlformats.org/officeDocument/2006/relationships" ref="L17" display="https://botyard.ai/" r:id="rId26"/>
    <hyperlink xmlns:r="http://schemas.openxmlformats.org/officeDocument/2006/relationships" ref="K18" display="https://humanoid.guide/product/revo-3/" r:id="rId27"/>
    <hyperlink xmlns:r="http://schemas.openxmlformats.org/officeDocument/2006/relationships" ref="L18" display="https://www.brainco.tech/" r:id="rId28"/>
    <hyperlink xmlns:r="http://schemas.openxmlformats.org/officeDocument/2006/relationships" ref="K19" display="https://humanoid.guide/product/leap-hand/" r:id="rId29"/>
    <hyperlink xmlns:r="http://schemas.openxmlformats.org/officeDocument/2006/relationships" ref="L19" display="https://v1.leaphand.com/" r:id="rId30"/>
    <hyperlink xmlns:r="http://schemas.openxmlformats.org/officeDocument/2006/relationships" ref="K20" display="https://humanoid.guide/product/x2-robotic-hand/" r:id="rId31"/>
    <hyperlink xmlns:r="http://schemas.openxmlformats.org/officeDocument/2006/relationships" ref="L20" display="https://www.changingtek.com/" r:id="rId32"/>
    <hyperlink xmlns:r="http://schemas.openxmlformats.org/officeDocument/2006/relationships" ref="K21" display="https://humanoid.guide/product/covvi/" r:id="rId33"/>
    <hyperlink xmlns:r="http://schemas.openxmlformats.org/officeDocument/2006/relationships" ref="L21" display="https://www.covvi-robotics.com/" r:id="rId34"/>
    <hyperlink xmlns:r="http://schemas.openxmlformats.org/officeDocument/2006/relationships" ref="K22" display="https://humanoid.guide/product/apex-hand/" r:id="rId35"/>
    <hyperlink xmlns:r="http://schemas.openxmlformats.org/officeDocument/2006/relationships" ref="L22" display="https://www.dexcelbot.com/" r:id="rId36"/>
    <hyperlink xmlns:r="http://schemas.openxmlformats.org/officeDocument/2006/relationships" ref="K23" display="https://humanoid.guide/product/dexhand021/" r:id="rId37"/>
    <hyperlink xmlns:r="http://schemas.openxmlformats.org/officeDocument/2006/relationships" ref="L23" display="https://www.dex-robot.com/en" r:id="rId38"/>
    <hyperlink xmlns:r="http://schemas.openxmlformats.org/officeDocument/2006/relationships" ref="K24" display="https://humanoid.guide/product/bionicsofthand/" r:id="rId39"/>
    <hyperlink xmlns:r="http://schemas.openxmlformats.org/officeDocument/2006/relationships" ref="L24" display="https://www.festo.com/" r:id="rId40"/>
    <hyperlink xmlns:r="http://schemas.openxmlformats.org/officeDocument/2006/relationships" ref="K25" display="https://humanoid.guide/product/hw1/" r:id="rId41"/>
    <hyperlink xmlns:r="http://schemas.openxmlformats.org/officeDocument/2006/relationships" ref="L25" display="https://gestureplatforms.com/" r:id="rId42"/>
    <hyperlink xmlns:r="http://schemas.openxmlformats.org/officeDocument/2006/relationships" ref="K26" display="https://humanoid.guide/product/fllex/" r:id="rId43"/>
    <hyperlink xmlns:r="http://schemas.openxmlformats.org/officeDocument/2006/relationships" ref="L26" display="https://www.koreatech.ac.kr/" r:id="rId44"/>
    <hyperlink xmlns:r="http://schemas.openxmlformats.org/officeDocument/2006/relationships" ref="K27" display="https://humanoid.guide/product/kyber-labs-hand/" r:id="rId45"/>
    <hyperlink xmlns:r="http://schemas.openxmlformats.org/officeDocument/2006/relationships" ref="L27" display="https://kyberlabs.ai/" r:id="rId46"/>
    <hyperlink xmlns:r="http://schemas.openxmlformats.org/officeDocument/2006/relationships" ref="K28" display="https://humanoid.guide/product/dh2015/" r:id="rId47"/>
    <hyperlink xmlns:r="http://schemas.openxmlformats.org/officeDocument/2006/relationships" ref="L28" display="https://www.leadshine.com/" r:id="rId48"/>
    <hyperlink xmlns:r="http://schemas.openxmlformats.org/officeDocument/2006/relationships" ref="K29" display="https://humanoid.guide/product/linker-l30/" r:id="rId49"/>
    <hyperlink xmlns:r="http://schemas.openxmlformats.org/officeDocument/2006/relationships" ref="L29" display="https://www.linkerbot.cn/" r:id="rId50"/>
    <hyperlink xmlns:r="http://schemas.openxmlformats.org/officeDocument/2006/relationships" ref="K30" display="https://humanoid.guide/product/linker-o6/" r:id="rId51"/>
    <hyperlink xmlns:r="http://schemas.openxmlformats.org/officeDocument/2006/relationships" ref="L30" display="https://www.linkerbot.cn/" r:id="rId52"/>
    <hyperlink xmlns:r="http://schemas.openxmlformats.org/officeDocument/2006/relationships" ref="K31" display="https://humanoid.guide/product/linker-r30/" r:id="rId53"/>
    <hyperlink xmlns:r="http://schemas.openxmlformats.org/officeDocument/2006/relationships" ref="L31" display="https://www.linkerbot.cn/" r:id="rId54"/>
    <hyperlink xmlns:r="http://schemas.openxmlformats.org/officeDocument/2006/relationships" ref="K32" display="https://humanoid.guide/product/flexhand-v1/" r:id="rId55"/>
    <hyperlink xmlns:r="http://schemas.openxmlformats.org/officeDocument/2006/relationships" ref="L32" display="https://lxrobotics.com/" r:id="rId56"/>
    <hyperlink xmlns:r="http://schemas.openxmlformats.org/officeDocument/2006/relationships" ref="K33" display="https://humanoid.guide/product/magichand-s01/" r:id="rId57"/>
    <hyperlink xmlns:r="http://schemas.openxmlformats.org/officeDocument/2006/relationships" ref="L33" display="https://www.magiclab.top/" r:id="rId58"/>
    <hyperlink xmlns:r="http://schemas.openxmlformats.org/officeDocument/2006/relationships" ref="K34" display="https://humanoid.guide/product/mark-7/" r:id="rId59"/>
    <hyperlink xmlns:r="http://schemas.openxmlformats.org/officeDocument/2006/relationships" ref="L34" display="https://mand.ro" r:id="rId60"/>
    <hyperlink xmlns:r="http://schemas.openxmlformats.org/officeDocument/2006/relationships" ref="K35" display="https://humanoid.guide/product/m1-0/" r:id="rId61"/>
    <hyperlink xmlns:r="http://schemas.openxmlformats.org/officeDocument/2006/relationships" ref="L35" display="https://www.mimicrobotics.com/" r:id="rId62"/>
    <hyperlink xmlns:r="http://schemas.openxmlformats.org/officeDocument/2006/relationships" ref="K36" display="https://humanoid.guide/product/mimic-hand-m1/" r:id="rId63"/>
    <hyperlink xmlns:r="http://schemas.openxmlformats.org/officeDocument/2006/relationships" ref="L36" display="https://www.mimicrobotics.com/" r:id="rId64"/>
    <hyperlink xmlns:r="http://schemas.openxmlformats.org/officeDocument/2006/relationships" ref="K37" display="https://humanoid.guide/product/ruka/" r:id="rId65"/>
    <hyperlink xmlns:r="http://schemas.openxmlformats.org/officeDocument/2006/relationships" ref="L37" display="https://ruka-hand.github.io/" r:id="rId66"/>
    <hyperlink xmlns:r="http://schemas.openxmlformats.org/officeDocument/2006/relationships" ref="K38" display="https://humanoid.guide/product/r1/" r:id="rId67"/>
    <hyperlink xmlns:r="http://schemas.openxmlformats.org/officeDocument/2006/relationships" ref="L38" display="https://oceantrix.com/" r:id="rId68"/>
    <hyperlink xmlns:r="http://schemas.openxmlformats.org/officeDocument/2006/relationships" ref="K39" display="https://humanoid.guide/product/r2/" r:id="rId69"/>
    <hyperlink xmlns:r="http://schemas.openxmlformats.org/officeDocument/2006/relationships" ref="L39" display="https://oceantrix.com/" r:id="rId70"/>
    <hyperlink xmlns:r="http://schemas.openxmlformats.org/officeDocument/2006/relationships" ref="K40" display="https://humanoid.guide/product/hero-rgd/" r:id="rId71"/>
    <hyperlink xmlns:r="http://schemas.openxmlformats.org/officeDocument/2006/relationships" ref="L40" display="https://openbionics.com/" r:id="rId72"/>
    <hyperlink xmlns:r="http://schemas.openxmlformats.org/officeDocument/2006/relationships" ref="K41" display="https://humanoid.guide/product/opendroids-dh116/" r:id="rId73"/>
    <hyperlink xmlns:r="http://schemas.openxmlformats.org/officeDocument/2006/relationships" ref="L41" display="https://www.opendroids.com" r:id="rId74"/>
    <hyperlink xmlns:r="http://schemas.openxmlformats.org/officeDocument/2006/relationships" ref="K42" display="https://humanoid.guide/product/orca-v1/" r:id="rId75"/>
    <hyperlink xmlns:r="http://schemas.openxmlformats.org/officeDocument/2006/relationships" ref="L42" display="https://www.orcahand.com" r:id="rId76"/>
    <hyperlink xmlns:r="http://schemas.openxmlformats.org/officeDocument/2006/relationships" ref="K43" display="https://humanoid.guide/product/orcahand/" r:id="rId77"/>
    <hyperlink xmlns:r="http://schemas.openxmlformats.org/officeDocument/2006/relationships" ref="L43" display="https://www.orcahand.com" r:id="rId78"/>
    <hyperlink xmlns:r="http://schemas.openxmlformats.org/officeDocument/2006/relationships" ref="K44" display="https://humanoid.guide/product/orcahand-lite/" r:id="rId79"/>
    <hyperlink xmlns:r="http://schemas.openxmlformats.org/officeDocument/2006/relationships" ref="L44" display="https://www.orcahand.com" r:id="rId80"/>
    <hyperlink xmlns:r="http://schemas.openxmlformats.org/officeDocument/2006/relationships" ref="K45" display="https://humanoid.guide/product/orcahand-touch/" r:id="rId81"/>
    <hyperlink xmlns:r="http://schemas.openxmlformats.org/officeDocument/2006/relationships" ref="L45" display="https://www.orcahand.com" r:id="rId82"/>
    <hyperlink xmlns:r="http://schemas.openxmlformats.org/officeDocument/2006/relationships" ref="K46" display="https://humanoid.guide/product/ro-hand/" r:id="rId83"/>
    <hyperlink xmlns:r="http://schemas.openxmlformats.org/officeDocument/2006/relationships" ref="L46" display="https://www.oymotion.com/" r:id="rId84"/>
    <hyperlink xmlns:r="http://schemas.openxmlformats.org/officeDocument/2006/relationships" ref="K47" display="https://humanoid.guide/product/dexh13/" r:id="rId85"/>
    <hyperlink xmlns:r="http://schemas.openxmlformats.org/officeDocument/2006/relationships" ref="L47" display="https://paxini.com/dex/gen2" r:id="rId86"/>
    <hyperlink xmlns:r="http://schemas.openxmlformats.org/officeDocument/2006/relationships" ref="K48" display="https://humanoid.guide/product/dexh5/" r:id="rId87"/>
    <hyperlink xmlns:r="http://schemas.openxmlformats.org/officeDocument/2006/relationships" ref="L48" display="https://paxini.com/dex/gen1" r:id="rId88"/>
    <hyperlink xmlns:r="http://schemas.openxmlformats.org/officeDocument/2006/relationships" ref="K49" display="https://humanoid.guide/product/gmh18/" r:id="rId89"/>
    <hyperlink xmlns:r="http://schemas.openxmlformats.org/officeDocument/2006/relationships" ref="L49" display="https://paxini.com/dex/gen3" r:id="rId90"/>
    <hyperlink xmlns:r="http://schemas.openxmlformats.org/officeDocument/2006/relationships" ref="K50" display="https://humanoid.guide/product/pl-withand/" r:id="rId91"/>
    <hyperlink xmlns:r="http://schemas.openxmlformats.org/officeDocument/2006/relationships" ref="L50" display="https://en.pl-universe.com/" r:id="rId92"/>
    <hyperlink xmlns:r="http://schemas.openxmlformats.org/officeDocument/2006/relationships" ref="K51" display="https://humanoid.guide/product/ih2-azzurra/" r:id="rId93"/>
    <hyperlink xmlns:r="http://schemas.openxmlformats.org/officeDocument/2006/relationships" ref="L51" display="https://www.prensilia.com/" r:id="rId94"/>
    <hyperlink xmlns:r="http://schemas.openxmlformats.org/officeDocument/2006/relationships" ref="K52" display="https://humanoid.guide/product/mia-hand-mk2/" r:id="rId95"/>
    <hyperlink xmlns:r="http://schemas.openxmlformats.org/officeDocument/2006/relationships" ref="L52" display="https://www.prensilia.com/" r:id="rId96"/>
    <hyperlink xmlns:r="http://schemas.openxmlformats.org/officeDocument/2006/relationships" ref="K53" display="https://humanoid.guide/product/psi-h1/" r:id="rId97"/>
    <hyperlink xmlns:r="http://schemas.openxmlformats.org/officeDocument/2006/relationships" ref="L53" display="https://www.psibot.ai/" r:id="rId98"/>
    <hyperlink xmlns:r="http://schemas.openxmlformats.org/officeDocument/2006/relationships" ref="K54" display="https://humanoid.guide/product/ability-hand/" r:id="rId99"/>
    <hyperlink xmlns:r="http://schemas.openxmlformats.org/officeDocument/2006/relationships" ref="L54" display="https://www.psyonic.io/" r:id="rId100"/>
    <hyperlink xmlns:r="http://schemas.openxmlformats.org/officeDocument/2006/relationships" ref="K55" display="https://humanoid.guide/product/softhand2/" r:id="rId101"/>
    <hyperlink xmlns:r="http://schemas.openxmlformats.org/officeDocument/2006/relationships" ref="L55" display="https://qbrobotics.com/" r:id="rId102"/>
    <hyperlink xmlns:r="http://schemas.openxmlformats.org/officeDocument/2006/relationships" ref="K56" display="https://humanoid.guide/product/dexhand-v2-3/" r:id="rId103"/>
    <hyperlink xmlns:r="http://schemas.openxmlformats.org/officeDocument/2006/relationships" ref="L56" display="https://www.therobotstudio.com/" r:id="rId104"/>
    <hyperlink xmlns:r="http://schemas.openxmlformats.org/officeDocument/2006/relationships" ref="K57" display="https://humanoid.guide/product/xhand-1-lite/" r:id="rId105"/>
    <hyperlink xmlns:r="http://schemas.openxmlformats.org/officeDocument/2006/relationships" ref="L57" display="https://www.robotera.com/" r:id="rId106"/>
    <hyperlink xmlns:r="http://schemas.openxmlformats.org/officeDocument/2006/relationships" ref="K58" display="https://humanoid.guide/product/xhand-1-pro/" r:id="rId107"/>
    <hyperlink xmlns:r="http://schemas.openxmlformats.org/officeDocument/2006/relationships" ref="L58" display="https://www.robotera.com/" r:id="rId108"/>
    <hyperlink xmlns:r="http://schemas.openxmlformats.org/officeDocument/2006/relationships" ref="K59" display="https://humanoid.guide/product/xhand1/" r:id="rId109"/>
    <hyperlink xmlns:r="http://schemas.openxmlformats.org/officeDocument/2006/relationships" ref="L59" display="https://www.robotera.com/en/goods1/4.html" r:id="rId110"/>
    <hyperlink xmlns:r="http://schemas.openxmlformats.org/officeDocument/2006/relationships" ref="K60" display="https://humanoid.guide/product/hx5-d20/" r:id="rId111"/>
    <hyperlink xmlns:r="http://schemas.openxmlformats.org/officeDocument/2006/relationships" ref="L60" display="https://www.robotis.us/" r:id="rId112"/>
    <hyperlink xmlns:r="http://schemas.openxmlformats.org/officeDocument/2006/relationships" ref="K61" display="https://humanoid.guide/product/ry-h1/" r:id="rId113"/>
    <hyperlink xmlns:r="http://schemas.openxmlformats.org/officeDocument/2006/relationships" ref="L61" display="https://www.ruiyanrobot.com/" r:id="rId114"/>
    <hyperlink xmlns:r="http://schemas.openxmlformats.org/officeDocument/2006/relationships" ref="K62" display="https://humanoid.guide/product/phoenix-hand-3-2/" r:id="rId115"/>
    <hyperlink xmlns:r="http://schemas.openxmlformats.org/officeDocument/2006/relationships" ref="L62" display="https://www.sanctuary.ai/" r:id="rId116"/>
    <hyperlink xmlns:r="http://schemas.openxmlformats.org/officeDocument/2006/relationships" ref="K63" display="https://humanoid.guide/product/artus-lite/" r:id="rId117"/>
    <hyperlink xmlns:r="http://schemas.openxmlformats.org/officeDocument/2006/relationships" ref="L63" display="https://sarcomeredynamics.com/" r:id="rId118"/>
    <hyperlink xmlns:r="http://schemas.openxmlformats.org/officeDocument/2006/relationships" ref="K64" display="https://humanoid.guide/product/svh/" r:id="rId119"/>
    <hyperlink xmlns:r="http://schemas.openxmlformats.org/officeDocument/2006/relationships" ref="L64" display="https://schunk.com/" r:id="rId120"/>
    <hyperlink xmlns:r="http://schemas.openxmlformats.org/officeDocument/2006/relationships" ref="K65" display="https://humanoid.guide/product/rh6d/" r:id="rId121"/>
    <hyperlink xmlns:r="http://schemas.openxmlformats.org/officeDocument/2006/relationships" ref="L65" display="https://www.seedrobotics.com/" r:id="rId122"/>
    <hyperlink xmlns:r="http://schemas.openxmlformats.org/officeDocument/2006/relationships" ref="K66" display="https://humanoid.guide/product/rh8d/" r:id="rId123"/>
    <hyperlink xmlns:r="http://schemas.openxmlformats.org/officeDocument/2006/relationships" ref="L66" display="https://www.seedrobotics.com" r:id="rId124"/>
    <hyperlink xmlns:r="http://schemas.openxmlformats.org/officeDocument/2006/relationships" ref="K67" display="https://humanoid.guide/product/dex-ee-robotic-hand/" r:id="rId125"/>
    <hyperlink xmlns:r="http://schemas.openxmlformats.org/officeDocument/2006/relationships" ref="L67" display="https://wuji-tech.com" r:id="rId126"/>
    <hyperlink xmlns:r="http://schemas.openxmlformats.org/officeDocument/2006/relationships" ref="K68" display="https://humanoid.guide/product/dexterous-hand/" r:id="rId127"/>
    <hyperlink xmlns:r="http://schemas.openxmlformats.org/officeDocument/2006/relationships" ref="L68" display="https://shadowrobot.com/" r:id="rId128"/>
    <hyperlink xmlns:r="http://schemas.openxmlformats.org/officeDocument/2006/relationships" ref="K69" display="https://humanoid.guide/product/sharpawave/" r:id="rId129"/>
    <hyperlink xmlns:r="http://schemas.openxmlformats.org/officeDocument/2006/relationships" ref="L69" display="https://www.sharpa.com/" r:id="rId130"/>
    <hyperlink xmlns:r="http://schemas.openxmlformats.org/officeDocument/2006/relationships" ref="K70" display="https://humanoid.guide/product/zwhand/" r:id="rId131"/>
    <hyperlink xmlns:r="http://schemas.openxmlformats.org/officeDocument/2006/relationships" ref="L70" display="https://www.zwhand.com/en" r:id="rId132"/>
    <hyperlink xmlns:r="http://schemas.openxmlformats.org/officeDocument/2006/relationships" ref="K71" display="https://humanoid.guide/product/rochu-hand/" r:id="rId133"/>
    <hyperlink xmlns:r="http://schemas.openxmlformats.org/officeDocument/2006/relationships" ref="L71" display="https://www.softroboticgripper.com/" r:id="rId134"/>
    <hyperlink xmlns:r="http://schemas.openxmlformats.org/officeDocument/2006/relationships" ref="K72" display="https://humanoid.guide/product/dg-5f/" r:id="rId135"/>
    <hyperlink xmlns:r="http://schemas.openxmlformats.org/officeDocument/2006/relationships" ref="L72" display="https://tesollo.com/" r:id="rId136"/>
    <hyperlink xmlns:r="http://schemas.openxmlformats.org/officeDocument/2006/relationships" ref="K73" display="https://humanoid.guide/product/dg-5f-s/" r:id="rId137"/>
    <hyperlink xmlns:r="http://schemas.openxmlformats.org/officeDocument/2006/relationships" ref="L73" display="https://tesollo.com/" r:id="rId138"/>
    <hyperlink xmlns:r="http://schemas.openxmlformats.org/officeDocument/2006/relationships" ref="K74" display="https://humanoid.guide/product/aero-hand-open/" r:id="rId139"/>
    <hyperlink xmlns:r="http://schemas.openxmlformats.org/officeDocument/2006/relationships" ref="L74" display="https://tetheria.ai/" r:id="rId140"/>
    <hyperlink xmlns:r="http://schemas.openxmlformats.org/officeDocument/2006/relationships" ref="K75" display="https://humanoid.guide/product/dex5-1/" r:id="rId141"/>
    <hyperlink xmlns:r="http://schemas.openxmlformats.org/officeDocument/2006/relationships" ref="L75" display="https://www.unitree.com/Dex5-1" r:id="rId142"/>
    <hyperlink xmlns:r="http://schemas.openxmlformats.org/officeDocument/2006/relationships" ref="K76" display="https://humanoid.guide/product/yz-t6/" r:id="rId143"/>
    <hyperlink xmlns:r="http://schemas.openxmlformats.org/officeDocument/2006/relationships" ref="L76" display="https://www.veichi.com/" r:id="rId144"/>
    <hyperlink xmlns:r="http://schemas.openxmlformats.org/officeDocument/2006/relationships" ref="K77" display="https://humanoid.guide/product/yeah/" r:id="rId145"/>
    <hyperlink xmlns:r="http://schemas.openxmlformats.org/officeDocument/2006/relationships" ref="L77" display="https://www.robotgarage.org" r:id="rId146"/>
    <hyperlink xmlns:r="http://schemas.openxmlformats.org/officeDocument/2006/relationships" ref="K78" display="https://humanoid.guide/product/vh-ha-18t2/" r:id="rId147"/>
    <hyperlink xmlns:r="http://schemas.openxmlformats.org/officeDocument/2006/relationships" ref="L78" display="http://www.vihero.com" r:id="rId148"/>
    <hyperlink xmlns:r="http://schemas.openxmlformats.org/officeDocument/2006/relationships" ref="K79" display="https://humanoid.guide/product/allex-hand/" r:id="rId149"/>
    <hyperlink xmlns:r="http://schemas.openxmlformats.org/officeDocument/2006/relationships" ref="L79" display="https://www.wirobotics.com/" r:id="rId150"/>
    <hyperlink xmlns:r="http://schemas.openxmlformats.org/officeDocument/2006/relationships" ref="K80" display="https://humanoid.guide/product/allegro-hand-v4/" r:id="rId151"/>
    <hyperlink xmlns:r="http://schemas.openxmlformats.org/officeDocument/2006/relationships" ref="L80" display="https://www.allegrohand.com/" r:id="rId152"/>
    <hyperlink xmlns:r="http://schemas.openxmlformats.org/officeDocument/2006/relationships" ref="K81" display="https://humanoid.guide/product/allegro-hand-v5/" r:id="rId153"/>
    <hyperlink xmlns:r="http://schemas.openxmlformats.org/officeDocument/2006/relationships" ref="L81" display="https://www.allegrohand.com/" r:id="rId154"/>
    <hyperlink xmlns:r="http://schemas.openxmlformats.org/officeDocument/2006/relationships" ref="K82" display="https://humanoid.guide/product/wuji-hand/" r:id="rId155"/>
    <hyperlink xmlns:r="http://schemas.openxmlformats.org/officeDocument/2006/relationships" ref="L82" display="https://wuji.tech" r:id="rId156"/>
    <hyperlink xmlns:r="http://schemas.openxmlformats.org/officeDocument/2006/relationships" ref="K83" display="https://humanoid.guide/product/wuji-hand-two/" r:id="rId157"/>
    <hyperlink xmlns:r="http://schemas.openxmlformats.org/officeDocument/2006/relationships" ref="L83" display="https://wuji.tech" r:id="rId158"/>
    <hyperlink xmlns:r="http://schemas.openxmlformats.org/officeDocument/2006/relationships" ref="K84" display="https://humanoid.guide/product/artixon/" r:id="rId159"/>
    <hyperlink xmlns:r="http://schemas.openxmlformats.org/officeDocument/2006/relationships" ref="L84" display="https://www.x2robot.com/" r:id="rId160"/>
    <hyperlink xmlns:r="http://schemas.openxmlformats.org/officeDocument/2006/relationships" ref="K85" display="https://humanoid.guide/product/flex-2/" r:id="rId161"/>
    <hyperlink xmlns:r="http://schemas.openxmlformats.org/officeDocument/2006/relationships" ref="L85" display="https://xynova.com.cn/en/" r:id="rId162"/>
  </hyperlinks>
  <printOptions horizontalCentered="0" verticalCentered="0" headings="0" gridLines="0" gridLinesSet="1"/>
  <pageMargins left="0.75" right="0.75" top="1" bottom="1" header="0.511811023622047" footer="0.511811023622047"/>
  <pageSetup orientation="landscape" paperSize="3" scale="100" fitToHeight="1" fitToWidth="1" pageOrder="downThenOver" blackAndWhite="0" draft="0" horizontalDpi="300" verticalDpi="300" copies="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2026-08-26T22:55:49Z</dcterms:created>
  <dcterms:modified xmlns:dcterms="http://purl.org/dc/terms/" xmlns:xsi="http://www.w3.org/2001/XMLSchema-instance" xsi:type="dcterms:W3CDTF">2026-09-12T12:21:07Z</dcterms:modified>
  <cp:revision>0</cp:revision>
</cp:coreProperties>
</file>